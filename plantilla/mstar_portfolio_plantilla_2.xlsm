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0" yWindow="0" windowWidth="19440" windowHeight="15600" tabRatio="732" activeTab="7"/>
  </bookViews>
  <sheets>
    <sheet name="Cartera" sheetId="10" r:id="rId1"/>
    <sheet name="Movimientos" sheetId="3" r:id="rId2"/>
    <sheet name="Participaciones" sheetId="5" r:id="rId3"/>
    <sheet name="VLs" sheetId="8" r:id="rId4"/>
    <sheet name="Diario" sheetId="23" r:id="rId5"/>
    <sheet name="Semanal" sheetId="24" r:id="rId6"/>
    <sheet name="Mensual" sheetId="18" r:id="rId7"/>
    <sheet name="Evolucion" sheetId="16" r:id="rId8"/>
    <sheet name="Graficos" sheetId="20" r:id="rId9"/>
    <sheet name="Datos" sheetId="2" r:id="rId10"/>
  </sheets>
  <functionGroups builtInGroupCount="17"/>
  <definedNames>
    <definedName name="_xlnm._FilterDatabase" localSheetId="0" hidden="1">Cartera!$A$3:$D$23</definedName>
    <definedName name="_xlnm._FilterDatabase" localSheetId="4" hidden="1">Diario!$A$3:$I$21</definedName>
    <definedName name="_xlnm._FilterDatabase" localSheetId="6" hidden="1">Mensual!$A$2:$Q$21</definedName>
    <definedName name="_xlnm._FilterDatabase" localSheetId="1" hidden="1">Movimientos!$A$3:$B$201</definedName>
    <definedName name="_xlnm._FilterDatabase" localSheetId="2" hidden="1">Participaciones!$A$3:$C$21</definedName>
    <definedName name="_xlnm._FilterDatabase" localSheetId="5" hidden="1">Semanal!$A$3:$C$21</definedName>
    <definedName name="_xlnm._FilterDatabase" localSheetId="3" hidden="1">VLs!$A$3:$C$21</definedName>
    <definedName name="mstar_portfolio_2176544" localSheetId="9">Datos!#REF!</definedName>
    <definedName name="mstar_portfolio_2176545" localSheetId="9">Datos!#REF!</definedName>
    <definedName name="mstar_portfolio_csv" localSheetId="9">Datos!$A$4:$AO$30</definedName>
  </definedNames>
  <calcPr calcId="144525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C4" i="16"/>
  <c r="C5" i="16"/>
  <c r="C7" i="16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B4" i="16"/>
  <c r="C6" i="16"/>
  <c r="C3" i="16"/>
  <c r="D3" i="16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D4" i="16"/>
  <c r="D5" i="16"/>
  <c r="E3" i="16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E4" i="16"/>
  <c r="E5" i="16"/>
  <c r="F3" i="16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F4" i="16"/>
  <c r="F5" i="16"/>
  <c r="G3" i="16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G4" i="16"/>
  <c r="G5" i="16"/>
  <c r="H3" i="16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H4" i="16"/>
  <c r="H5" i="16"/>
  <c r="I3" i="16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I4" i="16"/>
  <c r="I5" i="16"/>
  <c r="J3" i="16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J4" i="16"/>
  <c r="J5" i="16"/>
  <c r="K3" i="16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K4" i="16"/>
  <c r="K5" i="16"/>
  <c r="L3" i="16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L4" i="16"/>
  <c r="L5" i="16"/>
  <c r="M3" i="16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M4" i="16"/>
  <c r="M5" i="16"/>
  <c r="N3" i="16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N4" i="16"/>
  <c r="N5" i="16"/>
  <c r="O3" i="16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O4" i="16"/>
  <c r="O5" i="16"/>
  <c r="P3" i="16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P4" i="16"/>
  <c r="P5" i="16"/>
  <c r="Q3" i="16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Q4" i="16"/>
  <c r="Q5" i="16"/>
  <c r="R3" i="16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  <c r="U4" i="5"/>
  <c r="R4" i="16"/>
  <c r="R5" i="16"/>
  <c r="S3" i="16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V4" i="5"/>
  <c r="S4" i="16"/>
  <c r="S5" i="16"/>
  <c r="T3" i="16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W4" i="5"/>
  <c r="T4" i="16"/>
  <c r="T5" i="16"/>
  <c r="U3" i="16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X4" i="5"/>
  <c r="U4" i="16"/>
  <c r="U5" i="16"/>
  <c r="V3" i="16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V4" i="16"/>
  <c r="V5" i="16"/>
  <c r="W3" i="16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" i="5"/>
  <c r="Z5" i="5"/>
  <c r="Z4" i="5"/>
  <c r="W4" i="16"/>
  <c r="W5" i="16"/>
  <c r="X3" i="16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X4" i="16"/>
  <c r="X5" i="16"/>
  <c r="Y3" i="16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Y4" i="16"/>
  <c r="Y5" i="16"/>
  <c r="Z3" i="16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Z4" i="16"/>
  <c r="Z5" i="16"/>
  <c r="AA3" i="16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A4" i="16"/>
  <c r="AA5" i="16"/>
  <c r="AB3" i="16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B4" i="16"/>
  <c r="AB5" i="16"/>
  <c r="AC3" i="16"/>
  <c r="AF21" i="5"/>
  <c r="AF20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C4" i="16"/>
  <c r="AC5" i="16"/>
  <c r="AD3" i="16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D4" i="16"/>
  <c r="AD5" i="16"/>
  <c r="AE3" i="16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E4" i="16"/>
  <c r="AE5" i="16"/>
  <c r="AF3" i="16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F4" i="16"/>
  <c r="AF5" i="16"/>
  <c r="AG3" i="16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G4" i="16"/>
  <c r="AG5" i="16"/>
  <c r="AH3" i="16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H4" i="16"/>
  <c r="AH5" i="16"/>
  <c r="AI3" i="16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I4" i="16"/>
  <c r="AI5" i="16"/>
  <c r="AJ3" i="16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J4" i="16"/>
  <c r="AJ5" i="16"/>
  <c r="AK3" i="16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K4" i="16"/>
  <c r="AK5" i="16"/>
  <c r="AL3" i="16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O6" i="5"/>
  <c r="AO5" i="5"/>
  <c r="AO4" i="5"/>
  <c r="AL4" i="16"/>
  <c r="AL5" i="16"/>
  <c r="AM3" i="16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P4" i="5"/>
  <c r="AM4" i="16"/>
  <c r="AM5" i="16"/>
  <c r="AN3" i="16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Q6" i="5"/>
  <c r="AQ5" i="5"/>
  <c r="AQ4" i="5"/>
  <c r="AN4" i="16"/>
  <c r="AN5" i="16"/>
  <c r="AN7" i="16"/>
  <c r="B4" i="8"/>
  <c r="C4" i="8"/>
  <c r="F2" i="24"/>
  <c r="G2" i="24"/>
  <c r="H2" i="24"/>
  <c r="I2" i="24"/>
  <c r="J2" i="24"/>
  <c r="K2" i="24"/>
  <c r="L2" i="24"/>
  <c r="M2" i="24"/>
  <c r="N2" i="24"/>
  <c r="O2" i="24"/>
  <c r="P2" i="24"/>
  <c r="Q2" i="24"/>
  <c r="Q3" i="24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0" i="18"/>
  <c r="JF20" i="8"/>
  <c r="JG20" i="8"/>
  <c r="JH20" i="8"/>
  <c r="JI20" i="8"/>
  <c r="JJ20" i="8"/>
  <c r="JK20" i="8"/>
  <c r="JL20" i="8"/>
  <c r="JM20" i="8"/>
  <c r="JN20" i="8"/>
  <c r="JO20" i="8"/>
  <c r="JP20" i="8"/>
  <c r="JQ20" i="8"/>
  <c r="JR20" i="8"/>
  <c r="JS20" i="8"/>
  <c r="JT20" i="8"/>
  <c r="JU20" i="8"/>
  <c r="JV20" i="8"/>
  <c r="JW20" i="8"/>
  <c r="JX20" i="8"/>
  <c r="JY20" i="8"/>
  <c r="JZ20" i="8"/>
  <c r="KA20" i="8"/>
  <c r="KB20" i="8"/>
  <c r="KC20" i="8"/>
  <c r="KD20" i="8"/>
  <c r="KE20" i="8"/>
  <c r="KF20" i="8"/>
  <c r="KG20" i="8"/>
  <c r="KH20" i="8"/>
  <c r="KI20" i="8"/>
  <c r="KJ20" i="8"/>
  <c r="KK20" i="8"/>
  <c r="KL20" i="8"/>
  <c r="KM20" i="8"/>
  <c r="KN20" i="8"/>
  <c r="KO20" i="8"/>
  <c r="KP20" i="8"/>
  <c r="KQ20" i="8"/>
  <c r="KR20" i="8"/>
  <c r="KS20" i="8"/>
  <c r="KT20" i="8"/>
  <c r="KU20" i="8"/>
  <c r="KV20" i="8"/>
  <c r="KW20" i="8"/>
  <c r="KX20" i="8"/>
  <c r="KY20" i="8"/>
  <c r="KZ20" i="8"/>
  <c r="LA20" i="8"/>
  <c r="LB20" i="8"/>
  <c r="LC20" i="8"/>
  <c r="LD20" i="8"/>
  <c r="LE20" i="8"/>
  <c r="LF20" i="8"/>
  <c r="LG20" i="8"/>
  <c r="LH20" i="8"/>
  <c r="LI20" i="8"/>
  <c r="LJ20" i="8"/>
  <c r="LK20" i="8"/>
  <c r="LL20" i="8"/>
  <c r="LM20" i="8"/>
  <c r="LN20" i="8"/>
  <c r="LO20" i="8"/>
  <c r="LP20" i="8"/>
  <c r="LQ20" i="8"/>
  <c r="LR20" i="8"/>
  <c r="LS20" i="8"/>
  <c r="LT20" i="8"/>
  <c r="LU20" i="8"/>
  <c r="LV20" i="8"/>
  <c r="LW20" i="8"/>
  <c r="LX20" i="8"/>
  <c r="LY20" i="8"/>
  <c r="LZ20" i="8"/>
  <c r="MA20" i="8"/>
  <c r="MB20" i="8"/>
  <c r="MC20" i="8"/>
  <c r="MD20" i="8"/>
  <c r="ME20" i="8"/>
  <c r="MF20" i="8"/>
  <c r="MG20" i="8"/>
  <c r="MH20" i="8"/>
  <c r="MI20" i="8"/>
  <c r="MJ20" i="8"/>
  <c r="MK20" i="8"/>
  <c r="ML20" i="8"/>
  <c r="MM20" i="8"/>
  <c r="MN20" i="8"/>
  <c r="MO20" i="8"/>
  <c r="MP20" i="8"/>
  <c r="MQ20" i="8"/>
  <c r="MR20" i="8"/>
  <c r="MS20" i="8"/>
  <c r="MT20" i="8"/>
  <c r="MU20" i="8"/>
  <c r="MV20" i="8"/>
  <c r="MW20" i="8"/>
  <c r="MX20" i="8"/>
  <c r="MY20" i="8"/>
  <c r="MZ20" i="8"/>
  <c r="NA20" i="8"/>
  <c r="NB20" i="8"/>
  <c r="NC20" i="8"/>
  <c r="ND20" i="8"/>
  <c r="NE20" i="8"/>
  <c r="NF20" i="8"/>
  <c r="NG20" i="8"/>
  <c r="NH20" i="8"/>
  <c r="NI20" i="8"/>
  <c r="NJ20" i="8"/>
  <c r="NK20" i="8"/>
  <c r="NL20" i="8"/>
  <c r="NM20" i="8"/>
  <c r="NN20" i="8"/>
  <c r="NO20" i="8"/>
  <c r="NP20" i="8"/>
  <c r="NQ20" i="8"/>
  <c r="NR20" i="8"/>
  <c r="NS20" i="8"/>
  <c r="NT20" i="8"/>
  <c r="NU20" i="8"/>
  <c r="NV20" i="8"/>
  <c r="NW20" i="8"/>
  <c r="NX20" i="8"/>
  <c r="NY20" i="8"/>
  <c r="NZ20" i="8"/>
  <c r="OA20" i="8"/>
  <c r="OB20" i="8"/>
  <c r="OC20" i="8"/>
  <c r="OD20" i="8"/>
  <c r="OE20" i="8"/>
  <c r="OF20" i="8"/>
  <c r="OG20" i="8"/>
  <c r="OH20" i="8"/>
  <c r="OI20" i="8"/>
  <c r="OJ20" i="8"/>
  <c r="OK20" i="8"/>
  <c r="OL20" i="8"/>
  <c r="OM20" i="8"/>
  <c r="ON20" i="8"/>
  <c r="OO20" i="8"/>
  <c r="OP20" i="8"/>
  <c r="OQ20" i="8"/>
  <c r="OR20" i="8"/>
  <c r="OS20" i="8"/>
  <c r="OT20" i="8"/>
  <c r="OU20" i="8"/>
  <c r="OV20" i="8"/>
  <c r="OW20" i="8"/>
  <c r="OX20" i="8"/>
  <c r="OY20" i="8"/>
  <c r="OZ20" i="8"/>
  <c r="PA20" i="8"/>
  <c r="PB20" i="8"/>
  <c r="PC20" i="8"/>
  <c r="PD20" i="8"/>
  <c r="PE20" i="8"/>
  <c r="PF20" i="8"/>
  <c r="PG20" i="8"/>
  <c r="PH20" i="8"/>
  <c r="PI20" i="8"/>
  <c r="PJ20" i="8"/>
  <c r="PK20" i="8"/>
  <c r="PL20" i="8"/>
  <c r="PM20" i="8"/>
  <c r="PN20" i="8"/>
  <c r="PO20" i="8"/>
  <c r="PP20" i="8"/>
  <c r="PQ20" i="8"/>
  <c r="PR20" i="8"/>
  <c r="PS20" i="8"/>
  <c r="PT20" i="8"/>
  <c r="PU20" i="8"/>
  <c r="PV20" i="8"/>
  <c r="PW20" i="8"/>
  <c r="PX20" i="8"/>
  <c r="PY20" i="8"/>
  <c r="PZ20" i="8"/>
  <c r="QA20" i="8"/>
  <c r="QB20" i="8"/>
  <c r="QC20" i="8"/>
  <c r="QD20" i="8"/>
  <c r="QE20" i="8"/>
  <c r="QF20" i="8"/>
  <c r="QG20" i="8"/>
  <c r="QH20" i="8"/>
  <c r="QI20" i="8"/>
  <c r="QJ20" i="8"/>
  <c r="QK20" i="8"/>
  <c r="QL20" i="8"/>
  <c r="QM20" i="8"/>
  <c r="QN20" i="8"/>
  <c r="QO20" i="8"/>
  <c r="QP20" i="8"/>
  <c r="QQ20" i="8"/>
  <c r="QR20" i="8"/>
  <c r="QS20" i="8"/>
  <c r="QT20" i="8"/>
  <c r="QU20" i="8"/>
  <c r="QV20" i="8"/>
  <c r="QW20" i="8"/>
  <c r="QX20" i="8"/>
  <c r="QY20" i="8"/>
  <c r="QZ20" i="8"/>
  <c r="RA20" i="8"/>
  <c r="RB20" i="8"/>
  <c r="RC20" i="8"/>
  <c r="RD20" i="8"/>
  <c r="RE20" i="8"/>
  <c r="RF20" i="8"/>
  <c r="RG20" i="8"/>
  <c r="RH20" i="8"/>
  <c r="RI20" i="8"/>
  <c r="RJ20" i="8"/>
  <c r="RK20" i="8"/>
  <c r="RL20" i="8"/>
  <c r="RM20" i="8"/>
  <c r="RN20" i="8"/>
  <c r="RO20" i="8"/>
  <c r="RP20" i="8"/>
  <c r="RQ20" i="8"/>
  <c r="RR20" i="8"/>
  <c r="RS20" i="8"/>
  <c r="RT20" i="8"/>
  <c r="RU20" i="8"/>
  <c r="RV20" i="8"/>
  <c r="RW20" i="8"/>
  <c r="RX20" i="8"/>
  <c r="RY20" i="8"/>
  <c r="RZ20" i="8"/>
  <c r="SA20" i="8"/>
  <c r="SB20" i="8"/>
  <c r="SC20" i="8"/>
  <c r="SD20" i="8"/>
  <c r="SE20" i="8"/>
  <c r="SF20" i="8"/>
  <c r="SG20" i="8"/>
  <c r="SH20" i="8"/>
  <c r="SI20" i="8"/>
  <c r="SJ20" i="8"/>
  <c r="SK20" i="8"/>
  <c r="SL20" i="8"/>
  <c r="SM20" i="8"/>
  <c r="SN20" i="8"/>
  <c r="SO20" i="8"/>
  <c r="SP20" i="8"/>
  <c r="SQ20" i="8"/>
  <c r="SR20" i="8"/>
  <c r="SS20" i="8"/>
  <c r="ST20" i="8"/>
  <c r="SU20" i="8"/>
  <c r="SV20" i="8"/>
  <c r="SW20" i="8"/>
  <c r="SX20" i="8"/>
  <c r="SY20" i="8"/>
  <c r="SZ20" i="8"/>
  <c r="TA20" i="8"/>
  <c r="TB20" i="8"/>
  <c r="TC20" i="8"/>
  <c r="TD20" i="8"/>
  <c r="TE20" i="8"/>
  <c r="TF20" i="8"/>
  <c r="Q20" i="18"/>
  <c r="B9" i="18"/>
  <c r="JF9" i="8"/>
  <c r="JG9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LE9" i="8"/>
  <c r="LF9" i="8"/>
  <c r="LG9" i="8"/>
  <c r="LH9" i="8"/>
  <c r="LI9" i="8"/>
  <c r="LJ9" i="8"/>
  <c r="LK9" i="8"/>
  <c r="LL9" i="8"/>
  <c r="LM9" i="8"/>
  <c r="LN9" i="8"/>
  <c r="LO9" i="8"/>
  <c r="LP9" i="8"/>
  <c r="LQ9" i="8"/>
  <c r="LR9" i="8"/>
  <c r="LS9" i="8"/>
  <c r="LT9" i="8"/>
  <c r="LU9" i="8"/>
  <c r="LV9" i="8"/>
  <c r="LW9" i="8"/>
  <c r="LX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MO9" i="8"/>
  <c r="MP9" i="8"/>
  <c r="MQ9" i="8"/>
  <c r="MR9" i="8"/>
  <c r="MS9" i="8"/>
  <c r="MT9" i="8"/>
  <c r="MU9" i="8"/>
  <c r="MV9" i="8"/>
  <c r="MW9" i="8"/>
  <c r="MX9" i="8"/>
  <c r="MY9" i="8"/>
  <c r="MZ9" i="8"/>
  <c r="NA9" i="8"/>
  <c r="NB9" i="8"/>
  <c r="NC9" i="8"/>
  <c r="ND9" i="8"/>
  <c r="NE9" i="8"/>
  <c r="NF9" i="8"/>
  <c r="NG9" i="8"/>
  <c r="NH9" i="8"/>
  <c r="NI9" i="8"/>
  <c r="NJ9" i="8"/>
  <c r="NK9" i="8"/>
  <c r="NL9" i="8"/>
  <c r="NM9" i="8"/>
  <c r="NN9" i="8"/>
  <c r="NO9" i="8"/>
  <c r="NP9" i="8"/>
  <c r="NQ9" i="8"/>
  <c r="NR9" i="8"/>
  <c r="NS9" i="8"/>
  <c r="NT9" i="8"/>
  <c r="NU9" i="8"/>
  <c r="NV9" i="8"/>
  <c r="NW9" i="8"/>
  <c r="NX9" i="8"/>
  <c r="NY9" i="8"/>
  <c r="NZ9" i="8"/>
  <c r="OA9" i="8"/>
  <c r="OB9" i="8"/>
  <c r="OC9" i="8"/>
  <c r="OD9" i="8"/>
  <c r="OE9" i="8"/>
  <c r="OF9" i="8"/>
  <c r="OG9" i="8"/>
  <c r="OH9" i="8"/>
  <c r="OI9" i="8"/>
  <c r="OJ9" i="8"/>
  <c r="OK9" i="8"/>
  <c r="OL9" i="8"/>
  <c r="OM9" i="8"/>
  <c r="ON9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J9" i="8"/>
  <c r="QK9" i="8"/>
  <c r="QL9" i="8"/>
  <c r="QM9" i="8"/>
  <c r="QN9" i="8"/>
  <c r="QO9" i="8"/>
  <c r="QP9" i="8"/>
  <c r="QQ9" i="8"/>
  <c r="QR9" i="8"/>
  <c r="QS9" i="8"/>
  <c r="QT9" i="8"/>
  <c r="QU9" i="8"/>
  <c r="QV9" i="8"/>
  <c r="QW9" i="8"/>
  <c r="QX9" i="8"/>
  <c r="QY9" i="8"/>
  <c r="QZ9" i="8"/>
  <c r="RA9" i="8"/>
  <c r="RB9" i="8"/>
  <c r="RC9" i="8"/>
  <c r="RD9" i="8"/>
  <c r="RE9" i="8"/>
  <c r="RF9" i="8"/>
  <c r="RG9" i="8"/>
  <c r="RH9" i="8"/>
  <c r="RI9" i="8"/>
  <c r="RJ9" i="8"/>
  <c r="RK9" i="8"/>
  <c r="RL9" i="8"/>
  <c r="RM9" i="8"/>
  <c r="RN9" i="8"/>
  <c r="RO9" i="8"/>
  <c r="RP9" i="8"/>
  <c r="RQ9" i="8"/>
  <c r="RR9" i="8"/>
  <c r="RS9" i="8"/>
  <c r="RT9" i="8"/>
  <c r="RU9" i="8"/>
  <c r="RV9" i="8"/>
  <c r="RW9" i="8"/>
  <c r="RX9" i="8"/>
  <c r="RY9" i="8"/>
  <c r="RZ9" i="8"/>
  <c r="SA9" i="8"/>
  <c r="SB9" i="8"/>
  <c r="SC9" i="8"/>
  <c r="SD9" i="8"/>
  <c r="SE9" i="8"/>
  <c r="SF9" i="8"/>
  <c r="SG9" i="8"/>
  <c r="SH9" i="8"/>
  <c r="SI9" i="8"/>
  <c r="SJ9" i="8"/>
  <c r="SK9" i="8"/>
  <c r="SL9" i="8"/>
  <c r="SM9" i="8"/>
  <c r="SN9" i="8"/>
  <c r="SO9" i="8"/>
  <c r="SP9" i="8"/>
  <c r="SQ9" i="8"/>
  <c r="SR9" i="8"/>
  <c r="SS9" i="8"/>
  <c r="ST9" i="8"/>
  <c r="SU9" i="8"/>
  <c r="SV9" i="8"/>
  <c r="SW9" i="8"/>
  <c r="SX9" i="8"/>
  <c r="SY9" i="8"/>
  <c r="SZ9" i="8"/>
  <c r="TA9" i="8"/>
  <c r="TB9" i="8"/>
  <c r="TC9" i="8"/>
  <c r="TD9" i="8"/>
  <c r="TE9" i="8"/>
  <c r="TF9" i="8"/>
  <c r="Q9" i="18"/>
  <c r="B8" i="18"/>
  <c r="JF8" i="8"/>
  <c r="JG8" i="8"/>
  <c r="JH8" i="8"/>
  <c r="JI8" i="8"/>
  <c r="JJ8" i="8"/>
  <c r="JK8" i="8"/>
  <c r="JL8" i="8"/>
  <c r="JM8" i="8"/>
  <c r="JN8" i="8"/>
  <c r="JO8" i="8"/>
  <c r="JP8" i="8"/>
  <c r="JQ8" i="8"/>
  <c r="JR8" i="8"/>
  <c r="JS8" i="8"/>
  <c r="JT8" i="8"/>
  <c r="JU8" i="8"/>
  <c r="JV8" i="8"/>
  <c r="JW8" i="8"/>
  <c r="JX8" i="8"/>
  <c r="JY8" i="8"/>
  <c r="JZ8" i="8"/>
  <c r="KA8" i="8"/>
  <c r="KB8" i="8"/>
  <c r="KC8" i="8"/>
  <c r="KD8" i="8"/>
  <c r="KE8" i="8"/>
  <c r="KF8" i="8"/>
  <c r="KG8" i="8"/>
  <c r="KH8" i="8"/>
  <c r="KI8" i="8"/>
  <c r="KJ8" i="8"/>
  <c r="KK8" i="8"/>
  <c r="KL8" i="8"/>
  <c r="KM8" i="8"/>
  <c r="KN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E8" i="8"/>
  <c r="LF8" i="8"/>
  <c r="LG8" i="8"/>
  <c r="LH8" i="8"/>
  <c r="LI8" i="8"/>
  <c r="LJ8" i="8"/>
  <c r="LK8" i="8"/>
  <c r="LL8" i="8"/>
  <c r="LM8" i="8"/>
  <c r="LN8" i="8"/>
  <c r="LO8" i="8"/>
  <c r="LP8" i="8"/>
  <c r="LQ8" i="8"/>
  <c r="LR8" i="8"/>
  <c r="LS8" i="8"/>
  <c r="LT8" i="8"/>
  <c r="LU8" i="8"/>
  <c r="LV8" i="8"/>
  <c r="LW8" i="8"/>
  <c r="LX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NX8" i="8"/>
  <c r="NY8" i="8"/>
  <c r="NZ8" i="8"/>
  <c r="OA8" i="8"/>
  <c r="OB8" i="8"/>
  <c r="OC8" i="8"/>
  <c r="OD8" i="8"/>
  <c r="OE8" i="8"/>
  <c r="OF8" i="8"/>
  <c r="OG8" i="8"/>
  <c r="OH8" i="8"/>
  <c r="OI8" i="8"/>
  <c r="OJ8" i="8"/>
  <c r="OK8" i="8"/>
  <c r="OL8" i="8"/>
  <c r="OM8" i="8"/>
  <c r="ON8" i="8"/>
  <c r="OO8" i="8"/>
  <c r="OP8" i="8"/>
  <c r="OQ8" i="8"/>
  <c r="OR8" i="8"/>
  <c r="OS8" i="8"/>
  <c r="OT8" i="8"/>
  <c r="OU8" i="8"/>
  <c r="OV8" i="8"/>
  <c r="OW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PR8" i="8"/>
  <c r="PS8" i="8"/>
  <c r="PT8" i="8"/>
  <c r="PU8" i="8"/>
  <c r="PV8" i="8"/>
  <c r="PW8" i="8"/>
  <c r="PX8" i="8"/>
  <c r="PY8" i="8"/>
  <c r="PZ8" i="8"/>
  <c r="QA8" i="8"/>
  <c r="QB8" i="8"/>
  <c r="QC8" i="8"/>
  <c r="QD8" i="8"/>
  <c r="QE8" i="8"/>
  <c r="QF8" i="8"/>
  <c r="QG8" i="8"/>
  <c r="QH8" i="8"/>
  <c r="QI8" i="8"/>
  <c r="QJ8" i="8"/>
  <c r="QK8" i="8"/>
  <c r="QL8" i="8"/>
  <c r="QM8" i="8"/>
  <c r="QN8" i="8"/>
  <c r="QO8" i="8"/>
  <c r="QP8" i="8"/>
  <c r="QQ8" i="8"/>
  <c r="QR8" i="8"/>
  <c r="QS8" i="8"/>
  <c r="QT8" i="8"/>
  <c r="QU8" i="8"/>
  <c r="QV8" i="8"/>
  <c r="QW8" i="8"/>
  <c r="QX8" i="8"/>
  <c r="QY8" i="8"/>
  <c r="QZ8" i="8"/>
  <c r="RA8" i="8"/>
  <c r="RB8" i="8"/>
  <c r="RC8" i="8"/>
  <c r="RD8" i="8"/>
  <c r="RE8" i="8"/>
  <c r="RF8" i="8"/>
  <c r="RG8" i="8"/>
  <c r="RH8" i="8"/>
  <c r="RI8" i="8"/>
  <c r="RJ8" i="8"/>
  <c r="RK8" i="8"/>
  <c r="RL8" i="8"/>
  <c r="RM8" i="8"/>
  <c r="RN8" i="8"/>
  <c r="RO8" i="8"/>
  <c r="RP8" i="8"/>
  <c r="RQ8" i="8"/>
  <c r="RR8" i="8"/>
  <c r="RS8" i="8"/>
  <c r="RT8" i="8"/>
  <c r="RU8" i="8"/>
  <c r="RV8" i="8"/>
  <c r="RW8" i="8"/>
  <c r="RX8" i="8"/>
  <c r="RY8" i="8"/>
  <c r="RZ8" i="8"/>
  <c r="SA8" i="8"/>
  <c r="SB8" i="8"/>
  <c r="SC8" i="8"/>
  <c r="SD8" i="8"/>
  <c r="SE8" i="8"/>
  <c r="SF8" i="8"/>
  <c r="SG8" i="8"/>
  <c r="SH8" i="8"/>
  <c r="SI8" i="8"/>
  <c r="SJ8" i="8"/>
  <c r="SK8" i="8"/>
  <c r="SL8" i="8"/>
  <c r="SM8" i="8"/>
  <c r="SN8" i="8"/>
  <c r="SO8" i="8"/>
  <c r="SP8" i="8"/>
  <c r="SQ8" i="8"/>
  <c r="SR8" i="8"/>
  <c r="SS8" i="8"/>
  <c r="ST8" i="8"/>
  <c r="SU8" i="8"/>
  <c r="SV8" i="8"/>
  <c r="SW8" i="8"/>
  <c r="SX8" i="8"/>
  <c r="SY8" i="8"/>
  <c r="SZ8" i="8"/>
  <c r="TA8" i="8"/>
  <c r="TB8" i="8"/>
  <c r="TC8" i="8"/>
  <c r="TD8" i="8"/>
  <c r="TE8" i="8"/>
  <c r="TF8" i="8"/>
  <c r="Q8" i="18"/>
  <c r="B7" i="18"/>
  <c r="JF7" i="8"/>
  <c r="JG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KI7" i="8"/>
  <c r="KJ7" i="8"/>
  <c r="KK7" i="8"/>
  <c r="KL7" i="8"/>
  <c r="KM7" i="8"/>
  <c r="KN7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LE7" i="8"/>
  <c r="LF7" i="8"/>
  <c r="LG7" i="8"/>
  <c r="LH7" i="8"/>
  <c r="LI7" i="8"/>
  <c r="LJ7" i="8"/>
  <c r="LK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MO7" i="8"/>
  <c r="MP7" i="8"/>
  <c r="MQ7" i="8"/>
  <c r="MR7" i="8"/>
  <c r="MS7" i="8"/>
  <c r="MT7" i="8"/>
  <c r="MU7" i="8"/>
  <c r="MV7" i="8"/>
  <c r="MW7" i="8"/>
  <c r="MX7" i="8"/>
  <c r="MY7" i="8"/>
  <c r="MZ7" i="8"/>
  <c r="NA7" i="8"/>
  <c r="NB7" i="8"/>
  <c r="NC7" i="8"/>
  <c r="ND7" i="8"/>
  <c r="NE7" i="8"/>
  <c r="NF7" i="8"/>
  <c r="NG7" i="8"/>
  <c r="NH7" i="8"/>
  <c r="NI7" i="8"/>
  <c r="NJ7" i="8"/>
  <c r="NK7" i="8"/>
  <c r="NL7" i="8"/>
  <c r="NM7" i="8"/>
  <c r="NN7" i="8"/>
  <c r="NO7" i="8"/>
  <c r="NP7" i="8"/>
  <c r="NQ7" i="8"/>
  <c r="NR7" i="8"/>
  <c r="NS7" i="8"/>
  <c r="NT7" i="8"/>
  <c r="NU7" i="8"/>
  <c r="NV7" i="8"/>
  <c r="NW7" i="8"/>
  <c r="NX7" i="8"/>
  <c r="NY7" i="8"/>
  <c r="NZ7" i="8"/>
  <c r="OA7" i="8"/>
  <c r="OB7" i="8"/>
  <c r="OC7" i="8"/>
  <c r="OD7" i="8"/>
  <c r="OE7" i="8"/>
  <c r="OF7" i="8"/>
  <c r="OG7" i="8"/>
  <c r="OH7" i="8"/>
  <c r="OI7" i="8"/>
  <c r="OJ7" i="8"/>
  <c r="OK7" i="8"/>
  <c r="OL7" i="8"/>
  <c r="OM7" i="8"/>
  <c r="ON7" i="8"/>
  <c r="OO7" i="8"/>
  <c r="OP7" i="8"/>
  <c r="OQ7" i="8"/>
  <c r="OR7" i="8"/>
  <c r="OS7" i="8"/>
  <c r="OT7" i="8"/>
  <c r="OU7" i="8"/>
  <c r="OV7" i="8"/>
  <c r="OW7" i="8"/>
  <c r="OX7" i="8"/>
  <c r="OY7" i="8"/>
  <c r="OZ7" i="8"/>
  <c r="PA7" i="8"/>
  <c r="PB7" i="8"/>
  <c r="PC7" i="8"/>
  <c r="PD7" i="8"/>
  <c r="PE7" i="8"/>
  <c r="PF7" i="8"/>
  <c r="PG7" i="8"/>
  <c r="PH7" i="8"/>
  <c r="PI7" i="8"/>
  <c r="PJ7" i="8"/>
  <c r="PK7" i="8"/>
  <c r="PL7" i="8"/>
  <c r="PM7" i="8"/>
  <c r="PN7" i="8"/>
  <c r="PO7" i="8"/>
  <c r="PP7" i="8"/>
  <c r="PQ7" i="8"/>
  <c r="PR7" i="8"/>
  <c r="PS7" i="8"/>
  <c r="PT7" i="8"/>
  <c r="PU7" i="8"/>
  <c r="PV7" i="8"/>
  <c r="PW7" i="8"/>
  <c r="PX7" i="8"/>
  <c r="PY7" i="8"/>
  <c r="PZ7" i="8"/>
  <c r="QA7" i="8"/>
  <c r="QB7" i="8"/>
  <c r="QC7" i="8"/>
  <c r="QD7" i="8"/>
  <c r="QE7" i="8"/>
  <c r="QF7" i="8"/>
  <c r="QG7" i="8"/>
  <c r="QH7" i="8"/>
  <c r="QI7" i="8"/>
  <c r="QJ7" i="8"/>
  <c r="QK7" i="8"/>
  <c r="QL7" i="8"/>
  <c r="QM7" i="8"/>
  <c r="QN7" i="8"/>
  <c r="QO7" i="8"/>
  <c r="QP7" i="8"/>
  <c r="QQ7" i="8"/>
  <c r="QR7" i="8"/>
  <c r="QS7" i="8"/>
  <c r="QT7" i="8"/>
  <c r="QU7" i="8"/>
  <c r="QV7" i="8"/>
  <c r="QW7" i="8"/>
  <c r="QX7" i="8"/>
  <c r="QY7" i="8"/>
  <c r="QZ7" i="8"/>
  <c r="RA7" i="8"/>
  <c r="RB7" i="8"/>
  <c r="RC7" i="8"/>
  <c r="RD7" i="8"/>
  <c r="RE7" i="8"/>
  <c r="RF7" i="8"/>
  <c r="RG7" i="8"/>
  <c r="RH7" i="8"/>
  <c r="RI7" i="8"/>
  <c r="RJ7" i="8"/>
  <c r="RK7" i="8"/>
  <c r="RL7" i="8"/>
  <c r="RM7" i="8"/>
  <c r="RN7" i="8"/>
  <c r="RO7" i="8"/>
  <c r="RP7" i="8"/>
  <c r="RQ7" i="8"/>
  <c r="RR7" i="8"/>
  <c r="RS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SK7" i="8"/>
  <c r="SL7" i="8"/>
  <c r="SM7" i="8"/>
  <c r="SN7" i="8"/>
  <c r="SO7" i="8"/>
  <c r="SP7" i="8"/>
  <c r="SQ7" i="8"/>
  <c r="SR7" i="8"/>
  <c r="SS7" i="8"/>
  <c r="ST7" i="8"/>
  <c r="SU7" i="8"/>
  <c r="SV7" i="8"/>
  <c r="SW7" i="8"/>
  <c r="SX7" i="8"/>
  <c r="SY7" i="8"/>
  <c r="SZ7" i="8"/>
  <c r="TA7" i="8"/>
  <c r="TB7" i="8"/>
  <c r="TC7" i="8"/>
  <c r="TD7" i="8"/>
  <c r="TE7" i="8"/>
  <c r="TF7" i="8"/>
  <c r="Q7" i="18"/>
  <c r="B5" i="18"/>
  <c r="JF5" i="8"/>
  <c r="JG5" i="8"/>
  <c r="JH5" i="8"/>
  <c r="JI5" i="8"/>
  <c r="JJ5" i="8"/>
  <c r="JK5" i="8"/>
  <c r="JL5" i="8"/>
  <c r="JM5" i="8"/>
  <c r="JN5" i="8"/>
  <c r="JO5" i="8"/>
  <c r="JP5" i="8"/>
  <c r="JQ5" i="8"/>
  <c r="JR5" i="8"/>
  <c r="JS5" i="8"/>
  <c r="JT5" i="8"/>
  <c r="JU5" i="8"/>
  <c r="JV5" i="8"/>
  <c r="JW5" i="8"/>
  <c r="JX5" i="8"/>
  <c r="JY5" i="8"/>
  <c r="JZ5" i="8"/>
  <c r="KA5" i="8"/>
  <c r="KB5" i="8"/>
  <c r="KC5" i="8"/>
  <c r="KD5" i="8"/>
  <c r="KE5" i="8"/>
  <c r="KF5" i="8"/>
  <c r="KG5" i="8"/>
  <c r="KH5" i="8"/>
  <c r="KI5" i="8"/>
  <c r="KJ5" i="8"/>
  <c r="KK5" i="8"/>
  <c r="KL5" i="8"/>
  <c r="KM5" i="8"/>
  <c r="KN5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LE5" i="8"/>
  <c r="LF5" i="8"/>
  <c r="LG5" i="8"/>
  <c r="LH5" i="8"/>
  <c r="LI5" i="8"/>
  <c r="LJ5" i="8"/>
  <c r="LK5" i="8"/>
  <c r="LL5" i="8"/>
  <c r="LM5" i="8"/>
  <c r="LN5" i="8"/>
  <c r="LO5" i="8"/>
  <c r="LP5" i="8"/>
  <c r="LQ5" i="8"/>
  <c r="LR5" i="8"/>
  <c r="LS5" i="8"/>
  <c r="LT5" i="8"/>
  <c r="LU5" i="8"/>
  <c r="LV5" i="8"/>
  <c r="LW5" i="8"/>
  <c r="LX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MO5" i="8"/>
  <c r="MP5" i="8"/>
  <c r="MQ5" i="8"/>
  <c r="MR5" i="8"/>
  <c r="MS5" i="8"/>
  <c r="MT5" i="8"/>
  <c r="MU5" i="8"/>
  <c r="MV5" i="8"/>
  <c r="MW5" i="8"/>
  <c r="MX5" i="8"/>
  <c r="MY5" i="8"/>
  <c r="MZ5" i="8"/>
  <c r="NA5" i="8"/>
  <c r="NB5" i="8"/>
  <c r="NC5" i="8"/>
  <c r="ND5" i="8"/>
  <c r="NE5" i="8"/>
  <c r="NF5" i="8"/>
  <c r="NG5" i="8"/>
  <c r="NH5" i="8"/>
  <c r="NI5" i="8"/>
  <c r="NJ5" i="8"/>
  <c r="NK5" i="8"/>
  <c r="NL5" i="8"/>
  <c r="NM5" i="8"/>
  <c r="NN5" i="8"/>
  <c r="NO5" i="8"/>
  <c r="NP5" i="8"/>
  <c r="NQ5" i="8"/>
  <c r="NR5" i="8"/>
  <c r="NS5" i="8"/>
  <c r="NT5" i="8"/>
  <c r="NU5" i="8"/>
  <c r="NV5" i="8"/>
  <c r="NW5" i="8"/>
  <c r="NX5" i="8"/>
  <c r="NY5" i="8"/>
  <c r="NZ5" i="8"/>
  <c r="OA5" i="8"/>
  <c r="OB5" i="8"/>
  <c r="OC5" i="8"/>
  <c r="OD5" i="8"/>
  <c r="OE5" i="8"/>
  <c r="OF5" i="8"/>
  <c r="OG5" i="8"/>
  <c r="OH5" i="8"/>
  <c r="OI5" i="8"/>
  <c r="OJ5" i="8"/>
  <c r="OK5" i="8"/>
  <c r="OL5" i="8"/>
  <c r="OM5" i="8"/>
  <c r="ON5" i="8"/>
  <c r="OO5" i="8"/>
  <c r="OP5" i="8"/>
  <c r="OQ5" i="8"/>
  <c r="OR5" i="8"/>
  <c r="OS5" i="8"/>
  <c r="OT5" i="8"/>
  <c r="OU5" i="8"/>
  <c r="OV5" i="8"/>
  <c r="OW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PR5" i="8"/>
  <c r="PS5" i="8"/>
  <c r="PT5" i="8"/>
  <c r="PU5" i="8"/>
  <c r="PV5" i="8"/>
  <c r="PW5" i="8"/>
  <c r="PX5" i="8"/>
  <c r="PY5" i="8"/>
  <c r="PZ5" i="8"/>
  <c r="QA5" i="8"/>
  <c r="QB5" i="8"/>
  <c r="QC5" i="8"/>
  <c r="QD5" i="8"/>
  <c r="QE5" i="8"/>
  <c r="QF5" i="8"/>
  <c r="QG5" i="8"/>
  <c r="QH5" i="8"/>
  <c r="QI5" i="8"/>
  <c r="QJ5" i="8"/>
  <c r="QK5" i="8"/>
  <c r="QL5" i="8"/>
  <c r="QM5" i="8"/>
  <c r="QN5" i="8"/>
  <c r="QO5" i="8"/>
  <c r="QP5" i="8"/>
  <c r="QQ5" i="8"/>
  <c r="QR5" i="8"/>
  <c r="QS5" i="8"/>
  <c r="QT5" i="8"/>
  <c r="QU5" i="8"/>
  <c r="QV5" i="8"/>
  <c r="QW5" i="8"/>
  <c r="QX5" i="8"/>
  <c r="QY5" i="8"/>
  <c r="QZ5" i="8"/>
  <c r="RA5" i="8"/>
  <c r="RB5" i="8"/>
  <c r="RC5" i="8"/>
  <c r="RD5" i="8"/>
  <c r="RE5" i="8"/>
  <c r="RF5" i="8"/>
  <c r="RG5" i="8"/>
  <c r="RH5" i="8"/>
  <c r="RI5" i="8"/>
  <c r="RJ5" i="8"/>
  <c r="RK5" i="8"/>
  <c r="RL5" i="8"/>
  <c r="RM5" i="8"/>
  <c r="RN5" i="8"/>
  <c r="RO5" i="8"/>
  <c r="RP5" i="8"/>
  <c r="RQ5" i="8"/>
  <c r="RR5" i="8"/>
  <c r="RS5" i="8"/>
  <c r="RT5" i="8"/>
  <c r="RU5" i="8"/>
  <c r="RV5" i="8"/>
  <c r="RW5" i="8"/>
  <c r="RX5" i="8"/>
  <c r="RY5" i="8"/>
  <c r="RZ5" i="8"/>
  <c r="SA5" i="8"/>
  <c r="SB5" i="8"/>
  <c r="SC5" i="8"/>
  <c r="SD5" i="8"/>
  <c r="SE5" i="8"/>
  <c r="SF5" i="8"/>
  <c r="SG5" i="8"/>
  <c r="SH5" i="8"/>
  <c r="SI5" i="8"/>
  <c r="SJ5" i="8"/>
  <c r="SK5" i="8"/>
  <c r="SL5" i="8"/>
  <c r="SM5" i="8"/>
  <c r="SN5" i="8"/>
  <c r="SO5" i="8"/>
  <c r="SP5" i="8"/>
  <c r="SQ5" i="8"/>
  <c r="SR5" i="8"/>
  <c r="SS5" i="8"/>
  <c r="ST5" i="8"/>
  <c r="SU5" i="8"/>
  <c r="SV5" i="8"/>
  <c r="SW5" i="8"/>
  <c r="SX5" i="8"/>
  <c r="SY5" i="8"/>
  <c r="SZ5" i="8"/>
  <c r="TA5" i="8"/>
  <c r="TB5" i="8"/>
  <c r="TC5" i="8"/>
  <c r="TD5" i="8"/>
  <c r="TE5" i="8"/>
  <c r="TF5" i="8"/>
  <c r="Q5" i="18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4" i="24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4" i="23"/>
  <c r="L3" i="24"/>
  <c r="K3" i="24"/>
  <c r="J3" i="24"/>
  <c r="I3" i="24"/>
  <c r="H3" i="24"/>
  <c r="G3" i="24"/>
  <c r="F3" i="24"/>
  <c r="E3" i="24"/>
  <c r="B20" i="24"/>
  <c r="L20" i="24"/>
  <c r="K20" i="24"/>
  <c r="J20" i="24"/>
  <c r="I20" i="24"/>
  <c r="H20" i="24"/>
  <c r="G20" i="24"/>
  <c r="F20" i="24"/>
  <c r="JD20" i="8"/>
  <c r="JE20" i="8"/>
  <c r="E20" i="24"/>
  <c r="B9" i="24"/>
  <c r="L9" i="24"/>
  <c r="K9" i="24"/>
  <c r="J9" i="24"/>
  <c r="I9" i="24"/>
  <c r="H9" i="24"/>
  <c r="G9" i="24"/>
  <c r="F9" i="24"/>
  <c r="JD9" i="8"/>
  <c r="JE9" i="8"/>
  <c r="E9" i="24"/>
  <c r="B8" i="24"/>
  <c r="L8" i="24"/>
  <c r="K8" i="24"/>
  <c r="J8" i="24"/>
  <c r="I8" i="24"/>
  <c r="H8" i="24"/>
  <c r="G8" i="24"/>
  <c r="F8" i="24"/>
  <c r="JD8" i="8"/>
  <c r="JE8" i="8"/>
  <c r="E8" i="24"/>
  <c r="B7" i="24"/>
  <c r="L7" i="24"/>
  <c r="K7" i="24"/>
  <c r="J7" i="24"/>
  <c r="I7" i="24"/>
  <c r="H7" i="24"/>
  <c r="G7" i="24"/>
  <c r="F7" i="24"/>
  <c r="JD7" i="8"/>
  <c r="JE7" i="8"/>
  <c r="E7" i="24"/>
  <c r="B5" i="24"/>
  <c r="L5" i="24"/>
  <c r="K5" i="24"/>
  <c r="J5" i="24"/>
  <c r="I5" i="24"/>
  <c r="H5" i="24"/>
  <c r="G5" i="24"/>
  <c r="F5" i="24"/>
  <c r="JD5" i="8"/>
  <c r="JE5" i="8"/>
  <c r="E5" i="24"/>
  <c r="M3" i="24"/>
  <c r="N3" i="24"/>
  <c r="O3" i="24"/>
  <c r="P3" i="24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4" i="18"/>
  <c r="B6" i="23"/>
  <c r="LK6" i="8"/>
  <c r="LL6" i="8"/>
  <c r="E6" i="23"/>
  <c r="LM6" i="8"/>
  <c r="F2" i="23"/>
  <c r="F3" i="23"/>
  <c r="F6" i="23"/>
  <c r="LN6" i="8"/>
  <c r="G2" i="23"/>
  <c r="G3" i="23"/>
  <c r="G6" i="23"/>
  <c r="LO6" i="8"/>
  <c r="H2" i="23"/>
  <c r="H3" i="23"/>
  <c r="H6" i="23"/>
  <c r="LP6" i="8"/>
  <c r="I2" i="23"/>
  <c r="I3" i="23"/>
  <c r="I6" i="23"/>
  <c r="J6" i="23"/>
  <c r="B7" i="23"/>
  <c r="E7" i="23"/>
  <c r="F7" i="23"/>
  <c r="G7" i="23"/>
  <c r="H7" i="23"/>
  <c r="I7" i="23"/>
  <c r="J7" i="23"/>
  <c r="B8" i="23"/>
  <c r="E8" i="23"/>
  <c r="F8" i="23"/>
  <c r="G8" i="23"/>
  <c r="H8" i="23"/>
  <c r="I8" i="23"/>
  <c r="J8" i="23"/>
  <c r="B9" i="23"/>
  <c r="E9" i="23"/>
  <c r="F9" i="23"/>
  <c r="G9" i="23"/>
  <c r="H9" i="23"/>
  <c r="I9" i="23"/>
  <c r="J9" i="23"/>
  <c r="B10" i="23"/>
  <c r="LK10" i="8"/>
  <c r="LL10" i="8"/>
  <c r="E10" i="23"/>
  <c r="LM10" i="8"/>
  <c r="F10" i="23"/>
  <c r="LN10" i="8"/>
  <c r="G10" i="23"/>
  <c r="LO10" i="8"/>
  <c r="H10" i="23"/>
  <c r="LP10" i="8"/>
  <c r="I10" i="23"/>
  <c r="J10" i="23"/>
  <c r="B11" i="23"/>
  <c r="LK11" i="8"/>
  <c r="LL11" i="8"/>
  <c r="E11" i="23"/>
  <c r="LM11" i="8"/>
  <c r="F11" i="23"/>
  <c r="LN11" i="8"/>
  <c r="G11" i="23"/>
  <c r="LO11" i="8"/>
  <c r="H11" i="23"/>
  <c r="LP11" i="8"/>
  <c r="I11" i="23"/>
  <c r="J11" i="23"/>
  <c r="B12" i="23"/>
  <c r="LK12" i="8"/>
  <c r="LL12" i="8"/>
  <c r="E12" i="23"/>
  <c r="LM12" i="8"/>
  <c r="F12" i="23"/>
  <c r="LN12" i="8"/>
  <c r="G12" i="23"/>
  <c r="LO12" i="8"/>
  <c r="H12" i="23"/>
  <c r="LP12" i="8"/>
  <c r="I12" i="23"/>
  <c r="J12" i="23"/>
  <c r="B13" i="23"/>
  <c r="LK13" i="8"/>
  <c r="LL13" i="8"/>
  <c r="E13" i="23"/>
  <c r="LM13" i="8"/>
  <c r="F13" i="23"/>
  <c r="LN13" i="8"/>
  <c r="G13" i="23"/>
  <c r="LO13" i="8"/>
  <c r="H13" i="23"/>
  <c r="LP13" i="8"/>
  <c r="I13" i="23"/>
  <c r="J13" i="23"/>
  <c r="B14" i="23"/>
  <c r="LK14" i="8"/>
  <c r="LL14" i="8"/>
  <c r="E14" i="23"/>
  <c r="LM14" i="8"/>
  <c r="F14" i="23"/>
  <c r="LN14" i="8"/>
  <c r="G14" i="23"/>
  <c r="LO14" i="8"/>
  <c r="H14" i="23"/>
  <c r="LP14" i="8"/>
  <c r="I14" i="23"/>
  <c r="J14" i="23"/>
  <c r="B15" i="23"/>
  <c r="LK15" i="8"/>
  <c r="LL15" i="8"/>
  <c r="E15" i="23"/>
  <c r="LM15" i="8"/>
  <c r="F15" i="23"/>
  <c r="LN15" i="8"/>
  <c r="G15" i="23"/>
  <c r="LO15" i="8"/>
  <c r="H15" i="23"/>
  <c r="LP15" i="8"/>
  <c r="I15" i="23"/>
  <c r="J15" i="23"/>
  <c r="B16" i="23"/>
  <c r="LK16" i="8"/>
  <c r="LL16" i="8"/>
  <c r="E16" i="23"/>
  <c r="LM16" i="8"/>
  <c r="F16" i="23"/>
  <c r="LN16" i="8"/>
  <c r="G16" i="23"/>
  <c r="LO16" i="8"/>
  <c r="H16" i="23"/>
  <c r="LP16" i="8"/>
  <c r="I16" i="23"/>
  <c r="J16" i="23"/>
  <c r="B17" i="23"/>
  <c r="LK17" i="8"/>
  <c r="LL17" i="8"/>
  <c r="E17" i="23"/>
  <c r="LM17" i="8"/>
  <c r="F17" i="23"/>
  <c r="LN17" i="8"/>
  <c r="G17" i="23"/>
  <c r="LO17" i="8"/>
  <c r="H17" i="23"/>
  <c r="LP17" i="8"/>
  <c r="I17" i="23"/>
  <c r="J17" i="23"/>
  <c r="B18" i="23"/>
  <c r="LK18" i="8"/>
  <c r="LL18" i="8"/>
  <c r="E18" i="23"/>
  <c r="LM18" i="8"/>
  <c r="F18" i="23"/>
  <c r="LN18" i="8"/>
  <c r="G18" i="23"/>
  <c r="LO18" i="8"/>
  <c r="H18" i="23"/>
  <c r="LP18" i="8"/>
  <c r="I18" i="23"/>
  <c r="J18" i="23"/>
  <c r="B19" i="23"/>
  <c r="LK19" i="8"/>
  <c r="LL19" i="8"/>
  <c r="E19" i="23"/>
  <c r="LM19" i="8"/>
  <c r="F19" i="23"/>
  <c r="LN19" i="8"/>
  <c r="G19" i="23"/>
  <c r="LO19" i="8"/>
  <c r="H19" i="23"/>
  <c r="LP19" i="8"/>
  <c r="I19" i="23"/>
  <c r="J19" i="23"/>
  <c r="B20" i="23"/>
  <c r="E20" i="23"/>
  <c r="F20" i="23"/>
  <c r="G20" i="23"/>
  <c r="H20" i="23"/>
  <c r="I20" i="23"/>
  <c r="J20" i="23"/>
  <c r="B21" i="23"/>
  <c r="LK21" i="8"/>
  <c r="LL21" i="8"/>
  <c r="E21" i="23"/>
  <c r="LM21" i="8"/>
  <c r="F21" i="23"/>
  <c r="LN21" i="8"/>
  <c r="G21" i="23"/>
  <c r="LO21" i="8"/>
  <c r="H21" i="23"/>
  <c r="LP21" i="8"/>
  <c r="I21" i="23"/>
  <c r="J21" i="23"/>
  <c r="B5" i="23"/>
  <c r="E5" i="23"/>
  <c r="F5" i="23"/>
  <c r="G5" i="23"/>
  <c r="H5" i="23"/>
  <c r="I5" i="23"/>
  <c r="J5" i="23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GY5" i="8"/>
  <c r="GZ5" i="8"/>
  <c r="HA5" i="8"/>
  <c r="HB5" i="8"/>
  <c r="HC5" i="8"/>
  <c r="HD5" i="8"/>
  <c r="HE5" i="8"/>
  <c r="HF5" i="8"/>
  <c r="HG5" i="8"/>
  <c r="HH5" i="8"/>
  <c r="HI5" i="8"/>
  <c r="HJ5" i="8"/>
  <c r="HK5" i="8"/>
  <c r="HL5" i="8"/>
  <c r="HM5" i="8"/>
  <c r="HN5" i="8"/>
  <c r="HO5" i="8"/>
  <c r="HP5" i="8"/>
  <c r="HQ5" i="8"/>
  <c r="HR5" i="8"/>
  <c r="HS5" i="8"/>
  <c r="HT5" i="8"/>
  <c r="HU5" i="8"/>
  <c r="HV5" i="8"/>
  <c r="HW5" i="8"/>
  <c r="HX5" i="8"/>
  <c r="HY5" i="8"/>
  <c r="HZ5" i="8"/>
  <c r="IA5" i="8"/>
  <c r="IB5" i="8"/>
  <c r="IC5" i="8"/>
  <c r="ID5" i="8"/>
  <c r="IE5" i="8"/>
  <c r="IF5" i="8"/>
  <c r="IG5" i="8"/>
  <c r="IH5" i="8"/>
  <c r="II5" i="8"/>
  <c r="IJ5" i="8"/>
  <c r="IK5" i="8"/>
  <c r="IL5" i="8"/>
  <c r="IM5" i="8"/>
  <c r="IN5" i="8"/>
  <c r="IO5" i="8"/>
  <c r="IP5" i="8"/>
  <c r="IQ5" i="8"/>
  <c r="IR5" i="8"/>
  <c r="IS5" i="8"/>
  <c r="IT5" i="8"/>
  <c r="IU5" i="8"/>
  <c r="IV5" i="8"/>
  <c r="IW5" i="8"/>
  <c r="IX5" i="8"/>
  <c r="IY5" i="8"/>
  <c r="IZ5" i="8"/>
  <c r="JA5" i="8"/>
  <c r="JB5" i="8"/>
  <c r="JC5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DZ6" i="8"/>
  <c r="EA6" i="8"/>
  <c r="EB6" i="8"/>
  <c r="EC6" i="8"/>
  <c r="ED6" i="8"/>
  <c r="EE6" i="8"/>
  <c r="EF6" i="8"/>
  <c r="EG6" i="8"/>
  <c r="EH6" i="8"/>
  <c r="EI6" i="8"/>
  <c r="EJ6" i="8"/>
  <c r="EK6" i="8"/>
  <c r="EL6" i="8"/>
  <c r="EM6" i="8"/>
  <c r="EN6" i="8"/>
  <c r="EO6" i="8"/>
  <c r="EP6" i="8"/>
  <c r="EQ6" i="8"/>
  <c r="ER6" i="8"/>
  <c r="ES6" i="8"/>
  <c r="ET6" i="8"/>
  <c r="EU6" i="8"/>
  <c r="EV6" i="8"/>
  <c r="EW6" i="8"/>
  <c r="EX6" i="8"/>
  <c r="EY6" i="8"/>
  <c r="EZ6" i="8"/>
  <c r="FA6" i="8"/>
  <c r="FB6" i="8"/>
  <c r="FC6" i="8"/>
  <c r="FD6" i="8"/>
  <c r="FE6" i="8"/>
  <c r="FF6" i="8"/>
  <c r="FG6" i="8"/>
  <c r="FH6" i="8"/>
  <c r="FI6" i="8"/>
  <c r="FJ6" i="8"/>
  <c r="FK6" i="8"/>
  <c r="FL6" i="8"/>
  <c r="FM6" i="8"/>
  <c r="FN6" i="8"/>
  <c r="FO6" i="8"/>
  <c r="FP6" i="8"/>
  <c r="FQ6" i="8"/>
  <c r="FR6" i="8"/>
  <c r="FS6" i="8"/>
  <c r="FT6" i="8"/>
  <c r="FU6" i="8"/>
  <c r="FV6" i="8"/>
  <c r="FW6" i="8"/>
  <c r="FX6" i="8"/>
  <c r="FY6" i="8"/>
  <c r="FZ6" i="8"/>
  <c r="GA6" i="8"/>
  <c r="GB6" i="8"/>
  <c r="GC6" i="8"/>
  <c r="GD6" i="8"/>
  <c r="GE6" i="8"/>
  <c r="GF6" i="8"/>
  <c r="GG6" i="8"/>
  <c r="GH6" i="8"/>
  <c r="GI6" i="8"/>
  <c r="GJ6" i="8"/>
  <c r="GK6" i="8"/>
  <c r="GL6" i="8"/>
  <c r="GM6" i="8"/>
  <c r="GN6" i="8"/>
  <c r="GO6" i="8"/>
  <c r="GP6" i="8"/>
  <c r="GQ6" i="8"/>
  <c r="GR6" i="8"/>
  <c r="GS6" i="8"/>
  <c r="GT6" i="8"/>
  <c r="GU6" i="8"/>
  <c r="GV6" i="8"/>
  <c r="GW6" i="8"/>
  <c r="GX6" i="8"/>
  <c r="GY6" i="8"/>
  <c r="GZ6" i="8"/>
  <c r="HA6" i="8"/>
  <c r="HB6" i="8"/>
  <c r="HC6" i="8"/>
  <c r="HD6" i="8"/>
  <c r="HE6" i="8"/>
  <c r="HF6" i="8"/>
  <c r="HG6" i="8"/>
  <c r="HH6" i="8"/>
  <c r="HI6" i="8"/>
  <c r="HJ6" i="8"/>
  <c r="HK6" i="8"/>
  <c r="HL6" i="8"/>
  <c r="HM6" i="8"/>
  <c r="HN6" i="8"/>
  <c r="HO6" i="8"/>
  <c r="HP6" i="8"/>
  <c r="HQ6" i="8"/>
  <c r="HR6" i="8"/>
  <c r="HS6" i="8"/>
  <c r="HT6" i="8"/>
  <c r="HU6" i="8"/>
  <c r="HV6" i="8"/>
  <c r="HW6" i="8"/>
  <c r="HX6" i="8"/>
  <c r="HY6" i="8"/>
  <c r="HZ6" i="8"/>
  <c r="IA6" i="8"/>
  <c r="IB6" i="8"/>
  <c r="IC6" i="8"/>
  <c r="ID6" i="8"/>
  <c r="IE6" i="8"/>
  <c r="IF6" i="8"/>
  <c r="IG6" i="8"/>
  <c r="IH6" i="8"/>
  <c r="II6" i="8"/>
  <c r="IJ6" i="8"/>
  <c r="IK6" i="8"/>
  <c r="IL6" i="8"/>
  <c r="IM6" i="8"/>
  <c r="IN6" i="8"/>
  <c r="IO6" i="8"/>
  <c r="IP6" i="8"/>
  <c r="IQ6" i="8"/>
  <c r="IR6" i="8"/>
  <c r="IS6" i="8"/>
  <c r="IT6" i="8"/>
  <c r="IU6" i="8"/>
  <c r="IV6" i="8"/>
  <c r="IW6" i="8"/>
  <c r="IX6" i="8"/>
  <c r="IY6" i="8"/>
  <c r="IZ6" i="8"/>
  <c r="JA6" i="8"/>
  <c r="JB6" i="8"/>
  <c r="JC6" i="8"/>
  <c r="JD6" i="8"/>
  <c r="JE6" i="8"/>
  <c r="JF6" i="8"/>
  <c r="JG6" i="8"/>
  <c r="JH6" i="8"/>
  <c r="JI6" i="8"/>
  <c r="JJ6" i="8"/>
  <c r="JK6" i="8"/>
  <c r="JL6" i="8"/>
  <c r="JM6" i="8"/>
  <c r="JN6" i="8"/>
  <c r="JO6" i="8"/>
  <c r="JP6" i="8"/>
  <c r="JQ6" i="8"/>
  <c r="JR6" i="8"/>
  <c r="JS6" i="8"/>
  <c r="JT6" i="8"/>
  <c r="JU6" i="8"/>
  <c r="JV6" i="8"/>
  <c r="JW6" i="8"/>
  <c r="JX6" i="8"/>
  <c r="JY6" i="8"/>
  <c r="JZ6" i="8"/>
  <c r="KA6" i="8"/>
  <c r="KB6" i="8"/>
  <c r="KC6" i="8"/>
  <c r="KD6" i="8"/>
  <c r="KE6" i="8"/>
  <c r="KF6" i="8"/>
  <c r="KG6" i="8"/>
  <c r="KH6" i="8"/>
  <c r="KI6" i="8"/>
  <c r="KJ6" i="8"/>
  <c r="KK6" i="8"/>
  <c r="KL6" i="8"/>
  <c r="KM6" i="8"/>
  <c r="KN6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LE6" i="8"/>
  <c r="LF6" i="8"/>
  <c r="LG6" i="8"/>
  <c r="LH6" i="8"/>
  <c r="LI6" i="8"/>
  <c r="LJ6" i="8"/>
  <c r="LQ6" i="8"/>
  <c r="LR6" i="8"/>
  <c r="LS6" i="8"/>
  <c r="LT6" i="8"/>
  <c r="LU6" i="8"/>
  <c r="LV6" i="8"/>
  <c r="LW6" i="8"/>
  <c r="LX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MO6" i="8"/>
  <c r="MP6" i="8"/>
  <c r="MQ6" i="8"/>
  <c r="MR6" i="8"/>
  <c r="MS6" i="8"/>
  <c r="MT6" i="8"/>
  <c r="MU6" i="8"/>
  <c r="MV6" i="8"/>
  <c r="MW6" i="8"/>
  <c r="MX6" i="8"/>
  <c r="MY6" i="8"/>
  <c r="MZ6" i="8"/>
  <c r="NA6" i="8"/>
  <c r="NB6" i="8"/>
  <c r="NC6" i="8"/>
  <c r="ND6" i="8"/>
  <c r="NE6" i="8"/>
  <c r="NF6" i="8"/>
  <c r="NG6" i="8"/>
  <c r="NH6" i="8"/>
  <c r="NI6" i="8"/>
  <c r="NJ6" i="8"/>
  <c r="NK6" i="8"/>
  <c r="NL6" i="8"/>
  <c r="NM6" i="8"/>
  <c r="NN6" i="8"/>
  <c r="NO6" i="8"/>
  <c r="NP6" i="8"/>
  <c r="NQ6" i="8"/>
  <c r="NR6" i="8"/>
  <c r="NS6" i="8"/>
  <c r="NT6" i="8"/>
  <c r="NU6" i="8"/>
  <c r="NV6" i="8"/>
  <c r="NW6" i="8"/>
  <c r="NX6" i="8"/>
  <c r="NY6" i="8"/>
  <c r="NZ6" i="8"/>
  <c r="OA6" i="8"/>
  <c r="OB6" i="8"/>
  <c r="OC6" i="8"/>
  <c r="OD6" i="8"/>
  <c r="OE6" i="8"/>
  <c r="OF6" i="8"/>
  <c r="OG6" i="8"/>
  <c r="OH6" i="8"/>
  <c r="OI6" i="8"/>
  <c r="OJ6" i="8"/>
  <c r="OK6" i="8"/>
  <c r="OL6" i="8"/>
  <c r="OM6" i="8"/>
  <c r="ON6" i="8"/>
  <c r="OO6" i="8"/>
  <c r="OP6" i="8"/>
  <c r="OQ6" i="8"/>
  <c r="OR6" i="8"/>
  <c r="OS6" i="8"/>
  <c r="OT6" i="8"/>
  <c r="OU6" i="8"/>
  <c r="OV6" i="8"/>
  <c r="OW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PR6" i="8"/>
  <c r="PS6" i="8"/>
  <c r="PT6" i="8"/>
  <c r="PU6" i="8"/>
  <c r="PV6" i="8"/>
  <c r="PW6" i="8"/>
  <c r="PX6" i="8"/>
  <c r="PY6" i="8"/>
  <c r="PZ6" i="8"/>
  <c r="QA6" i="8"/>
  <c r="QB6" i="8"/>
  <c r="QC6" i="8"/>
  <c r="QD6" i="8"/>
  <c r="QE6" i="8"/>
  <c r="QF6" i="8"/>
  <c r="QG6" i="8"/>
  <c r="QH6" i="8"/>
  <c r="QI6" i="8"/>
  <c r="QJ6" i="8"/>
  <c r="QK6" i="8"/>
  <c r="QL6" i="8"/>
  <c r="QM6" i="8"/>
  <c r="QN6" i="8"/>
  <c r="QO6" i="8"/>
  <c r="QP6" i="8"/>
  <c r="QQ6" i="8"/>
  <c r="QR6" i="8"/>
  <c r="QS6" i="8"/>
  <c r="QT6" i="8"/>
  <c r="QU6" i="8"/>
  <c r="QV6" i="8"/>
  <c r="QW6" i="8"/>
  <c r="QX6" i="8"/>
  <c r="QY6" i="8"/>
  <c r="QZ6" i="8"/>
  <c r="RA6" i="8"/>
  <c r="RB6" i="8"/>
  <c r="RC6" i="8"/>
  <c r="RD6" i="8"/>
  <c r="RE6" i="8"/>
  <c r="RF6" i="8"/>
  <c r="RG6" i="8"/>
  <c r="RH6" i="8"/>
  <c r="RI6" i="8"/>
  <c r="RJ6" i="8"/>
  <c r="RK6" i="8"/>
  <c r="RL6" i="8"/>
  <c r="RM6" i="8"/>
  <c r="RN6" i="8"/>
  <c r="RO6" i="8"/>
  <c r="RP6" i="8"/>
  <c r="RQ6" i="8"/>
  <c r="RR6" i="8"/>
  <c r="RS6" i="8"/>
  <c r="RT6" i="8"/>
  <c r="RU6" i="8"/>
  <c r="RV6" i="8"/>
  <c r="RW6" i="8"/>
  <c r="RX6" i="8"/>
  <c r="RY6" i="8"/>
  <c r="RZ6" i="8"/>
  <c r="SA6" i="8"/>
  <c r="SB6" i="8"/>
  <c r="SC6" i="8"/>
  <c r="SD6" i="8"/>
  <c r="SE6" i="8"/>
  <c r="SF6" i="8"/>
  <c r="SG6" i="8"/>
  <c r="SH6" i="8"/>
  <c r="SI6" i="8"/>
  <c r="SJ6" i="8"/>
  <c r="SK6" i="8"/>
  <c r="SL6" i="8"/>
  <c r="SM6" i="8"/>
  <c r="SN6" i="8"/>
  <c r="SO6" i="8"/>
  <c r="SP6" i="8"/>
  <c r="SQ6" i="8"/>
  <c r="SR6" i="8"/>
  <c r="SS6" i="8"/>
  <c r="ST6" i="8"/>
  <c r="SU6" i="8"/>
  <c r="SV6" i="8"/>
  <c r="SW6" i="8"/>
  <c r="SX6" i="8"/>
  <c r="SY6" i="8"/>
  <c r="SZ6" i="8"/>
  <c r="TA6" i="8"/>
  <c r="TB6" i="8"/>
  <c r="TC6" i="8"/>
  <c r="TD6" i="8"/>
  <c r="TE6" i="8"/>
  <c r="TF6" i="8"/>
  <c r="C7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DZ7" i="8"/>
  <c r="EA7" i="8"/>
  <c r="EB7" i="8"/>
  <c r="EC7" i="8"/>
  <c r="ED7" i="8"/>
  <c r="EE7" i="8"/>
  <c r="EF7" i="8"/>
  <c r="EG7" i="8"/>
  <c r="EH7" i="8"/>
  <c r="EI7" i="8"/>
  <c r="EJ7" i="8"/>
  <c r="EK7" i="8"/>
  <c r="EL7" i="8"/>
  <c r="EM7" i="8"/>
  <c r="EN7" i="8"/>
  <c r="EO7" i="8"/>
  <c r="EP7" i="8"/>
  <c r="EQ7" i="8"/>
  <c r="ER7" i="8"/>
  <c r="ES7" i="8"/>
  <c r="ET7" i="8"/>
  <c r="EU7" i="8"/>
  <c r="EV7" i="8"/>
  <c r="EW7" i="8"/>
  <c r="EX7" i="8"/>
  <c r="EY7" i="8"/>
  <c r="EZ7" i="8"/>
  <c r="FA7" i="8"/>
  <c r="FB7" i="8"/>
  <c r="FC7" i="8"/>
  <c r="FD7" i="8"/>
  <c r="FE7" i="8"/>
  <c r="FF7" i="8"/>
  <c r="FG7" i="8"/>
  <c r="FH7" i="8"/>
  <c r="FI7" i="8"/>
  <c r="FJ7" i="8"/>
  <c r="FK7" i="8"/>
  <c r="FL7" i="8"/>
  <c r="FM7" i="8"/>
  <c r="FN7" i="8"/>
  <c r="FO7" i="8"/>
  <c r="FP7" i="8"/>
  <c r="FQ7" i="8"/>
  <c r="FR7" i="8"/>
  <c r="FS7" i="8"/>
  <c r="FT7" i="8"/>
  <c r="FU7" i="8"/>
  <c r="FV7" i="8"/>
  <c r="FW7" i="8"/>
  <c r="FX7" i="8"/>
  <c r="FY7" i="8"/>
  <c r="FZ7" i="8"/>
  <c r="GA7" i="8"/>
  <c r="GB7" i="8"/>
  <c r="GC7" i="8"/>
  <c r="GD7" i="8"/>
  <c r="GE7" i="8"/>
  <c r="GF7" i="8"/>
  <c r="GG7" i="8"/>
  <c r="GH7" i="8"/>
  <c r="GI7" i="8"/>
  <c r="GJ7" i="8"/>
  <c r="GK7" i="8"/>
  <c r="GL7" i="8"/>
  <c r="GM7" i="8"/>
  <c r="GN7" i="8"/>
  <c r="GO7" i="8"/>
  <c r="GP7" i="8"/>
  <c r="GQ7" i="8"/>
  <c r="GR7" i="8"/>
  <c r="GS7" i="8"/>
  <c r="GT7" i="8"/>
  <c r="GU7" i="8"/>
  <c r="GV7" i="8"/>
  <c r="GW7" i="8"/>
  <c r="GX7" i="8"/>
  <c r="GY7" i="8"/>
  <c r="GZ7" i="8"/>
  <c r="HA7" i="8"/>
  <c r="HB7" i="8"/>
  <c r="HC7" i="8"/>
  <c r="HD7" i="8"/>
  <c r="HE7" i="8"/>
  <c r="HF7" i="8"/>
  <c r="HG7" i="8"/>
  <c r="HH7" i="8"/>
  <c r="HI7" i="8"/>
  <c r="HJ7" i="8"/>
  <c r="HK7" i="8"/>
  <c r="HL7" i="8"/>
  <c r="HM7" i="8"/>
  <c r="HN7" i="8"/>
  <c r="HO7" i="8"/>
  <c r="HP7" i="8"/>
  <c r="HQ7" i="8"/>
  <c r="HR7" i="8"/>
  <c r="HS7" i="8"/>
  <c r="HT7" i="8"/>
  <c r="HU7" i="8"/>
  <c r="HV7" i="8"/>
  <c r="HW7" i="8"/>
  <c r="HX7" i="8"/>
  <c r="HY7" i="8"/>
  <c r="HZ7" i="8"/>
  <c r="IA7" i="8"/>
  <c r="IB7" i="8"/>
  <c r="IC7" i="8"/>
  <c r="ID7" i="8"/>
  <c r="IE7" i="8"/>
  <c r="IF7" i="8"/>
  <c r="IG7" i="8"/>
  <c r="IH7" i="8"/>
  <c r="II7" i="8"/>
  <c r="IJ7" i="8"/>
  <c r="IK7" i="8"/>
  <c r="IL7" i="8"/>
  <c r="IM7" i="8"/>
  <c r="IN7" i="8"/>
  <c r="IO7" i="8"/>
  <c r="IP7" i="8"/>
  <c r="IQ7" i="8"/>
  <c r="IR7" i="8"/>
  <c r="IS7" i="8"/>
  <c r="IT7" i="8"/>
  <c r="IU7" i="8"/>
  <c r="IV7" i="8"/>
  <c r="IW7" i="8"/>
  <c r="IX7" i="8"/>
  <c r="IY7" i="8"/>
  <c r="IZ7" i="8"/>
  <c r="JA7" i="8"/>
  <c r="JB7" i="8"/>
  <c r="JC7" i="8"/>
  <c r="C8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DZ8" i="8"/>
  <c r="EA8" i="8"/>
  <c r="EB8" i="8"/>
  <c r="EC8" i="8"/>
  <c r="ED8" i="8"/>
  <c r="EE8" i="8"/>
  <c r="EF8" i="8"/>
  <c r="EG8" i="8"/>
  <c r="EH8" i="8"/>
  <c r="EI8" i="8"/>
  <c r="EJ8" i="8"/>
  <c r="EK8" i="8"/>
  <c r="EL8" i="8"/>
  <c r="EM8" i="8"/>
  <c r="EN8" i="8"/>
  <c r="EO8" i="8"/>
  <c r="EP8" i="8"/>
  <c r="EQ8" i="8"/>
  <c r="ER8" i="8"/>
  <c r="ES8" i="8"/>
  <c r="ET8" i="8"/>
  <c r="EU8" i="8"/>
  <c r="EV8" i="8"/>
  <c r="EW8" i="8"/>
  <c r="EX8" i="8"/>
  <c r="EY8" i="8"/>
  <c r="EZ8" i="8"/>
  <c r="FA8" i="8"/>
  <c r="FB8" i="8"/>
  <c r="FC8" i="8"/>
  <c r="FD8" i="8"/>
  <c r="FE8" i="8"/>
  <c r="FF8" i="8"/>
  <c r="FG8" i="8"/>
  <c r="FH8" i="8"/>
  <c r="FI8" i="8"/>
  <c r="FJ8" i="8"/>
  <c r="FK8" i="8"/>
  <c r="FL8" i="8"/>
  <c r="FM8" i="8"/>
  <c r="FN8" i="8"/>
  <c r="FO8" i="8"/>
  <c r="FP8" i="8"/>
  <c r="FQ8" i="8"/>
  <c r="FR8" i="8"/>
  <c r="FS8" i="8"/>
  <c r="FT8" i="8"/>
  <c r="FU8" i="8"/>
  <c r="FV8" i="8"/>
  <c r="FW8" i="8"/>
  <c r="FX8" i="8"/>
  <c r="FY8" i="8"/>
  <c r="FZ8" i="8"/>
  <c r="GA8" i="8"/>
  <c r="GB8" i="8"/>
  <c r="GC8" i="8"/>
  <c r="GD8" i="8"/>
  <c r="GE8" i="8"/>
  <c r="GF8" i="8"/>
  <c r="GG8" i="8"/>
  <c r="GH8" i="8"/>
  <c r="GI8" i="8"/>
  <c r="GJ8" i="8"/>
  <c r="GK8" i="8"/>
  <c r="GL8" i="8"/>
  <c r="GM8" i="8"/>
  <c r="GN8" i="8"/>
  <c r="GO8" i="8"/>
  <c r="GP8" i="8"/>
  <c r="GQ8" i="8"/>
  <c r="GR8" i="8"/>
  <c r="GS8" i="8"/>
  <c r="GT8" i="8"/>
  <c r="GU8" i="8"/>
  <c r="GV8" i="8"/>
  <c r="GW8" i="8"/>
  <c r="GX8" i="8"/>
  <c r="GY8" i="8"/>
  <c r="GZ8" i="8"/>
  <c r="HA8" i="8"/>
  <c r="HB8" i="8"/>
  <c r="HC8" i="8"/>
  <c r="HD8" i="8"/>
  <c r="HE8" i="8"/>
  <c r="HF8" i="8"/>
  <c r="HG8" i="8"/>
  <c r="HH8" i="8"/>
  <c r="HI8" i="8"/>
  <c r="HJ8" i="8"/>
  <c r="HK8" i="8"/>
  <c r="HL8" i="8"/>
  <c r="HM8" i="8"/>
  <c r="HN8" i="8"/>
  <c r="HO8" i="8"/>
  <c r="HP8" i="8"/>
  <c r="HQ8" i="8"/>
  <c r="HR8" i="8"/>
  <c r="HS8" i="8"/>
  <c r="HT8" i="8"/>
  <c r="HU8" i="8"/>
  <c r="HV8" i="8"/>
  <c r="HW8" i="8"/>
  <c r="HX8" i="8"/>
  <c r="HY8" i="8"/>
  <c r="HZ8" i="8"/>
  <c r="IA8" i="8"/>
  <c r="IB8" i="8"/>
  <c r="IC8" i="8"/>
  <c r="ID8" i="8"/>
  <c r="IE8" i="8"/>
  <c r="IF8" i="8"/>
  <c r="IG8" i="8"/>
  <c r="IH8" i="8"/>
  <c r="II8" i="8"/>
  <c r="IJ8" i="8"/>
  <c r="IK8" i="8"/>
  <c r="IL8" i="8"/>
  <c r="IM8" i="8"/>
  <c r="IN8" i="8"/>
  <c r="IO8" i="8"/>
  <c r="IP8" i="8"/>
  <c r="IQ8" i="8"/>
  <c r="IR8" i="8"/>
  <c r="IS8" i="8"/>
  <c r="IT8" i="8"/>
  <c r="IU8" i="8"/>
  <c r="IV8" i="8"/>
  <c r="IW8" i="8"/>
  <c r="IX8" i="8"/>
  <c r="IY8" i="8"/>
  <c r="IZ8" i="8"/>
  <c r="JA8" i="8"/>
  <c r="JB8" i="8"/>
  <c r="JC8" i="8"/>
  <c r="C9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CG9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DZ9" i="8"/>
  <c r="EA9" i="8"/>
  <c r="EB9" i="8"/>
  <c r="EC9" i="8"/>
  <c r="ED9" i="8"/>
  <c r="EE9" i="8"/>
  <c r="EF9" i="8"/>
  <c r="EG9" i="8"/>
  <c r="EH9" i="8"/>
  <c r="EI9" i="8"/>
  <c r="EJ9" i="8"/>
  <c r="EK9" i="8"/>
  <c r="EL9" i="8"/>
  <c r="EM9" i="8"/>
  <c r="EN9" i="8"/>
  <c r="EO9" i="8"/>
  <c r="EP9" i="8"/>
  <c r="EQ9" i="8"/>
  <c r="ER9" i="8"/>
  <c r="ES9" i="8"/>
  <c r="ET9" i="8"/>
  <c r="EU9" i="8"/>
  <c r="EV9" i="8"/>
  <c r="EW9" i="8"/>
  <c r="EX9" i="8"/>
  <c r="EY9" i="8"/>
  <c r="EZ9" i="8"/>
  <c r="FA9" i="8"/>
  <c r="FB9" i="8"/>
  <c r="FC9" i="8"/>
  <c r="FD9" i="8"/>
  <c r="FE9" i="8"/>
  <c r="FF9" i="8"/>
  <c r="FG9" i="8"/>
  <c r="FH9" i="8"/>
  <c r="FI9" i="8"/>
  <c r="FJ9" i="8"/>
  <c r="FK9" i="8"/>
  <c r="FL9" i="8"/>
  <c r="FM9" i="8"/>
  <c r="FN9" i="8"/>
  <c r="FO9" i="8"/>
  <c r="FP9" i="8"/>
  <c r="FQ9" i="8"/>
  <c r="FR9" i="8"/>
  <c r="FS9" i="8"/>
  <c r="FT9" i="8"/>
  <c r="FU9" i="8"/>
  <c r="FV9" i="8"/>
  <c r="FW9" i="8"/>
  <c r="FX9" i="8"/>
  <c r="FY9" i="8"/>
  <c r="FZ9" i="8"/>
  <c r="GA9" i="8"/>
  <c r="GB9" i="8"/>
  <c r="GC9" i="8"/>
  <c r="GD9" i="8"/>
  <c r="GE9" i="8"/>
  <c r="GF9" i="8"/>
  <c r="GG9" i="8"/>
  <c r="GH9" i="8"/>
  <c r="GI9" i="8"/>
  <c r="GJ9" i="8"/>
  <c r="GK9" i="8"/>
  <c r="GL9" i="8"/>
  <c r="GM9" i="8"/>
  <c r="GN9" i="8"/>
  <c r="GO9" i="8"/>
  <c r="GP9" i="8"/>
  <c r="GQ9" i="8"/>
  <c r="GR9" i="8"/>
  <c r="GS9" i="8"/>
  <c r="GT9" i="8"/>
  <c r="GU9" i="8"/>
  <c r="GV9" i="8"/>
  <c r="GW9" i="8"/>
  <c r="GX9" i="8"/>
  <c r="GY9" i="8"/>
  <c r="GZ9" i="8"/>
  <c r="HA9" i="8"/>
  <c r="HB9" i="8"/>
  <c r="HC9" i="8"/>
  <c r="HD9" i="8"/>
  <c r="HE9" i="8"/>
  <c r="HF9" i="8"/>
  <c r="HG9" i="8"/>
  <c r="HH9" i="8"/>
  <c r="HI9" i="8"/>
  <c r="HJ9" i="8"/>
  <c r="HK9" i="8"/>
  <c r="HL9" i="8"/>
  <c r="HM9" i="8"/>
  <c r="HN9" i="8"/>
  <c r="HO9" i="8"/>
  <c r="HP9" i="8"/>
  <c r="HQ9" i="8"/>
  <c r="HR9" i="8"/>
  <c r="HS9" i="8"/>
  <c r="HT9" i="8"/>
  <c r="HU9" i="8"/>
  <c r="HV9" i="8"/>
  <c r="HW9" i="8"/>
  <c r="HX9" i="8"/>
  <c r="HY9" i="8"/>
  <c r="HZ9" i="8"/>
  <c r="IA9" i="8"/>
  <c r="IB9" i="8"/>
  <c r="IC9" i="8"/>
  <c r="ID9" i="8"/>
  <c r="IE9" i="8"/>
  <c r="IF9" i="8"/>
  <c r="IG9" i="8"/>
  <c r="IH9" i="8"/>
  <c r="II9" i="8"/>
  <c r="IJ9" i="8"/>
  <c r="IK9" i="8"/>
  <c r="IL9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C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CG10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DZ10" i="8"/>
  <c r="EA10" i="8"/>
  <c r="EB10" i="8"/>
  <c r="EC10" i="8"/>
  <c r="ED10" i="8"/>
  <c r="EE10" i="8"/>
  <c r="EF10" i="8"/>
  <c r="EG10" i="8"/>
  <c r="EH10" i="8"/>
  <c r="EI10" i="8"/>
  <c r="EJ10" i="8"/>
  <c r="EK10" i="8"/>
  <c r="EL10" i="8"/>
  <c r="EM10" i="8"/>
  <c r="EN10" i="8"/>
  <c r="EO10" i="8"/>
  <c r="EP10" i="8"/>
  <c r="EQ10" i="8"/>
  <c r="ER10" i="8"/>
  <c r="ES10" i="8"/>
  <c r="ET10" i="8"/>
  <c r="EU10" i="8"/>
  <c r="EV10" i="8"/>
  <c r="EW10" i="8"/>
  <c r="EX10" i="8"/>
  <c r="EY10" i="8"/>
  <c r="EZ10" i="8"/>
  <c r="FA10" i="8"/>
  <c r="FB10" i="8"/>
  <c r="FC10" i="8"/>
  <c r="FD10" i="8"/>
  <c r="FE10" i="8"/>
  <c r="FF10" i="8"/>
  <c r="FG10" i="8"/>
  <c r="FH10" i="8"/>
  <c r="FI10" i="8"/>
  <c r="FJ10" i="8"/>
  <c r="FK10" i="8"/>
  <c r="FL10" i="8"/>
  <c r="FM10" i="8"/>
  <c r="FN10" i="8"/>
  <c r="FO10" i="8"/>
  <c r="FP10" i="8"/>
  <c r="FQ10" i="8"/>
  <c r="FR10" i="8"/>
  <c r="FS10" i="8"/>
  <c r="FT10" i="8"/>
  <c r="FU10" i="8"/>
  <c r="FV10" i="8"/>
  <c r="FW10" i="8"/>
  <c r="FX10" i="8"/>
  <c r="FY10" i="8"/>
  <c r="FZ10" i="8"/>
  <c r="GA10" i="8"/>
  <c r="GB10" i="8"/>
  <c r="GC10" i="8"/>
  <c r="GD10" i="8"/>
  <c r="GE10" i="8"/>
  <c r="GF10" i="8"/>
  <c r="GG10" i="8"/>
  <c r="GH10" i="8"/>
  <c r="GI10" i="8"/>
  <c r="GJ10" i="8"/>
  <c r="GK10" i="8"/>
  <c r="GL10" i="8"/>
  <c r="GM10" i="8"/>
  <c r="GN10" i="8"/>
  <c r="GO10" i="8"/>
  <c r="GP10" i="8"/>
  <c r="GQ10" i="8"/>
  <c r="GR10" i="8"/>
  <c r="GS10" i="8"/>
  <c r="GT10" i="8"/>
  <c r="GU10" i="8"/>
  <c r="GV10" i="8"/>
  <c r="GW10" i="8"/>
  <c r="GX10" i="8"/>
  <c r="GY10" i="8"/>
  <c r="GZ10" i="8"/>
  <c r="HA10" i="8"/>
  <c r="HB10" i="8"/>
  <c r="HC10" i="8"/>
  <c r="HD10" i="8"/>
  <c r="HE10" i="8"/>
  <c r="HF10" i="8"/>
  <c r="HG10" i="8"/>
  <c r="HH10" i="8"/>
  <c r="HI10" i="8"/>
  <c r="HJ10" i="8"/>
  <c r="HK10" i="8"/>
  <c r="HL10" i="8"/>
  <c r="HM10" i="8"/>
  <c r="HN10" i="8"/>
  <c r="HO10" i="8"/>
  <c r="HP10" i="8"/>
  <c r="HQ10" i="8"/>
  <c r="HR10" i="8"/>
  <c r="HS10" i="8"/>
  <c r="HT10" i="8"/>
  <c r="HU10" i="8"/>
  <c r="HV10" i="8"/>
  <c r="HW10" i="8"/>
  <c r="HX10" i="8"/>
  <c r="HY10" i="8"/>
  <c r="HZ10" i="8"/>
  <c r="IA10" i="8"/>
  <c r="IB10" i="8"/>
  <c r="IC10" i="8"/>
  <c r="ID10" i="8"/>
  <c r="IE10" i="8"/>
  <c r="IF10" i="8"/>
  <c r="IG10" i="8"/>
  <c r="IH10" i="8"/>
  <c r="II10" i="8"/>
  <c r="IJ10" i="8"/>
  <c r="IK10" i="8"/>
  <c r="IL10" i="8"/>
  <c r="IM10" i="8"/>
  <c r="IN10" i="8"/>
  <c r="IO10" i="8"/>
  <c r="IP10" i="8"/>
  <c r="IQ10" i="8"/>
  <c r="IR10" i="8"/>
  <c r="IS10" i="8"/>
  <c r="IT10" i="8"/>
  <c r="IU10" i="8"/>
  <c r="IV10" i="8"/>
  <c r="IW10" i="8"/>
  <c r="IX10" i="8"/>
  <c r="IY10" i="8"/>
  <c r="IZ10" i="8"/>
  <c r="JA10" i="8"/>
  <c r="JB10" i="8"/>
  <c r="JC10" i="8"/>
  <c r="JD10" i="8"/>
  <c r="JE10" i="8"/>
  <c r="JF10" i="8"/>
  <c r="JG10" i="8"/>
  <c r="JH10" i="8"/>
  <c r="JI10" i="8"/>
  <c r="JJ10" i="8"/>
  <c r="JK10" i="8"/>
  <c r="JL10" i="8"/>
  <c r="JM10" i="8"/>
  <c r="JN10" i="8"/>
  <c r="JO10" i="8"/>
  <c r="JP10" i="8"/>
  <c r="JQ10" i="8"/>
  <c r="JR10" i="8"/>
  <c r="JS10" i="8"/>
  <c r="JT10" i="8"/>
  <c r="JU10" i="8"/>
  <c r="JV10" i="8"/>
  <c r="JW10" i="8"/>
  <c r="JX10" i="8"/>
  <c r="JY10" i="8"/>
  <c r="JZ10" i="8"/>
  <c r="KA10" i="8"/>
  <c r="KB10" i="8"/>
  <c r="KC10" i="8"/>
  <c r="KD10" i="8"/>
  <c r="KE10" i="8"/>
  <c r="KF10" i="8"/>
  <c r="KG10" i="8"/>
  <c r="KH10" i="8"/>
  <c r="KI10" i="8"/>
  <c r="KJ10" i="8"/>
  <c r="KK10" i="8"/>
  <c r="KL10" i="8"/>
  <c r="KM10" i="8"/>
  <c r="KN10" i="8"/>
  <c r="KO10" i="8"/>
  <c r="KP10" i="8"/>
  <c r="KQ10" i="8"/>
  <c r="KR10" i="8"/>
  <c r="KS10" i="8"/>
  <c r="KT10" i="8"/>
  <c r="KU10" i="8"/>
  <c r="KV10" i="8"/>
  <c r="KW10" i="8"/>
  <c r="KX10" i="8"/>
  <c r="KY10" i="8"/>
  <c r="KZ10" i="8"/>
  <c r="LA10" i="8"/>
  <c r="LB10" i="8"/>
  <c r="LC10" i="8"/>
  <c r="LD10" i="8"/>
  <c r="LE10" i="8"/>
  <c r="LF10" i="8"/>
  <c r="LG10" i="8"/>
  <c r="LH10" i="8"/>
  <c r="LI10" i="8"/>
  <c r="LJ10" i="8"/>
  <c r="LQ10" i="8"/>
  <c r="LR10" i="8"/>
  <c r="LS10" i="8"/>
  <c r="LT10" i="8"/>
  <c r="LU10" i="8"/>
  <c r="LV10" i="8"/>
  <c r="LW10" i="8"/>
  <c r="LX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MO10" i="8"/>
  <c r="MP10" i="8"/>
  <c r="MQ10" i="8"/>
  <c r="MR10" i="8"/>
  <c r="MS10" i="8"/>
  <c r="MT10" i="8"/>
  <c r="MU10" i="8"/>
  <c r="MV10" i="8"/>
  <c r="MW10" i="8"/>
  <c r="MX10" i="8"/>
  <c r="MY10" i="8"/>
  <c r="MZ10" i="8"/>
  <c r="NA10" i="8"/>
  <c r="NB10" i="8"/>
  <c r="NC10" i="8"/>
  <c r="ND10" i="8"/>
  <c r="NE10" i="8"/>
  <c r="NF10" i="8"/>
  <c r="NG10" i="8"/>
  <c r="NH10" i="8"/>
  <c r="NI10" i="8"/>
  <c r="NJ10" i="8"/>
  <c r="NK10" i="8"/>
  <c r="NL10" i="8"/>
  <c r="NM10" i="8"/>
  <c r="NN10" i="8"/>
  <c r="NO10" i="8"/>
  <c r="NP10" i="8"/>
  <c r="NQ10" i="8"/>
  <c r="NR10" i="8"/>
  <c r="NS10" i="8"/>
  <c r="NT10" i="8"/>
  <c r="NU10" i="8"/>
  <c r="NV10" i="8"/>
  <c r="NW10" i="8"/>
  <c r="NX10" i="8"/>
  <c r="NY10" i="8"/>
  <c r="NZ10" i="8"/>
  <c r="OA10" i="8"/>
  <c r="OB10" i="8"/>
  <c r="OC10" i="8"/>
  <c r="OD10" i="8"/>
  <c r="OE10" i="8"/>
  <c r="OF10" i="8"/>
  <c r="OG10" i="8"/>
  <c r="OH10" i="8"/>
  <c r="OI10" i="8"/>
  <c r="OJ10" i="8"/>
  <c r="OK10" i="8"/>
  <c r="OL10" i="8"/>
  <c r="OM10" i="8"/>
  <c r="ON10" i="8"/>
  <c r="OO10" i="8"/>
  <c r="OP10" i="8"/>
  <c r="OQ10" i="8"/>
  <c r="OR10" i="8"/>
  <c r="OS10" i="8"/>
  <c r="OT10" i="8"/>
  <c r="OU10" i="8"/>
  <c r="OV10" i="8"/>
  <c r="OW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PR10" i="8"/>
  <c r="PS10" i="8"/>
  <c r="PT10" i="8"/>
  <c r="PU10" i="8"/>
  <c r="PV10" i="8"/>
  <c r="PW10" i="8"/>
  <c r="PX10" i="8"/>
  <c r="PY10" i="8"/>
  <c r="PZ10" i="8"/>
  <c r="QA10" i="8"/>
  <c r="QB10" i="8"/>
  <c r="QC10" i="8"/>
  <c r="QD10" i="8"/>
  <c r="QE10" i="8"/>
  <c r="QF10" i="8"/>
  <c r="QG10" i="8"/>
  <c r="QH10" i="8"/>
  <c r="QI10" i="8"/>
  <c r="QJ10" i="8"/>
  <c r="QK10" i="8"/>
  <c r="QL10" i="8"/>
  <c r="QM10" i="8"/>
  <c r="QN10" i="8"/>
  <c r="QO10" i="8"/>
  <c r="QP10" i="8"/>
  <c r="QQ10" i="8"/>
  <c r="QR10" i="8"/>
  <c r="QS10" i="8"/>
  <c r="QT10" i="8"/>
  <c r="QU10" i="8"/>
  <c r="QV10" i="8"/>
  <c r="QW10" i="8"/>
  <c r="QX10" i="8"/>
  <c r="QY10" i="8"/>
  <c r="QZ10" i="8"/>
  <c r="RA10" i="8"/>
  <c r="RB10" i="8"/>
  <c r="RC10" i="8"/>
  <c r="RD10" i="8"/>
  <c r="RE10" i="8"/>
  <c r="RF10" i="8"/>
  <c r="RG10" i="8"/>
  <c r="RH10" i="8"/>
  <c r="RI10" i="8"/>
  <c r="RJ10" i="8"/>
  <c r="RK10" i="8"/>
  <c r="RL10" i="8"/>
  <c r="RM10" i="8"/>
  <c r="RN10" i="8"/>
  <c r="RO10" i="8"/>
  <c r="RP10" i="8"/>
  <c r="RQ10" i="8"/>
  <c r="RR10" i="8"/>
  <c r="RS10" i="8"/>
  <c r="RT10" i="8"/>
  <c r="RU10" i="8"/>
  <c r="RV10" i="8"/>
  <c r="RW10" i="8"/>
  <c r="RX10" i="8"/>
  <c r="RY10" i="8"/>
  <c r="RZ10" i="8"/>
  <c r="SA10" i="8"/>
  <c r="SB10" i="8"/>
  <c r="SC10" i="8"/>
  <c r="SD10" i="8"/>
  <c r="SE10" i="8"/>
  <c r="SF10" i="8"/>
  <c r="SG10" i="8"/>
  <c r="SH10" i="8"/>
  <c r="SI10" i="8"/>
  <c r="SJ10" i="8"/>
  <c r="SK10" i="8"/>
  <c r="SL10" i="8"/>
  <c r="SM10" i="8"/>
  <c r="SN10" i="8"/>
  <c r="SO10" i="8"/>
  <c r="SP10" i="8"/>
  <c r="SQ10" i="8"/>
  <c r="SR10" i="8"/>
  <c r="SS10" i="8"/>
  <c r="ST10" i="8"/>
  <c r="SU10" i="8"/>
  <c r="SV10" i="8"/>
  <c r="SW10" i="8"/>
  <c r="SX10" i="8"/>
  <c r="SY10" i="8"/>
  <c r="SZ10" i="8"/>
  <c r="TA10" i="8"/>
  <c r="TB10" i="8"/>
  <c r="TC10" i="8"/>
  <c r="TD10" i="8"/>
  <c r="TE10" i="8"/>
  <c r="TF10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CG11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DZ11" i="8"/>
  <c r="EA11" i="8"/>
  <c r="EB11" i="8"/>
  <c r="EC11" i="8"/>
  <c r="ED11" i="8"/>
  <c r="EE11" i="8"/>
  <c r="EF11" i="8"/>
  <c r="EG11" i="8"/>
  <c r="EH11" i="8"/>
  <c r="EI11" i="8"/>
  <c r="EJ11" i="8"/>
  <c r="EK11" i="8"/>
  <c r="EL11" i="8"/>
  <c r="EM11" i="8"/>
  <c r="EN11" i="8"/>
  <c r="EO11" i="8"/>
  <c r="EP11" i="8"/>
  <c r="EQ11" i="8"/>
  <c r="ER11" i="8"/>
  <c r="ES11" i="8"/>
  <c r="ET11" i="8"/>
  <c r="EU11" i="8"/>
  <c r="EV11" i="8"/>
  <c r="EW11" i="8"/>
  <c r="EX11" i="8"/>
  <c r="EY11" i="8"/>
  <c r="EZ11" i="8"/>
  <c r="FA11" i="8"/>
  <c r="FB11" i="8"/>
  <c r="FC11" i="8"/>
  <c r="FD11" i="8"/>
  <c r="FE11" i="8"/>
  <c r="FF11" i="8"/>
  <c r="FG11" i="8"/>
  <c r="FH11" i="8"/>
  <c r="FI11" i="8"/>
  <c r="FJ11" i="8"/>
  <c r="FK11" i="8"/>
  <c r="FL11" i="8"/>
  <c r="FM11" i="8"/>
  <c r="FN11" i="8"/>
  <c r="FO11" i="8"/>
  <c r="FP11" i="8"/>
  <c r="FQ11" i="8"/>
  <c r="FR11" i="8"/>
  <c r="FS11" i="8"/>
  <c r="FT11" i="8"/>
  <c r="FU11" i="8"/>
  <c r="FV11" i="8"/>
  <c r="FW11" i="8"/>
  <c r="FX11" i="8"/>
  <c r="FY11" i="8"/>
  <c r="FZ11" i="8"/>
  <c r="GA11" i="8"/>
  <c r="GB11" i="8"/>
  <c r="GC11" i="8"/>
  <c r="GD11" i="8"/>
  <c r="GE11" i="8"/>
  <c r="GF11" i="8"/>
  <c r="GG11" i="8"/>
  <c r="GH11" i="8"/>
  <c r="GI11" i="8"/>
  <c r="GJ11" i="8"/>
  <c r="GK11" i="8"/>
  <c r="GL11" i="8"/>
  <c r="GM11" i="8"/>
  <c r="GN11" i="8"/>
  <c r="GO11" i="8"/>
  <c r="GP11" i="8"/>
  <c r="GQ11" i="8"/>
  <c r="GR11" i="8"/>
  <c r="GS11" i="8"/>
  <c r="GT11" i="8"/>
  <c r="GU11" i="8"/>
  <c r="GV11" i="8"/>
  <c r="GW11" i="8"/>
  <c r="GX11" i="8"/>
  <c r="GY11" i="8"/>
  <c r="GZ11" i="8"/>
  <c r="HA11" i="8"/>
  <c r="HB11" i="8"/>
  <c r="HC11" i="8"/>
  <c r="HD11" i="8"/>
  <c r="HE11" i="8"/>
  <c r="HF11" i="8"/>
  <c r="HG11" i="8"/>
  <c r="HH11" i="8"/>
  <c r="HI11" i="8"/>
  <c r="HJ11" i="8"/>
  <c r="HK11" i="8"/>
  <c r="HL11" i="8"/>
  <c r="HM11" i="8"/>
  <c r="HN11" i="8"/>
  <c r="HO11" i="8"/>
  <c r="HP11" i="8"/>
  <c r="HQ11" i="8"/>
  <c r="HR11" i="8"/>
  <c r="HS11" i="8"/>
  <c r="HT11" i="8"/>
  <c r="HU11" i="8"/>
  <c r="HV11" i="8"/>
  <c r="HW11" i="8"/>
  <c r="HX11" i="8"/>
  <c r="HY11" i="8"/>
  <c r="HZ11" i="8"/>
  <c r="IA11" i="8"/>
  <c r="IB11" i="8"/>
  <c r="IC11" i="8"/>
  <c r="ID11" i="8"/>
  <c r="IE11" i="8"/>
  <c r="IF11" i="8"/>
  <c r="IG11" i="8"/>
  <c r="IH11" i="8"/>
  <c r="II11" i="8"/>
  <c r="IJ11" i="8"/>
  <c r="IK11" i="8"/>
  <c r="IL11" i="8"/>
  <c r="IM11" i="8"/>
  <c r="IN11" i="8"/>
  <c r="IO11" i="8"/>
  <c r="IP11" i="8"/>
  <c r="IQ11" i="8"/>
  <c r="IR11" i="8"/>
  <c r="IS11" i="8"/>
  <c r="IT11" i="8"/>
  <c r="IU11" i="8"/>
  <c r="IV11" i="8"/>
  <c r="IW11" i="8"/>
  <c r="IX11" i="8"/>
  <c r="IY11" i="8"/>
  <c r="IZ11" i="8"/>
  <c r="JA11" i="8"/>
  <c r="JB11" i="8"/>
  <c r="JC11" i="8"/>
  <c r="JD11" i="8"/>
  <c r="JE11" i="8"/>
  <c r="JF11" i="8"/>
  <c r="JG11" i="8"/>
  <c r="JH11" i="8"/>
  <c r="JI11" i="8"/>
  <c r="JJ11" i="8"/>
  <c r="JK11" i="8"/>
  <c r="JL11" i="8"/>
  <c r="JM11" i="8"/>
  <c r="JN11" i="8"/>
  <c r="JO11" i="8"/>
  <c r="JP11" i="8"/>
  <c r="JQ11" i="8"/>
  <c r="JR11" i="8"/>
  <c r="JS11" i="8"/>
  <c r="JT11" i="8"/>
  <c r="JU11" i="8"/>
  <c r="JV11" i="8"/>
  <c r="JW11" i="8"/>
  <c r="JX11" i="8"/>
  <c r="JY11" i="8"/>
  <c r="JZ11" i="8"/>
  <c r="KA11" i="8"/>
  <c r="KB11" i="8"/>
  <c r="KC11" i="8"/>
  <c r="KD11" i="8"/>
  <c r="KE11" i="8"/>
  <c r="KF11" i="8"/>
  <c r="KG11" i="8"/>
  <c r="KH11" i="8"/>
  <c r="KI11" i="8"/>
  <c r="KJ11" i="8"/>
  <c r="KK11" i="8"/>
  <c r="KL11" i="8"/>
  <c r="KM11" i="8"/>
  <c r="KN11" i="8"/>
  <c r="KO11" i="8"/>
  <c r="KP11" i="8"/>
  <c r="KQ11" i="8"/>
  <c r="KR11" i="8"/>
  <c r="KS11" i="8"/>
  <c r="KT11" i="8"/>
  <c r="KU11" i="8"/>
  <c r="KV11" i="8"/>
  <c r="KW11" i="8"/>
  <c r="KX11" i="8"/>
  <c r="KY11" i="8"/>
  <c r="KZ11" i="8"/>
  <c r="LA11" i="8"/>
  <c r="LB11" i="8"/>
  <c r="LC11" i="8"/>
  <c r="LD11" i="8"/>
  <c r="LE11" i="8"/>
  <c r="LF11" i="8"/>
  <c r="LG11" i="8"/>
  <c r="LH11" i="8"/>
  <c r="LI11" i="8"/>
  <c r="LJ11" i="8"/>
  <c r="LQ11" i="8"/>
  <c r="LR11" i="8"/>
  <c r="LS11" i="8"/>
  <c r="LT11" i="8"/>
  <c r="LU11" i="8"/>
  <c r="LV11" i="8"/>
  <c r="LW11" i="8"/>
  <c r="LX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MO11" i="8"/>
  <c r="MP11" i="8"/>
  <c r="MQ11" i="8"/>
  <c r="MR11" i="8"/>
  <c r="MS11" i="8"/>
  <c r="MT11" i="8"/>
  <c r="MU11" i="8"/>
  <c r="MV11" i="8"/>
  <c r="MW11" i="8"/>
  <c r="MX11" i="8"/>
  <c r="MY11" i="8"/>
  <c r="MZ11" i="8"/>
  <c r="NA11" i="8"/>
  <c r="NB11" i="8"/>
  <c r="NC11" i="8"/>
  <c r="ND11" i="8"/>
  <c r="NE11" i="8"/>
  <c r="NF11" i="8"/>
  <c r="NG11" i="8"/>
  <c r="NH11" i="8"/>
  <c r="NI11" i="8"/>
  <c r="NJ11" i="8"/>
  <c r="NK11" i="8"/>
  <c r="NL11" i="8"/>
  <c r="NM11" i="8"/>
  <c r="NN11" i="8"/>
  <c r="NO11" i="8"/>
  <c r="NP11" i="8"/>
  <c r="NQ11" i="8"/>
  <c r="NR11" i="8"/>
  <c r="NS11" i="8"/>
  <c r="NT11" i="8"/>
  <c r="NU11" i="8"/>
  <c r="NV11" i="8"/>
  <c r="NW11" i="8"/>
  <c r="NX11" i="8"/>
  <c r="NY11" i="8"/>
  <c r="NZ11" i="8"/>
  <c r="OA11" i="8"/>
  <c r="OB11" i="8"/>
  <c r="OC11" i="8"/>
  <c r="OD11" i="8"/>
  <c r="OE11" i="8"/>
  <c r="OF11" i="8"/>
  <c r="OG11" i="8"/>
  <c r="OH11" i="8"/>
  <c r="OI11" i="8"/>
  <c r="OJ11" i="8"/>
  <c r="OK11" i="8"/>
  <c r="OL11" i="8"/>
  <c r="OM11" i="8"/>
  <c r="ON11" i="8"/>
  <c r="OO11" i="8"/>
  <c r="OP11" i="8"/>
  <c r="OQ11" i="8"/>
  <c r="OR11" i="8"/>
  <c r="OS11" i="8"/>
  <c r="OT11" i="8"/>
  <c r="OU11" i="8"/>
  <c r="OV11" i="8"/>
  <c r="OW11" i="8"/>
  <c r="OX11" i="8"/>
  <c r="OY11" i="8"/>
  <c r="OZ11" i="8"/>
  <c r="PA11" i="8"/>
  <c r="PB11" i="8"/>
  <c r="PC11" i="8"/>
  <c r="PD11" i="8"/>
  <c r="PE11" i="8"/>
  <c r="PF11" i="8"/>
  <c r="PG11" i="8"/>
  <c r="PH11" i="8"/>
  <c r="PI11" i="8"/>
  <c r="PJ11" i="8"/>
  <c r="PK11" i="8"/>
  <c r="PL11" i="8"/>
  <c r="PM11" i="8"/>
  <c r="PN11" i="8"/>
  <c r="PO11" i="8"/>
  <c r="PP11" i="8"/>
  <c r="PQ11" i="8"/>
  <c r="PR11" i="8"/>
  <c r="PS11" i="8"/>
  <c r="PT11" i="8"/>
  <c r="PU11" i="8"/>
  <c r="PV11" i="8"/>
  <c r="PW11" i="8"/>
  <c r="PX11" i="8"/>
  <c r="PY11" i="8"/>
  <c r="PZ11" i="8"/>
  <c r="QA11" i="8"/>
  <c r="QB11" i="8"/>
  <c r="QC11" i="8"/>
  <c r="QD11" i="8"/>
  <c r="QE11" i="8"/>
  <c r="QF11" i="8"/>
  <c r="QG11" i="8"/>
  <c r="QH11" i="8"/>
  <c r="QI11" i="8"/>
  <c r="QJ11" i="8"/>
  <c r="QK11" i="8"/>
  <c r="QL11" i="8"/>
  <c r="QM11" i="8"/>
  <c r="QN11" i="8"/>
  <c r="QO11" i="8"/>
  <c r="QP11" i="8"/>
  <c r="QQ11" i="8"/>
  <c r="QR11" i="8"/>
  <c r="QS11" i="8"/>
  <c r="QT11" i="8"/>
  <c r="QU11" i="8"/>
  <c r="QV11" i="8"/>
  <c r="QW11" i="8"/>
  <c r="QX11" i="8"/>
  <c r="QY11" i="8"/>
  <c r="QZ11" i="8"/>
  <c r="RA11" i="8"/>
  <c r="RB11" i="8"/>
  <c r="RC11" i="8"/>
  <c r="RD11" i="8"/>
  <c r="RE11" i="8"/>
  <c r="RF11" i="8"/>
  <c r="RG11" i="8"/>
  <c r="RH11" i="8"/>
  <c r="RI11" i="8"/>
  <c r="RJ11" i="8"/>
  <c r="RK11" i="8"/>
  <c r="RL11" i="8"/>
  <c r="RM11" i="8"/>
  <c r="RN11" i="8"/>
  <c r="RO11" i="8"/>
  <c r="RP11" i="8"/>
  <c r="RQ11" i="8"/>
  <c r="RR11" i="8"/>
  <c r="RS11" i="8"/>
  <c r="RT11" i="8"/>
  <c r="RU11" i="8"/>
  <c r="RV11" i="8"/>
  <c r="RW11" i="8"/>
  <c r="RX11" i="8"/>
  <c r="RY11" i="8"/>
  <c r="RZ11" i="8"/>
  <c r="SA11" i="8"/>
  <c r="SB11" i="8"/>
  <c r="SC11" i="8"/>
  <c r="SD11" i="8"/>
  <c r="SE11" i="8"/>
  <c r="SF11" i="8"/>
  <c r="SG11" i="8"/>
  <c r="SH11" i="8"/>
  <c r="SI11" i="8"/>
  <c r="SJ11" i="8"/>
  <c r="SK11" i="8"/>
  <c r="SL11" i="8"/>
  <c r="SM11" i="8"/>
  <c r="SN11" i="8"/>
  <c r="SO11" i="8"/>
  <c r="SP11" i="8"/>
  <c r="SQ11" i="8"/>
  <c r="SR11" i="8"/>
  <c r="SS11" i="8"/>
  <c r="ST11" i="8"/>
  <c r="SU11" i="8"/>
  <c r="SV11" i="8"/>
  <c r="SW11" i="8"/>
  <c r="SX11" i="8"/>
  <c r="SY11" i="8"/>
  <c r="SZ11" i="8"/>
  <c r="TA11" i="8"/>
  <c r="TB11" i="8"/>
  <c r="TC11" i="8"/>
  <c r="TD11" i="8"/>
  <c r="TE11" i="8"/>
  <c r="TF11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V12" i="8"/>
  <c r="HW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B12" i="8"/>
  <c r="JC12" i="8"/>
  <c r="JD12" i="8"/>
  <c r="JE12" i="8"/>
  <c r="JF12" i="8"/>
  <c r="JG12" i="8"/>
  <c r="JH12" i="8"/>
  <c r="JI12" i="8"/>
  <c r="JJ12" i="8"/>
  <c r="JK12" i="8"/>
  <c r="JL12" i="8"/>
  <c r="JM12" i="8"/>
  <c r="JN12" i="8"/>
  <c r="JO12" i="8"/>
  <c r="JP12" i="8"/>
  <c r="JQ12" i="8"/>
  <c r="JR12" i="8"/>
  <c r="JS12" i="8"/>
  <c r="JT12" i="8"/>
  <c r="JU12" i="8"/>
  <c r="JV12" i="8"/>
  <c r="JW12" i="8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KN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SH12" i="8"/>
  <c r="SI12" i="8"/>
  <c r="SJ12" i="8"/>
  <c r="SK12" i="8"/>
  <c r="SL12" i="8"/>
  <c r="SM12" i="8"/>
  <c r="SN12" i="8"/>
  <c r="SO12" i="8"/>
  <c r="SP12" i="8"/>
  <c r="SQ12" i="8"/>
  <c r="SR12" i="8"/>
  <c r="SS12" i="8"/>
  <c r="ST12" i="8"/>
  <c r="SU12" i="8"/>
  <c r="SV12" i="8"/>
  <c r="SW12" i="8"/>
  <c r="SX12" i="8"/>
  <c r="SY12" i="8"/>
  <c r="SZ12" i="8"/>
  <c r="TA12" i="8"/>
  <c r="TB12" i="8"/>
  <c r="TC12" i="8"/>
  <c r="TD12" i="8"/>
  <c r="TE12" i="8"/>
  <c r="TF12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N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SH13" i="8"/>
  <c r="SI13" i="8"/>
  <c r="SJ13" i="8"/>
  <c r="SK13" i="8"/>
  <c r="SL13" i="8"/>
  <c r="SM13" i="8"/>
  <c r="SN13" i="8"/>
  <c r="SO13" i="8"/>
  <c r="SP13" i="8"/>
  <c r="SQ13" i="8"/>
  <c r="SR13" i="8"/>
  <c r="SS13" i="8"/>
  <c r="ST13" i="8"/>
  <c r="SU13" i="8"/>
  <c r="SV13" i="8"/>
  <c r="SW13" i="8"/>
  <c r="SX13" i="8"/>
  <c r="SY13" i="8"/>
  <c r="SZ13" i="8"/>
  <c r="TA13" i="8"/>
  <c r="TB13" i="8"/>
  <c r="TC13" i="8"/>
  <c r="TD13" i="8"/>
  <c r="TE13" i="8"/>
  <c r="TF13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KC14" i="8"/>
  <c r="KD14" i="8"/>
  <c r="KE14" i="8"/>
  <c r="KF14" i="8"/>
  <c r="KG14" i="8"/>
  <c r="KH14" i="8"/>
  <c r="KI14" i="8"/>
  <c r="KJ14" i="8"/>
  <c r="KK14" i="8"/>
  <c r="KL14" i="8"/>
  <c r="KM14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SS14" i="8"/>
  <c r="ST14" i="8"/>
  <c r="SU14" i="8"/>
  <c r="SV14" i="8"/>
  <c r="SW14" i="8"/>
  <c r="SX14" i="8"/>
  <c r="SY14" i="8"/>
  <c r="SZ14" i="8"/>
  <c r="TA14" i="8"/>
  <c r="TB14" i="8"/>
  <c r="TC14" i="8"/>
  <c r="TD14" i="8"/>
  <c r="TE14" i="8"/>
  <c r="TF14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K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KC15" i="8"/>
  <c r="KD15" i="8"/>
  <c r="KE15" i="8"/>
  <c r="KF15" i="8"/>
  <c r="KG15" i="8"/>
  <c r="KH15" i="8"/>
  <c r="KI15" i="8"/>
  <c r="KJ15" i="8"/>
  <c r="KK15" i="8"/>
  <c r="KL15" i="8"/>
  <c r="KM15" i="8"/>
  <c r="KN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SH15" i="8"/>
  <c r="SI15" i="8"/>
  <c r="SJ15" i="8"/>
  <c r="SK15" i="8"/>
  <c r="SL15" i="8"/>
  <c r="SM15" i="8"/>
  <c r="SN15" i="8"/>
  <c r="SO15" i="8"/>
  <c r="SP15" i="8"/>
  <c r="SQ15" i="8"/>
  <c r="SR15" i="8"/>
  <c r="SS15" i="8"/>
  <c r="ST15" i="8"/>
  <c r="SU15" i="8"/>
  <c r="SV15" i="8"/>
  <c r="SW15" i="8"/>
  <c r="SX15" i="8"/>
  <c r="SY15" i="8"/>
  <c r="SZ15" i="8"/>
  <c r="TA15" i="8"/>
  <c r="TB15" i="8"/>
  <c r="TC15" i="8"/>
  <c r="TD15" i="8"/>
  <c r="TE15" i="8"/>
  <c r="TF15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KN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SH16" i="8"/>
  <c r="SI16" i="8"/>
  <c r="SJ16" i="8"/>
  <c r="SK16" i="8"/>
  <c r="SL16" i="8"/>
  <c r="SM16" i="8"/>
  <c r="SN16" i="8"/>
  <c r="SO16" i="8"/>
  <c r="SP16" i="8"/>
  <c r="SQ16" i="8"/>
  <c r="SR16" i="8"/>
  <c r="SS16" i="8"/>
  <c r="ST16" i="8"/>
  <c r="SU16" i="8"/>
  <c r="SV16" i="8"/>
  <c r="SW16" i="8"/>
  <c r="SX16" i="8"/>
  <c r="SY16" i="8"/>
  <c r="SZ16" i="8"/>
  <c r="TA16" i="8"/>
  <c r="TB16" i="8"/>
  <c r="TC16" i="8"/>
  <c r="TD16" i="8"/>
  <c r="TE16" i="8"/>
  <c r="TF16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CG17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EU17" i="8"/>
  <c r="EV17" i="8"/>
  <c r="EW17" i="8"/>
  <c r="EX17" i="8"/>
  <c r="EY17" i="8"/>
  <c r="EZ17" i="8"/>
  <c r="FA17" i="8"/>
  <c r="FB17" i="8"/>
  <c r="FC17" i="8"/>
  <c r="FD17" i="8"/>
  <c r="FE17" i="8"/>
  <c r="FF17" i="8"/>
  <c r="FG17" i="8"/>
  <c r="FH17" i="8"/>
  <c r="FI17" i="8"/>
  <c r="FJ17" i="8"/>
  <c r="FK17" i="8"/>
  <c r="FL17" i="8"/>
  <c r="FM17" i="8"/>
  <c r="FN17" i="8"/>
  <c r="FO17" i="8"/>
  <c r="FP17" i="8"/>
  <c r="FQ17" i="8"/>
  <c r="FR17" i="8"/>
  <c r="FS17" i="8"/>
  <c r="FT17" i="8"/>
  <c r="FU17" i="8"/>
  <c r="FV17" i="8"/>
  <c r="FW17" i="8"/>
  <c r="FX17" i="8"/>
  <c r="FY17" i="8"/>
  <c r="FZ17" i="8"/>
  <c r="GA17" i="8"/>
  <c r="GB17" i="8"/>
  <c r="GC17" i="8"/>
  <c r="GD17" i="8"/>
  <c r="GE17" i="8"/>
  <c r="GF17" i="8"/>
  <c r="GG17" i="8"/>
  <c r="GH17" i="8"/>
  <c r="GI17" i="8"/>
  <c r="GJ17" i="8"/>
  <c r="GK17" i="8"/>
  <c r="GL17" i="8"/>
  <c r="GM17" i="8"/>
  <c r="GN17" i="8"/>
  <c r="GO17" i="8"/>
  <c r="GP17" i="8"/>
  <c r="GQ17" i="8"/>
  <c r="GR17" i="8"/>
  <c r="GS17" i="8"/>
  <c r="GT17" i="8"/>
  <c r="GU17" i="8"/>
  <c r="GV17" i="8"/>
  <c r="GW17" i="8"/>
  <c r="GX17" i="8"/>
  <c r="GY17" i="8"/>
  <c r="GZ17" i="8"/>
  <c r="HA17" i="8"/>
  <c r="HB17" i="8"/>
  <c r="HC17" i="8"/>
  <c r="HD17" i="8"/>
  <c r="HE17" i="8"/>
  <c r="HF17" i="8"/>
  <c r="HG17" i="8"/>
  <c r="HH17" i="8"/>
  <c r="HI17" i="8"/>
  <c r="HJ17" i="8"/>
  <c r="HK17" i="8"/>
  <c r="HL17" i="8"/>
  <c r="HM17" i="8"/>
  <c r="HN17" i="8"/>
  <c r="HO17" i="8"/>
  <c r="HP17" i="8"/>
  <c r="HQ17" i="8"/>
  <c r="HR17" i="8"/>
  <c r="HS17" i="8"/>
  <c r="HT17" i="8"/>
  <c r="HU17" i="8"/>
  <c r="HV17" i="8"/>
  <c r="HW17" i="8"/>
  <c r="HX17" i="8"/>
  <c r="HY17" i="8"/>
  <c r="HZ17" i="8"/>
  <c r="IA17" i="8"/>
  <c r="IB17" i="8"/>
  <c r="IC17" i="8"/>
  <c r="ID17" i="8"/>
  <c r="IE17" i="8"/>
  <c r="IF17" i="8"/>
  <c r="IG17" i="8"/>
  <c r="IH17" i="8"/>
  <c r="II17" i="8"/>
  <c r="IJ17" i="8"/>
  <c r="IK17" i="8"/>
  <c r="IL17" i="8"/>
  <c r="IM17" i="8"/>
  <c r="IN17" i="8"/>
  <c r="IO17" i="8"/>
  <c r="IP17" i="8"/>
  <c r="IQ17" i="8"/>
  <c r="IR17" i="8"/>
  <c r="IS17" i="8"/>
  <c r="IT17" i="8"/>
  <c r="IU17" i="8"/>
  <c r="IV17" i="8"/>
  <c r="IW17" i="8"/>
  <c r="IX17" i="8"/>
  <c r="IY17" i="8"/>
  <c r="IZ17" i="8"/>
  <c r="JA17" i="8"/>
  <c r="JB17" i="8"/>
  <c r="JC17" i="8"/>
  <c r="JD17" i="8"/>
  <c r="JE17" i="8"/>
  <c r="JF17" i="8"/>
  <c r="JG17" i="8"/>
  <c r="JH17" i="8"/>
  <c r="JI17" i="8"/>
  <c r="JJ17" i="8"/>
  <c r="JK17" i="8"/>
  <c r="JL17" i="8"/>
  <c r="JM17" i="8"/>
  <c r="JN17" i="8"/>
  <c r="JO17" i="8"/>
  <c r="JP17" i="8"/>
  <c r="JQ17" i="8"/>
  <c r="JR17" i="8"/>
  <c r="JS17" i="8"/>
  <c r="JT17" i="8"/>
  <c r="JU17" i="8"/>
  <c r="JV17" i="8"/>
  <c r="JW17" i="8"/>
  <c r="JX17" i="8"/>
  <c r="JY17" i="8"/>
  <c r="JZ17" i="8"/>
  <c r="KA17" i="8"/>
  <c r="KB17" i="8"/>
  <c r="KC17" i="8"/>
  <c r="KD17" i="8"/>
  <c r="KE17" i="8"/>
  <c r="KF17" i="8"/>
  <c r="KG17" i="8"/>
  <c r="KH17" i="8"/>
  <c r="KI17" i="8"/>
  <c r="KJ17" i="8"/>
  <c r="KK17" i="8"/>
  <c r="KL17" i="8"/>
  <c r="KM17" i="8"/>
  <c r="KN17" i="8"/>
  <c r="KO17" i="8"/>
  <c r="KP17" i="8"/>
  <c r="KQ17" i="8"/>
  <c r="KR17" i="8"/>
  <c r="KS17" i="8"/>
  <c r="KT17" i="8"/>
  <c r="KU17" i="8"/>
  <c r="KV17" i="8"/>
  <c r="KW17" i="8"/>
  <c r="KX17" i="8"/>
  <c r="KY17" i="8"/>
  <c r="KZ17" i="8"/>
  <c r="LA17" i="8"/>
  <c r="LB17" i="8"/>
  <c r="LC17" i="8"/>
  <c r="LD17" i="8"/>
  <c r="LE17" i="8"/>
  <c r="LF17" i="8"/>
  <c r="LG17" i="8"/>
  <c r="LH17" i="8"/>
  <c r="LI17" i="8"/>
  <c r="LJ17" i="8"/>
  <c r="LQ17" i="8"/>
  <c r="LR17" i="8"/>
  <c r="LS17" i="8"/>
  <c r="LT17" i="8"/>
  <c r="LU17" i="8"/>
  <c r="LV17" i="8"/>
  <c r="LW17" i="8"/>
  <c r="LX17" i="8"/>
  <c r="LY17" i="8"/>
  <c r="LZ17" i="8"/>
  <c r="MA17" i="8"/>
  <c r="MB17" i="8"/>
  <c r="MC17" i="8"/>
  <c r="MD17" i="8"/>
  <c r="ME17" i="8"/>
  <c r="MF17" i="8"/>
  <c r="MG17" i="8"/>
  <c r="MH17" i="8"/>
  <c r="MI17" i="8"/>
  <c r="MJ17" i="8"/>
  <c r="MK17" i="8"/>
  <c r="ML17" i="8"/>
  <c r="MM17" i="8"/>
  <c r="MN17" i="8"/>
  <c r="MO17" i="8"/>
  <c r="MP17" i="8"/>
  <c r="MQ17" i="8"/>
  <c r="MR17" i="8"/>
  <c r="MS17" i="8"/>
  <c r="MT17" i="8"/>
  <c r="MU17" i="8"/>
  <c r="MV17" i="8"/>
  <c r="MW17" i="8"/>
  <c r="MX17" i="8"/>
  <c r="MY17" i="8"/>
  <c r="MZ17" i="8"/>
  <c r="NA17" i="8"/>
  <c r="NB17" i="8"/>
  <c r="NC17" i="8"/>
  <c r="ND17" i="8"/>
  <c r="NE17" i="8"/>
  <c r="NF17" i="8"/>
  <c r="NG17" i="8"/>
  <c r="NH17" i="8"/>
  <c r="NI17" i="8"/>
  <c r="NJ17" i="8"/>
  <c r="NK17" i="8"/>
  <c r="NL17" i="8"/>
  <c r="NM17" i="8"/>
  <c r="NN17" i="8"/>
  <c r="NO17" i="8"/>
  <c r="NP17" i="8"/>
  <c r="NQ17" i="8"/>
  <c r="NR17" i="8"/>
  <c r="NS17" i="8"/>
  <c r="NT17" i="8"/>
  <c r="NU17" i="8"/>
  <c r="NV17" i="8"/>
  <c r="NW17" i="8"/>
  <c r="NX17" i="8"/>
  <c r="NY17" i="8"/>
  <c r="NZ17" i="8"/>
  <c r="OA17" i="8"/>
  <c r="OB17" i="8"/>
  <c r="OC17" i="8"/>
  <c r="OD17" i="8"/>
  <c r="OE17" i="8"/>
  <c r="OF17" i="8"/>
  <c r="OG17" i="8"/>
  <c r="OH17" i="8"/>
  <c r="OI17" i="8"/>
  <c r="OJ17" i="8"/>
  <c r="OK17" i="8"/>
  <c r="OL17" i="8"/>
  <c r="OM17" i="8"/>
  <c r="ON17" i="8"/>
  <c r="OO17" i="8"/>
  <c r="OP17" i="8"/>
  <c r="OQ17" i="8"/>
  <c r="OR17" i="8"/>
  <c r="OS17" i="8"/>
  <c r="OT17" i="8"/>
  <c r="OU17" i="8"/>
  <c r="OV17" i="8"/>
  <c r="OW17" i="8"/>
  <c r="OX17" i="8"/>
  <c r="OY17" i="8"/>
  <c r="OZ17" i="8"/>
  <c r="PA17" i="8"/>
  <c r="PB17" i="8"/>
  <c r="PC17" i="8"/>
  <c r="PD17" i="8"/>
  <c r="PE17" i="8"/>
  <c r="PF17" i="8"/>
  <c r="PG17" i="8"/>
  <c r="PH17" i="8"/>
  <c r="PI17" i="8"/>
  <c r="PJ17" i="8"/>
  <c r="PK17" i="8"/>
  <c r="PL17" i="8"/>
  <c r="PM17" i="8"/>
  <c r="PN17" i="8"/>
  <c r="PO17" i="8"/>
  <c r="PP17" i="8"/>
  <c r="PQ17" i="8"/>
  <c r="PR17" i="8"/>
  <c r="PS17" i="8"/>
  <c r="PT17" i="8"/>
  <c r="PU17" i="8"/>
  <c r="PV17" i="8"/>
  <c r="PW17" i="8"/>
  <c r="PX17" i="8"/>
  <c r="PY17" i="8"/>
  <c r="PZ17" i="8"/>
  <c r="QA17" i="8"/>
  <c r="QB17" i="8"/>
  <c r="QC17" i="8"/>
  <c r="QD17" i="8"/>
  <c r="QE17" i="8"/>
  <c r="QF17" i="8"/>
  <c r="QG17" i="8"/>
  <c r="QH17" i="8"/>
  <c r="QI17" i="8"/>
  <c r="QJ17" i="8"/>
  <c r="QK17" i="8"/>
  <c r="QL17" i="8"/>
  <c r="QM17" i="8"/>
  <c r="QN17" i="8"/>
  <c r="QO17" i="8"/>
  <c r="QP17" i="8"/>
  <c r="QQ17" i="8"/>
  <c r="QR17" i="8"/>
  <c r="QS17" i="8"/>
  <c r="QT17" i="8"/>
  <c r="QU17" i="8"/>
  <c r="QV17" i="8"/>
  <c r="QW17" i="8"/>
  <c r="QX17" i="8"/>
  <c r="QY17" i="8"/>
  <c r="QZ17" i="8"/>
  <c r="RA17" i="8"/>
  <c r="RB17" i="8"/>
  <c r="RC17" i="8"/>
  <c r="RD17" i="8"/>
  <c r="RE17" i="8"/>
  <c r="RF17" i="8"/>
  <c r="RG17" i="8"/>
  <c r="RH17" i="8"/>
  <c r="RI17" i="8"/>
  <c r="RJ17" i="8"/>
  <c r="RK17" i="8"/>
  <c r="RL17" i="8"/>
  <c r="RM17" i="8"/>
  <c r="RN17" i="8"/>
  <c r="RO17" i="8"/>
  <c r="RP17" i="8"/>
  <c r="RQ17" i="8"/>
  <c r="RR17" i="8"/>
  <c r="RS17" i="8"/>
  <c r="RT17" i="8"/>
  <c r="RU17" i="8"/>
  <c r="RV17" i="8"/>
  <c r="RW17" i="8"/>
  <c r="RX17" i="8"/>
  <c r="RY17" i="8"/>
  <c r="RZ17" i="8"/>
  <c r="SA17" i="8"/>
  <c r="SB17" i="8"/>
  <c r="SC17" i="8"/>
  <c r="SD17" i="8"/>
  <c r="SE17" i="8"/>
  <c r="SF17" i="8"/>
  <c r="SG17" i="8"/>
  <c r="SH17" i="8"/>
  <c r="SI17" i="8"/>
  <c r="SJ17" i="8"/>
  <c r="SK17" i="8"/>
  <c r="SL17" i="8"/>
  <c r="SM17" i="8"/>
  <c r="SN17" i="8"/>
  <c r="SO17" i="8"/>
  <c r="SP17" i="8"/>
  <c r="SQ17" i="8"/>
  <c r="SR17" i="8"/>
  <c r="SS17" i="8"/>
  <c r="ST17" i="8"/>
  <c r="SU17" i="8"/>
  <c r="SV17" i="8"/>
  <c r="SW17" i="8"/>
  <c r="SX17" i="8"/>
  <c r="SY17" i="8"/>
  <c r="SZ17" i="8"/>
  <c r="TA17" i="8"/>
  <c r="TB17" i="8"/>
  <c r="TC17" i="8"/>
  <c r="TD17" i="8"/>
  <c r="TE17" i="8"/>
  <c r="TF17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TF18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HK19" i="8"/>
  <c r="HL19" i="8"/>
  <c r="HM19" i="8"/>
  <c r="HN19" i="8"/>
  <c r="HO19" i="8"/>
  <c r="HP19" i="8"/>
  <c r="HQ19" i="8"/>
  <c r="HR19" i="8"/>
  <c r="HS19" i="8"/>
  <c r="HT19" i="8"/>
  <c r="HU19" i="8"/>
  <c r="HV19" i="8"/>
  <c r="HW19" i="8"/>
  <c r="HX19" i="8"/>
  <c r="HY19" i="8"/>
  <c r="HZ19" i="8"/>
  <c r="IA19" i="8"/>
  <c r="IB19" i="8"/>
  <c r="IC19" i="8"/>
  <c r="ID19" i="8"/>
  <c r="IE19" i="8"/>
  <c r="IF19" i="8"/>
  <c r="IG19" i="8"/>
  <c r="IH19" i="8"/>
  <c r="II19" i="8"/>
  <c r="IJ19" i="8"/>
  <c r="IK19" i="8"/>
  <c r="IL19" i="8"/>
  <c r="IM19" i="8"/>
  <c r="IN19" i="8"/>
  <c r="IO19" i="8"/>
  <c r="IP19" i="8"/>
  <c r="IQ19" i="8"/>
  <c r="IR19" i="8"/>
  <c r="IS19" i="8"/>
  <c r="IT19" i="8"/>
  <c r="IU19" i="8"/>
  <c r="IV19" i="8"/>
  <c r="IW19" i="8"/>
  <c r="IX19" i="8"/>
  <c r="IY19" i="8"/>
  <c r="IZ19" i="8"/>
  <c r="JA19" i="8"/>
  <c r="JB19" i="8"/>
  <c r="JC19" i="8"/>
  <c r="JD19" i="8"/>
  <c r="JE19" i="8"/>
  <c r="JF19" i="8"/>
  <c r="JG19" i="8"/>
  <c r="JH19" i="8"/>
  <c r="JI19" i="8"/>
  <c r="JJ19" i="8"/>
  <c r="JK19" i="8"/>
  <c r="JL19" i="8"/>
  <c r="JM19" i="8"/>
  <c r="JN19" i="8"/>
  <c r="JO19" i="8"/>
  <c r="JP19" i="8"/>
  <c r="JQ19" i="8"/>
  <c r="JR19" i="8"/>
  <c r="JS19" i="8"/>
  <c r="JT19" i="8"/>
  <c r="JU19" i="8"/>
  <c r="JV19" i="8"/>
  <c r="JW19" i="8"/>
  <c r="JX19" i="8"/>
  <c r="JY19" i="8"/>
  <c r="JZ19" i="8"/>
  <c r="KA19" i="8"/>
  <c r="KB19" i="8"/>
  <c r="KC19" i="8"/>
  <c r="KD19" i="8"/>
  <c r="KE19" i="8"/>
  <c r="KF19" i="8"/>
  <c r="KG19" i="8"/>
  <c r="KH19" i="8"/>
  <c r="KI19" i="8"/>
  <c r="KJ19" i="8"/>
  <c r="KK19" i="8"/>
  <c r="KL19" i="8"/>
  <c r="KM19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LA19" i="8"/>
  <c r="LB19" i="8"/>
  <c r="LC19" i="8"/>
  <c r="LD19" i="8"/>
  <c r="LE19" i="8"/>
  <c r="LF19" i="8"/>
  <c r="LG19" i="8"/>
  <c r="LH19" i="8"/>
  <c r="LI19" i="8"/>
  <c r="LJ19" i="8"/>
  <c r="LQ19" i="8"/>
  <c r="LR19" i="8"/>
  <c r="LS19" i="8"/>
  <c r="LT19" i="8"/>
  <c r="LU19" i="8"/>
  <c r="LV19" i="8"/>
  <c r="LW19" i="8"/>
  <c r="LX19" i="8"/>
  <c r="LY19" i="8"/>
  <c r="LZ19" i="8"/>
  <c r="MA19" i="8"/>
  <c r="MB19" i="8"/>
  <c r="MC19" i="8"/>
  <c r="MD19" i="8"/>
  <c r="ME19" i="8"/>
  <c r="MF19" i="8"/>
  <c r="MG19" i="8"/>
  <c r="MH19" i="8"/>
  <c r="MI19" i="8"/>
  <c r="MJ19" i="8"/>
  <c r="MK19" i="8"/>
  <c r="ML19" i="8"/>
  <c r="MM19" i="8"/>
  <c r="MN19" i="8"/>
  <c r="MO19" i="8"/>
  <c r="MP19" i="8"/>
  <c r="MQ19" i="8"/>
  <c r="MR19" i="8"/>
  <c r="MS19" i="8"/>
  <c r="MT19" i="8"/>
  <c r="MU19" i="8"/>
  <c r="MV19" i="8"/>
  <c r="MW19" i="8"/>
  <c r="MX19" i="8"/>
  <c r="MY19" i="8"/>
  <c r="MZ19" i="8"/>
  <c r="NA19" i="8"/>
  <c r="NB19" i="8"/>
  <c r="NC19" i="8"/>
  <c r="ND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QG19" i="8"/>
  <c r="QH19" i="8"/>
  <c r="QI19" i="8"/>
  <c r="QJ19" i="8"/>
  <c r="QK19" i="8"/>
  <c r="QL19" i="8"/>
  <c r="QM19" i="8"/>
  <c r="QN19" i="8"/>
  <c r="QO19" i="8"/>
  <c r="QP19" i="8"/>
  <c r="QQ19" i="8"/>
  <c r="QR19" i="8"/>
  <c r="QS19" i="8"/>
  <c r="QT19" i="8"/>
  <c r="QU19" i="8"/>
  <c r="QV19" i="8"/>
  <c r="QW19" i="8"/>
  <c r="QX19" i="8"/>
  <c r="QY19" i="8"/>
  <c r="QZ19" i="8"/>
  <c r="RA19" i="8"/>
  <c r="RB19" i="8"/>
  <c r="RC19" i="8"/>
  <c r="RD19" i="8"/>
  <c r="RE19" i="8"/>
  <c r="RF19" i="8"/>
  <c r="RG19" i="8"/>
  <c r="RH19" i="8"/>
  <c r="RI19" i="8"/>
  <c r="RJ19" i="8"/>
  <c r="RK19" i="8"/>
  <c r="RL19" i="8"/>
  <c r="RM19" i="8"/>
  <c r="RN19" i="8"/>
  <c r="RO19" i="8"/>
  <c r="RP19" i="8"/>
  <c r="RQ19" i="8"/>
  <c r="RR19" i="8"/>
  <c r="RS19" i="8"/>
  <c r="RT19" i="8"/>
  <c r="RU19" i="8"/>
  <c r="RV19" i="8"/>
  <c r="RW19" i="8"/>
  <c r="RX19" i="8"/>
  <c r="RY19" i="8"/>
  <c r="RZ19" i="8"/>
  <c r="SA19" i="8"/>
  <c r="SB19" i="8"/>
  <c r="SC19" i="8"/>
  <c r="SD19" i="8"/>
  <c r="SE19" i="8"/>
  <c r="SF19" i="8"/>
  <c r="SG19" i="8"/>
  <c r="SH19" i="8"/>
  <c r="SI19" i="8"/>
  <c r="SJ19" i="8"/>
  <c r="SK19" i="8"/>
  <c r="SL19" i="8"/>
  <c r="SM19" i="8"/>
  <c r="SN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TE19" i="8"/>
  <c r="TF19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CG20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EU20" i="8"/>
  <c r="EV20" i="8"/>
  <c r="EW20" i="8"/>
  <c r="EX20" i="8"/>
  <c r="EY20" i="8"/>
  <c r="EZ20" i="8"/>
  <c r="FA20" i="8"/>
  <c r="FB20" i="8"/>
  <c r="FC20" i="8"/>
  <c r="FD20" i="8"/>
  <c r="FE20" i="8"/>
  <c r="FF20" i="8"/>
  <c r="FG20" i="8"/>
  <c r="FH20" i="8"/>
  <c r="FI20" i="8"/>
  <c r="FJ20" i="8"/>
  <c r="FK20" i="8"/>
  <c r="FL20" i="8"/>
  <c r="FM20" i="8"/>
  <c r="FN20" i="8"/>
  <c r="FO20" i="8"/>
  <c r="FP20" i="8"/>
  <c r="FQ20" i="8"/>
  <c r="FR20" i="8"/>
  <c r="FS20" i="8"/>
  <c r="FT20" i="8"/>
  <c r="FU20" i="8"/>
  <c r="FV20" i="8"/>
  <c r="FW20" i="8"/>
  <c r="FX20" i="8"/>
  <c r="FY20" i="8"/>
  <c r="FZ20" i="8"/>
  <c r="GA20" i="8"/>
  <c r="GB20" i="8"/>
  <c r="GC20" i="8"/>
  <c r="GD20" i="8"/>
  <c r="GE20" i="8"/>
  <c r="GF20" i="8"/>
  <c r="GG20" i="8"/>
  <c r="GH20" i="8"/>
  <c r="GI20" i="8"/>
  <c r="GJ20" i="8"/>
  <c r="GK20" i="8"/>
  <c r="GL20" i="8"/>
  <c r="GM20" i="8"/>
  <c r="GN20" i="8"/>
  <c r="GO20" i="8"/>
  <c r="GP20" i="8"/>
  <c r="GQ20" i="8"/>
  <c r="GR20" i="8"/>
  <c r="GS20" i="8"/>
  <c r="GT20" i="8"/>
  <c r="GU20" i="8"/>
  <c r="GV20" i="8"/>
  <c r="GW20" i="8"/>
  <c r="GX20" i="8"/>
  <c r="GY20" i="8"/>
  <c r="GZ20" i="8"/>
  <c r="HA20" i="8"/>
  <c r="HB20" i="8"/>
  <c r="HC20" i="8"/>
  <c r="HD20" i="8"/>
  <c r="HE20" i="8"/>
  <c r="HF20" i="8"/>
  <c r="HG20" i="8"/>
  <c r="HH20" i="8"/>
  <c r="HI20" i="8"/>
  <c r="HJ20" i="8"/>
  <c r="HK20" i="8"/>
  <c r="HL20" i="8"/>
  <c r="HM20" i="8"/>
  <c r="HN20" i="8"/>
  <c r="HO20" i="8"/>
  <c r="HP20" i="8"/>
  <c r="HQ20" i="8"/>
  <c r="HR20" i="8"/>
  <c r="HS20" i="8"/>
  <c r="HT20" i="8"/>
  <c r="HU20" i="8"/>
  <c r="HV20" i="8"/>
  <c r="HW20" i="8"/>
  <c r="HX20" i="8"/>
  <c r="HY20" i="8"/>
  <c r="HZ20" i="8"/>
  <c r="IA20" i="8"/>
  <c r="IB20" i="8"/>
  <c r="IC20" i="8"/>
  <c r="ID20" i="8"/>
  <c r="IE20" i="8"/>
  <c r="IF20" i="8"/>
  <c r="IG20" i="8"/>
  <c r="IH20" i="8"/>
  <c r="II20" i="8"/>
  <c r="IJ20" i="8"/>
  <c r="IK20" i="8"/>
  <c r="IL20" i="8"/>
  <c r="IM20" i="8"/>
  <c r="IN20" i="8"/>
  <c r="IO20" i="8"/>
  <c r="IP20" i="8"/>
  <c r="IQ20" i="8"/>
  <c r="IR20" i="8"/>
  <c r="IS20" i="8"/>
  <c r="IT20" i="8"/>
  <c r="IU20" i="8"/>
  <c r="IV20" i="8"/>
  <c r="IW20" i="8"/>
  <c r="IX20" i="8"/>
  <c r="IY20" i="8"/>
  <c r="IZ20" i="8"/>
  <c r="JA20" i="8"/>
  <c r="JB20" i="8"/>
  <c r="JC20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CG21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EU21" i="8"/>
  <c r="EV21" i="8"/>
  <c r="EW21" i="8"/>
  <c r="EX21" i="8"/>
  <c r="EY21" i="8"/>
  <c r="EZ21" i="8"/>
  <c r="FA21" i="8"/>
  <c r="FB21" i="8"/>
  <c r="FC21" i="8"/>
  <c r="FD21" i="8"/>
  <c r="FE21" i="8"/>
  <c r="FF21" i="8"/>
  <c r="FG21" i="8"/>
  <c r="FH21" i="8"/>
  <c r="FI21" i="8"/>
  <c r="FJ21" i="8"/>
  <c r="FK21" i="8"/>
  <c r="FL21" i="8"/>
  <c r="FM21" i="8"/>
  <c r="FN21" i="8"/>
  <c r="FO21" i="8"/>
  <c r="FP21" i="8"/>
  <c r="FQ21" i="8"/>
  <c r="FR21" i="8"/>
  <c r="FS21" i="8"/>
  <c r="FT21" i="8"/>
  <c r="FU21" i="8"/>
  <c r="FV21" i="8"/>
  <c r="FW21" i="8"/>
  <c r="FX21" i="8"/>
  <c r="FY21" i="8"/>
  <c r="FZ21" i="8"/>
  <c r="GA21" i="8"/>
  <c r="GB21" i="8"/>
  <c r="GC21" i="8"/>
  <c r="GD21" i="8"/>
  <c r="GE21" i="8"/>
  <c r="GF21" i="8"/>
  <c r="GG21" i="8"/>
  <c r="GH21" i="8"/>
  <c r="GI21" i="8"/>
  <c r="GJ21" i="8"/>
  <c r="GK21" i="8"/>
  <c r="GL21" i="8"/>
  <c r="GM21" i="8"/>
  <c r="GN21" i="8"/>
  <c r="GO21" i="8"/>
  <c r="GP21" i="8"/>
  <c r="GQ21" i="8"/>
  <c r="GR21" i="8"/>
  <c r="GS21" i="8"/>
  <c r="GT21" i="8"/>
  <c r="GU21" i="8"/>
  <c r="GV21" i="8"/>
  <c r="GW21" i="8"/>
  <c r="GX21" i="8"/>
  <c r="GY21" i="8"/>
  <c r="GZ21" i="8"/>
  <c r="HA21" i="8"/>
  <c r="HB21" i="8"/>
  <c r="HC21" i="8"/>
  <c r="HD21" i="8"/>
  <c r="HE21" i="8"/>
  <c r="HF21" i="8"/>
  <c r="HG21" i="8"/>
  <c r="HH21" i="8"/>
  <c r="HI21" i="8"/>
  <c r="HJ21" i="8"/>
  <c r="HK21" i="8"/>
  <c r="HL21" i="8"/>
  <c r="HM21" i="8"/>
  <c r="HN21" i="8"/>
  <c r="HO21" i="8"/>
  <c r="HP21" i="8"/>
  <c r="HQ21" i="8"/>
  <c r="HR21" i="8"/>
  <c r="HS21" i="8"/>
  <c r="HT21" i="8"/>
  <c r="HU21" i="8"/>
  <c r="HV21" i="8"/>
  <c r="HW21" i="8"/>
  <c r="HX21" i="8"/>
  <c r="HY21" i="8"/>
  <c r="HZ21" i="8"/>
  <c r="IA21" i="8"/>
  <c r="IB21" i="8"/>
  <c r="IC21" i="8"/>
  <c r="ID21" i="8"/>
  <c r="IE21" i="8"/>
  <c r="IF21" i="8"/>
  <c r="IG21" i="8"/>
  <c r="IH21" i="8"/>
  <c r="II21" i="8"/>
  <c r="IJ21" i="8"/>
  <c r="IK21" i="8"/>
  <c r="IL21" i="8"/>
  <c r="IM21" i="8"/>
  <c r="IN21" i="8"/>
  <c r="IO21" i="8"/>
  <c r="IP21" i="8"/>
  <c r="IQ21" i="8"/>
  <c r="IR21" i="8"/>
  <c r="IS21" i="8"/>
  <c r="IT21" i="8"/>
  <c r="IU21" i="8"/>
  <c r="IV21" i="8"/>
  <c r="IW21" i="8"/>
  <c r="IX21" i="8"/>
  <c r="IY21" i="8"/>
  <c r="IZ21" i="8"/>
  <c r="JA21" i="8"/>
  <c r="JB21" i="8"/>
  <c r="JC21" i="8"/>
  <c r="JD21" i="8"/>
  <c r="JE21" i="8"/>
  <c r="JF21" i="8"/>
  <c r="JG21" i="8"/>
  <c r="JH21" i="8"/>
  <c r="JI21" i="8"/>
  <c r="JJ21" i="8"/>
  <c r="JK21" i="8"/>
  <c r="JL21" i="8"/>
  <c r="JM21" i="8"/>
  <c r="JN21" i="8"/>
  <c r="JO21" i="8"/>
  <c r="JP21" i="8"/>
  <c r="JQ21" i="8"/>
  <c r="JR21" i="8"/>
  <c r="JS21" i="8"/>
  <c r="JT21" i="8"/>
  <c r="JU21" i="8"/>
  <c r="JV21" i="8"/>
  <c r="JW21" i="8"/>
  <c r="JX21" i="8"/>
  <c r="JY21" i="8"/>
  <c r="JZ21" i="8"/>
  <c r="KA21" i="8"/>
  <c r="KB21" i="8"/>
  <c r="KC21" i="8"/>
  <c r="KD21" i="8"/>
  <c r="KE21" i="8"/>
  <c r="KF21" i="8"/>
  <c r="KG21" i="8"/>
  <c r="KH21" i="8"/>
  <c r="KI21" i="8"/>
  <c r="KJ21" i="8"/>
  <c r="KK21" i="8"/>
  <c r="KL21" i="8"/>
  <c r="KM21" i="8"/>
  <c r="KN21" i="8"/>
  <c r="KO21" i="8"/>
  <c r="KP21" i="8"/>
  <c r="KQ21" i="8"/>
  <c r="KR21" i="8"/>
  <c r="KS21" i="8"/>
  <c r="KT21" i="8"/>
  <c r="KU21" i="8"/>
  <c r="KV21" i="8"/>
  <c r="KW21" i="8"/>
  <c r="KX21" i="8"/>
  <c r="KY21" i="8"/>
  <c r="KZ21" i="8"/>
  <c r="LA21" i="8"/>
  <c r="LB21" i="8"/>
  <c r="LC21" i="8"/>
  <c r="LD21" i="8"/>
  <c r="LE21" i="8"/>
  <c r="LF21" i="8"/>
  <c r="LG21" i="8"/>
  <c r="LH21" i="8"/>
  <c r="LI21" i="8"/>
  <c r="LJ21" i="8"/>
  <c r="LQ21" i="8"/>
  <c r="LR21" i="8"/>
  <c r="LS21" i="8"/>
  <c r="LT21" i="8"/>
  <c r="LU21" i="8"/>
  <c r="LV21" i="8"/>
  <c r="LW21" i="8"/>
  <c r="LX21" i="8"/>
  <c r="LY21" i="8"/>
  <c r="LZ21" i="8"/>
  <c r="MA21" i="8"/>
  <c r="MB21" i="8"/>
  <c r="MC21" i="8"/>
  <c r="MD21" i="8"/>
  <c r="ME21" i="8"/>
  <c r="MF21" i="8"/>
  <c r="MG21" i="8"/>
  <c r="MH21" i="8"/>
  <c r="MI21" i="8"/>
  <c r="MJ21" i="8"/>
  <c r="MK21" i="8"/>
  <c r="ML21" i="8"/>
  <c r="MM21" i="8"/>
  <c r="MN21" i="8"/>
  <c r="MO21" i="8"/>
  <c r="MP21" i="8"/>
  <c r="MQ21" i="8"/>
  <c r="MR21" i="8"/>
  <c r="MS21" i="8"/>
  <c r="MT21" i="8"/>
  <c r="MU21" i="8"/>
  <c r="MV21" i="8"/>
  <c r="MW21" i="8"/>
  <c r="MX21" i="8"/>
  <c r="MY21" i="8"/>
  <c r="MZ21" i="8"/>
  <c r="NA21" i="8"/>
  <c r="NB21" i="8"/>
  <c r="NC21" i="8"/>
  <c r="ND21" i="8"/>
  <c r="NE21" i="8"/>
  <c r="NF21" i="8"/>
  <c r="NG21" i="8"/>
  <c r="NH21" i="8"/>
  <c r="NI21" i="8"/>
  <c r="NJ21" i="8"/>
  <c r="NK21" i="8"/>
  <c r="NL21" i="8"/>
  <c r="NM21" i="8"/>
  <c r="NN21" i="8"/>
  <c r="NO21" i="8"/>
  <c r="NP21" i="8"/>
  <c r="NQ21" i="8"/>
  <c r="NR21" i="8"/>
  <c r="NS21" i="8"/>
  <c r="NT21" i="8"/>
  <c r="NU21" i="8"/>
  <c r="NV21" i="8"/>
  <c r="NW21" i="8"/>
  <c r="NX21" i="8"/>
  <c r="NY21" i="8"/>
  <c r="NZ21" i="8"/>
  <c r="OA21" i="8"/>
  <c r="OB21" i="8"/>
  <c r="OC21" i="8"/>
  <c r="OD21" i="8"/>
  <c r="OE21" i="8"/>
  <c r="OF21" i="8"/>
  <c r="OG21" i="8"/>
  <c r="OH21" i="8"/>
  <c r="OI21" i="8"/>
  <c r="OJ21" i="8"/>
  <c r="OK21" i="8"/>
  <c r="OL21" i="8"/>
  <c r="OM21" i="8"/>
  <c r="ON21" i="8"/>
  <c r="OO21" i="8"/>
  <c r="OP21" i="8"/>
  <c r="OQ21" i="8"/>
  <c r="OR21" i="8"/>
  <c r="OS21" i="8"/>
  <c r="OT21" i="8"/>
  <c r="OU21" i="8"/>
  <c r="OV21" i="8"/>
  <c r="OW21" i="8"/>
  <c r="OX21" i="8"/>
  <c r="OY21" i="8"/>
  <c r="OZ21" i="8"/>
  <c r="PA21" i="8"/>
  <c r="PB21" i="8"/>
  <c r="PC21" i="8"/>
  <c r="PD21" i="8"/>
  <c r="PE21" i="8"/>
  <c r="PF21" i="8"/>
  <c r="PG21" i="8"/>
  <c r="PH21" i="8"/>
  <c r="PI21" i="8"/>
  <c r="PJ21" i="8"/>
  <c r="PK21" i="8"/>
  <c r="PL21" i="8"/>
  <c r="PM21" i="8"/>
  <c r="PN21" i="8"/>
  <c r="PO21" i="8"/>
  <c r="PP21" i="8"/>
  <c r="PQ21" i="8"/>
  <c r="PR21" i="8"/>
  <c r="PS21" i="8"/>
  <c r="PT21" i="8"/>
  <c r="PU21" i="8"/>
  <c r="PV21" i="8"/>
  <c r="PW21" i="8"/>
  <c r="PX21" i="8"/>
  <c r="PY21" i="8"/>
  <c r="PZ21" i="8"/>
  <c r="QA21" i="8"/>
  <c r="QB21" i="8"/>
  <c r="QC21" i="8"/>
  <c r="QD21" i="8"/>
  <c r="QE21" i="8"/>
  <c r="QF21" i="8"/>
  <c r="QG21" i="8"/>
  <c r="QH21" i="8"/>
  <c r="QI21" i="8"/>
  <c r="QJ21" i="8"/>
  <c r="QK21" i="8"/>
  <c r="QL21" i="8"/>
  <c r="QM21" i="8"/>
  <c r="QN21" i="8"/>
  <c r="QO21" i="8"/>
  <c r="QP21" i="8"/>
  <c r="QQ21" i="8"/>
  <c r="QR21" i="8"/>
  <c r="QS21" i="8"/>
  <c r="QT21" i="8"/>
  <c r="QU21" i="8"/>
  <c r="QV21" i="8"/>
  <c r="QW21" i="8"/>
  <c r="QX21" i="8"/>
  <c r="QY21" i="8"/>
  <c r="QZ21" i="8"/>
  <c r="RA21" i="8"/>
  <c r="RB21" i="8"/>
  <c r="RC21" i="8"/>
  <c r="RD21" i="8"/>
  <c r="RE21" i="8"/>
  <c r="RF21" i="8"/>
  <c r="RG21" i="8"/>
  <c r="RH21" i="8"/>
  <c r="RI21" i="8"/>
  <c r="RJ21" i="8"/>
  <c r="RK21" i="8"/>
  <c r="RL21" i="8"/>
  <c r="RM21" i="8"/>
  <c r="RN21" i="8"/>
  <c r="RO21" i="8"/>
  <c r="RP21" i="8"/>
  <c r="RQ21" i="8"/>
  <c r="RR21" i="8"/>
  <c r="RS21" i="8"/>
  <c r="RT21" i="8"/>
  <c r="RU21" i="8"/>
  <c r="RV21" i="8"/>
  <c r="RW21" i="8"/>
  <c r="RX21" i="8"/>
  <c r="RY21" i="8"/>
  <c r="RZ21" i="8"/>
  <c r="SA21" i="8"/>
  <c r="SB21" i="8"/>
  <c r="SC21" i="8"/>
  <c r="SD21" i="8"/>
  <c r="SE21" i="8"/>
  <c r="SF21" i="8"/>
  <c r="SG21" i="8"/>
  <c r="SH21" i="8"/>
  <c r="SI21" i="8"/>
  <c r="SJ21" i="8"/>
  <c r="SK21" i="8"/>
  <c r="SL21" i="8"/>
  <c r="SM21" i="8"/>
  <c r="SN21" i="8"/>
  <c r="SO21" i="8"/>
  <c r="SP21" i="8"/>
  <c r="SQ21" i="8"/>
  <c r="SR21" i="8"/>
  <c r="SS21" i="8"/>
  <c r="ST21" i="8"/>
  <c r="SU21" i="8"/>
  <c r="SV21" i="8"/>
  <c r="SW21" i="8"/>
  <c r="SX21" i="8"/>
  <c r="SY21" i="8"/>
  <c r="SZ21" i="8"/>
  <c r="TA21" i="8"/>
  <c r="TB21" i="8"/>
  <c r="TC21" i="8"/>
  <c r="TD21" i="8"/>
  <c r="TE21" i="8"/>
  <c r="TF21" i="8"/>
  <c r="AO3" i="16"/>
  <c r="AP3" i="16"/>
  <c r="AQ3" i="16"/>
  <c r="AR3" i="16"/>
  <c r="AS3" i="16"/>
  <c r="AT3" i="16"/>
  <c r="AU3" i="16"/>
  <c r="AV3" i="16"/>
  <c r="AW3" i="16"/>
  <c r="AX3" i="16"/>
  <c r="AY3" i="16"/>
  <c r="AZ3" i="16"/>
  <c r="BA3" i="16"/>
  <c r="BB3" i="16"/>
  <c r="BC3" i="16"/>
  <c r="BD3" i="16"/>
  <c r="BE3" i="16"/>
  <c r="BF3" i="16"/>
  <c r="BG3" i="16"/>
  <c r="BH3" i="16"/>
  <c r="BI3" i="16"/>
  <c r="BJ3" i="16"/>
  <c r="BK3" i="16"/>
  <c r="BL3" i="16"/>
  <c r="BM3" i="16"/>
  <c r="BN3" i="16"/>
  <c r="BO3" i="16"/>
  <c r="BP3" i="16"/>
  <c r="BQ3" i="16"/>
  <c r="BR3" i="16"/>
  <c r="BS3" i="16"/>
  <c r="BT3" i="16"/>
  <c r="BU3" i="16"/>
  <c r="BV3" i="16"/>
  <c r="BW3" i="16"/>
  <c r="BX3" i="16"/>
  <c r="BY3" i="16"/>
  <c r="BZ3" i="16"/>
  <c r="CA3" i="16"/>
  <c r="CB3" i="16"/>
  <c r="CC3" i="16"/>
  <c r="CD3" i="16"/>
  <c r="CE3" i="16"/>
  <c r="CF3" i="16"/>
  <c r="CG3" i="16"/>
  <c r="CH3" i="16"/>
  <c r="CI3" i="16"/>
  <c r="CJ3" i="16"/>
  <c r="CK3" i="16"/>
  <c r="CL3" i="16"/>
  <c r="CM3" i="16"/>
  <c r="CN3" i="16"/>
  <c r="CO3" i="16"/>
  <c r="CP3" i="16"/>
  <c r="CQ3" i="16"/>
  <c r="CR3" i="16"/>
  <c r="CS3" i="16"/>
  <c r="CT3" i="16"/>
  <c r="CU3" i="16"/>
  <c r="CV3" i="16"/>
  <c r="CW3" i="16"/>
  <c r="CX3" i="16"/>
  <c r="CY3" i="16"/>
  <c r="CZ3" i="16"/>
  <c r="DA3" i="16"/>
  <c r="DB3" i="16"/>
  <c r="DC3" i="16"/>
  <c r="DD3" i="16"/>
  <c r="DE3" i="16"/>
  <c r="DF3" i="16"/>
  <c r="DG3" i="16"/>
  <c r="DH3" i="16"/>
  <c r="DI3" i="16"/>
  <c r="DJ3" i="16"/>
  <c r="DK3" i="16"/>
  <c r="DL3" i="16"/>
  <c r="DM3" i="16"/>
  <c r="DN3" i="16"/>
  <c r="DO3" i="16"/>
  <c r="DP3" i="16"/>
  <c r="DQ3" i="16"/>
  <c r="DR3" i="16"/>
  <c r="DS3" i="16"/>
  <c r="DT3" i="16"/>
  <c r="DU3" i="16"/>
  <c r="DV3" i="16"/>
  <c r="DW3" i="16"/>
  <c r="DX3" i="16"/>
  <c r="DY3" i="16"/>
  <c r="DZ3" i="16"/>
  <c r="EA3" i="16"/>
  <c r="EB3" i="16"/>
  <c r="EC3" i="16"/>
  <c r="ED3" i="16"/>
  <c r="EE3" i="16"/>
  <c r="EF3" i="16"/>
  <c r="EG3" i="16"/>
  <c r="EH3" i="16"/>
  <c r="EI3" i="16"/>
  <c r="EJ3" i="16"/>
  <c r="EK3" i="16"/>
  <c r="EL3" i="16"/>
  <c r="EM3" i="16"/>
  <c r="EN3" i="16"/>
  <c r="EO3" i="16"/>
  <c r="EP3" i="16"/>
  <c r="EQ3" i="16"/>
  <c r="ER3" i="16"/>
  <c r="ES3" i="16"/>
  <c r="ET3" i="16"/>
  <c r="EU3" i="16"/>
  <c r="EV3" i="16"/>
  <c r="EW3" i="16"/>
  <c r="EX3" i="16"/>
  <c r="EY3" i="16"/>
  <c r="EZ3" i="16"/>
  <c r="FA3" i="16"/>
  <c r="FB3" i="16"/>
  <c r="FC3" i="16"/>
  <c r="FD3" i="16"/>
  <c r="FE3" i="16"/>
  <c r="FF3" i="16"/>
  <c r="FG3" i="16"/>
  <c r="FH3" i="16"/>
  <c r="FI3" i="16"/>
  <c r="FJ3" i="16"/>
  <c r="FK3" i="16"/>
  <c r="FL3" i="16"/>
  <c r="FM3" i="16"/>
  <c r="FN3" i="16"/>
  <c r="FO3" i="16"/>
  <c r="FP3" i="16"/>
  <c r="FQ3" i="16"/>
  <c r="FR3" i="16"/>
  <c r="FS3" i="16"/>
  <c r="FT3" i="16"/>
  <c r="FU3" i="16"/>
  <c r="FV3" i="16"/>
  <c r="FW3" i="16"/>
  <c r="FX3" i="16"/>
  <c r="FY3" i="16"/>
  <c r="FZ3" i="16"/>
  <c r="GA3" i="16"/>
  <c r="GB3" i="16"/>
  <c r="GC3" i="16"/>
  <c r="GD3" i="16"/>
  <c r="GE3" i="16"/>
  <c r="GF3" i="16"/>
  <c r="GG3" i="16"/>
  <c r="GH3" i="16"/>
  <c r="GI3" i="16"/>
  <c r="GJ3" i="16"/>
  <c r="GK3" i="16"/>
  <c r="GL3" i="16"/>
  <c r="GM3" i="16"/>
  <c r="GN3" i="16"/>
  <c r="GO3" i="16"/>
  <c r="GP3" i="16"/>
  <c r="GQ3" i="16"/>
  <c r="GR3" i="16"/>
  <c r="GS3" i="16"/>
  <c r="GT3" i="16"/>
  <c r="GU3" i="16"/>
  <c r="GV3" i="16"/>
  <c r="GW3" i="16"/>
  <c r="GX3" i="16"/>
  <c r="GY3" i="16"/>
  <c r="GZ3" i="16"/>
  <c r="HA3" i="16"/>
  <c r="HB3" i="16"/>
  <c r="HC3" i="16"/>
  <c r="HD3" i="16"/>
  <c r="HE3" i="16"/>
  <c r="HF3" i="16"/>
  <c r="HG3" i="16"/>
  <c r="HH3" i="16"/>
  <c r="HI3" i="16"/>
  <c r="HJ3" i="16"/>
  <c r="HK3" i="16"/>
  <c r="HL3" i="16"/>
  <c r="HM3" i="16"/>
  <c r="HN3" i="16"/>
  <c r="HO3" i="16"/>
  <c r="HP3" i="16"/>
  <c r="HQ3" i="16"/>
  <c r="HR3" i="16"/>
  <c r="HS3" i="16"/>
  <c r="HT3" i="16"/>
  <c r="HU3" i="16"/>
  <c r="HV3" i="16"/>
  <c r="HW3" i="16"/>
  <c r="HX3" i="16"/>
  <c r="HY3" i="16"/>
  <c r="HZ3" i="16"/>
  <c r="IA3" i="16"/>
  <c r="IB3" i="16"/>
  <c r="IC3" i="16"/>
  <c r="ID3" i="16"/>
  <c r="IE3" i="16"/>
  <c r="IF3" i="16"/>
  <c r="IG3" i="16"/>
  <c r="IH3" i="16"/>
  <c r="II3" i="16"/>
  <c r="IJ3" i="16"/>
  <c r="IK3" i="16"/>
  <c r="IL3" i="16"/>
  <c r="IM3" i="16"/>
  <c r="IN3" i="16"/>
  <c r="IO3" i="16"/>
  <c r="IP3" i="16"/>
  <c r="IQ3" i="16"/>
  <c r="IR3" i="16"/>
  <c r="IS3" i="16"/>
  <c r="IT3" i="16"/>
  <c r="IU3" i="16"/>
  <c r="IV3" i="16"/>
  <c r="IW3" i="16"/>
  <c r="IX3" i="16"/>
  <c r="IY3" i="16"/>
  <c r="IZ3" i="16"/>
  <c r="JA3" i="16"/>
  <c r="JB3" i="16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2" i="3"/>
  <c r="E183" i="3"/>
  <c r="E181" i="3"/>
  <c r="E180" i="3"/>
  <c r="E179" i="3"/>
  <c r="E177" i="3"/>
  <c r="E176" i="3"/>
  <c r="E178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59" i="3"/>
  <c r="E160" i="3"/>
  <c r="E158" i="3"/>
  <c r="E157" i="3"/>
  <c r="E154" i="3"/>
  <c r="E156" i="3"/>
  <c r="E155" i="3"/>
  <c r="E153" i="3"/>
  <c r="E152" i="3"/>
  <c r="E151" i="3"/>
  <c r="E150" i="3"/>
  <c r="E149" i="3"/>
  <c r="E148" i="3"/>
  <c r="E147" i="3"/>
  <c r="E146" i="3"/>
  <c r="E145" i="3"/>
  <c r="E144" i="3"/>
  <c r="E142" i="3"/>
  <c r="E143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0" i="3"/>
  <c r="E101" i="3"/>
  <c r="E99" i="3"/>
  <c r="E98" i="3"/>
  <c r="E96" i="3"/>
  <c r="E95" i="3"/>
  <c r="E97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0" i="3"/>
  <c r="E11" i="3"/>
  <c r="E9" i="3"/>
  <c r="E8" i="3"/>
  <c r="E7" i="3"/>
  <c r="E6" i="3"/>
  <c r="E5" i="3"/>
  <c r="E4" i="3"/>
  <c r="B6" i="18"/>
  <c r="B10" i="18"/>
  <c r="B11" i="18"/>
  <c r="B12" i="18"/>
  <c r="B13" i="18"/>
  <c r="B14" i="18"/>
  <c r="B15" i="18"/>
  <c r="B16" i="18"/>
  <c r="B17" i="18"/>
  <c r="B18" i="18"/>
  <c r="B19" i="18"/>
  <c r="B21" i="18"/>
  <c r="B21" i="24"/>
  <c r="Q21" i="24"/>
  <c r="P21" i="24"/>
  <c r="O21" i="24"/>
  <c r="N21" i="24"/>
  <c r="M21" i="24"/>
  <c r="C21" i="24"/>
  <c r="Q20" i="24"/>
  <c r="P20" i="24"/>
  <c r="O20" i="24"/>
  <c r="N20" i="24"/>
  <c r="M20" i="24"/>
  <c r="C20" i="24"/>
  <c r="B19" i="24"/>
  <c r="Q19" i="24"/>
  <c r="P19" i="24"/>
  <c r="O19" i="24"/>
  <c r="N19" i="24"/>
  <c r="M19" i="24"/>
  <c r="C19" i="24"/>
  <c r="B18" i="24"/>
  <c r="Q18" i="24"/>
  <c r="P18" i="24"/>
  <c r="O18" i="24"/>
  <c r="N18" i="24"/>
  <c r="M18" i="24"/>
  <c r="C18" i="24"/>
  <c r="B17" i="24"/>
  <c r="Q17" i="24"/>
  <c r="P17" i="24"/>
  <c r="O17" i="24"/>
  <c r="N17" i="24"/>
  <c r="M17" i="24"/>
  <c r="C17" i="24"/>
  <c r="B16" i="24"/>
  <c r="Q16" i="24"/>
  <c r="P16" i="24"/>
  <c r="O16" i="24"/>
  <c r="N16" i="24"/>
  <c r="M16" i="24"/>
  <c r="C16" i="24"/>
  <c r="B15" i="24"/>
  <c r="Q15" i="24"/>
  <c r="P15" i="24"/>
  <c r="O15" i="24"/>
  <c r="N15" i="24"/>
  <c r="M15" i="24"/>
  <c r="C15" i="24"/>
  <c r="B14" i="24"/>
  <c r="Q14" i="24"/>
  <c r="P14" i="24"/>
  <c r="O14" i="24"/>
  <c r="N14" i="24"/>
  <c r="M14" i="24"/>
  <c r="C14" i="24"/>
  <c r="B13" i="24"/>
  <c r="Q13" i="24"/>
  <c r="P13" i="24"/>
  <c r="O13" i="24"/>
  <c r="N13" i="24"/>
  <c r="M13" i="24"/>
  <c r="C13" i="24"/>
  <c r="B12" i="24"/>
  <c r="Q12" i="24"/>
  <c r="P12" i="24"/>
  <c r="O12" i="24"/>
  <c r="N12" i="24"/>
  <c r="M12" i="24"/>
  <c r="C12" i="24"/>
  <c r="B11" i="24"/>
  <c r="Q11" i="24"/>
  <c r="P11" i="24"/>
  <c r="O11" i="24"/>
  <c r="N11" i="24"/>
  <c r="M11" i="24"/>
  <c r="C11" i="24"/>
  <c r="B10" i="24"/>
  <c r="Q10" i="24"/>
  <c r="P10" i="24"/>
  <c r="O10" i="24"/>
  <c r="N10" i="24"/>
  <c r="M10" i="24"/>
  <c r="C10" i="24"/>
  <c r="Q9" i="24"/>
  <c r="P9" i="24"/>
  <c r="O9" i="24"/>
  <c r="N9" i="24"/>
  <c r="M9" i="24"/>
  <c r="C9" i="24"/>
  <c r="Q8" i="24"/>
  <c r="P8" i="24"/>
  <c r="O8" i="24"/>
  <c r="N8" i="24"/>
  <c r="M8" i="24"/>
  <c r="C8" i="24"/>
  <c r="Q7" i="24"/>
  <c r="P7" i="24"/>
  <c r="O7" i="24"/>
  <c r="N7" i="24"/>
  <c r="M7" i="24"/>
  <c r="C7" i="24"/>
  <c r="B6" i="24"/>
  <c r="Q6" i="24"/>
  <c r="P6" i="24"/>
  <c r="O6" i="24"/>
  <c r="N6" i="24"/>
  <c r="M6" i="24"/>
  <c r="C6" i="24"/>
  <c r="Q5" i="24"/>
  <c r="P5" i="24"/>
  <c r="O5" i="24"/>
  <c r="N5" i="24"/>
  <c r="M5" i="24"/>
  <c r="C5" i="24"/>
  <c r="B4" i="24"/>
  <c r="Q4" i="24"/>
  <c r="P4" i="24"/>
  <c r="O4" i="24"/>
  <c r="N4" i="24"/>
  <c r="M4" i="24"/>
  <c r="C4" i="24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B4" i="23"/>
  <c r="I4" i="23"/>
  <c r="H4" i="23"/>
  <c r="G4" i="23"/>
  <c r="F4" i="23"/>
  <c r="E4" i="23"/>
  <c r="C4" i="23"/>
  <c r="B21" i="5"/>
  <c r="KV21" i="5"/>
  <c r="KU21" i="5"/>
  <c r="KT21" i="5"/>
  <c r="KS21" i="5"/>
  <c r="KR21" i="5"/>
  <c r="KQ21" i="5"/>
  <c r="KP21" i="5"/>
  <c r="KO21" i="5"/>
  <c r="KN21" i="5"/>
  <c r="KM21" i="5"/>
  <c r="KL21" i="5"/>
  <c r="KK21" i="5"/>
  <c r="KJ21" i="5"/>
  <c r="KI21" i="5"/>
  <c r="KH21" i="5"/>
  <c r="KG21" i="5"/>
  <c r="KF21" i="5"/>
  <c r="KE21" i="5"/>
  <c r="KD21" i="5"/>
  <c r="KC21" i="5"/>
  <c r="KB21" i="5"/>
  <c r="KA21" i="5"/>
  <c r="JZ21" i="5"/>
  <c r="JY21" i="5"/>
  <c r="JX21" i="5"/>
  <c r="JW21" i="5"/>
  <c r="JV21" i="5"/>
  <c r="JU21" i="5"/>
  <c r="JT21" i="5"/>
  <c r="JS21" i="5"/>
  <c r="JR21" i="5"/>
  <c r="JQ21" i="5"/>
  <c r="JP21" i="5"/>
  <c r="JO21" i="5"/>
  <c r="JN21" i="5"/>
  <c r="JM21" i="5"/>
  <c r="JL21" i="5"/>
  <c r="JK21" i="5"/>
  <c r="JJ21" i="5"/>
  <c r="JI21" i="5"/>
  <c r="JH21" i="5"/>
  <c r="JG21" i="5"/>
  <c r="JF21" i="5"/>
  <c r="JE21" i="5"/>
  <c r="JD21" i="5"/>
  <c r="JC21" i="5"/>
  <c r="JB21" i="5"/>
  <c r="JA21" i="5"/>
  <c r="IZ21" i="5"/>
  <c r="IY21" i="5"/>
  <c r="IX21" i="5"/>
  <c r="IW21" i="5"/>
  <c r="IV21" i="5"/>
  <c r="IU21" i="5"/>
  <c r="IT21" i="5"/>
  <c r="IS21" i="5"/>
  <c r="IR21" i="5"/>
  <c r="IQ21" i="5"/>
  <c r="IP21" i="5"/>
  <c r="IO21" i="5"/>
  <c r="IN21" i="5"/>
  <c r="IM21" i="5"/>
  <c r="IL21" i="5"/>
  <c r="IK21" i="5"/>
  <c r="IJ21" i="5"/>
  <c r="II21" i="5"/>
  <c r="IH21" i="5"/>
  <c r="IG21" i="5"/>
  <c r="IF21" i="5"/>
  <c r="IE21" i="5"/>
  <c r="ID21" i="5"/>
  <c r="IC21" i="5"/>
  <c r="IB21" i="5"/>
  <c r="IA21" i="5"/>
  <c r="HZ21" i="5"/>
  <c r="HY21" i="5"/>
  <c r="HX21" i="5"/>
  <c r="HW21" i="5"/>
  <c r="HV21" i="5"/>
  <c r="HU21" i="5"/>
  <c r="HT21" i="5"/>
  <c r="HS21" i="5"/>
  <c r="HR21" i="5"/>
  <c r="HQ21" i="5"/>
  <c r="HP21" i="5"/>
  <c r="HO21" i="5"/>
  <c r="HN21" i="5"/>
  <c r="HM21" i="5"/>
  <c r="HL21" i="5"/>
  <c r="HK21" i="5"/>
  <c r="HJ21" i="5"/>
  <c r="HI21" i="5"/>
  <c r="HH21" i="5"/>
  <c r="HG21" i="5"/>
  <c r="HF21" i="5"/>
  <c r="HE21" i="5"/>
  <c r="HD21" i="5"/>
  <c r="HC21" i="5"/>
  <c r="HB21" i="5"/>
  <c r="HA21" i="5"/>
  <c r="GZ21" i="5"/>
  <c r="GY21" i="5"/>
  <c r="GX21" i="5"/>
  <c r="GW21" i="5"/>
  <c r="GV21" i="5"/>
  <c r="GU21" i="5"/>
  <c r="GT21" i="5"/>
  <c r="GS21" i="5"/>
  <c r="GR21" i="5"/>
  <c r="GQ21" i="5"/>
  <c r="GP21" i="5"/>
  <c r="GO21" i="5"/>
  <c r="GN21" i="5"/>
  <c r="GM21" i="5"/>
  <c r="GL21" i="5"/>
  <c r="GK21" i="5"/>
  <c r="GJ21" i="5"/>
  <c r="GI21" i="5"/>
  <c r="GH21" i="5"/>
  <c r="GG21" i="5"/>
  <c r="GF21" i="5"/>
  <c r="GE21" i="5"/>
  <c r="GD21" i="5"/>
  <c r="GC21" i="5"/>
  <c r="GB21" i="5"/>
  <c r="GA21" i="5"/>
  <c r="FZ21" i="5"/>
  <c r="FY21" i="5"/>
  <c r="FX21" i="5"/>
  <c r="FW21" i="5"/>
  <c r="FV21" i="5"/>
  <c r="FU21" i="5"/>
  <c r="FT21" i="5"/>
  <c r="FS21" i="5"/>
  <c r="FR21" i="5"/>
  <c r="FQ21" i="5"/>
  <c r="FP21" i="5"/>
  <c r="FO21" i="5"/>
  <c r="FN21" i="5"/>
  <c r="FM21" i="5"/>
  <c r="FL21" i="5"/>
  <c r="FK21" i="5"/>
  <c r="FJ21" i="5"/>
  <c r="FI21" i="5"/>
  <c r="FH21" i="5"/>
  <c r="FG21" i="5"/>
  <c r="FF21" i="5"/>
  <c r="FE21" i="5"/>
  <c r="FD21" i="5"/>
  <c r="FC21" i="5"/>
  <c r="FB21" i="5"/>
  <c r="FA21" i="5"/>
  <c r="EZ21" i="5"/>
  <c r="EY21" i="5"/>
  <c r="EX21" i="5"/>
  <c r="EW21" i="5"/>
  <c r="EV21" i="5"/>
  <c r="EU21" i="5"/>
  <c r="ET21" i="5"/>
  <c r="ES21" i="5"/>
  <c r="ER21" i="5"/>
  <c r="EQ21" i="5"/>
  <c r="EP21" i="5"/>
  <c r="EO21" i="5"/>
  <c r="EN21" i="5"/>
  <c r="EM21" i="5"/>
  <c r="EL21" i="5"/>
  <c r="EK21" i="5"/>
  <c r="EJ21" i="5"/>
  <c r="EI21" i="5"/>
  <c r="EH21" i="5"/>
  <c r="EG21" i="5"/>
  <c r="EF21" i="5"/>
  <c r="EE21" i="5"/>
  <c r="ED21" i="5"/>
  <c r="EC21" i="5"/>
  <c r="EB21" i="5"/>
  <c r="EA21" i="5"/>
  <c r="DZ21" i="5"/>
  <c r="DY21" i="5"/>
  <c r="DX21" i="5"/>
  <c r="DW21" i="5"/>
  <c r="DV21" i="5"/>
  <c r="DU21" i="5"/>
  <c r="DT21" i="5"/>
  <c r="DS21" i="5"/>
  <c r="DR21" i="5"/>
  <c r="DQ21" i="5"/>
  <c r="DP21" i="5"/>
  <c r="DO21" i="5"/>
  <c r="DN21" i="5"/>
  <c r="DM21" i="5"/>
  <c r="DL21" i="5"/>
  <c r="DK21" i="5"/>
  <c r="DJ21" i="5"/>
  <c r="DI21" i="5"/>
  <c r="DH21" i="5"/>
  <c r="DG21" i="5"/>
  <c r="DF21" i="5"/>
  <c r="DE21" i="5"/>
  <c r="DD21" i="5"/>
  <c r="DC21" i="5"/>
  <c r="DB21" i="5"/>
  <c r="DA21" i="5"/>
  <c r="CZ21" i="5"/>
  <c r="CY21" i="5"/>
  <c r="CX21" i="5"/>
  <c r="CW21" i="5"/>
  <c r="CV21" i="5"/>
  <c r="CU21" i="5"/>
  <c r="CT21" i="5"/>
  <c r="CS21" i="5"/>
  <c r="CR21" i="5"/>
  <c r="CQ21" i="5"/>
  <c r="CP21" i="5"/>
  <c r="CO21" i="5"/>
  <c r="CN21" i="5"/>
  <c r="CM21" i="5"/>
  <c r="CL21" i="5"/>
  <c r="CK21" i="5"/>
  <c r="CJ21" i="5"/>
  <c r="CI21" i="5"/>
  <c r="CH21" i="5"/>
  <c r="CG21" i="5"/>
  <c r="CF21" i="5"/>
  <c r="CE21" i="5"/>
  <c r="CD21" i="5"/>
  <c r="CC21" i="5"/>
  <c r="CB21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D21" i="5"/>
  <c r="B20" i="5"/>
  <c r="KV20" i="5"/>
  <c r="KU20" i="5"/>
  <c r="KT20" i="5"/>
  <c r="KS20" i="5"/>
  <c r="KR20" i="5"/>
  <c r="KQ20" i="5"/>
  <c r="KP20" i="5"/>
  <c r="KO20" i="5"/>
  <c r="KN20" i="5"/>
  <c r="KM20" i="5"/>
  <c r="KL20" i="5"/>
  <c r="KK20" i="5"/>
  <c r="KJ20" i="5"/>
  <c r="KI20" i="5"/>
  <c r="KH20" i="5"/>
  <c r="KG20" i="5"/>
  <c r="KF20" i="5"/>
  <c r="KE20" i="5"/>
  <c r="KD20" i="5"/>
  <c r="KC20" i="5"/>
  <c r="KB20" i="5"/>
  <c r="KA20" i="5"/>
  <c r="JZ20" i="5"/>
  <c r="JY20" i="5"/>
  <c r="JX20" i="5"/>
  <c r="JW20" i="5"/>
  <c r="JV20" i="5"/>
  <c r="JU20" i="5"/>
  <c r="JT20" i="5"/>
  <c r="JS20" i="5"/>
  <c r="JR20" i="5"/>
  <c r="JQ20" i="5"/>
  <c r="JP20" i="5"/>
  <c r="JO20" i="5"/>
  <c r="JN20" i="5"/>
  <c r="JM20" i="5"/>
  <c r="JL20" i="5"/>
  <c r="JK20" i="5"/>
  <c r="JJ20" i="5"/>
  <c r="JI20" i="5"/>
  <c r="JH20" i="5"/>
  <c r="JG20" i="5"/>
  <c r="JF20" i="5"/>
  <c r="JE20" i="5"/>
  <c r="JD20" i="5"/>
  <c r="JC20" i="5"/>
  <c r="JB20" i="5"/>
  <c r="JA20" i="5"/>
  <c r="IZ20" i="5"/>
  <c r="IY20" i="5"/>
  <c r="IX20" i="5"/>
  <c r="IW20" i="5"/>
  <c r="IV20" i="5"/>
  <c r="IU20" i="5"/>
  <c r="IT20" i="5"/>
  <c r="IS20" i="5"/>
  <c r="IR20" i="5"/>
  <c r="IQ20" i="5"/>
  <c r="IP20" i="5"/>
  <c r="IO20" i="5"/>
  <c r="IN20" i="5"/>
  <c r="IM20" i="5"/>
  <c r="IL20" i="5"/>
  <c r="IK20" i="5"/>
  <c r="IJ20" i="5"/>
  <c r="II20" i="5"/>
  <c r="IH20" i="5"/>
  <c r="IG20" i="5"/>
  <c r="IF20" i="5"/>
  <c r="IE20" i="5"/>
  <c r="ID20" i="5"/>
  <c r="IC20" i="5"/>
  <c r="IB20" i="5"/>
  <c r="IA20" i="5"/>
  <c r="HZ20" i="5"/>
  <c r="HY20" i="5"/>
  <c r="HX20" i="5"/>
  <c r="HW20" i="5"/>
  <c r="HV20" i="5"/>
  <c r="HU20" i="5"/>
  <c r="HT20" i="5"/>
  <c r="HS20" i="5"/>
  <c r="HR20" i="5"/>
  <c r="HQ20" i="5"/>
  <c r="HP20" i="5"/>
  <c r="HO20" i="5"/>
  <c r="HN20" i="5"/>
  <c r="HM20" i="5"/>
  <c r="HL20" i="5"/>
  <c r="HK20" i="5"/>
  <c r="HJ20" i="5"/>
  <c r="HI20" i="5"/>
  <c r="HH20" i="5"/>
  <c r="HG20" i="5"/>
  <c r="HF20" i="5"/>
  <c r="HE20" i="5"/>
  <c r="HD20" i="5"/>
  <c r="HC20" i="5"/>
  <c r="HB20" i="5"/>
  <c r="HA20" i="5"/>
  <c r="GZ20" i="5"/>
  <c r="GY20" i="5"/>
  <c r="GX20" i="5"/>
  <c r="GW20" i="5"/>
  <c r="GV20" i="5"/>
  <c r="GU20" i="5"/>
  <c r="GT20" i="5"/>
  <c r="GS20" i="5"/>
  <c r="GR20" i="5"/>
  <c r="GQ20" i="5"/>
  <c r="GP20" i="5"/>
  <c r="GO20" i="5"/>
  <c r="GN20" i="5"/>
  <c r="GM20" i="5"/>
  <c r="GL20" i="5"/>
  <c r="GK20" i="5"/>
  <c r="GJ20" i="5"/>
  <c r="GI20" i="5"/>
  <c r="GH20" i="5"/>
  <c r="GG20" i="5"/>
  <c r="GF20" i="5"/>
  <c r="GE20" i="5"/>
  <c r="GD20" i="5"/>
  <c r="GC20" i="5"/>
  <c r="GB20" i="5"/>
  <c r="GA20" i="5"/>
  <c r="FZ20" i="5"/>
  <c r="FY20" i="5"/>
  <c r="FX20" i="5"/>
  <c r="FW20" i="5"/>
  <c r="FV20" i="5"/>
  <c r="FU20" i="5"/>
  <c r="FT20" i="5"/>
  <c r="FS20" i="5"/>
  <c r="FR20" i="5"/>
  <c r="FQ20" i="5"/>
  <c r="FP20" i="5"/>
  <c r="FO20" i="5"/>
  <c r="FN20" i="5"/>
  <c r="FM20" i="5"/>
  <c r="FL20" i="5"/>
  <c r="FK20" i="5"/>
  <c r="FJ20" i="5"/>
  <c r="FI20" i="5"/>
  <c r="FH20" i="5"/>
  <c r="FG20" i="5"/>
  <c r="FF20" i="5"/>
  <c r="FE20" i="5"/>
  <c r="FD20" i="5"/>
  <c r="FC20" i="5"/>
  <c r="FB20" i="5"/>
  <c r="FA20" i="5"/>
  <c r="EZ20" i="5"/>
  <c r="EY20" i="5"/>
  <c r="EX20" i="5"/>
  <c r="EW20" i="5"/>
  <c r="EV20" i="5"/>
  <c r="EU20" i="5"/>
  <c r="ET20" i="5"/>
  <c r="ES20" i="5"/>
  <c r="ER20" i="5"/>
  <c r="EQ20" i="5"/>
  <c r="EP20" i="5"/>
  <c r="EO20" i="5"/>
  <c r="EN20" i="5"/>
  <c r="EM20" i="5"/>
  <c r="EL20" i="5"/>
  <c r="EK20" i="5"/>
  <c r="EJ20" i="5"/>
  <c r="EI20" i="5"/>
  <c r="EH20" i="5"/>
  <c r="EG20" i="5"/>
  <c r="EF20" i="5"/>
  <c r="EE20" i="5"/>
  <c r="ED20" i="5"/>
  <c r="EC20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D20" i="5"/>
  <c r="B19" i="5"/>
  <c r="KV19" i="5"/>
  <c r="KU19" i="5"/>
  <c r="KT19" i="5"/>
  <c r="KS19" i="5"/>
  <c r="KR19" i="5"/>
  <c r="KQ19" i="5"/>
  <c r="KP19" i="5"/>
  <c r="KO19" i="5"/>
  <c r="KN19" i="5"/>
  <c r="KM19" i="5"/>
  <c r="KL19" i="5"/>
  <c r="KK19" i="5"/>
  <c r="KJ19" i="5"/>
  <c r="KI19" i="5"/>
  <c r="KH19" i="5"/>
  <c r="KG19" i="5"/>
  <c r="KF19" i="5"/>
  <c r="KE19" i="5"/>
  <c r="KD19" i="5"/>
  <c r="KC19" i="5"/>
  <c r="KB19" i="5"/>
  <c r="KA19" i="5"/>
  <c r="JZ19" i="5"/>
  <c r="JY19" i="5"/>
  <c r="JX19" i="5"/>
  <c r="JW19" i="5"/>
  <c r="JV19" i="5"/>
  <c r="JU19" i="5"/>
  <c r="JT19" i="5"/>
  <c r="JS19" i="5"/>
  <c r="JR19" i="5"/>
  <c r="JQ19" i="5"/>
  <c r="JP19" i="5"/>
  <c r="JO19" i="5"/>
  <c r="JN19" i="5"/>
  <c r="JM19" i="5"/>
  <c r="JL19" i="5"/>
  <c r="JK19" i="5"/>
  <c r="JJ19" i="5"/>
  <c r="JI19" i="5"/>
  <c r="JH19" i="5"/>
  <c r="JG19" i="5"/>
  <c r="JF19" i="5"/>
  <c r="JE19" i="5"/>
  <c r="JD19" i="5"/>
  <c r="JC19" i="5"/>
  <c r="JB19" i="5"/>
  <c r="JA19" i="5"/>
  <c r="IZ19" i="5"/>
  <c r="IY19" i="5"/>
  <c r="IX19" i="5"/>
  <c r="IW19" i="5"/>
  <c r="IV19" i="5"/>
  <c r="IU19" i="5"/>
  <c r="IT19" i="5"/>
  <c r="IS19" i="5"/>
  <c r="IR19" i="5"/>
  <c r="IQ19" i="5"/>
  <c r="IP19" i="5"/>
  <c r="IO19" i="5"/>
  <c r="IN19" i="5"/>
  <c r="IM19" i="5"/>
  <c r="IL19" i="5"/>
  <c r="IK19" i="5"/>
  <c r="IJ19" i="5"/>
  <c r="II19" i="5"/>
  <c r="IH19" i="5"/>
  <c r="IG19" i="5"/>
  <c r="IF19" i="5"/>
  <c r="IE19" i="5"/>
  <c r="ID19" i="5"/>
  <c r="IC19" i="5"/>
  <c r="IB19" i="5"/>
  <c r="IA19" i="5"/>
  <c r="HZ19" i="5"/>
  <c r="HY19" i="5"/>
  <c r="HX19" i="5"/>
  <c r="HW19" i="5"/>
  <c r="HV19" i="5"/>
  <c r="HU19" i="5"/>
  <c r="HT19" i="5"/>
  <c r="HS19" i="5"/>
  <c r="HR19" i="5"/>
  <c r="HQ19" i="5"/>
  <c r="HP19" i="5"/>
  <c r="HO19" i="5"/>
  <c r="HN19" i="5"/>
  <c r="HM19" i="5"/>
  <c r="HL19" i="5"/>
  <c r="HK19" i="5"/>
  <c r="HJ19" i="5"/>
  <c r="HI19" i="5"/>
  <c r="HH19" i="5"/>
  <c r="HG19" i="5"/>
  <c r="HF19" i="5"/>
  <c r="HE19" i="5"/>
  <c r="HD19" i="5"/>
  <c r="HC19" i="5"/>
  <c r="HB19" i="5"/>
  <c r="HA19" i="5"/>
  <c r="GZ19" i="5"/>
  <c r="GY19" i="5"/>
  <c r="GX19" i="5"/>
  <c r="GW19" i="5"/>
  <c r="GV19" i="5"/>
  <c r="GU19" i="5"/>
  <c r="GT19" i="5"/>
  <c r="GS19" i="5"/>
  <c r="GR19" i="5"/>
  <c r="GQ19" i="5"/>
  <c r="GP19" i="5"/>
  <c r="GO19" i="5"/>
  <c r="GN19" i="5"/>
  <c r="GM19" i="5"/>
  <c r="GL19" i="5"/>
  <c r="GK19" i="5"/>
  <c r="GJ19" i="5"/>
  <c r="GI19" i="5"/>
  <c r="GH19" i="5"/>
  <c r="GG19" i="5"/>
  <c r="GF19" i="5"/>
  <c r="GE19" i="5"/>
  <c r="GD19" i="5"/>
  <c r="GC19" i="5"/>
  <c r="GB19" i="5"/>
  <c r="GA19" i="5"/>
  <c r="FZ19" i="5"/>
  <c r="FY19" i="5"/>
  <c r="FX19" i="5"/>
  <c r="FW19" i="5"/>
  <c r="FV19" i="5"/>
  <c r="FU19" i="5"/>
  <c r="FT19" i="5"/>
  <c r="FS19" i="5"/>
  <c r="FR19" i="5"/>
  <c r="FQ19" i="5"/>
  <c r="FP19" i="5"/>
  <c r="FO19" i="5"/>
  <c r="FN19" i="5"/>
  <c r="FM19" i="5"/>
  <c r="FL19" i="5"/>
  <c r="FK19" i="5"/>
  <c r="FJ19" i="5"/>
  <c r="FI19" i="5"/>
  <c r="FH19" i="5"/>
  <c r="FG19" i="5"/>
  <c r="FF19" i="5"/>
  <c r="FE19" i="5"/>
  <c r="FD19" i="5"/>
  <c r="FC19" i="5"/>
  <c r="FB19" i="5"/>
  <c r="FA19" i="5"/>
  <c r="EZ19" i="5"/>
  <c r="EY19" i="5"/>
  <c r="EX19" i="5"/>
  <c r="EW19" i="5"/>
  <c r="EV19" i="5"/>
  <c r="EU19" i="5"/>
  <c r="ET19" i="5"/>
  <c r="ES19" i="5"/>
  <c r="ER19" i="5"/>
  <c r="EQ19" i="5"/>
  <c r="EP19" i="5"/>
  <c r="EO19" i="5"/>
  <c r="EN19" i="5"/>
  <c r="EM19" i="5"/>
  <c r="EL19" i="5"/>
  <c r="EK19" i="5"/>
  <c r="EJ19" i="5"/>
  <c r="EI19" i="5"/>
  <c r="EH19" i="5"/>
  <c r="EG19" i="5"/>
  <c r="EF19" i="5"/>
  <c r="EE19" i="5"/>
  <c r="ED19" i="5"/>
  <c r="EC19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D19" i="5"/>
  <c r="B18" i="5"/>
  <c r="KV18" i="5"/>
  <c r="KU18" i="5"/>
  <c r="KT18" i="5"/>
  <c r="KS18" i="5"/>
  <c r="KR18" i="5"/>
  <c r="KQ18" i="5"/>
  <c r="KP18" i="5"/>
  <c r="KO18" i="5"/>
  <c r="KN18" i="5"/>
  <c r="KM18" i="5"/>
  <c r="KL18" i="5"/>
  <c r="KK18" i="5"/>
  <c r="KJ18" i="5"/>
  <c r="KI18" i="5"/>
  <c r="KH18" i="5"/>
  <c r="KG18" i="5"/>
  <c r="KF18" i="5"/>
  <c r="KE18" i="5"/>
  <c r="KD18" i="5"/>
  <c r="KC18" i="5"/>
  <c r="KB18" i="5"/>
  <c r="KA18" i="5"/>
  <c r="JZ18" i="5"/>
  <c r="JY18" i="5"/>
  <c r="JX18" i="5"/>
  <c r="JW18" i="5"/>
  <c r="JV18" i="5"/>
  <c r="JU18" i="5"/>
  <c r="JT18" i="5"/>
  <c r="JS18" i="5"/>
  <c r="JR18" i="5"/>
  <c r="JQ18" i="5"/>
  <c r="JP18" i="5"/>
  <c r="JO18" i="5"/>
  <c r="JN18" i="5"/>
  <c r="JM18" i="5"/>
  <c r="JL18" i="5"/>
  <c r="JK18" i="5"/>
  <c r="JJ18" i="5"/>
  <c r="JI18" i="5"/>
  <c r="JH18" i="5"/>
  <c r="JG18" i="5"/>
  <c r="JF18" i="5"/>
  <c r="JE18" i="5"/>
  <c r="JD18" i="5"/>
  <c r="JC18" i="5"/>
  <c r="JB18" i="5"/>
  <c r="JA18" i="5"/>
  <c r="IZ18" i="5"/>
  <c r="IY18" i="5"/>
  <c r="IX18" i="5"/>
  <c r="IW18" i="5"/>
  <c r="IV18" i="5"/>
  <c r="IU18" i="5"/>
  <c r="IT18" i="5"/>
  <c r="IS18" i="5"/>
  <c r="IR18" i="5"/>
  <c r="IQ18" i="5"/>
  <c r="IP18" i="5"/>
  <c r="IO18" i="5"/>
  <c r="IN18" i="5"/>
  <c r="IM18" i="5"/>
  <c r="IL18" i="5"/>
  <c r="IK18" i="5"/>
  <c r="IJ18" i="5"/>
  <c r="II18" i="5"/>
  <c r="IH18" i="5"/>
  <c r="IG18" i="5"/>
  <c r="IF18" i="5"/>
  <c r="IE18" i="5"/>
  <c r="ID18" i="5"/>
  <c r="IC18" i="5"/>
  <c r="IB18" i="5"/>
  <c r="IA18" i="5"/>
  <c r="HZ18" i="5"/>
  <c r="HY18" i="5"/>
  <c r="HX18" i="5"/>
  <c r="HW18" i="5"/>
  <c r="HV18" i="5"/>
  <c r="HU18" i="5"/>
  <c r="HT18" i="5"/>
  <c r="HS18" i="5"/>
  <c r="HR18" i="5"/>
  <c r="HQ18" i="5"/>
  <c r="HP18" i="5"/>
  <c r="HO18" i="5"/>
  <c r="HN18" i="5"/>
  <c r="HM18" i="5"/>
  <c r="HL18" i="5"/>
  <c r="HK18" i="5"/>
  <c r="HJ18" i="5"/>
  <c r="HI18" i="5"/>
  <c r="HH18" i="5"/>
  <c r="HG18" i="5"/>
  <c r="HF18" i="5"/>
  <c r="HE18" i="5"/>
  <c r="HD18" i="5"/>
  <c r="HC18" i="5"/>
  <c r="HB18" i="5"/>
  <c r="HA18" i="5"/>
  <c r="GZ18" i="5"/>
  <c r="GY18" i="5"/>
  <c r="GX18" i="5"/>
  <c r="GW18" i="5"/>
  <c r="GV18" i="5"/>
  <c r="GU18" i="5"/>
  <c r="GT18" i="5"/>
  <c r="GS18" i="5"/>
  <c r="GR18" i="5"/>
  <c r="GQ18" i="5"/>
  <c r="GP18" i="5"/>
  <c r="GO18" i="5"/>
  <c r="GN18" i="5"/>
  <c r="GM18" i="5"/>
  <c r="GL18" i="5"/>
  <c r="GK18" i="5"/>
  <c r="GJ18" i="5"/>
  <c r="GI18" i="5"/>
  <c r="GH18" i="5"/>
  <c r="GG18" i="5"/>
  <c r="GF18" i="5"/>
  <c r="GE18" i="5"/>
  <c r="GD18" i="5"/>
  <c r="GC18" i="5"/>
  <c r="GB18" i="5"/>
  <c r="GA18" i="5"/>
  <c r="FZ18" i="5"/>
  <c r="FY18" i="5"/>
  <c r="FX18" i="5"/>
  <c r="FW18" i="5"/>
  <c r="FV18" i="5"/>
  <c r="FU18" i="5"/>
  <c r="FT18" i="5"/>
  <c r="FS18" i="5"/>
  <c r="FR18" i="5"/>
  <c r="FQ18" i="5"/>
  <c r="FP18" i="5"/>
  <c r="FO18" i="5"/>
  <c r="FN18" i="5"/>
  <c r="FM18" i="5"/>
  <c r="FL18" i="5"/>
  <c r="FK18" i="5"/>
  <c r="FJ18" i="5"/>
  <c r="FI18" i="5"/>
  <c r="FH18" i="5"/>
  <c r="FG18" i="5"/>
  <c r="FF18" i="5"/>
  <c r="FE18" i="5"/>
  <c r="FD18" i="5"/>
  <c r="FC18" i="5"/>
  <c r="FB18" i="5"/>
  <c r="FA18" i="5"/>
  <c r="EZ18" i="5"/>
  <c r="EY18" i="5"/>
  <c r="EX18" i="5"/>
  <c r="EW18" i="5"/>
  <c r="EV18" i="5"/>
  <c r="EU18" i="5"/>
  <c r="ET18" i="5"/>
  <c r="ES18" i="5"/>
  <c r="ER18" i="5"/>
  <c r="EQ18" i="5"/>
  <c r="EP18" i="5"/>
  <c r="EO18" i="5"/>
  <c r="EN18" i="5"/>
  <c r="EM18" i="5"/>
  <c r="EL18" i="5"/>
  <c r="EK18" i="5"/>
  <c r="EJ18" i="5"/>
  <c r="EI18" i="5"/>
  <c r="EH18" i="5"/>
  <c r="EG18" i="5"/>
  <c r="EF18" i="5"/>
  <c r="EE18" i="5"/>
  <c r="ED18" i="5"/>
  <c r="EC18" i="5"/>
  <c r="EB18" i="5"/>
  <c r="EA18" i="5"/>
  <c r="DZ18" i="5"/>
  <c r="DY18" i="5"/>
  <c r="DX18" i="5"/>
  <c r="DW18" i="5"/>
  <c r="DV18" i="5"/>
  <c r="DU18" i="5"/>
  <c r="DT18" i="5"/>
  <c r="DS18" i="5"/>
  <c r="DR18" i="5"/>
  <c r="DQ18" i="5"/>
  <c r="DP18" i="5"/>
  <c r="DO18" i="5"/>
  <c r="DN18" i="5"/>
  <c r="DM18" i="5"/>
  <c r="DL18" i="5"/>
  <c r="DK18" i="5"/>
  <c r="DJ18" i="5"/>
  <c r="DI18" i="5"/>
  <c r="DH18" i="5"/>
  <c r="DG18" i="5"/>
  <c r="DF18" i="5"/>
  <c r="DE18" i="5"/>
  <c r="DD18" i="5"/>
  <c r="DC18" i="5"/>
  <c r="DB18" i="5"/>
  <c r="DA18" i="5"/>
  <c r="CZ18" i="5"/>
  <c r="CY18" i="5"/>
  <c r="CX18" i="5"/>
  <c r="CW18" i="5"/>
  <c r="CV18" i="5"/>
  <c r="CU18" i="5"/>
  <c r="CT18" i="5"/>
  <c r="CS18" i="5"/>
  <c r="CR18" i="5"/>
  <c r="CQ18" i="5"/>
  <c r="CP18" i="5"/>
  <c r="CO18" i="5"/>
  <c r="CN18" i="5"/>
  <c r="CM18" i="5"/>
  <c r="CL18" i="5"/>
  <c r="CK18" i="5"/>
  <c r="CJ18" i="5"/>
  <c r="CI18" i="5"/>
  <c r="CH18" i="5"/>
  <c r="CG18" i="5"/>
  <c r="CF18" i="5"/>
  <c r="CE18" i="5"/>
  <c r="CD18" i="5"/>
  <c r="CC18" i="5"/>
  <c r="CB18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D18" i="5"/>
  <c r="B17" i="5"/>
  <c r="KV17" i="5"/>
  <c r="KU17" i="5"/>
  <c r="KT17" i="5"/>
  <c r="KS17" i="5"/>
  <c r="KR17" i="5"/>
  <c r="KQ17" i="5"/>
  <c r="KP17" i="5"/>
  <c r="KO17" i="5"/>
  <c r="KN17" i="5"/>
  <c r="KM17" i="5"/>
  <c r="KL17" i="5"/>
  <c r="KK17" i="5"/>
  <c r="KJ17" i="5"/>
  <c r="KI17" i="5"/>
  <c r="KH17" i="5"/>
  <c r="KG17" i="5"/>
  <c r="KF17" i="5"/>
  <c r="KE17" i="5"/>
  <c r="KD17" i="5"/>
  <c r="KC17" i="5"/>
  <c r="KB17" i="5"/>
  <c r="KA17" i="5"/>
  <c r="JZ17" i="5"/>
  <c r="JY17" i="5"/>
  <c r="JX17" i="5"/>
  <c r="JW17" i="5"/>
  <c r="JV17" i="5"/>
  <c r="JU17" i="5"/>
  <c r="JT17" i="5"/>
  <c r="JS17" i="5"/>
  <c r="JR17" i="5"/>
  <c r="JQ17" i="5"/>
  <c r="JP17" i="5"/>
  <c r="JO17" i="5"/>
  <c r="JN17" i="5"/>
  <c r="JM17" i="5"/>
  <c r="JL17" i="5"/>
  <c r="JK17" i="5"/>
  <c r="JJ17" i="5"/>
  <c r="JI17" i="5"/>
  <c r="JH17" i="5"/>
  <c r="JG17" i="5"/>
  <c r="JF17" i="5"/>
  <c r="JE17" i="5"/>
  <c r="JD17" i="5"/>
  <c r="JC17" i="5"/>
  <c r="JB17" i="5"/>
  <c r="JA17" i="5"/>
  <c r="IZ17" i="5"/>
  <c r="IY17" i="5"/>
  <c r="IX17" i="5"/>
  <c r="IW17" i="5"/>
  <c r="IV17" i="5"/>
  <c r="IU17" i="5"/>
  <c r="IT17" i="5"/>
  <c r="IS17" i="5"/>
  <c r="IR17" i="5"/>
  <c r="IQ17" i="5"/>
  <c r="IP17" i="5"/>
  <c r="IO17" i="5"/>
  <c r="IN17" i="5"/>
  <c r="IM17" i="5"/>
  <c r="IL17" i="5"/>
  <c r="IK17" i="5"/>
  <c r="IJ17" i="5"/>
  <c r="II17" i="5"/>
  <c r="IH17" i="5"/>
  <c r="IG17" i="5"/>
  <c r="IF17" i="5"/>
  <c r="IE17" i="5"/>
  <c r="ID17" i="5"/>
  <c r="IC17" i="5"/>
  <c r="IB17" i="5"/>
  <c r="IA17" i="5"/>
  <c r="HZ17" i="5"/>
  <c r="HY17" i="5"/>
  <c r="HX17" i="5"/>
  <c r="HW17" i="5"/>
  <c r="HV17" i="5"/>
  <c r="HU17" i="5"/>
  <c r="HT17" i="5"/>
  <c r="HS17" i="5"/>
  <c r="HR17" i="5"/>
  <c r="HQ17" i="5"/>
  <c r="HP17" i="5"/>
  <c r="HO17" i="5"/>
  <c r="HN17" i="5"/>
  <c r="HM17" i="5"/>
  <c r="HL17" i="5"/>
  <c r="HK17" i="5"/>
  <c r="HJ17" i="5"/>
  <c r="HI17" i="5"/>
  <c r="HH17" i="5"/>
  <c r="HG17" i="5"/>
  <c r="HF17" i="5"/>
  <c r="HE17" i="5"/>
  <c r="HD17" i="5"/>
  <c r="HC17" i="5"/>
  <c r="HB17" i="5"/>
  <c r="HA17" i="5"/>
  <c r="GZ17" i="5"/>
  <c r="GY17" i="5"/>
  <c r="GX17" i="5"/>
  <c r="GW17" i="5"/>
  <c r="GV17" i="5"/>
  <c r="GU17" i="5"/>
  <c r="GT17" i="5"/>
  <c r="GS17" i="5"/>
  <c r="GR17" i="5"/>
  <c r="GQ17" i="5"/>
  <c r="GP17" i="5"/>
  <c r="GO17" i="5"/>
  <c r="GN17" i="5"/>
  <c r="GM17" i="5"/>
  <c r="GL17" i="5"/>
  <c r="GK17" i="5"/>
  <c r="GJ17" i="5"/>
  <c r="GI17" i="5"/>
  <c r="GH17" i="5"/>
  <c r="GG17" i="5"/>
  <c r="GF17" i="5"/>
  <c r="GE17" i="5"/>
  <c r="GD17" i="5"/>
  <c r="GC17" i="5"/>
  <c r="GB17" i="5"/>
  <c r="GA17" i="5"/>
  <c r="FZ17" i="5"/>
  <c r="FY17" i="5"/>
  <c r="FX17" i="5"/>
  <c r="FW17" i="5"/>
  <c r="FV17" i="5"/>
  <c r="FU17" i="5"/>
  <c r="FT17" i="5"/>
  <c r="FS17" i="5"/>
  <c r="FR17" i="5"/>
  <c r="FQ17" i="5"/>
  <c r="FP17" i="5"/>
  <c r="FO17" i="5"/>
  <c r="FN17" i="5"/>
  <c r="FM17" i="5"/>
  <c r="FL17" i="5"/>
  <c r="FK17" i="5"/>
  <c r="FJ17" i="5"/>
  <c r="FI17" i="5"/>
  <c r="FH17" i="5"/>
  <c r="FG17" i="5"/>
  <c r="FF17" i="5"/>
  <c r="FE17" i="5"/>
  <c r="FD17" i="5"/>
  <c r="FC17" i="5"/>
  <c r="FB17" i="5"/>
  <c r="FA17" i="5"/>
  <c r="EZ17" i="5"/>
  <c r="EY17" i="5"/>
  <c r="EX17" i="5"/>
  <c r="EW17" i="5"/>
  <c r="EV17" i="5"/>
  <c r="EU17" i="5"/>
  <c r="ET17" i="5"/>
  <c r="ES17" i="5"/>
  <c r="ER17" i="5"/>
  <c r="EQ17" i="5"/>
  <c r="EP17" i="5"/>
  <c r="EO17" i="5"/>
  <c r="EN17" i="5"/>
  <c r="EM17" i="5"/>
  <c r="EL17" i="5"/>
  <c r="EK17" i="5"/>
  <c r="EJ17" i="5"/>
  <c r="EI17" i="5"/>
  <c r="EH17" i="5"/>
  <c r="EG17" i="5"/>
  <c r="EF17" i="5"/>
  <c r="EE17" i="5"/>
  <c r="ED17" i="5"/>
  <c r="EC17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CZ17" i="5"/>
  <c r="CY17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D17" i="5"/>
  <c r="B16" i="5"/>
  <c r="KV16" i="5"/>
  <c r="KU16" i="5"/>
  <c r="KT16" i="5"/>
  <c r="KS16" i="5"/>
  <c r="KR16" i="5"/>
  <c r="KQ16" i="5"/>
  <c r="KP16" i="5"/>
  <c r="KO16" i="5"/>
  <c r="KN16" i="5"/>
  <c r="KM16" i="5"/>
  <c r="KL16" i="5"/>
  <c r="KK16" i="5"/>
  <c r="KJ16" i="5"/>
  <c r="KI16" i="5"/>
  <c r="KH16" i="5"/>
  <c r="KG16" i="5"/>
  <c r="KF16" i="5"/>
  <c r="KE16" i="5"/>
  <c r="KD16" i="5"/>
  <c r="KC16" i="5"/>
  <c r="KB16" i="5"/>
  <c r="KA16" i="5"/>
  <c r="JZ16" i="5"/>
  <c r="JY16" i="5"/>
  <c r="JX16" i="5"/>
  <c r="JW16" i="5"/>
  <c r="JV16" i="5"/>
  <c r="JU16" i="5"/>
  <c r="JT16" i="5"/>
  <c r="JS16" i="5"/>
  <c r="JR16" i="5"/>
  <c r="JQ16" i="5"/>
  <c r="JP16" i="5"/>
  <c r="JO16" i="5"/>
  <c r="JN16" i="5"/>
  <c r="JM16" i="5"/>
  <c r="JL16" i="5"/>
  <c r="JK16" i="5"/>
  <c r="JJ16" i="5"/>
  <c r="JI16" i="5"/>
  <c r="JH16" i="5"/>
  <c r="JG16" i="5"/>
  <c r="JF16" i="5"/>
  <c r="JE16" i="5"/>
  <c r="JD16" i="5"/>
  <c r="JC16" i="5"/>
  <c r="JB16" i="5"/>
  <c r="JA16" i="5"/>
  <c r="IZ16" i="5"/>
  <c r="IY16" i="5"/>
  <c r="IX16" i="5"/>
  <c r="IW16" i="5"/>
  <c r="IV16" i="5"/>
  <c r="IU16" i="5"/>
  <c r="IT16" i="5"/>
  <c r="IS16" i="5"/>
  <c r="IR16" i="5"/>
  <c r="IQ16" i="5"/>
  <c r="IP16" i="5"/>
  <c r="IO16" i="5"/>
  <c r="IN16" i="5"/>
  <c r="IM16" i="5"/>
  <c r="IL16" i="5"/>
  <c r="IK16" i="5"/>
  <c r="IJ16" i="5"/>
  <c r="II16" i="5"/>
  <c r="IH16" i="5"/>
  <c r="IG16" i="5"/>
  <c r="IF16" i="5"/>
  <c r="IE16" i="5"/>
  <c r="ID16" i="5"/>
  <c r="IC16" i="5"/>
  <c r="IB16" i="5"/>
  <c r="IA16" i="5"/>
  <c r="HZ16" i="5"/>
  <c r="HY16" i="5"/>
  <c r="HX16" i="5"/>
  <c r="HW16" i="5"/>
  <c r="HV16" i="5"/>
  <c r="HU16" i="5"/>
  <c r="HT16" i="5"/>
  <c r="HS16" i="5"/>
  <c r="HR16" i="5"/>
  <c r="HQ16" i="5"/>
  <c r="HP16" i="5"/>
  <c r="HO16" i="5"/>
  <c r="HN16" i="5"/>
  <c r="HM16" i="5"/>
  <c r="HL16" i="5"/>
  <c r="HK16" i="5"/>
  <c r="HJ16" i="5"/>
  <c r="HI16" i="5"/>
  <c r="HH16" i="5"/>
  <c r="HG16" i="5"/>
  <c r="HF16" i="5"/>
  <c r="HE16" i="5"/>
  <c r="HD16" i="5"/>
  <c r="HC16" i="5"/>
  <c r="HB16" i="5"/>
  <c r="HA16" i="5"/>
  <c r="GZ16" i="5"/>
  <c r="GY16" i="5"/>
  <c r="GX16" i="5"/>
  <c r="GW16" i="5"/>
  <c r="GV16" i="5"/>
  <c r="GU16" i="5"/>
  <c r="GT16" i="5"/>
  <c r="GS16" i="5"/>
  <c r="GR16" i="5"/>
  <c r="GQ16" i="5"/>
  <c r="GP16" i="5"/>
  <c r="GO16" i="5"/>
  <c r="GN16" i="5"/>
  <c r="GM16" i="5"/>
  <c r="GL16" i="5"/>
  <c r="GK16" i="5"/>
  <c r="GJ16" i="5"/>
  <c r="GI16" i="5"/>
  <c r="GH16" i="5"/>
  <c r="GG16" i="5"/>
  <c r="GF16" i="5"/>
  <c r="GE16" i="5"/>
  <c r="GD16" i="5"/>
  <c r="GC16" i="5"/>
  <c r="GB16" i="5"/>
  <c r="GA16" i="5"/>
  <c r="FZ16" i="5"/>
  <c r="FY16" i="5"/>
  <c r="FX16" i="5"/>
  <c r="FW16" i="5"/>
  <c r="FV16" i="5"/>
  <c r="FU16" i="5"/>
  <c r="FT16" i="5"/>
  <c r="FS16" i="5"/>
  <c r="FR16" i="5"/>
  <c r="FQ16" i="5"/>
  <c r="FP16" i="5"/>
  <c r="FO16" i="5"/>
  <c r="FN16" i="5"/>
  <c r="FM16" i="5"/>
  <c r="FL16" i="5"/>
  <c r="FK16" i="5"/>
  <c r="FJ16" i="5"/>
  <c r="FI16" i="5"/>
  <c r="FH16" i="5"/>
  <c r="FG16" i="5"/>
  <c r="FF16" i="5"/>
  <c r="FE16" i="5"/>
  <c r="FD16" i="5"/>
  <c r="FC16" i="5"/>
  <c r="FB16" i="5"/>
  <c r="FA16" i="5"/>
  <c r="EZ16" i="5"/>
  <c r="EY16" i="5"/>
  <c r="EX16" i="5"/>
  <c r="EW16" i="5"/>
  <c r="EV16" i="5"/>
  <c r="EU16" i="5"/>
  <c r="ET16" i="5"/>
  <c r="ES16" i="5"/>
  <c r="ER16" i="5"/>
  <c r="EQ16" i="5"/>
  <c r="EP16" i="5"/>
  <c r="EO16" i="5"/>
  <c r="EN16" i="5"/>
  <c r="EM16" i="5"/>
  <c r="EL16" i="5"/>
  <c r="EK16" i="5"/>
  <c r="EJ16" i="5"/>
  <c r="EI16" i="5"/>
  <c r="EH16" i="5"/>
  <c r="EG16" i="5"/>
  <c r="EF16" i="5"/>
  <c r="EE16" i="5"/>
  <c r="ED16" i="5"/>
  <c r="EC16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C16" i="5"/>
  <c r="DB16" i="5"/>
  <c r="DA16" i="5"/>
  <c r="CZ16" i="5"/>
  <c r="CY16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D16" i="5"/>
  <c r="B15" i="5"/>
  <c r="KV15" i="5"/>
  <c r="KU15" i="5"/>
  <c r="KT15" i="5"/>
  <c r="KS15" i="5"/>
  <c r="KR15" i="5"/>
  <c r="KQ15" i="5"/>
  <c r="KP15" i="5"/>
  <c r="KO15" i="5"/>
  <c r="KN15" i="5"/>
  <c r="KM15" i="5"/>
  <c r="KL15" i="5"/>
  <c r="KK15" i="5"/>
  <c r="KJ15" i="5"/>
  <c r="KI15" i="5"/>
  <c r="KH15" i="5"/>
  <c r="KG15" i="5"/>
  <c r="KF15" i="5"/>
  <c r="KE15" i="5"/>
  <c r="KD15" i="5"/>
  <c r="KC15" i="5"/>
  <c r="KB15" i="5"/>
  <c r="KA15" i="5"/>
  <c r="JZ15" i="5"/>
  <c r="JY15" i="5"/>
  <c r="JX15" i="5"/>
  <c r="JW15" i="5"/>
  <c r="JV15" i="5"/>
  <c r="JU15" i="5"/>
  <c r="JT15" i="5"/>
  <c r="JS15" i="5"/>
  <c r="JR15" i="5"/>
  <c r="JQ15" i="5"/>
  <c r="JP15" i="5"/>
  <c r="JO15" i="5"/>
  <c r="JN15" i="5"/>
  <c r="JM15" i="5"/>
  <c r="JL15" i="5"/>
  <c r="JK15" i="5"/>
  <c r="JJ15" i="5"/>
  <c r="JI15" i="5"/>
  <c r="JH15" i="5"/>
  <c r="JG15" i="5"/>
  <c r="JF15" i="5"/>
  <c r="JE15" i="5"/>
  <c r="JD15" i="5"/>
  <c r="JC15" i="5"/>
  <c r="JB15" i="5"/>
  <c r="JA15" i="5"/>
  <c r="IZ15" i="5"/>
  <c r="IY15" i="5"/>
  <c r="IX15" i="5"/>
  <c r="IW15" i="5"/>
  <c r="IV15" i="5"/>
  <c r="IU15" i="5"/>
  <c r="IT15" i="5"/>
  <c r="IS15" i="5"/>
  <c r="IR15" i="5"/>
  <c r="IQ15" i="5"/>
  <c r="IP15" i="5"/>
  <c r="IO15" i="5"/>
  <c r="IN15" i="5"/>
  <c r="IM15" i="5"/>
  <c r="IL15" i="5"/>
  <c r="IK15" i="5"/>
  <c r="IJ15" i="5"/>
  <c r="II15" i="5"/>
  <c r="IH15" i="5"/>
  <c r="IG15" i="5"/>
  <c r="IF15" i="5"/>
  <c r="IE15" i="5"/>
  <c r="ID15" i="5"/>
  <c r="IC15" i="5"/>
  <c r="IB15" i="5"/>
  <c r="IA15" i="5"/>
  <c r="HZ15" i="5"/>
  <c r="HY15" i="5"/>
  <c r="HX15" i="5"/>
  <c r="HW15" i="5"/>
  <c r="HV15" i="5"/>
  <c r="HU15" i="5"/>
  <c r="HT15" i="5"/>
  <c r="HS15" i="5"/>
  <c r="HR15" i="5"/>
  <c r="HQ15" i="5"/>
  <c r="HP15" i="5"/>
  <c r="HO15" i="5"/>
  <c r="HN15" i="5"/>
  <c r="HM15" i="5"/>
  <c r="HL15" i="5"/>
  <c r="HK15" i="5"/>
  <c r="HJ15" i="5"/>
  <c r="HI15" i="5"/>
  <c r="HH15" i="5"/>
  <c r="HG15" i="5"/>
  <c r="HF15" i="5"/>
  <c r="HE15" i="5"/>
  <c r="HD15" i="5"/>
  <c r="HC15" i="5"/>
  <c r="HB15" i="5"/>
  <c r="HA15" i="5"/>
  <c r="GZ15" i="5"/>
  <c r="GY15" i="5"/>
  <c r="GX15" i="5"/>
  <c r="GW15" i="5"/>
  <c r="GV15" i="5"/>
  <c r="GU15" i="5"/>
  <c r="GT15" i="5"/>
  <c r="GS15" i="5"/>
  <c r="GR15" i="5"/>
  <c r="GQ15" i="5"/>
  <c r="GP15" i="5"/>
  <c r="GO15" i="5"/>
  <c r="GN15" i="5"/>
  <c r="GM15" i="5"/>
  <c r="GL15" i="5"/>
  <c r="GK15" i="5"/>
  <c r="GJ15" i="5"/>
  <c r="GI15" i="5"/>
  <c r="GH15" i="5"/>
  <c r="GG15" i="5"/>
  <c r="GF15" i="5"/>
  <c r="GE15" i="5"/>
  <c r="GD15" i="5"/>
  <c r="GC15" i="5"/>
  <c r="GB15" i="5"/>
  <c r="GA15" i="5"/>
  <c r="FZ15" i="5"/>
  <c r="FY15" i="5"/>
  <c r="FX15" i="5"/>
  <c r="FW15" i="5"/>
  <c r="FV15" i="5"/>
  <c r="FU15" i="5"/>
  <c r="FT15" i="5"/>
  <c r="FS15" i="5"/>
  <c r="FR15" i="5"/>
  <c r="FQ15" i="5"/>
  <c r="FP15" i="5"/>
  <c r="FO15" i="5"/>
  <c r="FN15" i="5"/>
  <c r="FM15" i="5"/>
  <c r="FL15" i="5"/>
  <c r="FK15" i="5"/>
  <c r="FJ15" i="5"/>
  <c r="FI15" i="5"/>
  <c r="FH15" i="5"/>
  <c r="FG15" i="5"/>
  <c r="FF15" i="5"/>
  <c r="FE15" i="5"/>
  <c r="FD15" i="5"/>
  <c r="FC15" i="5"/>
  <c r="FB15" i="5"/>
  <c r="FA15" i="5"/>
  <c r="EZ15" i="5"/>
  <c r="EY15" i="5"/>
  <c r="EX15" i="5"/>
  <c r="EW15" i="5"/>
  <c r="EV15" i="5"/>
  <c r="EU15" i="5"/>
  <c r="ET15" i="5"/>
  <c r="ES15" i="5"/>
  <c r="ER15" i="5"/>
  <c r="EQ15" i="5"/>
  <c r="EP15" i="5"/>
  <c r="EO15" i="5"/>
  <c r="EN15" i="5"/>
  <c r="EM15" i="5"/>
  <c r="EL15" i="5"/>
  <c r="EK15" i="5"/>
  <c r="EJ15" i="5"/>
  <c r="EI15" i="5"/>
  <c r="EH15" i="5"/>
  <c r="EG15" i="5"/>
  <c r="EF15" i="5"/>
  <c r="EE15" i="5"/>
  <c r="ED15" i="5"/>
  <c r="EC15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CZ15" i="5"/>
  <c r="CY15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D15" i="5"/>
  <c r="B14" i="5"/>
  <c r="KV14" i="5"/>
  <c r="KU14" i="5"/>
  <c r="KT14" i="5"/>
  <c r="KS14" i="5"/>
  <c r="KR14" i="5"/>
  <c r="KQ14" i="5"/>
  <c r="KP14" i="5"/>
  <c r="KO14" i="5"/>
  <c r="KN14" i="5"/>
  <c r="KM14" i="5"/>
  <c r="KL14" i="5"/>
  <c r="KK14" i="5"/>
  <c r="KJ14" i="5"/>
  <c r="KI14" i="5"/>
  <c r="KH14" i="5"/>
  <c r="KG14" i="5"/>
  <c r="KF14" i="5"/>
  <c r="KE14" i="5"/>
  <c r="KD14" i="5"/>
  <c r="KC14" i="5"/>
  <c r="KB14" i="5"/>
  <c r="KA14" i="5"/>
  <c r="JZ14" i="5"/>
  <c r="JY14" i="5"/>
  <c r="JX14" i="5"/>
  <c r="JW14" i="5"/>
  <c r="JV14" i="5"/>
  <c r="JU14" i="5"/>
  <c r="JT14" i="5"/>
  <c r="JS14" i="5"/>
  <c r="JR14" i="5"/>
  <c r="JQ14" i="5"/>
  <c r="JP14" i="5"/>
  <c r="JO14" i="5"/>
  <c r="JN14" i="5"/>
  <c r="JM14" i="5"/>
  <c r="JL14" i="5"/>
  <c r="JK14" i="5"/>
  <c r="JJ14" i="5"/>
  <c r="JI14" i="5"/>
  <c r="JH14" i="5"/>
  <c r="JG14" i="5"/>
  <c r="JF14" i="5"/>
  <c r="JE14" i="5"/>
  <c r="JD14" i="5"/>
  <c r="JC14" i="5"/>
  <c r="JB14" i="5"/>
  <c r="JA14" i="5"/>
  <c r="IZ14" i="5"/>
  <c r="IY14" i="5"/>
  <c r="IX14" i="5"/>
  <c r="IW14" i="5"/>
  <c r="IV14" i="5"/>
  <c r="IU14" i="5"/>
  <c r="IT14" i="5"/>
  <c r="IS14" i="5"/>
  <c r="IR14" i="5"/>
  <c r="IQ14" i="5"/>
  <c r="IP14" i="5"/>
  <c r="IO14" i="5"/>
  <c r="IN14" i="5"/>
  <c r="IM14" i="5"/>
  <c r="IL14" i="5"/>
  <c r="IK14" i="5"/>
  <c r="IJ14" i="5"/>
  <c r="II14" i="5"/>
  <c r="IH14" i="5"/>
  <c r="IG14" i="5"/>
  <c r="IF14" i="5"/>
  <c r="IE14" i="5"/>
  <c r="ID14" i="5"/>
  <c r="IC14" i="5"/>
  <c r="IB14" i="5"/>
  <c r="IA14" i="5"/>
  <c r="HZ14" i="5"/>
  <c r="HY14" i="5"/>
  <c r="HX14" i="5"/>
  <c r="HW14" i="5"/>
  <c r="HV14" i="5"/>
  <c r="HU14" i="5"/>
  <c r="HT14" i="5"/>
  <c r="HS14" i="5"/>
  <c r="HR14" i="5"/>
  <c r="HQ14" i="5"/>
  <c r="HP14" i="5"/>
  <c r="HO14" i="5"/>
  <c r="HN14" i="5"/>
  <c r="HM14" i="5"/>
  <c r="HL14" i="5"/>
  <c r="HK14" i="5"/>
  <c r="HJ14" i="5"/>
  <c r="HI14" i="5"/>
  <c r="HH14" i="5"/>
  <c r="HG14" i="5"/>
  <c r="HF14" i="5"/>
  <c r="HE14" i="5"/>
  <c r="HD14" i="5"/>
  <c r="HC14" i="5"/>
  <c r="HB14" i="5"/>
  <c r="HA14" i="5"/>
  <c r="GZ14" i="5"/>
  <c r="GY14" i="5"/>
  <c r="GX14" i="5"/>
  <c r="GW14" i="5"/>
  <c r="GV14" i="5"/>
  <c r="GU14" i="5"/>
  <c r="GT14" i="5"/>
  <c r="GS14" i="5"/>
  <c r="GR14" i="5"/>
  <c r="GQ14" i="5"/>
  <c r="GP14" i="5"/>
  <c r="GO14" i="5"/>
  <c r="GN14" i="5"/>
  <c r="GM14" i="5"/>
  <c r="GL14" i="5"/>
  <c r="GK14" i="5"/>
  <c r="GJ14" i="5"/>
  <c r="GI14" i="5"/>
  <c r="GH14" i="5"/>
  <c r="GG14" i="5"/>
  <c r="GF14" i="5"/>
  <c r="GE14" i="5"/>
  <c r="GD14" i="5"/>
  <c r="GC14" i="5"/>
  <c r="GB14" i="5"/>
  <c r="GA14" i="5"/>
  <c r="FZ14" i="5"/>
  <c r="FY14" i="5"/>
  <c r="FX14" i="5"/>
  <c r="FW14" i="5"/>
  <c r="FV14" i="5"/>
  <c r="FU14" i="5"/>
  <c r="FT14" i="5"/>
  <c r="FS14" i="5"/>
  <c r="FR14" i="5"/>
  <c r="FQ14" i="5"/>
  <c r="FP14" i="5"/>
  <c r="FO14" i="5"/>
  <c r="FN14" i="5"/>
  <c r="FM14" i="5"/>
  <c r="FL14" i="5"/>
  <c r="FK14" i="5"/>
  <c r="FJ14" i="5"/>
  <c r="FI14" i="5"/>
  <c r="FH14" i="5"/>
  <c r="FG14" i="5"/>
  <c r="FF14" i="5"/>
  <c r="FE14" i="5"/>
  <c r="FD14" i="5"/>
  <c r="FC14" i="5"/>
  <c r="FB14" i="5"/>
  <c r="FA14" i="5"/>
  <c r="EZ14" i="5"/>
  <c r="EY14" i="5"/>
  <c r="EX14" i="5"/>
  <c r="EW14" i="5"/>
  <c r="EV14" i="5"/>
  <c r="EU14" i="5"/>
  <c r="ET14" i="5"/>
  <c r="ES14" i="5"/>
  <c r="ER14" i="5"/>
  <c r="EQ14" i="5"/>
  <c r="EP14" i="5"/>
  <c r="EO14" i="5"/>
  <c r="EN14" i="5"/>
  <c r="EM14" i="5"/>
  <c r="EL14" i="5"/>
  <c r="EK14" i="5"/>
  <c r="EJ14" i="5"/>
  <c r="EI14" i="5"/>
  <c r="EH14" i="5"/>
  <c r="EG14" i="5"/>
  <c r="EF14" i="5"/>
  <c r="EE14" i="5"/>
  <c r="ED14" i="5"/>
  <c r="EC14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CZ14" i="5"/>
  <c r="CY14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D14" i="5"/>
  <c r="B13" i="5"/>
  <c r="KV13" i="5"/>
  <c r="KU13" i="5"/>
  <c r="KT13" i="5"/>
  <c r="KS13" i="5"/>
  <c r="KR13" i="5"/>
  <c r="KQ13" i="5"/>
  <c r="KP13" i="5"/>
  <c r="KO13" i="5"/>
  <c r="KN13" i="5"/>
  <c r="KM13" i="5"/>
  <c r="KL13" i="5"/>
  <c r="KK13" i="5"/>
  <c r="KJ13" i="5"/>
  <c r="KI13" i="5"/>
  <c r="KH13" i="5"/>
  <c r="KG13" i="5"/>
  <c r="KF13" i="5"/>
  <c r="KE13" i="5"/>
  <c r="KD13" i="5"/>
  <c r="KC13" i="5"/>
  <c r="KB13" i="5"/>
  <c r="KA13" i="5"/>
  <c r="JZ13" i="5"/>
  <c r="JY13" i="5"/>
  <c r="JX13" i="5"/>
  <c r="JW13" i="5"/>
  <c r="JV13" i="5"/>
  <c r="JU13" i="5"/>
  <c r="JT13" i="5"/>
  <c r="JS13" i="5"/>
  <c r="JR13" i="5"/>
  <c r="JQ13" i="5"/>
  <c r="JP13" i="5"/>
  <c r="JO13" i="5"/>
  <c r="JN13" i="5"/>
  <c r="JM13" i="5"/>
  <c r="JL13" i="5"/>
  <c r="JK13" i="5"/>
  <c r="JJ13" i="5"/>
  <c r="JI13" i="5"/>
  <c r="JH13" i="5"/>
  <c r="JG13" i="5"/>
  <c r="JF13" i="5"/>
  <c r="JE13" i="5"/>
  <c r="JD13" i="5"/>
  <c r="JC13" i="5"/>
  <c r="JB13" i="5"/>
  <c r="JA13" i="5"/>
  <c r="IZ13" i="5"/>
  <c r="IY13" i="5"/>
  <c r="IX13" i="5"/>
  <c r="IW13" i="5"/>
  <c r="IV13" i="5"/>
  <c r="IU13" i="5"/>
  <c r="IT13" i="5"/>
  <c r="IS13" i="5"/>
  <c r="IR13" i="5"/>
  <c r="IQ13" i="5"/>
  <c r="IP13" i="5"/>
  <c r="IO13" i="5"/>
  <c r="IN13" i="5"/>
  <c r="IM13" i="5"/>
  <c r="IL13" i="5"/>
  <c r="IK13" i="5"/>
  <c r="IJ13" i="5"/>
  <c r="II13" i="5"/>
  <c r="IH13" i="5"/>
  <c r="IG13" i="5"/>
  <c r="IF13" i="5"/>
  <c r="IE13" i="5"/>
  <c r="ID13" i="5"/>
  <c r="IC13" i="5"/>
  <c r="IB13" i="5"/>
  <c r="IA13" i="5"/>
  <c r="HZ13" i="5"/>
  <c r="HY13" i="5"/>
  <c r="HX13" i="5"/>
  <c r="HW13" i="5"/>
  <c r="HV13" i="5"/>
  <c r="HU13" i="5"/>
  <c r="HT13" i="5"/>
  <c r="HS13" i="5"/>
  <c r="HR13" i="5"/>
  <c r="HQ13" i="5"/>
  <c r="HP13" i="5"/>
  <c r="HO13" i="5"/>
  <c r="HN13" i="5"/>
  <c r="HM13" i="5"/>
  <c r="HL13" i="5"/>
  <c r="HK13" i="5"/>
  <c r="HJ13" i="5"/>
  <c r="HI13" i="5"/>
  <c r="HH13" i="5"/>
  <c r="HG13" i="5"/>
  <c r="HF13" i="5"/>
  <c r="HE13" i="5"/>
  <c r="HD13" i="5"/>
  <c r="HC13" i="5"/>
  <c r="HB13" i="5"/>
  <c r="HA13" i="5"/>
  <c r="GZ13" i="5"/>
  <c r="GY13" i="5"/>
  <c r="GX13" i="5"/>
  <c r="GW13" i="5"/>
  <c r="GV13" i="5"/>
  <c r="GU13" i="5"/>
  <c r="GT13" i="5"/>
  <c r="GS13" i="5"/>
  <c r="GR13" i="5"/>
  <c r="GQ13" i="5"/>
  <c r="GP13" i="5"/>
  <c r="GO13" i="5"/>
  <c r="GN13" i="5"/>
  <c r="GM13" i="5"/>
  <c r="GL13" i="5"/>
  <c r="GK13" i="5"/>
  <c r="GJ13" i="5"/>
  <c r="GI13" i="5"/>
  <c r="GH13" i="5"/>
  <c r="GG13" i="5"/>
  <c r="GF13" i="5"/>
  <c r="GE13" i="5"/>
  <c r="GD13" i="5"/>
  <c r="GC13" i="5"/>
  <c r="GB13" i="5"/>
  <c r="GA13" i="5"/>
  <c r="FZ13" i="5"/>
  <c r="FY13" i="5"/>
  <c r="FX13" i="5"/>
  <c r="FW13" i="5"/>
  <c r="FV13" i="5"/>
  <c r="FU13" i="5"/>
  <c r="FT13" i="5"/>
  <c r="FS13" i="5"/>
  <c r="FR13" i="5"/>
  <c r="FQ13" i="5"/>
  <c r="FP13" i="5"/>
  <c r="FO13" i="5"/>
  <c r="FN13" i="5"/>
  <c r="FM13" i="5"/>
  <c r="FL13" i="5"/>
  <c r="FK13" i="5"/>
  <c r="FJ13" i="5"/>
  <c r="FI13" i="5"/>
  <c r="FH13" i="5"/>
  <c r="FG13" i="5"/>
  <c r="FF13" i="5"/>
  <c r="FE13" i="5"/>
  <c r="FD13" i="5"/>
  <c r="FC13" i="5"/>
  <c r="FB13" i="5"/>
  <c r="FA13" i="5"/>
  <c r="EZ13" i="5"/>
  <c r="EY13" i="5"/>
  <c r="EX13" i="5"/>
  <c r="EW13" i="5"/>
  <c r="EV13" i="5"/>
  <c r="EU13" i="5"/>
  <c r="ET13" i="5"/>
  <c r="ES13" i="5"/>
  <c r="ER13" i="5"/>
  <c r="EQ13" i="5"/>
  <c r="EP13" i="5"/>
  <c r="EO13" i="5"/>
  <c r="EN13" i="5"/>
  <c r="EM13" i="5"/>
  <c r="EL13" i="5"/>
  <c r="EK13" i="5"/>
  <c r="EJ13" i="5"/>
  <c r="EI13" i="5"/>
  <c r="EH13" i="5"/>
  <c r="EG13" i="5"/>
  <c r="EF13" i="5"/>
  <c r="EE13" i="5"/>
  <c r="ED13" i="5"/>
  <c r="EC13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D13" i="5"/>
  <c r="B12" i="5"/>
  <c r="KV12" i="5"/>
  <c r="KU12" i="5"/>
  <c r="KT12" i="5"/>
  <c r="KS12" i="5"/>
  <c r="KR12" i="5"/>
  <c r="KQ12" i="5"/>
  <c r="KP12" i="5"/>
  <c r="KO12" i="5"/>
  <c r="KN12" i="5"/>
  <c r="KM12" i="5"/>
  <c r="KL12" i="5"/>
  <c r="KK12" i="5"/>
  <c r="KJ12" i="5"/>
  <c r="KI12" i="5"/>
  <c r="KH12" i="5"/>
  <c r="KG12" i="5"/>
  <c r="KF12" i="5"/>
  <c r="KE12" i="5"/>
  <c r="KD12" i="5"/>
  <c r="KC12" i="5"/>
  <c r="KB12" i="5"/>
  <c r="KA12" i="5"/>
  <c r="JZ12" i="5"/>
  <c r="JY12" i="5"/>
  <c r="JX12" i="5"/>
  <c r="JW12" i="5"/>
  <c r="JV12" i="5"/>
  <c r="JU12" i="5"/>
  <c r="JT12" i="5"/>
  <c r="JS12" i="5"/>
  <c r="JR12" i="5"/>
  <c r="JQ12" i="5"/>
  <c r="JP12" i="5"/>
  <c r="JO12" i="5"/>
  <c r="JN12" i="5"/>
  <c r="JM12" i="5"/>
  <c r="JL12" i="5"/>
  <c r="JK12" i="5"/>
  <c r="JJ12" i="5"/>
  <c r="JI12" i="5"/>
  <c r="JH12" i="5"/>
  <c r="JG12" i="5"/>
  <c r="JF12" i="5"/>
  <c r="JE12" i="5"/>
  <c r="JD12" i="5"/>
  <c r="JC12" i="5"/>
  <c r="JB12" i="5"/>
  <c r="JA12" i="5"/>
  <c r="IZ12" i="5"/>
  <c r="IY12" i="5"/>
  <c r="IX12" i="5"/>
  <c r="IW12" i="5"/>
  <c r="IV12" i="5"/>
  <c r="IU12" i="5"/>
  <c r="IT12" i="5"/>
  <c r="IS12" i="5"/>
  <c r="IR12" i="5"/>
  <c r="IQ12" i="5"/>
  <c r="IP12" i="5"/>
  <c r="IO12" i="5"/>
  <c r="IN12" i="5"/>
  <c r="IM12" i="5"/>
  <c r="IL12" i="5"/>
  <c r="IK12" i="5"/>
  <c r="IJ12" i="5"/>
  <c r="II12" i="5"/>
  <c r="IH12" i="5"/>
  <c r="IG12" i="5"/>
  <c r="IF12" i="5"/>
  <c r="IE12" i="5"/>
  <c r="ID12" i="5"/>
  <c r="IC12" i="5"/>
  <c r="IB12" i="5"/>
  <c r="IA12" i="5"/>
  <c r="HZ12" i="5"/>
  <c r="HY12" i="5"/>
  <c r="HX12" i="5"/>
  <c r="HW12" i="5"/>
  <c r="HV12" i="5"/>
  <c r="HU12" i="5"/>
  <c r="HT12" i="5"/>
  <c r="HS12" i="5"/>
  <c r="HR12" i="5"/>
  <c r="HQ12" i="5"/>
  <c r="HP12" i="5"/>
  <c r="HO12" i="5"/>
  <c r="HN12" i="5"/>
  <c r="HM12" i="5"/>
  <c r="HL12" i="5"/>
  <c r="HK12" i="5"/>
  <c r="HJ12" i="5"/>
  <c r="HI12" i="5"/>
  <c r="HH12" i="5"/>
  <c r="HG12" i="5"/>
  <c r="HF12" i="5"/>
  <c r="HE12" i="5"/>
  <c r="HD12" i="5"/>
  <c r="HC12" i="5"/>
  <c r="HB12" i="5"/>
  <c r="HA12" i="5"/>
  <c r="GZ12" i="5"/>
  <c r="GY12" i="5"/>
  <c r="GX12" i="5"/>
  <c r="GW12" i="5"/>
  <c r="GV12" i="5"/>
  <c r="GU12" i="5"/>
  <c r="GT12" i="5"/>
  <c r="GS12" i="5"/>
  <c r="GR12" i="5"/>
  <c r="GQ12" i="5"/>
  <c r="GP12" i="5"/>
  <c r="GO12" i="5"/>
  <c r="GN12" i="5"/>
  <c r="GM12" i="5"/>
  <c r="GL12" i="5"/>
  <c r="GK12" i="5"/>
  <c r="GJ12" i="5"/>
  <c r="GI12" i="5"/>
  <c r="GH12" i="5"/>
  <c r="GG12" i="5"/>
  <c r="GF12" i="5"/>
  <c r="GE12" i="5"/>
  <c r="GD12" i="5"/>
  <c r="GC12" i="5"/>
  <c r="GB12" i="5"/>
  <c r="GA12" i="5"/>
  <c r="FZ12" i="5"/>
  <c r="FY12" i="5"/>
  <c r="FX12" i="5"/>
  <c r="FW12" i="5"/>
  <c r="FV12" i="5"/>
  <c r="FU12" i="5"/>
  <c r="FT12" i="5"/>
  <c r="FS12" i="5"/>
  <c r="FR12" i="5"/>
  <c r="FQ12" i="5"/>
  <c r="FP12" i="5"/>
  <c r="FO12" i="5"/>
  <c r="FN12" i="5"/>
  <c r="FM12" i="5"/>
  <c r="FL12" i="5"/>
  <c r="FK12" i="5"/>
  <c r="FJ12" i="5"/>
  <c r="FI12" i="5"/>
  <c r="FH12" i="5"/>
  <c r="FG12" i="5"/>
  <c r="FF12" i="5"/>
  <c r="FE12" i="5"/>
  <c r="FD12" i="5"/>
  <c r="FC12" i="5"/>
  <c r="FB12" i="5"/>
  <c r="FA12" i="5"/>
  <c r="EZ12" i="5"/>
  <c r="EY12" i="5"/>
  <c r="EX12" i="5"/>
  <c r="EW12" i="5"/>
  <c r="EV12" i="5"/>
  <c r="EU12" i="5"/>
  <c r="ET12" i="5"/>
  <c r="ES12" i="5"/>
  <c r="ER12" i="5"/>
  <c r="EQ12" i="5"/>
  <c r="EP12" i="5"/>
  <c r="EO12" i="5"/>
  <c r="EN12" i="5"/>
  <c r="EM12" i="5"/>
  <c r="EL12" i="5"/>
  <c r="EK12" i="5"/>
  <c r="EJ12" i="5"/>
  <c r="EI12" i="5"/>
  <c r="EH12" i="5"/>
  <c r="EG12" i="5"/>
  <c r="EF12" i="5"/>
  <c r="EE12" i="5"/>
  <c r="ED12" i="5"/>
  <c r="EC12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CZ12" i="5"/>
  <c r="CY12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D12" i="5"/>
  <c r="B11" i="5"/>
  <c r="KV11" i="5"/>
  <c r="KU11" i="5"/>
  <c r="KT11" i="5"/>
  <c r="KS11" i="5"/>
  <c r="KR11" i="5"/>
  <c r="KQ11" i="5"/>
  <c r="KP11" i="5"/>
  <c r="KO11" i="5"/>
  <c r="KN11" i="5"/>
  <c r="KM11" i="5"/>
  <c r="KL11" i="5"/>
  <c r="KK11" i="5"/>
  <c r="KJ11" i="5"/>
  <c r="KI11" i="5"/>
  <c r="KH11" i="5"/>
  <c r="KG11" i="5"/>
  <c r="KF11" i="5"/>
  <c r="KE11" i="5"/>
  <c r="KD11" i="5"/>
  <c r="KC11" i="5"/>
  <c r="KB11" i="5"/>
  <c r="KA11" i="5"/>
  <c r="JZ11" i="5"/>
  <c r="JY11" i="5"/>
  <c r="JX11" i="5"/>
  <c r="JW11" i="5"/>
  <c r="JV11" i="5"/>
  <c r="JU11" i="5"/>
  <c r="JT11" i="5"/>
  <c r="JS11" i="5"/>
  <c r="JR11" i="5"/>
  <c r="JQ11" i="5"/>
  <c r="JP11" i="5"/>
  <c r="JO11" i="5"/>
  <c r="JN11" i="5"/>
  <c r="JM11" i="5"/>
  <c r="JL11" i="5"/>
  <c r="JK11" i="5"/>
  <c r="JJ11" i="5"/>
  <c r="JI11" i="5"/>
  <c r="JH11" i="5"/>
  <c r="JG11" i="5"/>
  <c r="JF11" i="5"/>
  <c r="JE11" i="5"/>
  <c r="JD11" i="5"/>
  <c r="JC11" i="5"/>
  <c r="JB11" i="5"/>
  <c r="JA11" i="5"/>
  <c r="IZ11" i="5"/>
  <c r="IY11" i="5"/>
  <c r="IX11" i="5"/>
  <c r="IW11" i="5"/>
  <c r="IV11" i="5"/>
  <c r="IU11" i="5"/>
  <c r="IT11" i="5"/>
  <c r="IS11" i="5"/>
  <c r="IR11" i="5"/>
  <c r="IQ11" i="5"/>
  <c r="IP11" i="5"/>
  <c r="IO11" i="5"/>
  <c r="IN11" i="5"/>
  <c r="IM11" i="5"/>
  <c r="IL11" i="5"/>
  <c r="IK11" i="5"/>
  <c r="IJ11" i="5"/>
  <c r="II11" i="5"/>
  <c r="IH11" i="5"/>
  <c r="IG11" i="5"/>
  <c r="IF11" i="5"/>
  <c r="IE11" i="5"/>
  <c r="ID11" i="5"/>
  <c r="IC11" i="5"/>
  <c r="IB11" i="5"/>
  <c r="IA11" i="5"/>
  <c r="HZ11" i="5"/>
  <c r="HY11" i="5"/>
  <c r="HX11" i="5"/>
  <c r="HW11" i="5"/>
  <c r="HV11" i="5"/>
  <c r="HU11" i="5"/>
  <c r="HT11" i="5"/>
  <c r="HS11" i="5"/>
  <c r="HR11" i="5"/>
  <c r="HQ11" i="5"/>
  <c r="HP11" i="5"/>
  <c r="HO11" i="5"/>
  <c r="HN11" i="5"/>
  <c r="HM11" i="5"/>
  <c r="HL11" i="5"/>
  <c r="HK11" i="5"/>
  <c r="HJ11" i="5"/>
  <c r="HI11" i="5"/>
  <c r="HH11" i="5"/>
  <c r="HG11" i="5"/>
  <c r="HF11" i="5"/>
  <c r="HE11" i="5"/>
  <c r="HD11" i="5"/>
  <c r="HC11" i="5"/>
  <c r="HB11" i="5"/>
  <c r="HA11" i="5"/>
  <c r="GZ11" i="5"/>
  <c r="GY11" i="5"/>
  <c r="GX11" i="5"/>
  <c r="GW11" i="5"/>
  <c r="GV11" i="5"/>
  <c r="GU11" i="5"/>
  <c r="GT11" i="5"/>
  <c r="GS11" i="5"/>
  <c r="GR11" i="5"/>
  <c r="GQ11" i="5"/>
  <c r="GP11" i="5"/>
  <c r="GO11" i="5"/>
  <c r="GN11" i="5"/>
  <c r="GM11" i="5"/>
  <c r="GL11" i="5"/>
  <c r="GK11" i="5"/>
  <c r="GJ11" i="5"/>
  <c r="GI11" i="5"/>
  <c r="GH11" i="5"/>
  <c r="GG11" i="5"/>
  <c r="GF11" i="5"/>
  <c r="GE11" i="5"/>
  <c r="GD11" i="5"/>
  <c r="GC11" i="5"/>
  <c r="GB11" i="5"/>
  <c r="GA11" i="5"/>
  <c r="FZ11" i="5"/>
  <c r="FY11" i="5"/>
  <c r="FX11" i="5"/>
  <c r="FW11" i="5"/>
  <c r="FV11" i="5"/>
  <c r="FU11" i="5"/>
  <c r="FT11" i="5"/>
  <c r="FS11" i="5"/>
  <c r="FR11" i="5"/>
  <c r="FQ11" i="5"/>
  <c r="FP11" i="5"/>
  <c r="FO11" i="5"/>
  <c r="FN11" i="5"/>
  <c r="FM11" i="5"/>
  <c r="FL11" i="5"/>
  <c r="FK11" i="5"/>
  <c r="FJ11" i="5"/>
  <c r="FI11" i="5"/>
  <c r="FH11" i="5"/>
  <c r="FG11" i="5"/>
  <c r="FF11" i="5"/>
  <c r="FE11" i="5"/>
  <c r="FD11" i="5"/>
  <c r="FC11" i="5"/>
  <c r="FB11" i="5"/>
  <c r="FA11" i="5"/>
  <c r="EZ11" i="5"/>
  <c r="EY11" i="5"/>
  <c r="EX11" i="5"/>
  <c r="EW11" i="5"/>
  <c r="EV11" i="5"/>
  <c r="EU11" i="5"/>
  <c r="ET11" i="5"/>
  <c r="ES11" i="5"/>
  <c r="ER11" i="5"/>
  <c r="EQ11" i="5"/>
  <c r="EP11" i="5"/>
  <c r="EO11" i="5"/>
  <c r="EN11" i="5"/>
  <c r="EM11" i="5"/>
  <c r="EL11" i="5"/>
  <c r="EK11" i="5"/>
  <c r="EJ11" i="5"/>
  <c r="EI11" i="5"/>
  <c r="EH11" i="5"/>
  <c r="EG11" i="5"/>
  <c r="EF11" i="5"/>
  <c r="EE11" i="5"/>
  <c r="ED11" i="5"/>
  <c r="EC11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H11" i="5"/>
  <c r="DG11" i="5"/>
  <c r="DF11" i="5"/>
  <c r="DE11" i="5"/>
  <c r="DD11" i="5"/>
  <c r="DC11" i="5"/>
  <c r="DB11" i="5"/>
  <c r="DA11" i="5"/>
  <c r="CZ11" i="5"/>
  <c r="CY11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D11" i="5"/>
  <c r="B10" i="5"/>
  <c r="KV10" i="5"/>
  <c r="KU10" i="5"/>
  <c r="KT10" i="5"/>
  <c r="KS10" i="5"/>
  <c r="KR10" i="5"/>
  <c r="KQ10" i="5"/>
  <c r="KP10" i="5"/>
  <c r="KO10" i="5"/>
  <c r="KN10" i="5"/>
  <c r="KM10" i="5"/>
  <c r="KL10" i="5"/>
  <c r="KK10" i="5"/>
  <c r="KJ10" i="5"/>
  <c r="KI10" i="5"/>
  <c r="KH10" i="5"/>
  <c r="KG10" i="5"/>
  <c r="KF10" i="5"/>
  <c r="KE10" i="5"/>
  <c r="KD10" i="5"/>
  <c r="KC10" i="5"/>
  <c r="KB10" i="5"/>
  <c r="KA10" i="5"/>
  <c r="JZ10" i="5"/>
  <c r="JY10" i="5"/>
  <c r="JX10" i="5"/>
  <c r="JW10" i="5"/>
  <c r="JV10" i="5"/>
  <c r="JU10" i="5"/>
  <c r="JT10" i="5"/>
  <c r="JS10" i="5"/>
  <c r="JR10" i="5"/>
  <c r="JQ10" i="5"/>
  <c r="JP10" i="5"/>
  <c r="JO10" i="5"/>
  <c r="JN10" i="5"/>
  <c r="JM10" i="5"/>
  <c r="JL10" i="5"/>
  <c r="JK10" i="5"/>
  <c r="JJ10" i="5"/>
  <c r="JI10" i="5"/>
  <c r="JH10" i="5"/>
  <c r="JG10" i="5"/>
  <c r="JF10" i="5"/>
  <c r="JE10" i="5"/>
  <c r="JD10" i="5"/>
  <c r="JC10" i="5"/>
  <c r="JB10" i="5"/>
  <c r="JA10" i="5"/>
  <c r="IZ10" i="5"/>
  <c r="IY10" i="5"/>
  <c r="IX10" i="5"/>
  <c r="IW10" i="5"/>
  <c r="IV10" i="5"/>
  <c r="IU10" i="5"/>
  <c r="IT10" i="5"/>
  <c r="IS10" i="5"/>
  <c r="IR10" i="5"/>
  <c r="IQ10" i="5"/>
  <c r="IP10" i="5"/>
  <c r="IO10" i="5"/>
  <c r="IN10" i="5"/>
  <c r="IM10" i="5"/>
  <c r="IL10" i="5"/>
  <c r="IK10" i="5"/>
  <c r="IJ10" i="5"/>
  <c r="II10" i="5"/>
  <c r="IH10" i="5"/>
  <c r="IG10" i="5"/>
  <c r="IF10" i="5"/>
  <c r="IE10" i="5"/>
  <c r="ID10" i="5"/>
  <c r="IC10" i="5"/>
  <c r="IB10" i="5"/>
  <c r="IA10" i="5"/>
  <c r="HZ10" i="5"/>
  <c r="HY10" i="5"/>
  <c r="HX10" i="5"/>
  <c r="HW10" i="5"/>
  <c r="HV10" i="5"/>
  <c r="HU10" i="5"/>
  <c r="HT10" i="5"/>
  <c r="HS10" i="5"/>
  <c r="HR10" i="5"/>
  <c r="HQ10" i="5"/>
  <c r="HP10" i="5"/>
  <c r="HO10" i="5"/>
  <c r="HN10" i="5"/>
  <c r="HM10" i="5"/>
  <c r="HL10" i="5"/>
  <c r="HK10" i="5"/>
  <c r="HJ10" i="5"/>
  <c r="HI10" i="5"/>
  <c r="HH10" i="5"/>
  <c r="HG10" i="5"/>
  <c r="HF10" i="5"/>
  <c r="HE10" i="5"/>
  <c r="HD10" i="5"/>
  <c r="HC10" i="5"/>
  <c r="HB10" i="5"/>
  <c r="HA10" i="5"/>
  <c r="GZ10" i="5"/>
  <c r="GY10" i="5"/>
  <c r="GX10" i="5"/>
  <c r="GW10" i="5"/>
  <c r="GV10" i="5"/>
  <c r="GU10" i="5"/>
  <c r="GT10" i="5"/>
  <c r="GS10" i="5"/>
  <c r="GR10" i="5"/>
  <c r="GQ10" i="5"/>
  <c r="GP10" i="5"/>
  <c r="GO10" i="5"/>
  <c r="GN10" i="5"/>
  <c r="GM10" i="5"/>
  <c r="GL10" i="5"/>
  <c r="GK10" i="5"/>
  <c r="GJ10" i="5"/>
  <c r="GI10" i="5"/>
  <c r="GH10" i="5"/>
  <c r="GG10" i="5"/>
  <c r="GF10" i="5"/>
  <c r="GE10" i="5"/>
  <c r="GD10" i="5"/>
  <c r="GC10" i="5"/>
  <c r="GB10" i="5"/>
  <c r="GA10" i="5"/>
  <c r="FZ10" i="5"/>
  <c r="FY10" i="5"/>
  <c r="FX10" i="5"/>
  <c r="FW10" i="5"/>
  <c r="FV10" i="5"/>
  <c r="FU10" i="5"/>
  <c r="FT10" i="5"/>
  <c r="FS10" i="5"/>
  <c r="FR10" i="5"/>
  <c r="FQ10" i="5"/>
  <c r="FP10" i="5"/>
  <c r="FO10" i="5"/>
  <c r="FN10" i="5"/>
  <c r="FM10" i="5"/>
  <c r="FL10" i="5"/>
  <c r="FK10" i="5"/>
  <c r="FJ10" i="5"/>
  <c r="FI10" i="5"/>
  <c r="FH10" i="5"/>
  <c r="FG10" i="5"/>
  <c r="FF10" i="5"/>
  <c r="FE10" i="5"/>
  <c r="FD10" i="5"/>
  <c r="FC10" i="5"/>
  <c r="FB10" i="5"/>
  <c r="FA10" i="5"/>
  <c r="EZ10" i="5"/>
  <c r="EY10" i="5"/>
  <c r="EX10" i="5"/>
  <c r="EW10" i="5"/>
  <c r="EV10" i="5"/>
  <c r="EU10" i="5"/>
  <c r="ET10" i="5"/>
  <c r="ES10" i="5"/>
  <c r="ER10" i="5"/>
  <c r="EQ10" i="5"/>
  <c r="EP10" i="5"/>
  <c r="EO10" i="5"/>
  <c r="EN10" i="5"/>
  <c r="EM10" i="5"/>
  <c r="EL10" i="5"/>
  <c r="EK10" i="5"/>
  <c r="EJ10" i="5"/>
  <c r="EI10" i="5"/>
  <c r="EH10" i="5"/>
  <c r="EG10" i="5"/>
  <c r="EF10" i="5"/>
  <c r="EE10" i="5"/>
  <c r="ED10" i="5"/>
  <c r="EC10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H10" i="5"/>
  <c r="DG10" i="5"/>
  <c r="DF10" i="5"/>
  <c r="DE10" i="5"/>
  <c r="DD10" i="5"/>
  <c r="DC10" i="5"/>
  <c r="DB10" i="5"/>
  <c r="DA10" i="5"/>
  <c r="CZ10" i="5"/>
  <c r="CY10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D10" i="5"/>
  <c r="B9" i="5"/>
  <c r="KV9" i="5"/>
  <c r="KU9" i="5"/>
  <c r="KT9" i="5"/>
  <c r="KS9" i="5"/>
  <c r="KR9" i="5"/>
  <c r="KQ9" i="5"/>
  <c r="KP9" i="5"/>
  <c r="KO9" i="5"/>
  <c r="KN9" i="5"/>
  <c r="KM9" i="5"/>
  <c r="KL9" i="5"/>
  <c r="KK9" i="5"/>
  <c r="KJ9" i="5"/>
  <c r="KI9" i="5"/>
  <c r="KH9" i="5"/>
  <c r="KG9" i="5"/>
  <c r="KF9" i="5"/>
  <c r="KE9" i="5"/>
  <c r="KD9" i="5"/>
  <c r="KC9" i="5"/>
  <c r="KB9" i="5"/>
  <c r="KA9" i="5"/>
  <c r="JZ9" i="5"/>
  <c r="JY9" i="5"/>
  <c r="JX9" i="5"/>
  <c r="JW9" i="5"/>
  <c r="JV9" i="5"/>
  <c r="JU9" i="5"/>
  <c r="JT9" i="5"/>
  <c r="JS9" i="5"/>
  <c r="JR9" i="5"/>
  <c r="JQ9" i="5"/>
  <c r="JP9" i="5"/>
  <c r="JO9" i="5"/>
  <c r="JN9" i="5"/>
  <c r="JM9" i="5"/>
  <c r="JL9" i="5"/>
  <c r="JK9" i="5"/>
  <c r="JJ9" i="5"/>
  <c r="JI9" i="5"/>
  <c r="JH9" i="5"/>
  <c r="JG9" i="5"/>
  <c r="JF9" i="5"/>
  <c r="JE9" i="5"/>
  <c r="JD9" i="5"/>
  <c r="JC9" i="5"/>
  <c r="JB9" i="5"/>
  <c r="JA9" i="5"/>
  <c r="IZ9" i="5"/>
  <c r="IY9" i="5"/>
  <c r="IX9" i="5"/>
  <c r="IW9" i="5"/>
  <c r="IV9" i="5"/>
  <c r="IU9" i="5"/>
  <c r="IT9" i="5"/>
  <c r="IS9" i="5"/>
  <c r="IR9" i="5"/>
  <c r="IQ9" i="5"/>
  <c r="IP9" i="5"/>
  <c r="IO9" i="5"/>
  <c r="IN9" i="5"/>
  <c r="IM9" i="5"/>
  <c r="IL9" i="5"/>
  <c r="IK9" i="5"/>
  <c r="IJ9" i="5"/>
  <c r="II9" i="5"/>
  <c r="IH9" i="5"/>
  <c r="IG9" i="5"/>
  <c r="IF9" i="5"/>
  <c r="IE9" i="5"/>
  <c r="ID9" i="5"/>
  <c r="IC9" i="5"/>
  <c r="IB9" i="5"/>
  <c r="IA9" i="5"/>
  <c r="HZ9" i="5"/>
  <c r="HY9" i="5"/>
  <c r="HX9" i="5"/>
  <c r="HW9" i="5"/>
  <c r="HV9" i="5"/>
  <c r="HU9" i="5"/>
  <c r="HT9" i="5"/>
  <c r="HS9" i="5"/>
  <c r="HR9" i="5"/>
  <c r="HQ9" i="5"/>
  <c r="HP9" i="5"/>
  <c r="HO9" i="5"/>
  <c r="HN9" i="5"/>
  <c r="HM9" i="5"/>
  <c r="HL9" i="5"/>
  <c r="HK9" i="5"/>
  <c r="HJ9" i="5"/>
  <c r="HI9" i="5"/>
  <c r="HH9" i="5"/>
  <c r="HG9" i="5"/>
  <c r="HF9" i="5"/>
  <c r="HE9" i="5"/>
  <c r="HD9" i="5"/>
  <c r="HC9" i="5"/>
  <c r="HB9" i="5"/>
  <c r="HA9" i="5"/>
  <c r="GZ9" i="5"/>
  <c r="GY9" i="5"/>
  <c r="GX9" i="5"/>
  <c r="GW9" i="5"/>
  <c r="GV9" i="5"/>
  <c r="GU9" i="5"/>
  <c r="GT9" i="5"/>
  <c r="GS9" i="5"/>
  <c r="GR9" i="5"/>
  <c r="GQ9" i="5"/>
  <c r="GP9" i="5"/>
  <c r="GO9" i="5"/>
  <c r="GN9" i="5"/>
  <c r="GM9" i="5"/>
  <c r="GL9" i="5"/>
  <c r="GK9" i="5"/>
  <c r="GJ9" i="5"/>
  <c r="GI9" i="5"/>
  <c r="GH9" i="5"/>
  <c r="GG9" i="5"/>
  <c r="GF9" i="5"/>
  <c r="GE9" i="5"/>
  <c r="GD9" i="5"/>
  <c r="GC9" i="5"/>
  <c r="GB9" i="5"/>
  <c r="GA9" i="5"/>
  <c r="FZ9" i="5"/>
  <c r="FY9" i="5"/>
  <c r="FX9" i="5"/>
  <c r="FW9" i="5"/>
  <c r="FV9" i="5"/>
  <c r="FU9" i="5"/>
  <c r="FT9" i="5"/>
  <c r="FS9" i="5"/>
  <c r="FR9" i="5"/>
  <c r="FQ9" i="5"/>
  <c r="FP9" i="5"/>
  <c r="FO9" i="5"/>
  <c r="FN9" i="5"/>
  <c r="FM9" i="5"/>
  <c r="FL9" i="5"/>
  <c r="FK9" i="5"/>
  <c r="FJ9" i="5"/>
  <c r="FI9" i="5"/>
  <c r="FH9" i="5"/>
  <c r="FG9" i="5"/>
  <c r="FF9" i="5"/>
  <c r="FE9" i="5"/>
  <c r="FD9" i="5"/>
  <c r="FC9" i="5"/>
  <c r="FB9" i="5"/>
  <c r="FA9" i="5"/>
  <c r="EZ9" i="5"/>
  <c r="EY9" i="5"/>
  <c r="EX9" i="5"/>
  <c r="EW9" i="5"/>
  <c r="EV9" i="5"/>
  <c r="EU9" i="5"/>
  <c r="ET9" i="5"/>
  <c r="ES9" i="5"/>
  <c r="ER9" i="5"/>
  <c r="EQ9" i="5"/>
  <c r="EP9" i="5"/>
  <c r="EO9" i="5"/>
  <c r="EN9" i="5"/>
  <c r="EM9" i="5"/>
  <c r="EL9" i="5"/>
  <c r="EK9" i="5"/>
  <c r="EJ9" i="5"/>
  <c r="EI9" i="5"/>
  <c r="EH9" i="5"/>
  <c r="EG9" i="5"/>
  <c r="EF9" i="5"/>
  <c r="EE9" i="5"/>
  <c r="ED9" i="5"/>
  <c r="EC9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CZ9" i="5"/>
  <c r="CY9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D9" i="5"/>
  <c r="B8" i="5"/>
  <c r="KV8" i="5"/>
  <c r="KU8" i="5"/>
  <c r="KT8" i="5"/>
  <c r="KS8" i="5"/>
  <c r="KR8" i="5"/>
  <c r="KQ8" i="5"/>
  <c r="KP8" i="5"/>
  <c r="KO8" i="5"/>
  <c r="KN8" i="5"/>
  <c r="KM8" i="5"/>
  <c r="KL8" i="5"/>
  <c r="KK8" i="5"/>
  <c r="KJ8" i="5"/>
  <c r="KI8" i="5"/>
  <c r="KH8" i="5"/>
  <c r="KG8" i="5"/>
  <c r="KF8" i="5"/>
  <c r="KE8" i="5"/>
  <c r="KD8" i="5"/>
  <c r="KC8" i="5"/>
  <c r="KB8" i="5"/>
  <c r="KA8" i="5"/>
  <c r="JZ8" i="5"/>
  <c r="JY8" i="5"/>
  <c r="JX8" i="5"/>
  <c r="JW8" i="5"/>
  <c r="JV8" i="5"/>
  <c r="JU8" i="5"/>
  <c r="JT8" i="5"/>
  <c r="JS8" i="5"/>
  <c r="JR8" i="5"/>
  <c r="JQ8" i="5"/>
  <c r="JP8" i="5"/>
  <c r="JO8" i="5"/>
  <c r="JN8" i="5"/>
  <c r="JM8" i="5"/>
  <c r="JL8" i="5"/>
  <c r="JK8" i="5"/>
  <c r="JJ8" i="5"/>
  <c r="JI8" i="5"/>
  <c r="JH8" i="5"/>
  <c r="JG8" i="5"/>
  <c r="JF8" i="5"/>
  <c r="JE8" i="5"/>
  <c r="JD8" i="5"/>
  <c r="JC8" i="5"/>
  <c r="JB8" i="5"/>
  <c r="JA8" i="5"/>
  <c r="IZ8" i="5"/>
  <c r="IY8" i="5"/>
  <c r="IX8" i="5"/>
  <c r="IW8" i="5"/>
  <c r="IV8" i="5"/>
  <c r="IU8" i="5"/>
  <c r="IT8" i="5"/>
  <c r="IS8" i="5"/>
  <c r="IR8" i="5"/>
  <c r="IQ8" i="5"/>
  <c r="IP8" i="5"/>
  <c r="IO8" i="5"/>
  <c r="IN8" i="5"/>
  <c r="IM8" i="5"/>
  <c r="IL8" i="5"/>
  <c r="IK8" i="5"/>
  <c r="IJ8" i="5"/>
  <c r="II8" i="5"/>
  <c r="IH8" i="5"/>
  <c r="IG8" i="5"/>
  <c r="IF8" i="5"/>
  <c r="IE8" i="5"/>
  <c r="ID8" i="5"/>
  <c r="IC8" i="5"/>
  <c r="IB8" i="5"/>
  <c r="IA8" i="5"/>
  <c r="HZ8" i="5"/>
  <c r="HY8" i="5"/>
  <c r="HX8" i="5"/>
  <c r="HW8" i="5"/>
  <c r="HV8" i="5"/>
  <c r="HU8" i="5"/>
  <c r="HT8" i="5"/>
  <c r="HS8" i="5"/>
  <c r="HR8" i="5"/>
  <c r="HQ8" i="5"/>
  <c r="HP8" i="5"/>
  <c r="HO8" i="5"/>
  <c r="HN8" i="5"/>
  <c r="HM8" i="5"/>
  <c r="HL8" i="5"/>
  <c r="HK8" i="5"/>
  <c r="HJ8" i="5"/>
  <c r="HI8" i="5"/>
  <c r="HH8" i="5"/>
  <c r="HG8" i="5"/>
  <c r="HF8" i="5"/>
  <c r="HE8" i="5"/>
  <c r="HD8" i="5"/>
  <c r="HC8" i="5"/>
  <c r="HB8" i="5"/>
  <c r="HA8" i="5"/>
  <c r="GZ8" i="5"/>
  <c r="GY8" i="5"/>
  <c r="GX8" i="5"/>
  <c r="GW8" i="5"/>
  <c r="GV8" i="5"/>
  <c r="GU8" i="5"/>
  <c r="GT8" i="5"/>
  <c r="GS8" i="5"/>
  <c r="GR8" i="5"/>
  <c r="GQ8" i="5"/>
  <c r="GP8" i="5"/>
  <c r="GO8" i="5"/>
  <c r="GN8" i="5"/>
  <c r="GM8" i="5"/>
  <c r="GL8" i="5"/>
  <c r="GK8" i="5"/>
  <c r="GJ8" i="5"/>
  <c r="GI8" i="5"/>
  <c r="GH8" i="5"/>
  <c r="GG8" i="5"/>
  <c r="GF8" i="5"/>
  <c r="GE8" i="5"/>
  <c r="GD8" i="5"/>
  <c r="GC8" i="5"/>
  <c r="GB8" i="5"/>
  <c r="GA8" i="5"/>
  <c r="FZ8" i="5"/>
  <c r="FY8" i="5"/>
  <c r="FX8" i="5"/>
  <c r="FW8" i="5"/>
  <c r="FV8" i="5"/>
  <c r="FU8" i="5"/>
  <c r="FT8" i="5"/>
  <c r="FS8" i="5"/>
  <c r="FR8" i="5"/>
  <c r="FQ8" i="5"/>
  <c r="FP8" i="5"/>
  <c r="FO8" i="5"/>
  <c r="FN8" i="5"/>
  <c r="FM8" i="5"/>
  <c r="FL8" i="5"/>
  <c r="FK8" i="5"/>
  <c r="FJ8" i="5"/>
  <c r="FI8" i="5"/>
  <c r="FH8" i="5"/>
  <c r="FG8" i="5"/>
  <c r="FF8" i="5"/>
  <c r="FE8" i="5"/>
  <c r="FD8" i="5"/>
  <c r="FC8" i="5"/>
  <c r="FB8" i="5"/>
  <c r="FA8" i="5"/>
  <c r="EZ8" i="5"/>
  <c r="EY8" i="5"/>
  <c r="EX8" i="5"/>
  <c r="EW8" i="5"/>
  <c r="EV8" i="5"/>
  <c r="EU8" i="5"/>
  <c r="ET8" i="5"/>
  <c r="ES8" i="5"/>
  <c r="ER8" i="5"/>
  <c r="EQ8" i="5"/>
  <c r="EP8" i="5"/>
  <c r="EO8" i="5"/>
  <c r="EN8" i="5"/>
  <c r="EM8" i="5"/>
  <c r="EL8" i="5"/>
  <c r="EK8" i="5"/>
  <c r="EJ8" i="5"/>
  <c r="EI8" i="5"/>
  <c r="EH8" i="5"/>
  <c r="EG8" i="5"/>
  <c r="EF8" i="5"/>
  <c r="EE8" i="5"/>
  <c r="ED8" i="5"/>
  <c r="EC8" i="5"/>
  <c r="EB8" i="5"/>
  <c r="EA8" i="5"/>
  <c r="DZ8" i="5"/>
  <c r="DY8" i="5"/>
  <c r="DX8" i="5"/>
  <c r="DW8" i="5"/>
  <c r="DV8" i="5"/>
  <c r="DU8" i="5"/>
  <c r="DT8" i="5"/>
  <c r="DS8" i="5"/>
  <c r="DR8" i="5"/>
  <c r="DQ8" i="5"/>
  <c r="DP8" i="5"/>
  <c r="DO8" i="5"/>
  <c r="DN8" i="5"/>
  <c r="DM8" i="5"/>
  <c r="DL8" i="5"/>
  <c r="DK8" i="5"/>
  <c r="DJ8" i="5"/>
  <c r="DI8" i="5"/>
  <c r="DH8" i="5"/>
  <c r="DG8" i="5"/>
  <c r="DF8" i="5"/>
  <c r="DE8" i="5"/>
  <c r="DD8" i="5"/>
  <c r="DC8" i="5"/>
  <c r="DB8" i="5"/>
  <c r="DA8" i="5"/>
  <c r="CZ8" i="5"/>
  <c r="CY8" i="5"/>
  <c r="CX8" i="5"/>
  <c r="CW8" i="5"/>
  <c r="CV8" i="5"/>
  <c r="CU8" i="5"/>
  <c r="CT8" i="5"/>
  <c r="CS8" i="5"/>
  <c r="CR8" i="5"/>
  <c r="CQ8" i="5"/>
  <c r="CP8" i="5"/>
  <c r="CO8" i="5"/>
  <c r="CN8" i="5"/>
  <c r="CM8" i="5"/>
  <c r="CL8" i="5"/>
  <c r="CK8" i="5"/>
  <c r="CJ8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D8" i="5"/>
  <c r="B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D7" i="5"/>
  <c r="B6" i="5"/>
  <c r="KV6" i="5"/>
  <c r="KU6" i="5"/>
  <c r="KT6" i="5"/>
  <c r="KS6" i="5"/>
  <c r="KR6" i="5"/>
  <c r="KQ6" i="5"/>
  <c r="KP6" i="5"/>
  <c r="KO6" i="5"/>
  <c r="KN6" i="5"/>
  <c r="KM6" i="5"/>
  <c r="KL6" i="5"/>
  <c r="KK6" i="5"/>
  <c r="KJ6" i="5"/>
  <c r="KI6" i="5"/>
  <c r="KH6" i="5"/>
  <c r="KG6" i="5"/>
  <c r="KF6" i="5"/>
  <c r="KE6" i="5"/>
  <c r="KD6" i="5"/>
  <c r="KC6" i="5"/>
  <c r="KB6" i="5"/>
  <c r="KA6" i="5"/>
  <c r="JZ6" i="5"/>
  <c r="JY6" i="5"/>
  <c r="JX6" i="5"/>
  <c r="JW6" i="5"/>
  <c r="JV6" i="5"/>
  <c r="JU6" i="5"/>
  <c r="JT6" i="5"/>
  <c r="JS6" i="5"/>
  <c r="JR6" i="5"/>
  <c r="JQ6" i="5"/>
  <c r="JP6" i="5"/>
  <c r="JO6" i="5"/>
  <c r="JN6" i="5"/>
  <c r="JM6" i="5"/>
  <c r="JL6" i="5"/>
  <c r="JK6" i="5"/>
  <c r="JJ6" i="5"/>
  <c r="JI6" i="5"/>
  <c r="JH6" i="5"/>
  <c r="JG6" i="5"/>
  <c r="JF6" i="5"/>
  <c r="JE6" i="5"/>
  <c r="JD6" i="5"/>
  <c r="JC6" i="5"/>
  <c r="JB6" i="5"/>
  <c r="JA6" i="5"/>
  <c r="IZ6" i="5"/>
  <c r="IY6" i="5"/>
  <c r="IX6" i="5"/>
  <c r="IW6" i="5"/>
  <c r="IV6" i="5"/>
  <c r="IU6" i="5"/>
  <c r="IT6" i="5"/>
  <c r="IS6" i="5"/>
  <c r="IR6" i="5"/>
  <c r="IQ6" i="5"/>
  <c r="IP6" i="5"/>
  <c r="IO6" i="5"/>
  <c r="IN6" i="5"/>
  <c r="IM6" i="5"/>
  <c r="IL6" i="5"/>
  <c r="IK6" i="5"/>
  <c r="IJ6" i="5"/>
  <c r="II6" i="5"/>
  <c r="IH6" i="5"/>
  <c r="IG6" i="5"/>
  <c r="IF6" i="5"/>
  <c r="IE6" i="5"/>
  <c r="ID6" i="5"/>
  <c r="IC6" i="5"/>
  <c r="IB6" i="5"/>
  <c r="IA6" i="5"/>
  <c r="HZ6" i="5"/>
  <c r="HY6" i="5"/>
  <c r="HX6" i="5"/>
  <c r="HW6" i="5"/>
  <c r="HV6" i="5"/>
  <c r="HU6" i="5"/>
  <c r="HT6" i="5"/>
  <c r="HS6" i="5"/>
  <c r="HR6" i="5"/>
  <c r="HQ6" i="5"/>
  <c r="HP6" i="5"/>
  <c r="HO6" i="5"/>
  <c r="HN6" i="5"/>
  <c r="HM6" i="5"/>
  <c r="HL6" i="5"/>
  <c r="HK6" i="5"/>
  <c r="HJ6" i="5"/>
  <c r="HI6" i="5"/>
  <c r="HH6" i="5"/>
  <c r="HG6" i="5"/>
  <c r="HF6" i="5"/>
  <c r="HE6" i="5"/>
  <c r="HD6" i="5"/>
  <c r="HC6" i="5"/>
  <c r="HB6" i="5"/>
  <c r="HA6" i="5"/>
  <c r="GZ6" i="5"/>
  <c r="GY6" i="5"/>
  <c r="GX6" i="5"/>
  <c r="GW6" i="5"/>
  <c r="GV6" i="5"/>
  <c r="GU6" i="5"/>
  <c r="GT6" i="5"/>
  <c r="GS6" i="5"/>
  <c r="GR6" i="5"/>
  <c r="GQ6" i="5"/>
  <c r="GP6" i="5"/>
  <c r="GO6" i="5"/>
  <c r="GN6" i="5"/>
  <c r="GM6" i="5"/>
  <c r="GL6" i="5"/>
  <c r="GK6" i="5"/>
  <c r="GJ6" i="5"/>
  <c r="GI6" i="5"/>
  <c r="GH6" i="5"/>
  <c r="GG6" i="5"/>
  <c r="GF6" i="5"/>
  <c r="GE6" i="5"/>
  <c r="GD6" i="5"/>
  <c r="GC6" i="5"/>
  <c r="GB6" i="5"/>
  <c r="GA6" i="5"/>
  <c r="FZ6" i="5"/>
  <c r="FY6" i="5"/>
  <c r="FX6" i="5"/>
  <c r="FW6" i="5"/>
  <c r="FV6" i="5"/>
  <c r="FU6" i="5"/>
  <c r="FT6" i="5"/>
  <c r="FS6" i="5"/>
  <c r="FR6" i="5"/>
  <c r="FQ6" i="5"/>
  <c r="FP6" i="5"/>
  <c r="FO6" i="5"/>
  <c r="FN6" i="5"/>
  <c r="FM6" i="5"/>
  <c r="FL6" i="5"/>
  <c r="FK6" i="5"/>
  <c r="FJ6" i="5"/>
  <c r="FI6" i="5"/>
  <c r="FH6" i="5"/>
  <c r="FG6" i="5"/>
  <c r="FF6" i="5"/>
  <c r="FE6" i="5"/>
  <c r="FD6" i="5"/>
  <c r="FC6" i="5"/>
  <c r="FB6" i="5"/>
  <c r="FA6" i="5"/>
  <c r="EZ6" i="5"/>
  <c r="EY6" i="5"/>
  <c r="EX6" i="5"/>
  <c r="EW6" i="5"/>
  <c r="EV6" i="5"/>
  <c r="EU6" i="5"/>
  <c r="ET6" i="5"/>
  <c r="ES6" i="5"/>
  <c r="ER6" i="5"/>
  <c r="EQ6" i="5"/>
  <c r="EP6" i="5"/>
  <c r="EO6" i="5"/>
  <c r="EN6" i="5"/>
  <c r="EM6" i="5"/>
  <c r="EL6" i="5"/>
  <c r="EK6" i="5"/>
  <c r="EJ6" i="5"/>
  <c r="EI6" i="5"/>
  <c r="EH6" i="5"/>
  <c r="EG6" i="5"/>
  <c r="EF6" i="5"/>
  <c r="EE6" i="5"/>
  <c r="ED6" i="5"/>
  <c r="EC6" i="5"/>
  <c r="EB6" i="5"/>
  <c r="EA6" i="5"/>
  <c r="DZ6" i="5"/>
  <c r="DY6" i="5"/>
  <c r="DX6" i="5"/>
  <c r="DW6" i="5"/>
  <c r="DV6" i="5"/>
  <c r="DU6" i="5"/>
  <c r="DT6" i="5"/>
  <c r="DS6" i="5"/>
  <c r="DR6" i="5"/>
  <c r="DQ6" i="5"/>
  <c r="DP6" i="5"/>
  <c r="DO6" i="5"/>
  <c r="DN6" i="5"/>
  <c r="DM6" i="5"/>
  <c r="DL6" i="5"/>
  <c r="DK6" i="5"/>
  <c r="DJ6" i="5"/>
  <c r="DI6" i="5"/>
  <c r="DH6" i="5"/>
  <c r="DG6" i="5"/>
  <c r="DF6" i="5"/>
  <c r="DE6" i="5"/>
  <c r="DD6" i="5"/>
  <c r="DC6" i="5"/>
  <c r="DB6" i="5"/>
  <c r="DA6" i="5"/>
  <c r="CZ6" i="5"/>
  <c r="CY6" i="5"/>
  <c r="CX6" i="5"/>
  <c r="CW6" i="5"/>
  <c r="CV6" i="5"/>
  <c r="CU6" i="5"/>
  <c r="CT6" i="5"/>
  <c r="CS6" i="5"/>
  <c r="CR6" i="5"/>
  <c r="CQ6" i="5"/>
  <c r="CP6" i="5"/>
  <c r="CO6" i="5"/>
  <c r="CN6" i="5"/>
  <c r="CM6" i="5"/>
  <c r="CL6" i="5"/>
  <c r="CK6" i="5"/>
  <c r="CJ6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D6" i="5"/>
  <c r="B5" i="5"/>
  <c r="KV5" i="5"/>
  <c r="KU5" i="5"/>
  <c r="KT5" i="5"/>
  <c r="KS5" i="5"/>
  <c r="KR5" i="5"/>
  <c r="KQ5" i="5"/>
  <c r="KP5" i="5"/>
  <c r="KO5" i="5"/>
  <c r="KN5" i="5"/>
  <c r="KM5" i="5"/>
  <c r="KL5" i="5"/>
  <c r="KK5" i="5"/>
  <c r="KJ5" i="5"/>
  <c r="KI5" i="5"/>
  <c r="KH5" i="5"/>
  <c r="KG5" i="5"/>
  <c r="KF5" i="5"/>
  <c r="KE5" i="5"/>
  <c r="KD5" i="5"/>
  <c r="KC5" i="5"/>
  <c r="KB5" i="5"/>
  <c r="KA5" i="5"/>
  <c r="JZ5" i="5"/>
  <c r="JY5" i="5"/>
  <c r="JX5" i="5"/>
  <c r="JW5" i="5"/>
  <c r="JV5" i="5"/>
  <c r="JU5" i="5"/>
  <c r="JT5" i="5"/>
  <c r="JS5" i="5"/>
  <c r="JR5" i="5"/>
  <c r="JQ5" i="5"/>
  <c r="JP5" i="5"/>
  <c r="JO5" i="5"/>
  <c r="JN5" i="5"/>
  <c r="JM5" i="5"/>
  <c r="JL5" i="5"/>
  <c r="JK5" i="5"/>
  <c r="JJ5" i="5"/>
  <c r="JI5" i="5"/>
  <c r="JH5" i="5"/>
  <c r="JG5" i="5"/>
  <c r="JF5" i="5"/>
  <c r="JE5" i="5"/>
  <c r="JD5" i="5"/>
  <c r="JC5" i="5"/>
  <c r="JB5" i="5"/>
  <c r="JA5" i="5"/>
  <c r="IZ5" i="5"/>
  <c r="IY5" i="5"/>
  <c r="IX5" i="5"/>
  <c r="IW5" i="5"/>
  <c r="IV5" i="5"/>
  <c r="IU5" i="5"/>
  <c r="IT5" i="5"/>
  <c r="IS5" i="5"/>
  <c r="IR5" i="5"/>
  <c r="IQ5" i="5"/>
  <c r="IP5" i="5"/>
  <c r="IO5" i="5"/>
  <c r="IN5" i="5"/>
  <c r="IM5" i="5"/>
  <c r="IL5" i="5"/>
  <c r="IK5" i="5"/>
  <c r="IJ5" i="5"/>
  <c r="II5" i="5"/>
  <c r="IH5" i="5"/>
  <c r="IG5" i="5"/>
  <c r="IF5" i="5"/>
  <c r="IE5" i="5"/>
  <c r="ID5" i="5"/>
  <c r="IC5" i="5"/>
  <c r="IB5" i="5"/>
  <c r="IA5" i="5"/>
  <c r="HZ5" i="5"/>
  <c r="HY5" i="5"/>
  <c r="HX5" i="5"/>
  <c r="HW5" i="5"/>
  <c r="HV5" i="5"/>
  <c r="HU5" i="5"/>
  <c r="HT5" i="5"/>
  <c r="HS5" i="5"/>
  <c r="HR5" i="5"/>
  <c r="HQ5" i="5"/>
  <c r="HP5" i="5"/>
  <c r="HO5" i="5"/>
  <c r="HN5" i="5"/>
  <c r="HM5" i="5"/>
  <c r="HL5" i="5"/>
  <c r="HK5" i="5"/>
  <c r="HJ5" i="5"/>
  <c r="HI5" i="5"/>
  <c r="HH5" i="5"/>
  <c r="HG5" i="5"/>
  <c r="HF5" i="5"/>
  <c r="HE5" i="5"/>
  <c r="HD5" i="5"/>
  <c r="HC5" i="5"/>
  <c r="HB5" i="5"/>
  <c r="HA5" i="5"/>
  <c r="GZ5" i="5"/>
  <c r="GY5" i="5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J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D5" i="5"/>
  <c r="B4" i="5"/>
  <c r="KV4" i="5"/>
  <c r="KU4" i="5"/>
  <c r="KT4" i="5"/>
  <c r="KS4" i="5"/>
  <c r="KR4" i="5"/>
  <c r="KQ4" i="5"/>
  <c r="KP4" i="5"/>
  <c r="KO4" i="5"/>
  <c r="KN4" i="5"/>
  <c r="KM4" i="5"/>
  <c r="KL4" i="5"/>
  <c r="KK4" i="5"/>
  <c r="KJ4" i="5"/>
  <c r="KI4" i="5"/>
  <c r="KH4" i="5"/>
  <c r="KG4" i="5"/>
  <c r="KF4" i="5"/>
  <c r="KE4" i="5"/>
  <c r="KD4" i="5"/>
  <c r="KC4" i="5"/>
  <c r="KB4" i="5"/>
  <c r="KA4" i="5"/>
  <c r="JZ4" i="5"/>
  <c r="JY4" i="5"/>
  <c r="JX4" i="5"/>
  <c r="JW4" i="5"/>
  <c r="JV4" i="5"/>
  <c r="JU4" i="5"/>
  <c r="JT4" i="5"/>
  <c r="JS4" i="5"/>
  <c r="JR4" i="5"/>
  <c r="JQ4" i="5"/>
  <c r="JP4" i="5"/>
  <c r="JO4" i="5"/>
  <c r="JN4" i="5"/>
  <c r="JM4" i="5"/>
  <c r="JL4" i="5"/>
  <c r="JK4" i="5"/>
  <c r="JJ4" i="5"/>
  <c r="JI4" i="5"/>
  <c r="JH4" i="5"/>
  <c r="JG4" i="5"/>
  <c r="JF4" i="5"/>
  <c r="JE4" i="5"/>
  <c r="JD4" i="5"/>
  <c r="JC4" i="5"/>
  <c r="JB4" i="5"/>
  <c r="JA4" i="5"/>
  <c r="IZ4" i="5"/>
  <c r="IY4" i="5"/>
  <c r="IX4" i="5"/>
  <c r="IW4" i="5"/>
  <c r="IV4" i="5"/>
  <c r="IU4" i="5"/>
  <c r="IT4" i="5"/>
  <c r="IS4" i="5"/>
  <c r="IR4" i="5"/>
  <c r="IQ4" i="5"/>
  <c r="IP4" i="5"/>
  <c r="IO4" i="5"/>
  <c r="IN4" i="5"/>
  <c r="IM4" i="5"/>
  <c r="IL4" i="5"/>
  <c r="IK4" i="5"/>
  <c r="IJ4" i="5"/>
  <c r="II4" i="5"/>
  <c r="IH4" i="5"/>
  <c r="IG4" i="5"/>
  <c r="IF4" i="5"/>
  <c r="IE4" i="5"/>
  <c r="ID4" i="5"/>
  <c r="IC4" i="5"/>
  <c r="IB4" i="5"/>
  <c r="IA4" i="5"/>
  <c r="HZ4" i="5"/>
  <c r="HY4" i="5"/>
  <c r="HX4" i="5"/>
  <c r="HW4" i="5"/>
  <c r="HV4" i="5"/>
  <c r="HU4" i="5"/>
  <c r="HT4" i="5"/>
  <c r="HS4" i="5"/>
  <c r="HR4" i="5"/>
  <c r="HQ4" i="5"/>
  <c r="HP4" i="5"/>
  <c r="HO4" i="5"/>
  <c r="HN4" i="5"/>
  <c r="HM4" i="5"/>
  <c r="HL4" i="5"/>
  <c r="HK4" i="5"/>
  <c r="HJ4" i="5"/>
  <c r="HI4" i="5"/>
  <c r="HH4" i="5"/>
  <c r="HG4" i="5"/>
  <c r="HF4" i="5"/>
  <c r="HE4" i="5"/>
  <c r="HD4" i="5"/>
  <c r="HC4" i="5"/>
  <c r="HB4" i="5"/>
  <c r="HA4" i="5"/>
  <c r="GZ4" i="5"/>
  <c r="GY4" i="5"/>
  <c r="GX4" i="5"/>
  <c r="GW4" i="5"/>
  <c r="GV4" i="5"/>
  <c r="GU4" i="5"/>
  <c r="GT4" i="5"/>
  <c r="GS4" i="5"/>
  <c r="GR4" i="5"/>
  <c r="GQ4" i="5"/>
  <c r="GP4" i="5"/>
  <c r="GO4" i="5"/>
  <c r="GN4" i="5"/>
  <c r="GM4" i="5"/>
  <c r="GL4" i="5"/>
  <c r="GK4" i="5"/>
  <c r="GJ4" i="5"/>
  <c r="GI4" i="5"/>
  <c r="GH4" i="5"/>
  <c r="GG4" i="5"/>
  <c r="GF4" i="5"/>
  <c r="GE4" i="5"/>
  <c r="GD4" i="5"/>
  <c r="GC4" i="5"/>
  <c r="GB4" i="5"/>
  <c r="GA4" i="5"/>
  <c r="FZ4" i="5"/>
  <c r="FY4" i="5"/>
  <c r="FX4" i="5"/>
  <c r="FW4" i="5"/>
  <c r="FV4" i="5"/>
  <c r="FU4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D4" i="5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2" i="3"/>
  <c r="G183" i="3"/>
  <c r="G181" i="3"/>
  <c r="G180" i="3"/>
  <c r="G179" i="3"/>
  <c r="G177" i="3"/>
  <c r="G176" i="3"/>
  <c r="G178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59" i="3"/>
  <c r="G160" i="3"/>
  <c r="G158" i="3"/>
  <c r="G157" i="3"/>
  <c r="G154" i="3"/>
  <c r="G156" i="3"/>
  <c r="G155" i="3"/>
  <c r="G153" i="3"/>
  <c r="G152" i="3"/>
  <c r="G151" i="3"/>
  <c r="G150" i="3"/>
  <c r="G149" i="3"/>
  <c r="G148" i="3"/>
  <c r="G147" i="3"/>
  <c r="G146" i="3"/>
  <c r="G145" i="3"/>
  <c r="G144" i="3"/>
  <c r="G142" i="3"/>
  <c r="G143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0" i="3"/>
  <c r="G101" i="3"/>
  <c r="G99" i="3"/>
  <c r="G98" i="3"/>
  <c r="G96" i="3"/>
  <c r="G95" i="3"/>
  <c r="G97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0" i="3"/>
  <c r="G11" i="3"/>
  <c r="G9" i="3"/>
  <c r="G8" i="3"/>
  <c r="G7" i="3"/>
  <c r="G6" i="3"/>
  <c r="G5" i="3"/>
  <c r="G4" i="3"/>
  <c r="E5" i="18"/>
  <c r="F5" i="18"/>
  <c r="G5" i="18"/>
  <c r="H5" i="18"/>
  <c r="I5" i="18"/>
  <c r="J5" i="18"/>
  <c r="K5" i="18"/>
  <c r="L5" i="18"/>
  <c r="M5" i="18"/>
  <c r="N5" i="18"/>
  <c r="O5" i="18"/>
  <c r="P5" i="18"/>
  <c r="E6" i="18"/>
  <c r="F6" i="18"/>
  <c r="G6" i="18"/>
  <c r="Q6" i="18"/>
  <c r="E7" i="18"/>
  <c r="F7" i="18"/>
  <c r="G7" i="18"/>
  <c r="H7" i="18"/>
  <c r="I7" i="18"/>
  <c r="J7" i="18"/>
  <c r="K7" i="18"/>
  <c r="L7" i="18"/>
  <c r="M7" i="18"/>
  <c r="N7" i="18"/>
  <c r="O7" i="18"/>
  <c r="P7" i="18"/>
  <c r="E8" i="18"/>
  <c r="F8" i="18"/>
  <c r="G8" i="18"/>
  <c r="H8" i="18"/>
  <c r="I8" i="18"/>
  <c r="J8" i="18"/>
  <c r="K8" i="18"/>
  <c r="L8" i="18"/>
  <c r="M8" i="18"/>
  <c r="N8" i="18"/>
  <c r="O8" i="18"/>
  <c r="P8" i="18"/>
  <c r="E9" i="18"/>
  <c r="F9" i="18"/>
  <c r="G9" i="18"/>
  <c r="H9" i="18"/>
  <c r="I9" i="18"/>
  <c r="J9" i="18"/>
  <c r="K9" i="18"/>
  <c r="L9" i="18"/>
  <c r="M9" i="18"/>
  <c r="N9" i="18"/>
  <c r="O9" i="18"/>
  <c r="P9" i="18"/>
  <c r="E10" i="18"/>
  <c r="F10" i="18"/>
  <c r="G10" i="18"/>
  <c r="Q10" i="18"/>
  <c r="E11" i="18"/>
  <c r="F11" i="18"/>
  <c r="G11" i="18"/>
  <c r="Q11" i="18"/>
  <c r="E12" i="18"/>
  <c r="F12" i="18"/>
  <c r="G12" i="18"/>
  <c r="Q12" i="18"/>
  <c r="E13" i="18"/>
  <c r="F13" i="18"/>
  <c r="G13" i="18"/>
  <c r="Q13" i="18"/>
  <c r="E14" i="18"/>
  <c r="F14" i="18"/>
  <c r="G14" i="18"/>
  <c r="Q14" i="18"/>
  <c r="E15" i="18"/>
  <c r="F15" i="18"/>
  <c r="G15" i="18"/>
  <c r="Q15" i="18"/>
  <c r="E16" i="18"/>
  <c r="F16" i="18"/>
  <c r="G16" i="18"/>
  <c r="Q16" i="18"/>
  <c r="E17" i="18"/>
  <c r="F17" i="18"/>
  <c r="G17" i="18"/>
  <c r="Q17" i="18"/>
  <c r="E18" i="18"/>
  <c r="F18" i="18"/>
  <c r="G18" i="18"/>
  <c r="Q18" i="18"/>
  <c r="E19" i="18"/>
  <c r="F19" i="18"/>
  <c r="G19" i="18"/>
  <c r="Q19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E21" i="18"/>
  <c r="F21" i="18"/>
  <c r="G21" i="18"/>
  <c r="Q21" i="18"/>
  <c r="B4" i="18"/>
  <c r="E4" i="18"/>
  <c r="F4" i="18"/>
  <c r="G4" i="18"/>
  <c r="Q4" i="18"/>
  <c r="AO4" i="16"/>
  <c r="AP4" i="16"/>
  <c r="AQ4" i="16"/>
  <c r="AR4" i="16"/>
  <c r="AO5" i="16"/>
  <c r="AP5" i="16"/>
  <c r="AQ5" i="16"/>
  <c r="AR5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O7" i="16"/>
  <c r="AP7" i="16"/>
  <c r="AQ7" i="16"/>
  <c r="AR7" i="16"/>
  <c r="AS4" i="16"/>
  <c r="AS5" i="16"/>
  <c r="AT4" i="16"/>
  <c r="AT5" i="16"/>
  <c r="AU4" i="16"/>
  <c r="AU5" i="16"/>
  <c r="AV4" i="16"/>
  <c r="AV5" i="16"/>
  <c r="AW4" i="16"/>
  <c r="AW5" i="16"/>
  <c r="AX4" i="16"/>
  <c r="AX5" i="16"/>
  <c r="AY4" i="16"/>
  <c r="AY5" i="16"/>
  <c r="AZ4" i="16"/>
  <c r="AZ5" i="16"/>
  <c r="BA4" i="16"/>
  <c r="BA5" i="16"/>
  <c r="BB4" i="16"/>
  <c r="BB5" i="16"/>
  <c r="BC4" i="16"/>
  <c r="BC5" i="16"/>
  <c r="BD4" i="16"/>
  <c r="BD5" i="16"/>
  <c r="BE4" i="16"/>
  <c r="BE5" i="16"/>
  <c r="BF4" i="16"/>
  <c r="BF5" i="16"/>
  <c r="BG4" i="16"/>
  <c r="BG5" i="16"/>
  <c r="BH4" i="16"/>
  <c r="BH5" i="16"/>
  <c r="BI4" i="16"/>
  <c r="BI5" i="16"/>
  <c r="BJ4" i="16"/>
  <c r="BJ5" i="16"/>
  <c r="BK4" i="16"/>
  <c r="BK5" i="16"/>
  <c r="BL4" i="16"/>
  <c r="BL5" i="16"/>
  <c r="BM4" i="16"/>
  <c r="BM5" i="16"/>
  <c r="BN4" i="16"/>
  <c r="BN5" i="16"/>
  <c r="BO4" i="16"/>
  <c r="BO5" i="16"/>
  <c r="BP4" i="16"/>
  <c r="BP5" i="16"/>
  <c r="BQ4" i="16"/>
  <c r="BQ5" i="16"/>
  <c r="BR4" i="16"/>
  <c r="BR5" i="16"/>
  <c r="BS4" i="16"/>
  <c r="BS5" i="16"/>
  <c r="BT4" i="16"/>
  <c r="BT5" i="16"/>
  <c r="BU4" i="16"/>
  <c r="BU5" i="16"/>
  <c r="BV4" i="16"/>
  <c r="BV5" i="16"/>
  <c r="BW4" i="16"/>
  <c r="BW5" i="16"/>
  <c r="BX4" i="16"/>
  <c r="BX5" i="16"/>
  <c r="BY4" i="16"/>
  <c r="BY5" i="16"/>
  <c r="BZ4" i="16"/>
  <c r="BZ5" i="16"/>
  <c r="CA4" i="16"/>
  <c r="CA5" i="16"/>
  <c r="CB4" i="16"/>
  <c r="CB5" i="16"/>
  <c r="CC4" i="16"/>
  <c r="CC5" i="16"/>
  <c r="CD4" i="16"/>
  <c r="CD5" i="16"/>
  <c r="CE4" i="16"/>
  <c r="CE5" i="16"/>
  <c r="CF4" i="16"/>
  <c r="CF5" i="16"/>
  <c r="CG4" i="16"/>
  <c r="CG5" i="16"/>
  <c r="CH4" i="16"/>
  <c r="CH5" i="16"/>
  <c r="CI4" i="16"/>
  <c r="CI5" i="16"/>
  <c r="CJ4" i="16"/>
  <c r="CJ5" i="16"/>
  <c r="CK4" i="16"/>
  <c r="CK5" i="16"/>
  <c r="CL4" i="16"/>
  <c r="CL5" i="16"/>
  <c r="CM4" i="16"/>
  <c r="CM5" i="16"/>
  <c r="CN4" i="16"/>
  <c r="CN5" i="16"/>
  <c r="CO4" i="16"/>
  <c r="CO5" i="16"/>
  <c r="CP4" i="16"/>
  <c r="CP5" i="16"/>
  <c r="CQ4" i="16"/>
  <c r="CQ5" i="16"/>
  <c r="CR4" i="16"/>
  <c r="CR5" i="16"/>
  <c r="CS4" i="16"/>
  <c r="CS5" i="16"/>
  <c r="CT4" i="16"/>
  <c r="CT5" i="16"/>
  <c r="CU4" i="16"/>
  <c r="CU5" i="16"/>
  <c r="CV4" i="16"/>
  <c r="CV5" i="16"/>
  <c r="CW4" i="16"/>
  <c r="CW5" i="16"/>
  <c r="CX4" i="16"/>
  <c r="CX5" i="16"/>
  <c r="CY4" i="16"/>
  <c r="CY5" i="16"/>
  <c r="CZ4" i="16"/>
  <c r="CZ5" i="16"/>
  <c r="DA4" i="16"/>
  <c r="DA5" i="16"/>
  <c r="DB4" i="16"/>
  <c r="DB5" i="16"/>
  <c r="DC4" i="16"/>
  <c r="DC5" i="16"/>
  <c r="DD4" i="16"/>
  <c r="DD5" i="16"/>
  <c r="DE4" i="16"/>
  <c r="DE5" i="16"/>
  <c r="DF4" i="16"/>
  <c r="DF5" i="16"/>
  <c r="DG4" i="16"/>
  <c r="DG5" i="16"/>
  <c r="DH4" i="16"/>
  <c r="DH5" i="16"/>
  <c r="DI4" i="16"/>
  <c r="DI5" i="16"/>
  <c r="DJ4" i="16"/>
  <c r="DJ5" i="16"/>
  <c r="DK4" i="16"/>
  <c r="DK5" i="16"/>
  <c r="DL4" i="16"/>
  <c r="DL5" i="16"/>
  <c r="DM4" i="16"/>
  <c r="DM5" i="16"/>
  <c r="DN4" i="16"/>
  <c r="DN5" i="16"/>
  <c r="DO4" i="16"/>
  <c r="DO5" i="16"/>
  <c r="DP4" i="16"/>
  <c r="DP5" i="16"/>
  <c r="DQ4" i="16"/>
  <c r="DQ5" i="16"/>
  <c r="DR4" i="16"/>
  <c r="DR5" i="16"/>
  <c r="DS4" i="16"/>
  <c r="DS5" i="16"/>
  <c r="DT4" i="16"/>
  <c r="DT5" i="16"/>
  <c r="DU4" i="16"/>
  <c r="DU5" i="16"/>
  <c r="DV4" i="16"/>
  <c r="DV5" i="16"/>
  <c r="DW4" i="16"/>
  <c r="DW5" i="16"/>
  <c r="DX4" i="16"/>
  <c r="DX5" i="16"/>
  <c r="DY4" i="16"/>
  <c r="DY5" i="16"/>
  <c r="DZ4" i="16"/>
  <c r="DZ5" i="16"/>
  <c r="EA4" i="16"/>
  <c r="EA5" i="16"/>
  <c r="EB4" i="16"/>
  <c r="EB5" i="16"/>
  <c r="EC4" i="16"/>
  <c r="EC5" i="16"/>
  <c r="ED4" i="16"/>
  <c r="ED5" i="16"/>
  <c r="EE4" i="16"/>
  <c r="EE5" i="16"/>
  <c r="EF4" i="16"/>
  <c r="EF5" i="16"/>
  <c r="EG4" i="16"/>
  <c r="EG5" i="16"/>
  <c r="EH4" i="16"/>
  <c r="EH5" i="16"/>
  <c r="EI4" i="16"/>
  <c r="EI5" i="16"/>
  <c r="EJ4" i="16"/>
  <c r="EJ5" i="16"/>
  <c r="EK4" i="16"/>
  <c r="EK5" i="16"/>
  <c r="EL4" i="16"/>
  <c r="EL5" i="16"/>
  <c r="EM4" i="16"/>
  <c r="EM5" i="16"/>
  <c r="EN4" i="16"/>
  <c r="EN5" i="16"/>
  <c r="EO4" i="16"/>
  <c r="EO5" i="16"/>
  <c r="EP4" i="16"/>
  <c r="EP5" i="16"/>
  <c r="EQ4" i="16"/>
  <c r="EQ5" i="16"/>
  <c r="ER4" i="16"/>
  <c r="ER5" i="16"/>
  <c r="ES4" i="16"/>
  <c r="ES5" i="16"/>
  <c r="ET4" i="16"/>
  <c r="ET5" i="16"/>
  <c r="EU4" i="16"/>
  <c r="EU5" i="16"/>
  <c r="EV4" i="16"/>
  <c r="EV5" i="16"/>
  <c r="EW4" i="16"/>
  <c r="EW5" i="16"/>
  <c r="EX4" i="16"/>
  <c r="EX5" i="16"/>
  <c r="EY4" i="16"/>
  <c r="EY5" i="16"/>
  <c r="EZ4" i="16"/>
  <c r="EZ5" i="16"/>
  <c r="FA4" i="16"/>
  <c r="FA5" i="16"/>
  <c r="FB4" i="16"/>
  <c r="FB5" i="16"/>
  <c r="FC4" i="16"/>
  <c r="FC5" i="16"/>
  <c r="FD4" i="16"/>
  <c r="FD5" i="16"/>
  <c r="FE4" i="16"/>
  <c r="FE5" i="16"/>
  <c r="FF4" i="16"/>
  <c r="FF5" i="16"/>
  <c r="FG4" i="16"/>
  <c r="FG5" i="16"/>
  <c r="FH4" i="16"/>
  <c r="FH5" i="16"/>
  <c r="FI4" i="16"/>
  <c r="FI5" i="16"/>
  <c r="FJ4" i="16"/>
  <c r="FJ5" i="16"/>
  <c r="FK4" i="16"/>
  <c r="FK5" i="16"/>
  <c r="FL4" i="16"/>
  <c r="FL5" i="16"/>
  <c r="FM4" i="16"/>
  <c r="FM5" i="16"/>
  <c r="FN4" i="16"/>
  <c r="FN5" i="16"/>
  <c r="FO4" i="16"/>
  <c r="FO5" i="16"/>
  <c r="FP4" i="16"/>
  <c r="FP5" i="16"/>
  <c r="FQ4" i="16"/>
  <c r="FQ5" i="16"/>
  <c r="FR4" i="16"/>
  <c r="FR5" i="16"/>
  <c r="FS4" i="16"/>
  <c r="FS5" i="16"/>
  <c r="FT4" i="16"/>
  <c r="FT5" i="16"/>
  <c r="FU4" i="16"/>
  <c r="FU5" i="16"/>
  <c r="FV4" i="16"/>
  <c r="FV5" i="16"/>
  <c r="FW4" i="16"/>
  <c r="FW5" i="16"/>
  <c r="FX4" i="16"/>
  <c r="FX5" i="16"/>
  <c r="FY4" i="16"/>
  <c r="FY5" i="16"/>
  <c r="FZ4" i="16"/>
  <c r="FZ5" i="16"/>
  <c r="GA4" i="16"/>
  <c r="GA5" i="16"/>
  <c r="GB4" i="16"/>
  <c r="GB5" i="16"/>
  <c r="GC4" i="16"/>
  <c r="GC5" i="16"/>
  <c r="GD4" i="16"/>
  <c r="GD5" i="16"/>
  <c r="GE4" i="16"/>
  <c r="GE5" i="16"/>
  <c r="GF4" i="16"/>
  <c r="GF5" i="16"/>
  <c r="GG4" i="16"/>
  <c r="GG5" i="16"/>
  <c r="GH4" i="16"/>
  <c r="GH5" i="16"/>
  <c r="GI4" i="16"/>
  <c r="GI5" i="16"/>
  <c r="GJ4" i="16"/>
  <c r="GJ5" i="16"/>
  <c r="GK4" i="16"/>
  <c r="GK5" i="16"/>
  <c r="GL4" i="16"/>
  <c r="GL5" i="16"/>
  <c r="GM4" i="16"/>
  <c r="GM5" i="16"/>
  <c r="GN4" i="16"/>
  <c r="GN5" i="16"/>
  <c r="GO4" i="16"/>
  <c r="GO5" i="16"/>
  <c r="GP4" i="16"/>
  <c r="GP5" i="16"/>
  <c r="GQ4" i="16"/>
  <c r="GQ5" i="16"/>
  <c r="GR4" i="16"/>
  <c r="GR5" i="16"/>
  <c r="GS4" i="16"/>
  <c r="GS5" i="16"/>
  <c r="GT4" i="16"/>
  <c r="GT5" i="16"/>
  <c r="GU4" i="16"/>
  <c r="GU5" i="16"/>
  <c r="GV4" i="16"/>
  <c r="GV5" i="16"/>
  <c r="GW4" i="16"/>
  <c r="GW5" i="16"/>
  <c r="GX4" i="16"/>
  <c r="GX5" i="16"/>
  <c r="GY4" i="16"/>
  <c r="GY5" i="16"/>
  <c r="GZ4" i="16"/>
  <c r="GZ5" i="16"/>
  <c r="HA4" i="16"/>
  <c r="HA5" i="16"/>
  <c r="HB4" i="16"/>
  <c r="HB5" i="16"/>
  <c r="HC4" i="16"/>
  <c r="HC5" i="16"/>
  <c r="HD4" i="16"/>
  <c r="HD5" i="16"/>
  <c r="HE4" i="16"/>
  <c r="HE5" i="16"/>
  <c r="HF4" i="16"/>
  <c r="HF5" i="16"/>
  <c r="HG4" i="16"/>
  <c r="HG5" i="16"/>
  <c r="HH4" i="16"/>
  <c r="HH5" i="16"/>
  <c r="HI4" i="16"/>
  <c r="HI5" i="16"/>
  <c r="HJ4" i="16"/>
  <c r="HJ5" i="16"/>
  <c r="HK4" i="16"/>
  <c r="HK5" i="16"/>
  <c r="HL4" i="16"/>
  <c r="HL5" i="16"/>
  <c r="HM4" i="16"/>
  <c r="HM5" i="16"/>
  <c r="HN4" i="16"/>
  <c r="HN5" i="16"/>
  <c r="HO4" i="16"/>
  <c r="HO5" i="16"/>
  <c r="HP4" i="16"/>
  <c r="HP5" i="16"/>
  <c r="HQ4" i="16"/>
  <c r="HQ5" i="16"/>
  <c r="HR4" i="16"/>
  <c r="HR5" i="16"/>
  <c r="HS4" i="16"/>
  <c r="HS5" i="16"/>
  <c r="HT4" i="16"/>
  <c r="HT5" i="16"/>
  <c r="HU4" i="16"/>
  <c r="HU5" i="16"/>
  <c r="HV4" i="16"/>
  <c r="HV5" i="16"/>
  <c r="HW4" i="16"/>
  <c r="HW5" i="16"/>
  <c r="HX4" i="16"/>
  <c r="HX5" i="16"/>
  <c r="HY4" i="16"/>
  <c r="HY5" i="16"/>
  <c r="HZ4" i="16"/>
  <c r="HZ5" i="16"/>
  <c r="IA4" i="16"/>
  <c r="IA5" i="16"/>
  <c r="IB4" i="16"/>
  <c r="IB5" i="16"/>
  <c r="IC4" i="16"/>
  <c r="IC5" i="16"/>
  <c r="ID4" i="16"/>
  <c r="ID5" i="16"/>
  <c r="IE4" i="16"/>
  <c r="IE5" i="16"/>
  <c r="IF4" i="16"/>
  <c r="IF5" i="16"/>
  <c r="IG4" i="16"/>
  <c r="IG5" i="16"/>
  <c r="IH4" i="16"/>
  <c r="IH5" i="16"/>
  <c r="II4" i="16"/>
  <c r="II5" i="16"/>
  <c r="IJ4" i="16"/>
  <c r="IJ5" i="16"/>
  <c r="IK4" i="16"/>
  <c r="IK5" i="16"/>
  <c r="IL4" i="16"/>
  <c r="IL5" i="16"/>
  <c r="IM4" i="16"/>
  <c r="IM5" i="16"/>
  <c r="IN4" i="16"/>
  <c r="IN5" i="16"/>
  <c r="IO4" i="16"/>
  <c r="IO5" i="16"/>
  <c r="IP4" i="16"/>
  <c r="IP5" i="16"/>
  <c r="IQ4" i="16"/>
  <c r="IQ5" i="16"/>
  <c r="IR4" i="16"/>
  <c r="IR5" i="16"/>
  <c r="IS4" i="16"/>
  <c r="IS5" i="16"/>
  <c r="IT4" i="16"/>
  <c r="IT5" i="16"/>
  <c r="IU4" i="16"/>
  <c r="IU5" i="16"/>
  <c r="IV4" i="16"/>
  <c r="IV5" i="16"/>
  <c r="IW4" i="16"/>
  <c r="IW5" i="16"/>
  <c r="IX4" i="16"/>
  <c r="IX5" i="16"/>
  <c r="IY4" i="16"/>
  <c r="IY5" i="16"/>
  <c r="IZ4" i="16"/>
  <c r="IZ5" i="16"/>
  <c r="JA4" i="16"/>
  <c r="JA5" i="16"/>
  <c r="JB4" i="16"/>
  <c r="JB5" i="16"/>
  <c r="K26" i="10"/>
  <c r="KW21" i="5"/>
  <c r="KW20" i="5"/>
  <c r="KW19" i="5"/>
  <c r="KW18" i="5"/>
  <c r="KW17" i="5"/>
  <c r="KW16" i="5"/>
  <c r="KW15" i="5"/>
  <c r="KW14" i="5"/>
  <c r="KW13" i="5"/>
  <c r="KW12" i="5"/>
  <c r="KW11" i="5"/>
  <c r="KW10" i="5"/>
  <c r="KW9" i="5"/>
  <c r="KW8" i="5"/>
  <c r="KW7" i="5"/>
  <c r="KW6" i="5"/>
  <c r="KW5" i="5"/>
  <c r="KW4" i="5"/>
  <c r="KX21" i="5"/>
  <c r="KX20" i="5"/>
  <c r="KX19" i="5"/>
  <c r="KX18" i="5"/>
  <c r="KX17" i="5"/>
  <c r="KX16" i="5"/>
  <c r="KX15" i="5"/>
  <c r="KX14" i="5"/>
  <c r="KX13" i="5"/>
  <c r="KX12" i="5"/>
  <c r="KX11" i="5"/>
  <c r="KX10" i="5"/>
  <c r="KX9" i="5"/>
  <c r="KX8" i="5"/>
  <c r="KX7" i="5"/>
  <c r="KX6" i="5"/>
  <c r="KX5" i="5"/>
  <c r="KX4" i="5"/>
  <c r="KY21" i="5"/>
  <c r="KY20" i="5"/>
  <c r="KY19" i="5"/>
  <c r="KY18" i="5"/>
  <c r="KY17" i="5"/>
  <c r="KY16" i="5"/>
  <c r="KY15" i="5"/>
  <c r="KY14" i="5"/>
  <c r="KY13" i="5"/>
  <c r="KY12" i="5"/>
  <c r="KY11" i="5"/>
  <c r="KY10" i="5"/>
  <c r="KY9" i="5"/>
  <c r="KY8" i="5"/>
  <c r="KY7" i="5"/>
  <c r="KY6" i="5"/>
  <c r="KY5" i="5"/>
  <c r="KY4" i="5"/>
  <c r="KZ21" i="5"/>
  <c r="KZ20" i="5"/>
  <c r="KZ19" i="5"/>
  <c r="KZ18" i="5"/>
  <c r="KZ17" i="5"/>
  <c r="KZ16" i="5"/>
  <c r="KZ15" i="5"/>
  <c r="KZ14" i="5"/>
  <c r="KZ13" i="5"/>
  <c r="KZ12" i="5"/>
  <c r="KZ11" i="5"/>
  <c r="KZ10" i="5"/>
  <c r="KZ9" i="5"/>
  <c r="KZ8" i="5"/>
  <c r="KZ7" i="5"/>
  <c r="KZ6" i="5"/>
  <c r="KZ5" i="5"/>
  <c r="KZ4" i="5"/>
  <c r="LA21" i="5"/>
  <c r="LA20" i="5"/>
  <c r="LA19" i="5"/>
  <c r="LA18" i="5"/>
  <c r="LA17" i="5"/>
  <c r="LA16" i="5"/>
  <c r="LA15" i="5"/>
  <c r="LA14" i="5"/>
  <c r="LA13" i="5"/>
  <c r="LA12" i="5"/>
  <c r="LA11" i="5"/>
  <c r="LA10" i="5"/>
  <c r="LA9" i="5"/>
  <c r="LA8" i="5"/>
  <c r="LA7" i="5"/>
  <c r="LA6" i="5"/>
  <c r="LA5" i="5"/>
  <c r="LA4" i="5"/>
  <c r="LB21" i="5"/>
  <c r="LB20" i="5"/>
  <c r="LB19" i="5"/>
  <c r="LB18" i="5"/>
  <c r="LB17" i="5"/>
  <c r="LB16" i="5"/>
  <c r="LB15" i="5"/>
  <c r="LB14" i="5"/>
  <c r="LB13" i="5"/>
  <c r="LB12" i="5"/>
  <c r="LB11" i="5"/>
  <c r="LB10" i="5"/>
  <c r="LB9" i="5"/>
  <c r="LB8" i="5"/>
  <c r="LB7" i="5"/>
  <c r="LB6" i="5"/>
  <c r="LB5" i="5"/>
  <c r="LB4" i="5"/>
  <c r="LC21" i="5"/>
  <c r="LC20" i="5"/>
  <c r="LC19" i="5"/>
  <c r="LC18" i="5"/>
  <c r="LC17" i="5"/>
  <c r="LC16" i="5"/>
  <c r="LC15" i="5"/>
  <c r="LC14" i="5"/>
  <c r="LC13" i="5"/>
  <c r="LC12" i="5"/>
  <c r="LC11" i="5"/>
  <c r="LC10" i="5"/>
  <c r="LC9" i="5"/>
  <c r="LC8" i="5"/>
  <c r="LC7" i="5"/>
  <c r="LC6" i="5"/>
  <c r="LC5" i="5"/>
  <c r="LC4" i="5"/>
  <c r="LD21" i="5"/>
  <c r="LD20" i="5"/>
  <c r="LD19" i="5"/>
  <c r="LD18" i="5"/>
  <c r="LD17" i="5"/>
  <c r="LD16" i="5"/>
  <c r="LD15" i="5"/>
  <c r="LD14" i="5"/>
  <c r="LD13" i="5"/>
  <c r="LD12" i="5"/>
  <c r="LD11" i="5"/>
  <c r="LD10" i="5"/>
  <c r="LD9" i="5"/>
  <c r="LD8" i="5"/>
  <c r="LD7" i="5"/>
  <c r="LD6" i="5"/>
  <c r="LD5" i="5"/>
  <c r="LD4" i="5"/>
  <c r="LE21" i="5"/>
  <c r="LE20" i="5"/>
  <c r="LE19" i="5"/>
  <c r="LE18" i="5"/>
  <c r="LE17" i="5"/>
  <c r="LE16" i="5"/>
  <c r="LE15" i="5"/>
  <c r="LE14" i="5"/>
  <c r="LE13" i="5"/>
  <c r="LE12" i="5"/>
  <c r="LE11" i="5"/>
  <c r="LE10" i="5"/>
  <c r="LE9" i="5"/>
  <c r="LE8" i="5"/>
  <c r="LE7" i="5"/>
  <c r="LE6" i="5"/>
  <c r="LE5" i="5"/>
  <c r="LE4" i="5"/>
  <c r="LF21" i="5"/>
  <c r="LF20" i="5"/>
  <c r="LF19" i="5"/>
  <c r="LF18" i="5"/>
  <c r="LF17" i="5"/>
  <c r="LF16" i="5"/>
  <c r="LF15" i="5"/>
  <c r="LF14" i="5"/>
  <c r="LF13" i="5"/>
  <c r="LF12" i="5"/>
  <c r="LF11" i="5"/>
  <c r="LF10" i="5"/>
  <c r="LF9" i="5"/>
  <c r="LF8" i="5"/>
  <c r="LF7" i="5"/>
  <c r="LF6" i="5"/>
  <c r="LF5" i="5"/>
  <c r="LF4" i="5"/>
  <c r="LG21" i="5"/>
  <c r="LG20" i="5"/>
  <c r="LG19" i="5"/>
  <c r="LG18" i="5"/>
  <c r="LG17" i="5"/>
  <c r="LG16" i="5"/>
  <c r="LG15" i="5"/>
  <c r="LG14" i="5"/>
  <c r="LG13" i="5"/>
  <c r="LG12" i="5"/>
  <c r="LG11" i="5"/>
  <c r="LG10" i="5"/>
  <c r="LG9" i="5"/>
  <c r="LG8" i="5"/>
  <c r="LG7" i="5"/>
  <c r="LG6" i="5"/>
  <c r="LG5" i="5"/>
  <c r="LG4" i="5"/>
  <c r="LH21" i="5"/>
  <c r="LH20" i="5"/>
  <c r="LH19" i="5"/>
  <c r="LH18" i="5"/>
  <c r="LH17" i="5"/>
  <c r="LH16" i="5"/>
  <c r="LH15" i="5"/>
  <c r="LH14" i="5"/>
  <c r="LH13" i="5"/>
  <c r="LH12" i="5"/>
  <c r="LH11" i="5"/>
  <c r="LH10" i="5"/>
  <c r="LH9" i="5"/>
  <c r="LH8" i="5"/>
  <c r="LH7" i="5"/>
  <c r="LH6" i="5"/>
  <c r="LH5" i="5"/>
  <c r="LH4" i="5"/>
  <c r="LI21" i="5"/>
  <c r="LI20" i="5"/>
  <c r="LI19" i="5"/>
  <c r="LI18" i="5"/>
  <c r="LI17" i="5"/>
  <c r="LI16" i="5"/>
  <c r="LI15" i="5"/>
  <c r="LI14" i="5"/>
  <c r="LI13" i="5"/>
  <c r="LI12" i="5"/>
  <c r="LI11" i="5"/>
  <c r="LI10" i="5"/>
  <c r="LI9" i="5"/>
  <c r="LI8" i="5"/>
  <c r="LI7" i="5"/>
  <c r="LI6" i="5"/>
  <c r="LI5" i="5"/>
  <c r="LI4" i="5"/>
  <c r="LJ21" i="5"/>
  <c r="LJ20" i="5"/>
  <c r="LJ19" i="5"/>
  <c r="LJ18" i="5"/>
  <c r="LJ17" i="5"/>
  <c r="LJ16" i="5"/>
  <c r="LJ15" i="5"/>
  <c r="LJ14" i="5"/>
  <c r="LJ13" i="5"/>
  <c r="LJ12" i="5"/>
  <c r="LJ11" i="5"/>
  <c r="LJ10" i="5"/>
  <c r="LJ9" i="5"/>
  <c r="LJ8" i="5"/>
  <c r="LJ7" i="5"/>
  <c r="LJ6" i="5"/>
  <c r="LJ5" i="5"/>
  <c r="LJ4" i="5"/>
  <c r="LK21" i="5"/>
  <c r="LK20" i="5"/>
  <c r="LK19" i="5"/>
  <c r="LK18" i="5"/>
  <c r="LK17" i="5"/>
  <c r="LK16" i="5"/>
  <c r="LK15" i="5"/>
  <c r="LK14" i="5"/>
  <c r="LK13" i="5"/>
  <c r="LK12" i="5"/>
  <c r="LK11" i="5"/>
  <c r="LK10" i="5"/>
  <c r="LK9" i="5"/>
  <c r="LK8" i="5"/>
  <c r="LK7" i="5"/>
  <c r="LK6" i="5"/>
  <c r="LK5" i="5"/>
  <c r="LK4" i="5"/>
  <c r="LL21" i="5"/>
  <c r="LL20" i="5"/>
  <c r="LL19" i="5"/>
  <c r="LL18" i="5"/>
  <c r="LL17" i="5"/>
  <c r="LL16" i="5"/>
  <c r="LL15" i="5"/>
  <c r="LL14" i="5"/>
  <c r="LL13" i="5"/>
  <c r="LL12" i="5"/>
  <c r="LL11" i="5"/>
  <c r="LL10" i="5"/>
  <c r="LL9" i="5"/>
  <c r="LL8" i="5"/>
  <c r="LL7" i="5"/>
  <c r="LL6" i="5"/>
  <c r="LL5" i="5"/>
  <c r="LL4" i="5"/>
  <c r="LM21" i="5"/>
  <c r="LM20" i="5"/>
  <c r="LM19" i="5"/>
  <c r="LM18" i="5"/>
  <c r="LM17" i="5"/>
  <c r="LM16" i="5"/>
  <c r="LM15" i="5"/>
  <c r="LM14" i="5"/>
  <c r="LM13" i="5"/>
  <c r="LM12" i="5"/>
  <c r="LM11" i="5"/>
  <c r="LM10" i="5"/>
  <c r="LM9" i="5"/>
  <c r="LM8" i="5"/>
  <c r="LM7" i="5"/>
  <c r="LM6" i="5"/>
  <c r="LM5" i="5"/>
  <c r="LM4" i="5"/>
  <c r="LN21" i="5"/>
  <c r="LN20" i="5"/>
  <c r="LN19" i="5"/>
  <c r="LN18" i="5"/>
  <c r="LN17" i="5"/>
  <c r="LN16" i="5"/>
  <c r="LN15" i="5"/>
  <c r="LN14" i="5"/>
  <c r="LN13" i="5"/>
  <c r="LN12" i="5"/>
  <c r="LN11" i="5"/>
  <c r="LN10" i="5"/>
  <c r="LN9" i="5"/>
  <c r="LN8" i="5"/>
  <c r="LN7" i="5"/>
  <c r="LN6" i="5"/>
  <c r="LN5" i="5"/>
  <c r="LN4" i="5"/>
  <c r="LO21" i="5"/>
  <c r="LO20" i="5"/>
  <c r="LO19" i="5"/>
  <c r="LO18" i="5"/>
  <c r="LO17" i="5"/>
  <c r="LO16" i="5"/>
  <c r="LO15" i="5"/>
  <c r="LO14" i="5"/>
  <c r="LO13" i="5"/>
  <c r="LO12" i="5"/>
  <c r="LO11" i="5"/>
  <c r="LO10" i="5"/>
  <c r="LO9" i="5"/>
  <c r="LO8" i="5"/>
  <c r="LO7" i="5"/>
  <c r="LO6" i="5"/>
  <c r="LO5" i="5"/>
  <c r="LO4" i="5"/>
  <c r="I23" i="10"/>
  <c r="TF4" i="5"/>
  <c r="TF5" i="5"/>
  <c r="TF6" i="5"/>
  <c r="TF7" i="5"/>
  <c r="TF8" i="5"/>
  <c r="TF9" i="5"/>
  <c r="TF10" i="5"/>
  <c r="TF11" i="5"/>
  <c r="TF12" i="5"/>
  <c r="TF13" i="5"/>
  <c r="TF14" i="5"/>
  <c r="TF15" i="5"/>
  <c r="TF16" i="5"/>
  <c r="TF17" i="5"/>
  <c r="TF18" i="5"/>
  <c r="TF19" i="5"/>
  <c r="TF20" i="5"/>
  <c r="TF21" i="5"/>
  <c r="TE4" i="5"/>
  <c r="TE5" i="5"/>
  <c r="TE6" i="5"/>
  <c r="TE7" i="5"/>
  <c r="TE8" i="5"/>
  <c r="TE9" i="5"/>
  <c r="TE10" i="5"/>
  <c r="TE11" i="5"/>
  <c r="TE12" i="5"/>
  <c r="TE13" i="5"/>
  <c r="TE14" i="5"/>
  <c r="TE15" i="5"/>
  <c r="TE16" i="5"/>
  <c r="TE17" i="5"/>
  <c r="TE18" i="5"/>
  <c r="TE19" i="5"/>
  <c r="TE20" i="5"/>
  <c r="TE21" i="5"/>
  <c r="TD4" i="5"/>
  <c r="TD5" i="5"/>
  <c r="TD6" i="5"/>
  <c r="TD7" i="5"/>
  <c r="TD8" i="5"/>
  <c r="TD9" i="5"/>
  <c r="TD10" i="5"/>
  <c r="TD11" i="5"/>
  <c r="TD12" i="5"/>
  <c r="TD13" i="5"/>
  <c r="TD14" i="5"/>
  <c r="TD15" i="5"/>
  <c r="TD16" i="5"/>
  <c r="TD17" i="5"/>
  <c r="TD18" i="5"/>
  <c r="TD19" i="5"/>
  <c r="TD20" i="5"/>
  <c r="TD21" i="5"/>
  <c r="TC4" i="5"/>
  <c r="TC5" i="5"/>
  <c r="TC6" i="5"/>
  <c r="TC7" i="5"/>
  <c r="TC8" i="5"/>
  <c r="TC9" i="5"/>
  <c r="TC10" i="5"/>
  <c r="TC11" i="5"/>
  <c r="TC12" i="5"/>
  <c r="TC13" i="5"/>
  <c r="TC14" i="5"/>
  <c r="TC15" i="5"/>
  <c r="TC16" i="5"/>
  <c r="TC17" i="5"/>
  <c r="TC18" i="5"/>
  <c r="TC19" i="5"/>
  <c r="TC20" i="5"/>
  <c r="TC21" i="5"/>
  <c r="TB4" i="5"/>
  <c r="TB5" i="5"/>
  <c r="TB6" i="5"/>
  <c r="TB7" i="5"/>
  <c r="TB8" i="5"/>
  <c r="TB9" i="5"/>
  <c r="TB10" i="5"/>
  <c r="TB11" i="5"/>
  <c r="TB12" i="5"/>
  <c r="TB13" i="5"/>
  <c r="TB14" i="5"/>
  <c r="TB15" i="5"/>
  <c r="TB16" i="5"/>
  <c r="TB17" i="5"/>
  <c r="TB18" i="5"/>
  <c r="TB19" i="5"/>
  <c r="TB20" i="5"/>
  <c r="TB21" i="5"/>
  <c r="TA4" i="5"/>
  <c r="TA5" i="5"/>
  <c r="TA6" i="5"/>
  <c r="TA7" i="5"/>
  <c r="TA8" i="5"/>
  <c r="TA9" i="5"/>
  <c r="TA10" i="5"/>
  <c r="TA11" i="5"/>
  <c r="TA12" i="5"/>
  <c r="TA13" i="5"/>
  <c r="TA14" i="5"/>
  <c r="TA15" i="5"/>
  <c r="TA16" i="5"/>
  <c r="TA17" i="5"/>
  <c r="TA18" i="5"/>
  <c r="TA19" i="5"/>
  <c r="TA20" i="5"/>
  <c r="TA21" i="5"/>
  <c r="SZ4" i="5"/>
  <c r="SZ5" i="5"/>
  <c r="SZ6" i="5"/>
  <c r="SZ7" i="5"/>
  <c r="SZ8" i="5"/>
  <c r="SZ9" i="5"/>
  <c r="SZ10" i="5"/>
  <c r="SZ11" i="5"/>
  <c r="SZ12" i="5"/>
  <c r="SZ13" i="5"/>
  <c r="SZ14" i="5"/>
  <c r="SZ15" i="5"/>
  <c r="SZ16" i="5"/>
  <c r="SZ17" i="5"/>
  <c r="SZ18" i="5"/>
  <c r="SZ19" i="5"/>
  <c r="SZ20" i="5"/>
  <c r="SZ21" i="5"/>
  <c r="SY4" i="5"/>
  <c r="SY5" i="5"/>
  <c r="SY6" i="5"/>
  <c r="SY7" i="5"/>
  <c r="SY8" i="5"/>
  <c r="SY9" i="5"/>
  <c r="SY10" i="5"/>
  <c r="SY11" i="5"/>
  <c r="SY12" i="5"/>
  <c r="SY13" i="5"/>
  <c r="SY14" i="5"/>
  <c r="SY15" i="5"/>
  <c r="SY16" i="5"/>
  <c r="SY17" i="5"/>
  <c r="SY18" i="5"/>
  <c r="SY19" i="5"/>
  <c r="SY20" i="5"/>
  <c r="SY21" i="5"/>
  <c r="SX4" i="5"/>
  <c r="SX5" i="5"/>
  <c r="SX6" i="5"/>
  <c r="SX7" i="5"/>
  <c r="SX8" i="5"/>
  <c r="SX9" i="5"/>
  <c r="SX10" i="5"/>
  <c r="SX11" i="5"/>
  <c r="SX12" i="5"/>
  <c r="SX13" i="5"/>
  <c r="SX14" i="5"/>
  <c r="SX15" i="5"/>
  <c r="SX16" i="5"/>
  <c r="SX17" i="5"/>
  <c r="SX18" i="5"/>
  <c r="SX19" i="5"/>
  <c r="SX20" i="5"/>
  <c r="SX21" i="5"/>
  <c r="SW4" i="5"/>
  <c r="SW5" i="5"/>
  <c r="SW6" i="5"/>
  <c r="SW7" i="5"/>
  <c r="SW8" i="5"/>
  <c r="SW9" i="5"/>
  <c r="SW10" i="5"/>
  <c r="SW11" i="5"/>
  <c r="SW12" i="5"/>
  <c r="SW13" i="5"/>
  <c r="SW14" i="5"/>
  <c r="SW15" i="5"/>
  <c r="SW16" i="5"/>
  <c r="SW17" i="5"/>
  <c r="SW18" i="5"/>
  <c r="SW19" i="5"/>
  <c r="SW20" i="5"/>
  <c r="SW21" i="5"/>
  <c r="SV4" i="5"/>
  <c r="SV5" i="5"/>
  <c r="SV6" i="5"/>
  <c r="SV7" i="5"/>
  <c r="SV8" i="5"/>
  <c r="SV9" i="5"/>
  <c r="SV10" i="5"/>
  <c r="SV11" i="5"/>
  <c r="SV12" i="5"/>
  <c r="SV13" i="5"/>
  <c r="SV14" i="5"/>
  <c r="SV15" i="5"/>
  <c r="SV16" i="5"/>
  <c r="SV17" i="5"/>
  <c r="SV18" i="5"/>
  <c r="SV19" i="5"/>
  <c r="SV20" i="5"/>
  <c r="SV21" i="5"/>
  <c r="SU4" i="5"/>
  <c r="SU5" i="5"/>
  <c r="SU6" i="5"/>
  <c r="SU7" i="5"/>
  <c r="SU8" i="5"/>
  <c r="SU9" i="5"/>
  <c r="SU10" i="5"/>
  <c r="SU11" i="5"/>
  <c r="SU12" i="5"/>
  <c r="SU13" i="5"/>
  <c r="SU14" i="5"/>
  <c r="SU15" i="5"/>
  <c r="SU16" i="5"/>
  <c r="SU17" i="5"/>
  <c r="SU18" i="5"/>
  <c r="SU19" i="5"/>
  <c r="SU20" i="5"/>
  <c r="SU21" i="5"/>
  <c r="ST4" i="5"/>
  <c r="ST5" i="5"/>
  <c r="ST6" i="5"/>
  <c r="ST7" i="5"/>
  <c r="ST8" i="5"/>
  <c r="ST9" i="5"/>
  <c r="ST10" i="5"/>
  <c r="ST11" i="5"/>
  <c r="ST12" i="5"/>
  <c r="ST13" i="5"/>
  <c r="ST14" i="5"/>
  <c r="ST15" i="5"/>
  <c r="ST16" i="5"/>
  <c r="ST17" i="5"/>
  <c r="ST18" i="5"/>
  <c r="ST19" i="5"/>
  <c r="ST20" i="5"/>
  <c r="ST21" i="5"/>
  <c r="SS4" i="5"/>
  <c r="SS5" i="5"/>
  <c r="SS6" i="5"/>
  <c r="SS7" i="5"/>
  <c r="SS8" i="5"/>
  <c r="SS9" i="5"/>
  <c r="SS10" i="5"/>
  <c r="SS11" i="5"/>
  <c r="SS12" i="5"/>
  <c r="SS13" i="5"/>
  <c r="SS14" i="5"/>
  <c r="SS15" i="5"/>
  <c r="SS16" i="5"/>
  <c r="SS17" i="5"/>
  <c r="SS18" i="5"/>
  <c r="SS19" i="5"/>
  <c r="SS20" i="5"/>
  <c r="SS21" i="5"/>
  <c r="SR4" i="5"/>
  <c r="SR5" i="5"/>
  <c r="SR6" i="5"/>
  <c r="SR7" i="5"/>
  <c r="SR8" i="5"/>
  <c r="SR9" i="5"/>
  <c r="SR10" i="5"/>
  <c r="SR11" i="5"/>
  <c r="SR12" i="5"/>
  <c r="SR13" i="5"/>
  <c r="SR14" i="5"/>
  <c r="SR15" i="5"/>
  <c r="SR16" i="5"/>
  <c r="SR17" i="5"/>
  <c r="SR18" i="5"/>
  <c r="SR19" i="5"/>
  <c r="SR20" i="5"/>
  <c r="SR21" i="5"/>
  <c r="SQ4" i="5"/>
  <c r="SQ5" i="5"/>
  <c r="SQ6" i="5"/>
  <c r="SQ7" i="5"/>
  <c r="SQ8" i="5"/>
  <c r="SQ9" i="5"/>
  <c r="SQ10" i="5"/>
  <c r="SQ11" i="5"/>
  <c r="SQ12" i="5"/>
  <c r="SQ13" i="5"/>
  <c r="SQ14" i="5"/>
  <c r="SQ15" i="5"/>
  <c r="SQ16" i="5"/>
  <c r="SQ17" i="5"/>
  <c r="SQ18" i="5"/>
  <c r="SQ19" i="5"/>
  <c r="SQ20" i="5"/>
  <c r="SQ21" i="5"/>
  <c r="SP4" i="5"/>
  <c r="SP5" i="5"/>
  <c r="SP6" i="5"/>
  <c r="SP7" i="5"/>
  <c r="SP8" i="5"/>
  <c r="SP9" i="5"/>
  <c r="SP10" i="5"/>
  <c r="SP11" i="5"/>
  <c r="SP12" i="5"/>
  <c r="SP13" i="5"/>
  <c r="SP14" i="5"/>
  <c r="SP15" i="5"/>
  <c r="SP16" i="5"/>
  <c r="SP17" i="5"/>
  <c r="SP18" i="5"/>
  <c r="SP19" i="5"/>
  <c r="SP20" i="5"/>
  <c r="SP21" i="5"/>
  <c r="SO4" i="5"/>
  <c r="SO5" i="5"/>
  <c r="SO6" i="5"/>
  <c r="SO7" i="5"/>
  <c r="SO8" i="5"/>
  <c r="SO9" i="5"/>
  <c r="SO10" i="5"/>
  <c r="SO11" i="5"/>
  <c r="SO12" i="5"/>
  <c r="SO13" i="5"/>
  <c r="SO14" i="5"/>
  <c r="SO15" i="5"/>
  <c r="SO16" i="5"/>
  <c r="SO17" i="5"/>
  <c r="SO18" i="5"/>
  <c r="SO19" i="5"/>
  <c r="SO20" i="5"/>
  <c r="SO21" i="5"/>
  <c r="SN4" i="5"/>
  <c r="SN5" i="5"/>
  <c r="SN6" i="5"/>
  <c r="SN7" i="5"/>
  <c r="SN8" i="5"/>
  <c r="SN9" i="5"/>
  <c r="SN10" i="5"/>
  <c r="SN11" i="5"/>
  <c r="SN12" i="5"/>
  <c r="SN13" i="5"/>
  <c r="SN14" i="5"/>
  <c r="SN15" i="5"/>
  <c r="SN16" i="5"/>
  <c r="SN17" i="5"/>
  <c r="SN18" i="5"/>
  <c r="SN19" i="5"/>
  <c r="SN20" i="5"/>
  <c r="SN21" i="5"/>
  <c r="SM4" i="5"/>
  <c r="SM5" i="5"/>
  <c r="SM6" i="5"/>
  <c r="SM7" i="5"/>
  <c r="SM8" i="5"/>
  <c r="SM9" i="5"/>
  <c r="SM10" i="5"/>
  <c r="SM11" i="5"/>
  <c r="SM12" i="5"/>
  <c r="SM13" i="5"/>
  <c r="SM14" i="5"/>
  <c r="SM15" i="5"/>
  <c r="SM16" i="5"/>
  <c r="SM17" i="5"/>
  <c r="SM18" i="5"/>
  <c r="SM19" i="5"/>
  <c r="SM20" i="5"/>
  <c r="SM21" i="5"/>
  <c r="SL4" i="5"/>
  <c r="SL5" i="5"/>
  <c r="SL6" i="5"/>
  <c r="SL7" i="5"/>
  <c r="SL8" i="5"/>
  <c r="SL9" i="5"/>
  <c r="SL10" i="5"/>
  <c r="SL11" i="5"/>
  <c r="SL12" i="5"/>
  <c r="SL13" i="5"/>
  <c r="SL14" i="5"/>
  <c r="SL15" i="5"/>
  <c r="SL16" i="5"/>
  <c r="SL17" i="5"/>
  <c r="SL18" i="5"/>
  <c r="SL19" i="5"/>
  <c r="SL20" i="5"/>
  <c r="SL21" i="5"/>
  <c r="SK4" i="5"/>
  <c r="SK5" i="5"/>
  <c r="SK6" i="5"/>
  <c r="SK7" i="5"/>
  <c r="SK8" i="5"/>
  <c r="SK9" i="5"/>
  <c r="SK10" i="5"/>
  <c r="SK11" i="5"/>
  <c r="SK12" i="5"/>
  <c r="SK13" i="5"/>
  <c r="SK14" i="5"/>
  <c r="SK15" i="5"/>
  <c r="SK16" i="5"/>
  <c r="SK17" i="5"/>
  <c r="SK18" i="5"/>
  <c r="SK19" i="5"/>
  <c r="SK20" i="5"/>
  <c r="SK21" i="5"/>
  <c r="SJ4" i="5"/>
  <c r="SJ5" i="5"/>
  <c r="SJ6" i="5"/>
  <c r="SJ7" i="5"/>
  <c r="SJ8" i="5"/>
  <c r="SJ9" i="5"/>
  <c r="SJ10" i="5"/>
  <c r="SJ11" i="5"/>
  <c r="SJ12" i="5"/>
  <c r="SJ13" i="5"/>
  <c r="SJ14" i="5"/>
  <c r="SJ15" i="5"/>
  <c r="SJ16" i="5"/>
  <c r="SJ17" i="5"/>
  <c r="SJ18" i="5"/>
  <c r="SJ19" i="5"/>
  <c r="SJ20" i="5"/>
  <c r="SJ21" i="5"/>
  <c r="SI4" i="5"/>
  <c r="SI5" i="5"/>
  <c r="SI6" i="5"/>
  <c r="SI7" i="5"/>
  <c r="SI8" i="5"/>
  <c r="SI9" i="5"/>
  <c r="SI10" i="5"/>
  <c r="SI11" i="5"/>
  <c r="SI12" i="5"/>
  <c r="SI13" i="5"/>
  <c r="SI14" i="5"/>
  <c r="SI15" i="5"/>
  <c r="SI16" i="5"/>
  <c r="SI17" i="5"/>
  <c r="SI18" i="5"/>
  <c r="SI19" i="5"/>
  <c r="SI20" i="5"/>
  <c r="SI21" i="5"/>
  <c r="SH4" i="5"/>
  <c r="SH5" i="5"/>
  <c r="SH6" i="5"/>
  <c r="SH7" i="5"/>
  <c r="SH8" i="5"/>
  <c r="SH9" i="5"/>
  <c r="SH10" i="5"/>
  <c r="SH11" i="5"/>
  <c r="SH12" i="5"/>
  <c r="SH13" i="5"/>
  <c r="SH14" i="5"/>
  <c r="SH15" i="5"/>
  <c r="SH16" i="5"/>
  <c r="SH17" i="5"/>
  <c r="SH18" i="5"/>
  <c r="SH19" i="5"/>
  <c r="SH20" i="5"/>
  <c r="SH21" i="5"/>
  <c r="SG4" i="5"/>
  <c r="SG5" i="5"/>
  <c r="SG6" i="5"/>
  <c r="SG7" i="5"/>
  <c r="SG8" i="5"/>
  <c r="SG9" i="5"/>
  <c r="SG10" i="5"/>
  <c r="SG11" i="5"/>
  <c r="SG12" i="5"/>
  <c r="SG13" i="5"/>
  <c r="SG14" i="5"/>
  <c r="SG15" i="5"/>
  <c r="SG16" i="5"/>
  <c r="SG17" i="5"/>
  <c r="SG18" i="5"/>
  <c r="SG19" i="5"/>
  <c r="SG20" i="5"/>
  <c r="SG21" i="5"/>
  <c r="SF4" i="5"/>
  <c r="SF5" i="5"/>
  <c r="SF6" i="5"/>
  <c r="SF7" i="5"/>
  <c r="SF8" i="5"/>
  <c r="SF9" i="5"/>
  <c r="SF10" i="5"/>
  <c r="SF11" i="5"/>
  <c r="SF12" i="5"/>
  <c r="SF13" i="5"/>
  <c r="SF14" i="5"/>
  <c r="SF15" i="5"/>
  <c r="SF16" i="5"/>
  <c r="SF17" i="5"/>
  <c r="SF18" i="5"/>
  <c r="SF19" i="5"/>
  <c r="SF20" i="5"/>
  <c r="SF21" i="5"/>
  <c r="SE4" i="5"/>
  <c r="SE5" i="5"/>
  <c r="SE6" i="5"/>
  <c r="SE7" i="5"/>
  <c r="SE8" i="5"/>
  <c r="SE9" i="5"/>
  <c r="SE10" i="5"/>
  <c r="SE11" i="5"/>
  <c r="SE12" i="5"/>
  <c r="SE13" i="5"/>
  <c r="SE14" i="5"/>
  <c r="SE15" i="5"/>
  <c r="SE16" i="5"/>
  <c r="SE17" i="5"/>
  <c r="SE18" i="5"/>
  <c r="SE19" i="5"/>
  <c r="SE20" i="5"/>
  <c r="SE21" i="5"/>
  <c r="SD4" i="5"/>
  <c r="SD5" i="5"/>
  <c r="SD6" i="5"/>
  <c r="SD7" i="5"/>
  <c r="SD8" i="5"/>
  <c r="SD9" i="5"/>
  <c r="SD10" i="5"/>
  <c r="SD11" i="5"/>
  <c r="SD12" i="5"/>
  <c r="SD13" i="5"/>
  <c r="SD14" i="5"/>
  <c r="SD15" i="5"/>
  <c r="SD16" i="5"/>
  <c r="SD17" i="5"/>
  <c r="SD18" i="5"/>
  <c r="SD19" i="5"/>
  <c r="SD20" i="5"/>
  <c r="SD21" i="5"/>
  <c r="SC4" i="5"/>
  <c r="SC5" i="5"/>
  <c r="SC6" i="5"/>
  <c r="SC7" i="5"/>
  <c r="SC8" i="5"/>
  <c r="SC9" i="5"/>
  <c r="SC10" i="5"/>
  <c r="SC11" i="5"/>
  <c r="SC12" i="5"/>
  <c r="SC13" i="5"/>
  <c r="SC14" i="5"/>
  <c r="SC15" i="5"/>
  <c r="SC16" i="5"/>
  <c r="SC17" i="5"/>
  <c r="SC18" i="5"/>
  <c r="SC19" i="5"/>
  <c r="SC20" i="5"/>
  <c r="SC21" i="5"/>
  <c r="SB4" i="5"/>
  <c r="SB5" i="5"/>
  <c r="SB6" i="5"/>
  <c r="SB7" i="5"/>
  <c r="SB8" i="5"/>
  <c r="SB9" i="5"/>
  <c r="SB10" i="5"/>
  <c r="SB11" i="5"/>
  <c r="SB12" i="5"/>
  <c r="SB13" i="5"/>
  <c r="SB14" i="5"/>
  <c r="SB15" i="5"/>
  <c r="SB16" i="5"/>
  <c r="SB17" i="5"/>
  <c r="SB18" i="5"/>
  <c r="SB19" i="5"/>
  <c r="SB20" i="5"/>
  <c r="SB21" i="5"/>
  <c r="SA4" i="5"/>
  <c r="SA5" i="5"/>
  <c r="SA6" i="5"/>
  <c r="SA7" i="5"/>
  <c r="SA8" i="5"/>
  <c r="SA9" i="5"/>
  <c r="SA10" i="5"/>
  <c r="SA11" i="5"/>
  <c r="SA12" i="5"/>
  <c r="SA13" i="5"/>
  <c r="SA14" i="5"/>
  <c r="SA15" i="5"/>
  <c r="SA16" i="5"/>
  <c r="SA17" i="5"/>
  <c r="SA18" i="5"/>
  <c r="SA19" i="5"/>
  <c r="SA20" i="5"/>
  <c r="SA21" i="5"/>
  <c r="RZ4" i="5"/>
  <c r="RZ5" i="5"/>
  <c r="RZ6" i="5"/>
  <c r="RZ7" i="5"/>
  <c r="RZ8" i="5"/>
  <c r="RZ9" i="5"/>
  <c r="RZ10" i="5"/>
  <c r="RZ11" i="5"/>
  <c r="RZ12" i="5"/>
  <c r="RZ13" i="5"/>
  <c r="RZ14" i="5"/>
  <c r="RZ15" i="5"/>
  <c r="RZ16" i="5"/>
  <c r="RZ17" i="5"/>
  <c r="RZ18" i="5"/>
  <c r="RZ19" i="5"/>
  <c r="RZ20" i="5"/>
  <c r="RZ21" i="5"/>
  <c r="RY4" i="5"/>
  <c r="RY5" i="5"/>
  <c r="RY6" i="5"/>
  <c r="RY7" i="5"/>
  <c r="RY8" i="5"/>
  <c r="RY9" i="5"/>
  <c r="RY10" i="5"/>
  <c r="RY11" i="5"/>
  <c r="RY12" i="5"/>
  <c r="RY13" i="5"/>
  <c r="RY14" i="5"/>
  <c r="RY15" i="5"/>
  <c r="RY16" i="5"/>
  <c r="RY17" i="5"/>
  <c r="RY18" i="5"/>
  <c r="RY19" i="5"/>
  <c r="RY20" i="5"/>
  <c r="RY21" i="5"/>
  <c r="RX4" i="5"/>
  <c r="RX5" i="5"/>
  <c r="RX6" i="5"/>
  <c r="RX7" i="5"/>
  <c r="RX8" i="5"/>
  <c r="RX9" i="5"/>
  <c r="RX10" i="5"/>
  <c r="RX11" i="5"/>
  <c r="RX12" i="5"/>
  <c r="RX13" i="5"/>
  <c r="RX14" i="5"/>
  <c r="RX15" i="5"/>
  <c r="RX16" i="5"/>
  <c r="RX17" i="5"/>
  <c r="RX18" i="5"/>
  <c r="RX19" i="5"/>
  <c r="RX20" i="5"/>
  <c r="RX21" i="5"/>
  <c r="RW4" i="5"/>
  <c r="RW5" i="5"/>
  <c r="RW6" i="5"/>
  <c r="RW7" i="5"/>
  <c r="RW8" i="5"/>
  <c r="RW9" i="5"/>
  <c r="RW10" i="5"/>
  <c r="RW11" i="5"/>
  <c r="RW12" i="5"/>
  <c r="RW13" i="5"/>
  <c r="RW14" i="5"/>
  <c r="RW15" i="5"/>
  <c r="RW16" i="5"/>
  <c r="RW17" i="5"/>
  <c r="RW18" i="5"/>
  <c r="RW19" i="5"/>
  <c r="RW20" i="5"/>
  <c r="RW21" i="5"/>
  <c r="RV4" i="5"/>
  <c r="RV5" i="5"/>
  <c r="RV6" i="5"/>
  <c r="RV7" i="5"/>
  <c r="RV8" i="5"/>
  <c r="RV9" i="5"/>
  <c r="RV10" i="5"/>
  <c r="RV11" i="5"/>
  <c r="RV12" i="5"/>
  <c r="RV13" i="5"/>
  <c r="RV14" i="5"/>
  <c r="RV15" i="5"/>
  <c r="RV16" i="5"/>
  <c r="RV17" i="5"/>
  <c r="RV18" i="5"/>
  <c r="RV19" i="5"/>
  <c r="RV20" i="5"/>
  <c r="RV21" i="5"/>
  <c r="RU4" i="5"/>
  <c r="RU5" i="5"/>
  <c r="RU6" i="5"/>
  <c r="RU7" i="5"/>
  <c r="RU8" i="5"/>
  <c r="RU9" i="5"/>
  <c r="RU10" i="5"/>
  <c r="RU11" i="5"/>
  <c r="RU12" i="5"/>
  <c r="RU13" i="5"/>
  <c r="RU14" i="5"/>
  <c r="RU15" i="5"/>
  <c r="RU16" i="5"/>
  <c r="RU17" i="5"/>
  <c r="RU18" i="5"/>
  <c r="RU19" i="5"/>
  <c r="RU20" i="5"/>
  <c r="RU21" i="5"/>
  <c r="RT4" i="5"/>
  <c r="RT5" i="5"/>
  <c r="RT6" i="5"/>
  <c r="RT7" i="5"/>
  <c r="RT8" i="5"/>
  <c r="RT9" i="5"/>
  <c r="RT10" i="5"/>
  <c r="RT11" i="5"/>
  <c r="RT12" i="5"/>
  <c r="RT13" i="5"/>
  <c r="RT14" i="5"/>
  <c r="RT15" i="5"/>
  <c r="RT16" i="5"/>
  <c r="RT17" i="5"/>
  <c r="RT18" i="5"/>
  <c r="RT19" i="5"/>
  <c r="RT20" i="5"/>
  <c r="RT21" i="5"/>
  <c r="RS4" i="5"/>
  <c r="RS5" i="5"/>
  <c r="RS6" i="5"/>
  <c r="RS7" i="5"/>
  <c r="RS8" i="5"/>
  <c r="RS9" i="5"/>
  <c r="RS10" i="5"/>
  <c r="RS11" i="5"/>
  <c r="RS12" i="5"/>
  <c r="RS13" i="5"/>
  <c r="RS14" i="5"/>
  <c r="RS15" i="5"/>
  <c r="RS16" i="5"/>
  <c r="RS17" i="5"/>
  <c r="RS18" i="5"/>
  <c r="RS19" i="5"/>
  <c r="RS20" i="5"/>
  <c r="RS21" i="5"/>
  <c r="RR4" i="5"/>
  <c r="RR5" i="5"/>
  <c r="RR6" i="5"/>
  <c r="RR7" i="5"/>
  <c r="RR8" i="5"/>
  <c r="RR9" i="5"/>
  <c r="RR10" i="5"/>
  <c r="RR11" i="5"/>
  <c r="RR12" i="5"/>
  <c r="RR13" i="5"/>
  <c r="RR14" i="5"/>
  <c r="RR15" i="5"/>
  <c r="RR16" i="5"/>
  <c r="RR17" i="5"/>
  <c r="RR18" i="5"/>
  <c r="RR19" i="5"/>
  <c r="RR20" i="5"/>
  <c r="RR21" i="5"/>
  <c r="RQ4" i="5"/>
  <c r="RQ5" i="5"/>
  <c r="RQ6" i="5"/>
  <c r="RQ7" i="5"/>
  <c r="RQ8" i="5"/>
  <c r="RQ9" i="5"/>
  <c r="RQ10" i="5"/>
  <c r="RQ11" i="5"/>
  <c r="RQ12" i="5"/>
  <c r="RQ13" i="5"/>
  <c r="RQ14" i="5"/>
  <c r="RQ15" i="5"/>
  <c r="RQ16" i="5"/>
  <c r="RQ17" i="5"/>
  <c r="RQ18" i="5"/>
  <c r="RQ19" i="5"/>
  <c r="RQ20" i="5"/>
  <c r="RQ21" i="5"/>
  <c r="RP4" i="5"/>
  <c r="RP5" i="5"/>
  <c r="RP6" i="5"/>
  <c r="RP7" i="5"/>
  <c r="RP8" i="5"/>
  <c r="RP9" i="5"/>
  <c r="RP10" i="5"/>
  <c r="RP11" i="5"/>
  <c r="RP12" i="5"/>
  <c r="RP13" i="5"/>
  <c r="RP14" i="5"/>
  <c r="RP15" i="5"/>
  <c r="RP16" i="5"/>
  <c r="RP17" i="5"/>
  <c r="RP18" i="5"/>
  <c r="RP19" i="5"/>
  <c r="RP20" i="5"/>
  <c r="RP21" i="5"/>
  <c r="RO4" i="5"/>
  <c r="RO5" i="5"/>
  <c r="RO6" i="5"/>
  <c r="RO7" i="5"/>
  <c r="RO8" i="5"/>
  <c r="RO9" i="5"/>
  <c r="RO10" i="5"/>
  <c r="RO11" i="5"/>
  <c r="RO12" i="5"/>
  <c r="RO13" i="5"/>
  <c r="RO14" i="5"/>
  <c r="RO15" i="5"/>
  <c r="RO16" i="5"/>
  <c r="RO17" i="5"/>
  <c r="RO18" i="5"/>
  <c r="RO19" i="5"/>
  <c r="RO20" i="5"/>
  <c r="RO21" i="5"/>
  <c r="RN4" i="5"/>
  <c r="RN5" i="5"/>
  <c r="RN6" i="5"/>
  <c r="RN7" i="5"/>
  <c r="RN8" i="5"/>
  <c r="RN9" i="5"/>
  <c r="RN10" i="5"/>
  <c r="RN11" i="5"/>
  <c r="RN12" i="5"/>
  <c r="RN13" i="5"/>
  <c r="RN14" i="5"/>
  <c r="RN15" i="5"/>
  <c r="RN16" i="5"/>
  <c r="RN17" i="5"/>
  <c r="RN18" i="5"/>
  <c r="RN19" i="5"/>
  <c r="RN20" i="5"/>
  <c r="RN21" i="5"/>
  <c r="RM4" i="5"/>
  <c r="RM5" i="5"/>
  <c r="RM6" i="5"/>
  <c r="RM7" i="5"/>
  <c r="RM8" i="5"/>
  <c r="RM9" i="5"/>
  <c r="RM10" i="5"/>
  <c r="RM11" i="5"/>
  <c r="RM12" i="5"/>
  <c r="RM13" i="5"/>
  <c r="RM14" i="5"/>
  <c r="RM15" i="5"/>
  <c r="RM16" i="5"/>
  <c r="RM17" i="5"/>
  <c r="RM18" i="5"/>
  <c r="RM19" i="5"/>
  <c r="RM20" i="5"/>
  <c r="RM21" i="5"/>
  <c r="RL4" i="5"/>
  <c r="RL5" i="5"/>
  <c r="RL6" i="5"/>
  <c r="RL7" i="5"/>
  <c r="RL8" i="5"/>
  <c r="RL9" i="5"/>
  <c r="RL10" i="5"/>
  <c r="RL11" i="5"/>
  <c r="RL12" i="5"/>
  <c r="RL13" i="5"/>
  <c r="RL14" i="5"/>
  <c r="RL15" i="5"/>
  <c r="RL16" i="5"/>
  <c r="RL17" i="5"/>
  <c r="RL18" i="5"/>
  <c r="RL19" i="5"/>
  <c r="RL20" i="5"/>
  <c r="RL21" i="5"/>
  <c r="RK4" i="5"/>
  <c r="RK5" i="5"/>
  <c r="RK6" i="5"/>
  <c r="RK7" i="5"/>
  <c r="RK8" i="5"/>
  <c r="RK9" i="5"/>
  <c r="RK10" i="5"/>
  <c r="RK11" i="5"/>
  <c r="RK12" i="5"/>
  <c r="RK13" i="5"/>
  <c r="RK14" i="5"/>
  <c r="RK15" i="5"/>
  <c r="RK16" i="5"/>
  <c r="RK17" i="5"/>
  <c r="RK18" i="5"/>
  <c r="RK19" i="5"/>
  <c r="RK20" i="5"/>
  <c r="RK21" i="5"/>
  <c r="RJ4" i="5"/>
  <c r="RJ5" i="5"/>
  <c r="RJ6" i="5"/>
  <c r="RJ7" i="5"/>
  <c r="RJ8" i="5"/>
  <c r="RJ9" i="5"/>
  <c r="RJ10" i="5"/>
  <c r="RJ11" i="5"/>
  <c r="RJ12" i="5"/>
  <c r="RJ13" i="5"/>
  <c r="RJ14" i="5"/>
  <c r="RJ15" i="5"/>
  <c r="RJ16" i="5"/>
  <c r="RJ17" i="5"/>
  <c r="RJ18" i="5"/>
  <c r="RJ19" i="5"/>
  <c r="RJ20" i="5"/>
  <c r="RJ21" i="5"/>
  <c r="RI4" i="5"/>
  <c r="RI5" i="5"/>
  <c r="RI6" i="5"/>
  <c r="RI7" i="5"/>
  <c r="RI8" i="5"/>
  <c r="RI9" i="5"/>
  <c r="RI10" i="5"/>
  <c r="RI11" i="5"/>
  <c r="RI12" i="5"/>
  <c r="RI13" i="5"/>
  <c r="RI14" i="5"/>
  <c r="RI15" i="5"/>
  <c r="RI16" i="5"/>
  <c r="RI17" i="5"/>
  <c r="RI18" i="5"/>
  <c r="RI19" i="5"/>
  <c r="RI20" i="5"/>
  <c r="RI21" i="5"/>
  <c r="RH4" i="5"/>
  <c r="RH5" i="5"/>
  <c r="RH6" i="5"/>
  <c r="RH7" i="5"/>
  <c r="RH8" i="5"/>
  <c r="RH9" i="5"/>
  <c r="RH10" i="5"/>
  <c r="RH11" i="5"/>
  <c r="RH12" i="5"/>
  <c r="RH13" i="5"/>
  <c r="RH14" i="5"/>
  <c r="RH15" i="5"/>
  <c r="RH16" i="5"/>
  <c r="RH17" i="5"/>
  <c r="RH18" i="5"/>
  <c r="RH19" i="5"/>
  <c r="RH20" i="5"/>
  <c r="RH21" i="5"/>
  <c r="RG4" i="5"/>
  <c r="RG5" i="5"/>
  <c r="RG6" i="5"/>
  <c r="RG7" i="5"/>
  <c r="RG8" i="5"/>
  <c r="RG9" i="5"/>
  <c r="RG10" i="5"/>
  <c r="RG11" i="5"/>
  <c r="RG12" i="5"/>
  <c r="RG13" i="5"/>
  <c r="RG14" i="5"/>
  <c r="RG15" i="5"/>
  <c r="RG16" i="5"/>
  <c r="RG17" i="5"/>
  <c r="RG18" i="5"/>
  <c r="RG19" i="5"/>
  <c r="RG20" i="5"/>
  <c r="RG21" i="5"/>
  <c r="RF4" i="5"/>
  <c r="RF5" i="5"/>
  <c r="RF6" i="5"/>
  <c r="RF7" i="5"/>
  <c r="RF8" i="5"/>
  <c r="RF9" i="5"/>
  <c r="RF10" i="5"/>
  <c r="RF11" i="5"/>
  <c r="RF12" i="5"/>
  <c r="RF13" i="5"/>
  <c r="RF14" i="5"/>
  <c r="RF15" i="5"/>
  <c r="RF16" i="5"/>
  <c r="RF17" i="5"/>
  <c r="RF18" i="5"/>
  <c r="RF19" i="5"/>
  <c r="RF20" i="5"/>
  <c r="RF21" i="5"/>
  <c r="RE4" i="5"/>
  <c r="RE5" i="5"/>
  <c r="RE6" i="5"/>
  <c r="RE7" i="5"/>
  <c r="RE8" i="5"/>
  <c r="RE9" i="5"/>
  <c r="RE10" i="5"/>
  <c r="RE11" i="5"/>
  <c r="RE12" i="5"/>
  <c r="RE13" i="5"/>
  <c r="RE14" i="5"/>
  <c r="RE15" i="5"/>
  <c r="RE16" i="5"/>
  <c r="RE17" i="5"/>
  <c r="RE18" i="5"/>
  <c r="RE19" i="5"/>
  <c r="RE20" i="5"/>
  <c r="RE21" i="5"/>
  <c r="RD4" i="5"/>
  <c r="RD5" i="5"/>
  <c r="RD6" i="5"/>
  <c r="RD7" i="5"/>
  <c r="RD8" i="5"/>
  <c r="RD9" i="5"/>
  <c r="RD10" i="5"/>
  <c r="RD11" i="5"/>
  <c r="RD12" i="5"/>
  <c r="RD13" i="5"/>
  <c r="RD14" i="5"/>
  <c r="RD15" i="5"/>
  <c r="RD16" i="5"/>
  <c r="RD17" i="5"/>
  <c r="RD18" i="5"/>
  <c r="RD19" i="5"/>
  <c r="RD20" i="5"/>
  <c r="RD21" i="5"/>
  <c r="RC4" i="5"/>
  <c r="RC5" i="5"/>
  <c r="RC6" i="5"/>
  <c r="RC7" i="5"/>
  <c r="RC8" i="5"/>
  <c r="RC9" i="5"/>
  <c r="RC10" i="5"/>
  <c r="RC11" i="5"/>
  <c r="RC12" i="5"/>
  <c r="RC13" i="5"/>
  <c r="RC14" i="5"/>
  <c r="RC15" i="5"/>
  <c r="RC16" i="5"/>
  <c r="RC17" i="5"/>
  <c r="RC18" i="5"/>
  <c r="RC19" i="5"/>
  <c r="RC20" i="5"/>
  <c r="RC21" i="5"/>
  <c r="RB4" i="5"/>
  <c r="RB5" i="5"/>
  <c r="RB6" i="5"/>
  <c r="RB7" i="5"/>
  <c r="RB8" i="5"/>
  <c r="RB9" i="5"/>
  <c r="RB10" i="5"/>
  <c r="RB11" i="5"/>
  <c r="RB12" i="5"/>
  <c r="RB13" i="5"/>
  <c r="RB14" i="5"/>
  <c r="RB15" i="5"/>
  <c r="RB16" i="5"/>
  <c r="RB17" i="5"/>
  <c r="RB18" i="5"/>
  <c r="RB19" i="5"/>
  <c r="RB20" i="5"/>
  <c r="RB21" i="5"/>
  <c r="RA4" i="5"/>
  <c r="RA5" i="5"/>
  <c r="RA6" i="5"/>
  <c r="RA7" i="5"/>
  <c r="RA8" i="5"/>
  <c r="RA9" i="5"/>
  <c r="RA10" i="5"/>
  <c r="RA11" i="5"/>
  <c r="RA12" i="5"/>
  <c r="RA13" i="5"/>
  <c r="RA14" i="5"/>
  <c r="RA15" i="5"/>
  <c r="RA16" i="5"/>
  <c r="RA17" i="5"/>
  <c r="RA18" i="5"/>
  <c r="RA19" i="5"/>
  <c r="RA20" i="5"/>
  <c r="RA21" i="5"/>
  <c r="QZ4" i="5"/>
  <c r="QZ5" i="5"/>
  <c r="QZ6" i="5"/>
  <c r="QZ7" i="5"/>
  <c r="QZ8" i="5"/>
  <c r="QZ9" i="5"/>
  <c r="QZ10" i="5"/>
  <c r="QZ11" i="5"/>
  <c r="QZ12" i="5"/>
  <c r="QZ13" i="5"/>
  <c r="QZ14" i="5"/>
  <c r="QZ15" i="5"/>
  <c r="QZ16" i="5"/>
  <c r="QZ17" i="5"/>
  <c r="QZ18" i="5"/>
  <c r="QZ19" i="5"/>
  <c r="QZ20" i="5"/>
  <c r="QZ21" i="5"/>
  <c r="QY4" i="5"/>
  <c r="QY5" i="5"/>
  <c r="QY6" i="5"/>
  <c r="QY7" i="5"/>
  <c r="QY8" i="5"/>
  <c r="QY9" i="5"/>
  <c r="QY10" i="5"/>
  <c r="QY11" i="5"/>
  <c r="QY12" i="5"/>
  <c r="QY13" i="5"/>
  <c r="QY14" i="5"/>
  <c r="QY15" i="5"/>
  <c r="QY16" i="5"/>
  <c r="QY17" i="5"/>
  <c r="QY18" i="5"/>
  <c r="QY19" i="5"/>
  <c r="QY20" i="5"/>
  <c r="QY21" i="5"/>
  <c r="QX4" i="5"/>
  <c r="QX5" i="5"/>
  <c r="QX6" i="5"/>
  <c r="QX7" i="5"/>
  <c r="QX8" i="5"/>
  <c r="QX9" i="5"/>
  <c r="QX10" i="5"/>
  <c r="QX11" i="5"/>
  <c r="QX12" i="5"/>
  <c r="QX13" i="5"/>
  <c r="QX14" i="5"/>
  <c r="QX15" i="5"/>
  <c r="QX16" i="5"/>
  <c r="QX17" i="5"/>
  <c r="QX18" i="5"/>
  <c r="QX19" i="5"/>
  <c r="QX20" i="5"/>
  <c r="QX21" i="5"/>
  <c r="QW4" i="5"/>
  <c r="QW5" i="5"/>
  <c r="QW6" i="5"/>
  <c r="QW7" i="5"/>
  <c r="QW8" i="5"/>
  <c r="QW9" i="5"/>
  <c r="QW10" i="5"/>
  <c r="QW11" i="5"/>
  <c r="QW12" i="5"/>
  <c r="QW13" i="5"/>
  <c r="QW14" i="5"/>
  <c r="QW15" i="5"/>
  <c r="QW16" i="5"/>
  <c r="QW17" i="5"/>
  <c r="QW18" i="5"/>
  <c r="QW19" i="5"/>
  <c r="QW20" i="5"/>
  <c r="QW21" i="5"/>
  <c r="QV4" i="5"/>
  <c r="QV5" i="5"/>
  <c r="QV6" i="5"/>
  <c r="QV7" i="5"/>
  <c r="QV8" i="5"/>
  <c r="QV9" i="5"/>
  <c r="QV10" i="5"/>
  <c r="QV11" i="5"/>
  <c r="QV12" i="5"/>
  <c r="QV13" i="5"/>
  <c r="QV14" i="5"/>
  <c r="QV15" i="5"/>
  <c r="QV16" i="5"/>
  <c r="QV17" i="5"/>
  <c r="QV18" i="5"/>
  <c r="QV19" i="5"/>
  <c r="QV20" i="5"/>
  <c r="QV21" i="5"/>
  <c r="QU4" i="5"/>
  <c r="QU5" i="5"/>
  <c r="QU6" i="5"/>
  <c r="QU7" i="5"/>
  <c r="QU8" i="5"/>
  <c r="QU9" i="5"/>
  <c r="QU10" i="5"/>
  <c r="QU11" i="5"/>
  <c r="QU12" i="5"/>
  <c r="QU13" i="5"/>
  <c r="QU14" i="5"/>
  <c r="QU15" i="5"/>
  <c r="QU16" i="5"/>
  <c r="QU17" i="5"/>
  <c r="QU18" i="5"/>
  <c r="QU19" i="5"/>
  <c r="QU20" i="5"/>
  <c r="QU21" i="5"/>
  <c r="QT4" i="5"/>
  <c r="QT5" i="5"/>
  <c r="QT6" i="5"/>
  <c r="QT7" i="5"/>
  <c r="QT8" i="5"/>
  <c r="QT9" i="5"/>
  <c r="QT10" i="5"/>
  <c r="QT11" i="5"/>
  <c r="QT12" i="5"/>
  <c r="QT13" i="5"/>
  <c r="QT14" i="5"/>
  <c r="QT15" i="5"/>
  <c r="QT16" i="5"/>
  <c r="QT17" i="5"/>
  <c r="QT18" i="5"/>
  <c r="QT19" i="5"/>
  <c r="QT20" i="5"/>
  <c r="QT21" i="5"/>
  <c r="QS4" i="5"/>
  <c r="QS5" i="5"/>
  <c r="QS6" i="5"/>
  <c r="QS7" i="5"/>
  <c r="QS8" i="5"/>
  <c r="QS9" i="5"/>
  <c r="QS10" i="5"/>
  <c r="QS11" i="5"/>
  <c r="QS12" i="5"/>
  <c r="QS13" i="5"/>
  <c r="QS14" i="5"/>
  <c r="QS15" i="5"/>
  <c r="QS16" i="5"/>
  <c r="QS17" i="5"/>
  <c r="QS18" i="5"/>
  <c r="QS19" i="5"/>
  <c r="QS20" i="5"/>
  <c r="QS21" i="5"/>
  <c r="QR4" i="5"/>
  <c r="QR5" i="5"/>
  <c r="QR6" i="5"/>
  <c r="QR7" i="5"/>
  <c r="QR8" i="5"/>
  <c r="QR9" i="5"/>
  <c r="QR10" i="5"/>
  <c r="QR11" i="5"/>
  <c r="QR12" i="5"/>
  <c r="QR13" i="5"/>
  <c r="QR14" i="5"/>
  <c r="QR15" i="5"/>
  <c r="QR16" i="5"/>
  <c r="QR17" i="5"/>
  <c r="QR18" i="5"/>
  <c r="QR19" i="5"/>
  <c r="QR20" i="5"/>
  <c r="QR21" i="5"/>
  <c r="QQ4" i="5"/>
  <c r="QQ5" i="5"/>
  <c r="QQ6" i="5"/>
  <c r="QQ7" i="5"/>
  <c r="QQ8" i="5"/>
  <c r="QQ9" i="5"/>
  <c r="QQ10" i="5"/>
  <c r="QQ11" i="5"/>
  <c r="QQ12" i="5"/>
  <c r="QQ13" i="5"/>
  <c r="QQ14" i="5"/>
  <c r="QQ15" i="5"/>
  <c r="QQ16" i="5"/>
  <c r="QQ17" i="5"/>
  <c r="QQ18" i="5"/>
  <c r="QQ19" i="5"/>
  <c r="QQ20" i="5"/>
  <c r="QQ21" i="5"/>
  <c r="QP4" i="5"/>
  <c r="QP5" i="5"/>
  <c r="QP6" i="5"/>
  <c r="QP7" i="5"/>
  <c r="QP8" i="5"/>
  <c r="QP9" i="5"/>
  <c r="QP10" i="5"/>
  <c r="QP11" i="5"/>
  <c r="QP12" i="5"/>
  <c r="QP13" i="5"/>
  <c r="QP14" i="5"/>
  <c r="QP15" i="5"/>
  <c r="QP16" i="5"/>
  <c r="QP17" i="5"/>
  <c r="QP18" i="5"/>
  <c r="QP19" i="5"/>
  <c r="QP20" i="5"/>
  <c r="QP21" i="5"/>
  <c r="QO4" i="5"/>
  <c r="QO5" i="5"/>
  <c r="QO6" i="5"/>
  <c r="QO7" i="5"/>
  <c r="QO8" i="5"/>
  <c r="QO9" i="5"/>
  <c r="QO10" i="5"/>
  <c r="QO11" i="5"/>
  <c r="QO12" i="5"/>
  <c r="QO13" i="5"/>
  <c r="QO14" i="5"/>
  <c r="QO15" i="5"/>
  <c r="QO16" i="5"/>
  <c r="QO17" i="5"/>
  <c r="QO18" i="5"/>
  <c r="QO19" i="5"/>
  <c r="QO20" i="5"/>
  <c r="QO21" i="5"/>
  <c r="QN4" i="5"/>
  <c r="QN5" i="5"/>
  <c r="QN6" i="5"/>
  <c r="QN7" i="5"/>
  <c r="QN8" i="5"/>
  <c r="QN9" i="5"/>
  <c r="QN10" i="5"/>
  <c r="QN11" i="5"/>
  <c r="QN12" i="5"/>
  <c r="QN13" i="5"/>
  <c r="QN14" i="5"/>
  <c r="QN15" i="5"/>
  <c r="QN16" i="5"/>
  <c r="QN17" i="5"/>
  <c r="QN18" i="5"/>
  <c r="QN19" i="5"/>
  <c r="QN20" i="5"/>
  <c r="QN21" i="5"/>
  <c r="QM4" i="5"/>
  <c r="QM5" i="5"/>
  <c r="QM6" i="5"/>
  <c r="QM7" i="5"/>
  <c r="QM8" i="5"/>
  <c r="QM9" i="5"/>
  <c r="QM10" i="5"/>
  <c r="QM11" i="5"/>
  <c r="QM12" i="5"/>
  <c r="QM13" i="5"/>
  <c r="QM14" i="5"/>
  <c r="QM15" i="5"/>
  <c r="QM16" i="5"/>
  <c r="QM17" i="5"/>
  <c r="QM18" i="5"/>
  <c r="QM19" i="5"/>
  <c r="QM20" i="5"/>
  <c r="QM21" i="5"/>
  <c r="QL4" i="5"/>
  <c r="QL5" i="5"/>
  <c r="QL6" i="5"/>
  <c r="QL7" i="5"/>
  <c r="QL8" i="5"/>
  <c r="QL9" i="5"/>
  <c r="QL10" i="5"/>
  <c r="QL11" i="5"/>
  <c r="QL12" i="5"/>
  <c r="QL13" i="5"/>
  <c r="QL14" i="5"/>
  <c r="QL15" i="5"/>
  <c r="QL16" i="5"/>
  <c r="QL17" i="5"/>
  <c r="QL18" i="5"/>
  <c r="QL19" i="5"/>
  <c r="QL20" i="5"/>
  <c r="QL21" i="5"/>
  <c r="QK4" i="5"/>
  <c r="QK5" i="5"/>
  <c r="QK6" i="5"/>
  <c r="QK7" i="5"/>
  <c r="QK8" i="5"/>
  <c r="QK9" i="5"/>
  <c r="QK10" i="5"/>
  <c r="QK11" i="5"/>
  <c r="QK12" i="5"/>
  <c r="QK13" i="5"/>
  <c r="QK14" i="5"/>
  <c r="QK15" i="5"/>
  <c r="QK16" i="5"/>
  <c r="QK17" i="5"/>
  <c r="QK18" i="5"/>
  <c r="QK19" i="5"/>
  <c r="QK20" i="5"/>
  <c r="QK21" i="5"/>
  <c r="QJ4" i="5"/>
  <c r="QJ5" i="5"/>
  <c r="QJ6" i="5"/>
  <c r="QJ7" i="5"/>
  <c r="QJ8" i="5"/>
  <c r="QJ9" i="5"/>
  <c r="QJ10" i="5"/>
  <c r="QJ11" i="5"/>
  <c r="QJ12" i="5"/>
  <c r="QJ13" i="5"/>
  <c r="QJ14" i="5"/>
  <c r="QJ15" i="5"/>
  <c r="QJ16" i="5"/>
  <c r="QJ17" i="5"/>
  <c r="QJ18" i="5"/>
  <c r="QJ19" i="5"/>
  <c r="QJ20" i="5"/>
  <c r="QJ21" i="5"/>
  <c r="QI4" i="5"/>
  <c r="QI5" i="5"/>
  <c r="QI6" i="5"/>
  <c r="QI7" i="5"/>
  <c r="QI8" i="5"/>
  <c r="QI9" i="5"/>
  <c r="QI10" i="5"/>
  <c r="QI11" i="5"/>
  <c r="QI12" i="5"/>
  <c r="QI13" i="5"/>
  <c r="QI14" i="5"/>
  <c r="QI15" i="5"/>
  <c r="QI16" i="5"/>
  <c r="QI17" i="5"/>
  <c r="QI18" i="5"/>
  <c r="QI19" i="5"/>
  <c r="QI20" i="5"/>
  <c r="QI21" i="5"/>
  <c r="QH4" i="5"/>
  <c r="QH5" i="5"/>
  <c r="QH6" i="5"/>
  <c r="QH7" i="5"/>
  <c r="QH8" i="5"/>
  <c r="QH9" i="5"/>
  <c r="QH10" i="5"/>
  <c r="QH11" i="5"/>
  <c r="QH12" i="5"/>
  <c r="QH13" i="5"/>
  <c r="QH14" i="5"/>
  <c r="QH15" i="5"/>
  <c r="QH16" i="5"/>
  <c r="QH17" i="5"/>
  <c r="QH18" i="5"/>
  <c r="QH19" i="5"/>
  <c r="QH20" i="5"/>
  <c r="QH21" i="5"/>
  <c r="QG4" i="5"/>
  <c r="QG5" i="5"/>
  <c r="QG6" i="5"/>
  <c r="QG7" i="5"/>
  <c r="QG8" i="5"/>
  <c r="QG9" i="5"/>
  <c r="QG10" i="5"/>
  <c r="QG11" i="5"/>
  <c r="QG12" i="5"/>
  <c r="QG13" i="5"/>
  <c r="QG14" i="5"/>
  <c r="QG15" i="5"/>
  <c r="QG16" i="5"/>
  <c r="QG17" i="5"/>
  <c r="QG18" i="5"/>
  <c r="QG19" i="5"/>
  <c r="QG20" i="5"/>
  <c r="QG21" i="5"/>
  <c r="QF4" i="5"/>
  <c r="QF5" i="5"/>
  <c r="QF6" i="5"/>
  <c r="QF7" i="5"/>
  <c r="QF8" i="5"/>
  <c r="QF9" i="5"/>
  <c r="QF10" i="5"/>
  <c r="QF11" i="5"/>
  <c r="QF12" i="5"/>
  <c r="QF13" i="5"/>
  <c r="QF14" i="5"/>
  <c r="QF15" i="5"/>
  <c r="QF16" i="5"/>
  <c r="QF17" i="5"/>
  <c r="QF18" i="5"/>
  <c r="QF19" i="5"/>
  <c r="QF20" i="5"/>
  <c r="QF21" i="5"/>
  <c r="QE4" i="5"/>
  <c r="QE5" i="5"/>
  <c r="QE6" i="5"/>
  <c r="QE7" i="5"/>
  <c r="QE8" i="5"/>
  <c r="QE9" i="5"/>
  <c r="QE10" i="5"/>
  <c r="QE11" i="5"/>
  <c r="QE12" i="5"/>
  <c r="QE13" i="5"/>
  <c r="QE14" i="5"/>
  <c r="QE15" i="5"/>
  <c r="QE16" i="5"/>
  <c r="QE17" i="5"/>
  <c r="QE18" i="5"/>
  <c r="QE19" i="5"/>
  <c r="QE20" i="5"/>
  <c r="QE21" i="5"/>
  <c r="QD4" i="5"/>
  <c r="QD5" i="5"/>
  <c r="QD6" i="5"/>
  <c r="QD7" i="5"/>
  <c r="QD8" i="5"/>
  <c r="QD9" i="5"/>
  <c r="QD10" i="5"/>
  <c r="QD11" i="5"/>
  <c r="QD12" i="5"/>
  <c r="QD13" i="5"/>
  <c r="QD14" i="5"/>
  <c r="QD15" i="5"/>
  <c r="QD16" i="5"/>
  <c r="QD17" i="5"/>
  <c r="QD18" i="5"/>
  <c r="QD19" i="5"/>
  <c r="QD20" i="5"/>
  <c r="QD21" i="5"/>
  <c r="QC4" i="5"/>
  <c r="QC5" i="5"/>
  <c r="QC6" i="5"/>
  <c r="QC7" i="5"/>
  <c r="QC8" i="5"/>
  <c r="QC9" i="5"/>
  <c r="QC10" i="5"/>
  <c r="QC11" i="5"/>
  <c r="QC12" i="5"/>
  <c r="QC13" i="5"/>
  <c r="QC14" i="5"/>
  <c r="QC15" i="5"/>
  <c r="QC16" i="5"/>
  <c r="QC17" i="5"/>
  <c r="QC18" i="5"/>
  <c r="QC19" i="5"/>
  <c r="QC20" i="5"/>
  <c r="QC21" i="5"/>
  <c r="QB4" i="5"/>
  <c r="QB5" i="5"/>
  <c r="QB6" i="5"/>
  <c r="QB7" i="5"/>
  <c r="QB8" i="5"/>
  <c r="QB9" i="5"/>
  <c r="QB10" i="5"/>
  <c r="QB11" i="5"/>
  <c r="QB12" i="5"/>
  <c r="QB13" i="5"/>
  <c r="QB14" i="5"/>
  <c r="QB15" i="5"/>
  <c r="QB16" i="5"/>
  <c r="QB17" i="5"/>
  <c r="QB18" i="5"/>
  <c r="QB19" i="5"/>
  <c r="QB20" i="5"/>
  <c r="QB21" i="5"/>
  <c r="QA4" i="5"/>
  <c r="QA5" i="5"/>
  <c r="QA6" i="5"/>
  <c r="QA7" i="5"/>
  <c r="QA8" i="5"/>
  <c r="QA9" i="5"/>
  <c r="QA10" i="5"/>
  <c r="QA11" i="5"/>
  <c r="QA12" i="5"/>
  <c r="QA13" i="5"/>
  <c r="QA14" i="5"/>
  <c r="QA15" i="5"/>
  <c r="QA16" i="5"/>
  <c r="QA17" i="5"/>
  <c r="QA18" i="5"/>
  <c r="QA19" i="5"/>
  <c r="QA20" i="5"/>
  <c r="QA21" i="5"/>
  <c r="PZ4" i="5"/>
  <c r="PZ5" i="5"/>
  <c r="PZ6" i="5"/>
  <c r="PZ7" i="5"/>
  <c r="PZ8" i="5"/>
  <c r="PZ9" i="5"/>
  <c r="PZ10" i="5"/>
  <c r="PZ11" i="5"/>
  <c r="PZ12" i="5"/>
  <c r="PZ13" i="5"/>
  <c r="PZ14" i="5"/>
  <c r="PZ15" i="5"/>
  <c r="PZ16" i="5"/>
  <c r="PZ17" i="5"/>
  <c r="PZ18" i="5"/>
  <c r="PZ19" i="5"/>
  <c r="PZ20" i="5"/>
  <c r="PZ21" i="5"/>
  <c r="PY4" i="5"/>
  <c r="PY5" i="5"/>
  <c r="PY6" i="5"/>
  <c r="PY7" i="5"/>
  <c r="PY8" i="5"/>
  <c r="PY9" i="5"/>
  <c r="PY10" i="5"/>
  <c r="PY11" i="5"/>
  <c r="PY12" i="5"/>
  <c r="PY13" i="5"/>
  <c r="PY14" i="5"/>
  <c r="PY15" i="5"/>
  <c r="PY16" i="5"/>
  <c r="PY17" i="5"/>
  <c r="PY18" i="5"/>
  <c r="PY19" i="5"/>
  <c r="PY20" i="5"/>
  <c r="PY21" i="5"/>
  <c r="PX4" i="5"/>
  <c r="PX5" i="5"/>
  <c r="PX6" i="5"/>
  <c r="PX7" i="5"/>
  <c r="PX8" i="5"/>
  <c r="PX9" i="5"/>
  <c r="PX10" i="5"/>
  <c r="PX11" i="5"/>
  <c r="PX12" i="5"/>
  <c r="PX13" i="5"/>
  <c r="PX14" i="5"/>
  <c r="PX15" i="5"/>
  <c r="PX16" i="5"/>
  <c r="PX17" i="5"/>
  <c r="PX18" i="5"/>
  <c r="PX19" i="5"/>
  <c r="PX20" i="5"/>
  <c r="PX21" i="5"/>
  <c r="PW4" i="5"/>
  <c r="PW5" i="5"/>
  <c r="PW6" i="5"/>
  <c r="PW7" i="5"/>
  <c r="PW8" i="5"/>
  <c r="PW9" i="5"/>
  <c r="PW10" i="5"/>
  <c r="PW11" i="5"/>
  <c r="PW12" i="5"/>
  <c r="PW13" i="5"/>
  <c r="PW14" i="5"/>
  <c r="PW15" i="5"/>
  <c r="PW16" i="5"/>
  <c r="PW17" i="5"/>
  <c r="PW18" i="5"/>
  <c r="PW19" i="5"/>
  <c r="PW20" i="5"/>
  <c r="PW21" i="5"/>
  <c r="PV4" i="5"/>
  <c r="PV5" i="5"/>
  <c r="PV6" i="5"/>
  <c r="PV7" i="5"/>
  <c r="PV8" i="5"/>
  <c r="PV9" i="5"/>
  <c r="PV10" i="5"/>
  <c r="PV11" i="5"/>
  <c r="PV12" i="5"/>
  <c r="PV13" i="5"/>
  <c r="PV14" i="5"/>
  <c r="PV15" i="5"/>
  <c r="PV16" i="5"/>
  <c r="PV17" i="5"/>
  <c r="PV18" i="5"/>
  <c r="PV19" i="5"/>
  <c r="PV20" i="5"/>
  <c r="PV21" i="5"/>
  <c r="PU4" i="5"/>
  <c r="PU5" i="5"/>
  <c r="PU6" i="5"/>
  <c r="PU7" i="5"/>
  <c r="PU8" i="5"/>
  <c r="PU9" i="5"/>
  <c r="PU10" i="5"/>
  <c r="PU11" i="5"/>
  <c r="PU12" i="5"/>
  <c r="PU13" i="5"/>
  <c r="PU14" i="5"/>
  <c r="PU15" i="5"/>
  <c r="PU16" i="5"/>
  <c r="PU17" i="5"/>
  <c r="PU18" i="5"/>
  <c r="PU19" i="5"/>
  <c r="PU20" i="5"/>
  <c r="PU21" i="5"/>
  <c r="PT4" i="5"/>
  <c r="PT5" i="5"/>
  <c r="PT6" i="5"/>
  <c r="PT7" i="5"/>
  <c r="PT8" i="5"/>
  <c r="PT9" i="5"/>
  <c r="PT10" i="5"/>
  <c r="PT11" i="5"/>
  <c r="PT12" i="5"/>
  <c r="PT13" i="5"/>
  <c r="PT14" i="5"/>
  <c r="PT15" i="5"/>
  <c r="PT16" i="5"/>
  <c r="PT17" i="5"/>
  <c r="PT18" i="5"/>
  <c r="PT19" i="5"/>
  <c r="PT20" i="5"/>
  <c r="PT21" i="5"/>
  <c r="PS4" i="5"/>
  <c r="PS5" i="5"/>
  <c r="PS6" i="5"/>
  <c r="PS7" i="5"/>
  <c r="PS8" i="5"/>
  <c r="PS9" i="5"/>
  <c r="PS10" i="5"/>
  <c r="PS11" i="5"/>
  <c r="PS12" i="5"/>
  <c r="PS13" i="5"/>
  <c r="PS14" i="5"/>
  <c r="PS15" i="5"/>
  <c r="PS16" i="5"/>
  <c r="PS17" i="5"/>
  <c r="PS18" i="5"/>
  <c r="PS19" i="5"/>
  <c r="PS20" i="5"/>
  <c r="PS21" i="5"/>
  <c r="PR4" i="5"/>
  <c r="PR5" i="5"/>
  <c r="PR6" i="5"/>
  <c r="PR7" i="5"/>
  <c r="PR8" i="5"/>
  <c r="PR9" i="5"/>
  <c r="PR10" i="5"/>
  <c r="PR11" i="5"/>
  <c r="PR12" i="5"/>
  <c r="PR13" i="5"/>
  <c r="PR14" i="5"/>
  <c r="PR15" i="5"/>
  <c r="PR16" i="5"/>
  <c r="PR17" i="5"/>
  <c r="PR18" i="5"/>
  <c r="PR19" i="5"/>
  <c r="PR20" i="5"/>
  <c r="PR21" i="5"/>
  <c r="PQ4" i="5"/>
  <c r="PQ5" i="5"/>
  <c r="PQ6" i="5"/>
  <c r="PQ7" i="5"/>
  <c r="PQ8" i="5"/>
  <c r="PQ9" i="5"/>
  <c r="PQ10" i="5"/>
  <c r="PQ11" i="5"/>
  <c r="PQ12" i="5"/>
  <c r="PQ13" i="5"/>
  <c r="PQ14" i="5"/>
  <c r="PQ15" i="5"/>
  <c r="PQ16" i="5"/>
  <c r="PQ17" i="5"/>
  <c r="PQ18" i="5"/>
  <c r="PQ19" i="5"/>
  <c r="PQ20" i="5"/>
  <c r="PQ21" i="5"/>
  <c r="PP4" i="5"/>
  <c r="PP5" i="5"/>
  <c r="PP6" i="5"/>
  <c r="PP7" i="5"/>
  <c r="PP8" i="5"/>
  <c r="PP9" i="5"/>
  <c r="PP10" i="5"/>
  <c r="PP11" i="5"/>
  <c r="PP12" i="5"/>
  <c r="PP13" i="5"/>
  <c r="PP14" i="5"/>
  <c r="PP15" i="5"/>
  <c r="PP16" i="5"/>
  <c r="PP17" i="5"/>
  <c r="PP18" i="5"/>
  <c r="PP19" i="5"/>
  <c r="PP20" i="5"/>
  <c r="PP21" i="5"/>
  <c r="PO4" i="5"/>
  <c r="PO5" i="5"/>
  <c r="PO6" i="5"/>
  <c r="PO7" i="5"/>
  <c r="PO8" i="5"/>
  <c r="PO9" i="5"/>
  <c r="PO10" i="5"/>
  <c r="PO11" i="5"/>
  <c r="PO12" i="5"/>
  <c r="PO13" i="5"/>
  <c r="PO14" i="5"/>
  <c r="PO15" i="5"/>
  <c r="PO16" i="5"/>
  <c r="PO17" i="5"/>
  <c r="PO18" i="5"/>
  <c r="PO19" i="5"/>
  <c r="PO20" i="5"/>
  <c r="PO21" i="5"/>
  <c r="PN4" i="5"/>
  <c r="PN5" i="5"/>
  <c r="PN6" i="5"/>
  <c r="PN7" i="5"/>
  <c r="PN8" i="5"/>
  <c r="PN9" i="5"/>
  <c r="PN10" i="5"/>
  <c r="PN11" i="5"/>
  <c r="PN12" i="5"/>
  <c r="PN13" i="5"/>
  <c r="PN14" i="5"/>
  <c r="PN15" i="5"/>
  <c r="PN16" i="5"/>
  <c r="PN17" i="5"/>
  <c r="PN18" i="5"/>
  <c r="PN19" i="5"/>
  <c r="PN20" i="5"/>
  <c r="PN21" i="5"/>
  <c r="PM4" i="5"/>
  <c r="PM5" i="5"/>
  <c r="PM6" i="5"/>
  <c r="PM7" i="5"/>
  <c r="PM8" i="5"/>
  <c r="PM9" i="5"/>
  <c r="PM10" i="5"/>
  <c r="PM11" i="5"/>
  <c r="PM12" i="5"/>
  <c r="PM13" i="5"/>
  <c r="PM14" i="5"/>
  <c r="PM15" i="5"/>
  <c r="PM16" i="5"/>
  <c r="PM17" i="5"/>
  <c r="PM18" i="5"/>
  <c r="PM19" i="5"/>
  <c r="PM20" i="5"/>
  <c r="PM21" i="5"/>
  <c r="PL4" i="5"/>
  <c r="PL5" i="5"/>
  <c r="PL6" i="5"/>
  <c r="PL7" i="5"/>
  <c r="PL8" i="5"/>
  <c r="PL9" i="5"/>
  <c r="PL10" i="5"/>
  <c r="PL11" i="5"/>
  <c r="PL12" i="5"/>
  <c r="PL13" i="5"/>
  <c r="PL14" i="5"/>
  <c r="PL15" i="5"/>
  <c r="PL16" i="5"/>
  <c r="PL17" i="5"/>
  <c r="PL18" i="5"/>
  <c r="PL19" i="5"/>
  <c r="PL20" i="5"/>
  <c r="PL21" i="5"/>
  <c r="PK4" i="5"/>
  <c r="PK5" i="5"/>
  <c r="PK6" i="5"/>
  <c r="PK7" i="5"/>
  <c r="PK8" i="5"/>
  <c r="PK9" i="5"/>
  <c r="PK10" i="5"/>
  <c r="PK11" i="5"/>
  <c r="PK12" i="5"/>
  <c r="PK13" i="5"/>
  <c r="PK14" i="5"/>
  <c r="PK15" i="5"/>
  <c r="PK16" i="5"/>
  <c r="PK17" i="5"/>
  <c r="PK18" i="5"/>
  <c r="PK19" i="5"/>
  <c r="PK20" i="5"/>
  <c r="PK21" i="5"/>
  <c r="PJ4" i="5"/>
  <c r="PJ5" i="5"/>
  <c r="PJ6" i="5"/>
  <c r="PJ7" i="5"/>
  <c r="PJ8" i="5"/>
  <c r="PJ9" i="5"/>
  <c r="PJ10" i="5"/>
  <c r="PJ11" i="5"/>
  <c r="PJ12" i="5"/>
  <c r="PJ13" i="5"/>
  <c r="PJ14" i="5"/>
  <c r="PJ15" i="5"/>
  <c r="PJ16" i="5"/>
  <c r="PJ17" i="5"/>
  <c r="PJ18" i="5"/>
  <c r="PJ19" i="5"/>
  <c r="PJ20" i="5"/>
  <c r="PJ21" i="5"/>
  <c r="PI4" i="5"/>
  <c r="PI5" i="5"/>
  <c r="PI6" i="5"/>
  <c r="PI7" i="5"/>
  <c r="PI8" i="5"/>
  <c r="PI9" i="5"/>
  <c r="PI10" i="5"/>
  <c r="PI11" i="5"/>
  <c r="PI12" i="5"/>
  <c r="PI13" i="5"/>
  <c r="PI14" i="5"/>
  <c r="PI15" i="5"/>
  <c r="PI16" i="5"/>
  <c r="PI17" i="5"/>
  <c r="PI18" i="5"/>
  <c r="PI19" i="5"/>
  <c r="PI20" i="5"/>
  <c r="PI21" i="5"/>
  <c r="PH4" i="5"/>
  <c r="PH5" i="5"/>
  <c r="PH6" i="5"/>
  <c r="PH7" i="5"/>
  <c r="PH8" i="5"/>
  <c r="PH9" i="5"/>
  <c r="PH10" i="5"/>
  <c r="PH11" i="5"/>
  <c r="PH12" i="5"/>
  <c r="PH13" i="5"/>
  <c r="PH14" i="5"/>
  <c r="PH15" i="5"/>
  <c r="PH16" i="5"/>
  <c r="PH17" i="5"/>
  <c r="PH18" i="5"/>
  <c r="PH19" i="5"/>
  <c r="PH20" i="5"/>
  <c r="PH21" i="5"/>
  <c r="PG4" i="5"/>
  <c r="PG5" i="5"/>
  <c r="PG6" i="5"/>
  <c r="PG7" i="5"/>
  <c r="PG8" i="5"/>
  <c r="PG9" i="5"/>
  <c r="PG10" i="5"/>
  <c r="PG11" i="5"/>
  <c r="PG12" i="5"/>
  <c r="PG13" i="5"/>
  <c r="PG14" i="5"/>
  <c r="PG15" i="5"/>
  <c r="PG16" i="5"/>
  <c r="PG17" i="5"/>
  <c r="PG18" i="5"/>
  <c r="PG19" i="5"/>
  <c r="PG20" i="5"/>
  <c r="PG21" i="5"/>
  <c r="PF4" i="5"/>
  <c r="PF5" i="5"/>
  <c r="PF6" i="5"/>
  <c r="PF7" i="5"/>
  <c r="PF8" i="5"/>
  <c r="PF9" i="5"/>
  <c r="PF10" i="5"/>
  <c r="PF11" i="5"/>
  <c r="PF12" i="5"/>
  <c r="PF13" i="5"/>
  <c r="PF14" i="5"/>
  <c r="PF15" i="5"/>
  <c r="PF16" i="5"/>
  <c r="PF17" i="5"/>
  <c r="PF18" i="5"/>
  <c r="PF19" i="5"/>
  <c r="PF20" i="5"/>
  <c r="PF21" i="5"/>
  <c r="PE4" i="5"/>
  <c r="PE5" i="5"/>
  <c r="PE6" i="5"/>
  <c r="PE7" i="5"/>
  <c r="PE8" i="5"/>
  <c r="PE9" i="5"/>
  <c r="PE10" i="5"/>
  <c r="PE11" i="5"/>
  <c r="PE12" i="5"/>
  <c r="PE13" i="5"/>
  <c r="PE14" i="5"/>
  <c r="PE15" i="5"/>
  <c r="PE16" i="5"/>
  <c r="PE17" i="5"/>
  <c r="PE18" i="5"/>
  <c r="PE19" i="5"/>
  <c r="PE20" i="5"/>
  <c r="PE21" i="5"/>
  <c r="PD4" i="5"/>
  <c r="PD5" i="5"/>
  <c r="PD6" i="5"/>
  <c r="PD7" i="5"/>
  <c r="PD8" i="5"/>
  <c r="PD9" i="5"/>
  <c r="PD10" i="5"/>
  <c r="PD11" i="5"/>
  <c r="PD12" i="5"/>
  <c r="PD13" i="5"/>
  <c r="PD14" i="5"/>
  <c r="PD15" i="5"/>
  <c r="PD16" i="5"/>
  <c r="PD17" i="5"/>
  <c r="PD18" i="5"/>
  <c r="PD19" i="5"/>
  <c r="PD20" i="5"/>
  <c r="PD21" i="5"/>
  <c r="PC4" i="5"/>
  <c r="PC5" i="5"/>
  <c r="PC6" i="5"/>
  <c r="PC7" i="5"/>
  <c r="PC8" i="5"/>
  <c r="PC9" i="5"/>
  <c r="PC10" i="5"/>
  <c r="PC11" i="5"/>
  <c r="PC12" i="5"/>
  <c r="PC13" i="5"/>
  <c r="PC14" i="5"/>
  <c r="PC15" i="5"/>
  <c r="PC16" i="5"/>
  <c r="PC17" i="5"/>
  <c r="PC18" i="5"/>
  <c r="PC19" i="5"/>
  <c r="PC20" i="5"/>
  <c r="PC21" i="5"/>
  <c r="PB4" i="5"/>
  <c r="PB5" i="5"/>
  <c r="PB6" i="5"/>
  <c r="PB7" i="5"/>
  <c r="PB8" i="5"/>
  <c r="PB9" i="5"/>
  <c r="PB10" i="5"/>
  <c r="PB11" i="5"/>
  <c r="PB12" i="5"/>
  <c r="PB13" i="5"/>
  <c r="PB14" i="5"/>
  <c r="PB15" i="5"/>
  <c r="PB16" i="5"/>
  <c r="PB17" i="5"/>
  <c r="PB18" i="5"/>
  <c r="PB19" i="5"/>
  <c r="PB20" i="5"/>
  <c r="PB21" i="5"/>
  <c r="PA4" i="5"/>
  <c r="PA5" i="5"/>
  <c r="PA6" i="5"/>
  <c r="PA7" i="5"/>
  <c r="PA8" i="5"/>
  <c r="PA9" i="5"/>
  <c r="PA10" i="5"/>
  <c r="PA11" i="5"/>
  <c r="PA12" i="5"/>
  <c r="PA13" i="5"/>
  <c r="PA14" i="5"/>
  <c r="PA15" i="5"/>
  <c r="PA16" i="5"/>
  <c r="PA17" i="5"/>
  <c r="PA18" i="5"/>
  <c r="PA19" i="5"/>
  <c r="PA20" i="5"/>
  <c r="PA21" i="5"/>
  <c r="OZ4" i="5"/>
  <c r="OZ5" i="5"/>
  <c r="OZ6" i="5"/>
  <c r="OZ7" i="5"/>
  <c r="OZ8" i="5"/>
  <c r="OZ9" i="5"/>
  <c r="OZ10" i="5"/>
  <c r="OZ11" i="5"/>
  <c r="OZ12" i="5"/>
  <c r="OZ13" i="5"/>
  <c r="OZ14" i="5"/>
  <c r="OZ15" i="5"/>
  <c r="OZ16" i="5"/>
  <c r="OZ17" i="5"/>
  <c r="OZ18" i="5"/>
  <c r="OZ19" i="5"/>
  <c r="OZ20" i="5"/>
  <c r="OZ21" i="5"/>
  <c r="OY4" i="5"/>
  <c r="OY5" i="5"/>
  <c r="OY6" i="5"/>
  <c r="OY7" i="5"/>
  <c r="OY8" i="5"/>
  <c r="OY9" i="5"/>
  <c r="OY10" i="5"/>
  <c r="OY11" i="5"/>
  <c r="OY12" i="5"/>
  <c r="OY13" i="5"/>
  <c r="OY14" i="5"/>
  <c r="OY15" i="5"/>
  <c r="OY16" i="5"/>
  <c r="OY17" i="5"/>
  <c r="OY18" i="5"/>
  <c r="OY19" i="5"/>
  <c r="OY20" i="5"/>
  <c r="OY21" i="5"/>
  <c r="OX4" i="5"/>
  <c r="OX5" i="5"/>
  <c r="OX6" i="5"/>
  <c r="OX7" i="5"/>
  <c r="OX8" i="5"/>
  <c r="OX9" i="5"/>
  <c r="OX10" i="5"/>
  <c r="OX11" i="5"/>
  <c r="OX12" i="5"/>
  <c r="OX13" i="5"/>
  <c r="OX14" i="5"/>
  <c r="OX15" i="5"/>
  <c r="OX16" i="5"/>
  <c r="OX17" i="5"/>
  <c r="OX18" i="5"/>
  <c r="OX19" i="5"/>
  <c r="OX20" i="5"/>
  <c r="OX21" i="5"/>
  <c r="OW4" i="5"/>
  <c r="OW5" i="5"/>
  <c r="OW6" i="5"/>
  <c r="OW7" i="5"/>
  <c r="OW8" i="5"/>
  <c r="OW9" i="5"/>
  <c r="OW10" i="5"/>
  <c r="OW11" i="5"/>
  <c r="OW12" i="5"/>
  <c r="OW13" i="5"/>
  <c r="OW14" i="5"/>
  <c r="OW15" i="5"/>
  <c r="OW16" i="5"/>
  <c r="OW17" i="5"/>
  <c r="OW18" i="5"/>
  <c r="OW19" i="5"/>
  <c r="OW20" i="5"/>
  <c r="OW21" i="5"/>
  <c r="OV4" i="5"/>
  <c r="OV5" i="5"/>
  <c r="OV6" i="5"/>
  <c r="OV7" i="5"/>
  <c r="OV8" i="5"/>
  <c r="OV9" i="5"/>
  <c r="OV10" i="5"/>
  <c r="OV11" i="5"/>
  <c r="OV12" i="5"/>
  <c r="OV13" i="5"/>
  <c r="OV14" i="5"/>
  <c r="OV15" i="5"/>
  <c r="OV16" i="5"/>
  <c r="OV17" i="5"/>
  <c r="OV18" i="5"/>
  <c r="OV19" i="5"/>
  <c r="OV20" i="5"/>
  <c r="OV21" i="5"/>
  <c r="OU4" i="5"/>
  <c r="OU5" i="5"/>
  <c r="OU6" i="5"/>
  <c r="OU7" i="5"/>
  <c r="OU8" i="5"/>
  <c r="OU9" i="5"/>
  <c r="OU10" i="5"/>
  <c r="OU11" i="5"/>
  <c r="OU12" i="5"/>
  <c r="OU13" i="5"/>
  <c r="OU14" i="5"/>
  <c r="OU15" i="5"/>
  <c r="OU16" i="5"/>
  <c r="OU17" i="5"/>
  <c r="OU18" i="5"/>
  <c r="OU19" i="5"/>
  <c r="OU20" i="5"/>
  <c r="OU21" i="5"/>
  <c r="OT4" i="5"/>
  <c r="OT5" i="5"/>
  <c r="OT6" i="5"/>
  <c r="OT7" i="5"/>
  <c r="OT8" i="5"/>
  <c r="OT9" i="5"/>
  <c r="OT10" i="5"/>
  <c r="OT11" i="5"/>
  <c r="OT12" i="5"/>
  <c r="OT13" i="5"/>
  <c r="OT14" i="5"/>
  <c r="OT15" i="5"/>
  <c r="OT16" i="5"/>
  <c r="OT17" i="5"/>
  <c r="OT18" i="5"/>
  <c r="OT19" i="5"/>
  <c r="OT20" i="5"/>
  <c r="OT21" i="5"/>
  <c r="OS4" i="5"/>
  <c r="OS5" i="5"/>
  <c r="OS6" i="5"/>
  <c r="OS7" i="5"/>
  <c r="OS8" i="5"/>
  <c r="OS9" i="5"/>
  <c r="OS10" i="5"/>
  <c r="OS11" i="5"/>
  <c r="OS12" i="5"/>
  <c r="OS13" i="5"/>
  <c r="OS14" i="5"/>
  <c r="OS15" i="5"/>
  <c r="OS16" i="5"/>
  <c r="OS17" i="5"/>
  <c r="OS18" i="5"/>
  <c r="OS19" i="5"/>
  <c r="OS20" i="5"/>
  <c r="OS21" i="5"/>
  <c r="OR4" i="5"/>
  <c r="OR5" i="5"/>
  <c r="OR6" i="5"/>
  <c r="OR7" i="5"/>
  <c r="OR8" i="5"/>
  <c r="OR9" i="5"/>
  <c r="OR10" i="5"/>
  <c r="OR11" i="5"/>
  <c r="OR12" i="5"/>
  <c r="OR13" i="5"/>
  <c r="OR14" i="5"/>
  <c r="OR15" i="5"/>
  <c r="OR16" i="5"/>
  <c r="OR17" i="5"/>
  <c r="OR18" i="5"/>
  <c r="OR19" i="5"/>
  <c r="OR20" i="5"/>
  <c r="OR21" i="5"/>
  <c r="OQ4" i="5"/>
  <c r="OQ5" i="5"/>
  <c r="OQ6" i="5"/>
  <c r="OQ7" i="5"/>
  <c r="OQ8" i="5"/>
  <c r="OQ9" i="5"/>
  <c r="OQ10" i="5"/>
  <c r="OQ11" i="5"/>
  <c r="OQ12" i="5"/>
  <c r="OQ13" i="5"/>
  <c r="OQ14" i="5"/>
  <c r="OQ15" i="5"/>
  <c r="OQ16" i="5"/>
  <c r="OQ17" i="5"/>
  <c r="OQ18" i="5"/>
  <c r="OQ19" i="5"/>
  <c r="OQ20" i="5"/>
  <c r="OQ21" i="5"/>
  <c r="OP4" i="5"/>
  <c r="OP5" i="5"/>
  <c r="OP6" i="5"/>
  <c r="OP7" i="5"/>
  <c r="OP8" i="5"/>
  <c r="OP9" i="5"/>
  <c r="OP10" i="5"/>
  <c r="OP11" i="5"/>
  <c r="OP12" i="5"/>
  <c r="OP13" i="5"/>
  <c r="OP14" i="5"/>
  <c r="OP15" i="5"/>
  <c r="OP16" i="5"/>
  <c r="OP17" i="5"/>
  <c r="OP18" i="5"/>
  <c r="OP19" i="5"/>
  <c r="OP20" i="5"/>
  <c r="OP21" i="5"/>
  <c r="OO4" i="5"/>
  <c r="OO5" i="5"/>
  <c r="OO6" i="5"/>
  <c r="OO7" i="5"/>
  <c r="OO8" i="5"/>
  <c r="OO9" i="5"/>
  <c r="OO10" i="5"/>
  <c r="OO11" i="5"/>
  <c r="OO12" i="5"/>
  <c r="OO13" i="5"/>
  <c r="OO14" i="5"/>
  <c r="OO15" i="5"/>
  <c r="OO16" i="5"/>
  <c r="OO17" i="5"/>
  <c r="OO18" i="5"/>
  <c r="OO19" i="5"/>
  <c r="OO20" i="5"/>
  <c r="OO21" i="5"/>
  <c r="ON4" i="5"/>
  <c r="ON5" i="5"/>
  <c r="ON6" i="5"/>
  <c r="ON7" i="5"/>
  <c r="ON8" i="5"/>
  <c r="ON9" i="5"/>
  <c r="ON10" i="5"/>
  <c r="ON11" i="5"/>
  <c r="ON12" i="5"/>
  <c r="ON13" i="5"/>
  <c r="ON14" i="5"/>
  <c r="ON15" i="5"/>
  <c r="ON16" i="5"/>
  <c r="ON17" i="5"/>
  <c r="ON18" i="5"/>
  <c r="ON19" i="5"/>
  <c r="ON20" i="5"/>
  <c r="ON21" i="5"/>
  <c r="OM4" i="5"/>
  <c r="OM5" i="5"/>
  <c r="OM6" i="5"/>
  <c r="OM7" i="5"/>
  <c r="OM8" i="5"/>
  <c r="OM9" i="5"/>
  <c r="OM10" i="5"/>
  <c r="OM11" i="5"/>
  <c r="OM12" i="5"/>
  <c r="OM13" i="5"/>
  <c r="OM14" i="5"/>
  <c r="OM15" i="5"/>
  <c r="OM16" i="5"/>
  <c r="OM17" i="5"/>
  <c r="OM18" i="5"/>
  <c r="OM19" i="5"/>
  <c r="OM20" i="5"/>
  <c r="OM21" i="5"/>
  <c r="OL4" i="5"/>
  <c r="OL5" i="5"/>
  <c r="OL6" i="5"/>
  <c r="OL7" i="5"/>
  <c r="OL8" i="5"/>
  <c r="OL9" i="5"/>
  <c r="OL10" i="5"/>
  <c r="OL11" i="5"/>
  <c r="OL12" i="5"/>
  <c r="OL13" i="5"/>
  <c r="OL14" i="5"/>
  <c r="OL15" i="5"/>
  <c r="OL16" i="5"/>
  <c r="OL17" i="5"/>
  <c r="OL18" i="5"/>
  <c r="OL19" i="5"/>
  <c r="OL20" i="5"/>
  <c r="OL21" i="5"/>
  <c r="OK4" i="5"/>
  <c r="OK5" i="5"/>
  <c r="OK6" i="5"/>
  <c r="OK7" i="5"/>
  <c r="OK8" i="5"/>
  <c r="OK9" i="5"/>
  <c r="OK10" i="5"/>
  <c r="OK11" i="5"/>
  <c r="OK12" i="5"/>
  <c r="OK13" i="5"/>
  <c r="OK14" i="5"/>
  <c r="OK15" i="5"/>
  <c r="OK16" i="5"/>
  <c r="OK17" i="5"/>
  <c r="OK18" i="5"/>
  <c r="OK19" i="5"/>
  <c r="OK20" i="5"/>
  <c r="OK21" i="5"/>
  <c r="OJ4" i="5"/>
  <c r="OJ5" i="5"/>
  <c r="OJ6" i="5"/>
  <c r="OJ7" i="5"/>
  <c r="OJ8" i="5"/>
  <c r="OJ9" i="5"/>
  <c r="OJ10" i="5"/>
  <c r="OJ11" i="5"/>
  <c r="OJ12" i="5"/>
  <c r="OJ13" i="5"/>
  <c r="OJ14" i="5"/>
  <c r="OJ15" i="5"/>
  <c r="OJ16" i="5"/>
  <c r="OJ17" i="5"/>
  <c r="OJ18" i="5"/>
  <c r="OJ19" i="5"/>
  <c r="OJ20" i="5"/>
  <c r="OJ21" i="5"/>
  <c r="OI4" i="5"/>
  <c r="OI5" i="5"/>
  <c r="OI6" i="5"/>
  <c r="OI7" i="5"/>
  <c r="OI8" i="5"/>
  <c r="OI9" i="5"/>
  <c r="OI10" i="5"/>
  <c r="OI11" i="5"/>
  <c r="OI12" i="5"/>
  <c r="OI13" i="5"/>
  <c r="OI14" i="5"/>
  <c r="OI15" i="5"/>
  <c r="OI16" i="5"/>
  <c r="OI17" i="5"/>
  <c r="OI18" i="5"/>
  <c r="OI19" i="5"/>
  <c r="OI20" i="5"/>
  <c r="OI21" i="5"/>
  <c r="OH4" i="5"/>
  <c r="OH5" i="5"/>
  <c r="OH6" i="5"/>
  <c r="OH7" i="5"/>
  <c r="OH8" i="5"/>
  <c r="OH9" i="5"/>
  <c r="OH10" i="5"/>
  <c r="OH11" i="5"/>
  <c r="OH12" i="5"/>
  <c r="OH13" i="5"/>
  <c r="OH14" i="5"/>
  <c r="OH15" i="5"/>
  <c r="OH16" i="5"/>
  <c r="OH17" i="5"/>
  <c r="OH18" i="5"/>
  <c r="OH19" i="5"/>
  <c r="OH20" i="5"/>
  <c r="OH21" i="5"/>
  <c r="OG4" i="5"/>
  <c r="OG5" i="5"/>
  <c r="OG6" i="5"/>
  <c r="OG7" i="5"/>
  <c r="OG8" i="5"/>
  <c r="OG9" i="5"/>
  <c r="OG10" i="5"/>
  <c r="OG11" i="5"/>
  <c r="OG12" i="5"/>
  <c r="OG13" i="5"/>
  <c r="OG14" i="5"/>
  <c r="OG15" i="5"/>
  <c r="OG16" i="5"/>
  <c r="OG17" i="5"/>
  <c r="OG18" i="5"/>
  <c r="OG19" i="5"/>
  <c r="OG20" i="5"/>
  <c r="OG21" i="5"/>
  <c r="OF4" i="5"/>
  <c r="OF5" i="5"/>
  <c r="OF6" i="5"/>
  <c r="OF7" i="5"/>
  <c r="OF8" i="5"/>
  <c r="OF9" i="5"/>
  <c r="OF10" i="5"/>
  <c r="OF11" i="5"/>
  <c r="OF12" i="5"/>
  <c r="OF13" i="5"/>
  <c r="OF14" i="5"/>
  <c r="OF15" i="5"/>
  <c r="OF16" i="5"/>
  <c r="OF17" i="5"/>
  <c r="OF18" i="5"/>
  <c r="OF19" i="5"/>
  <c r="OF20" i="5"/>
  <c r="OF21" i="5"/>
  <c r="OE4" i="5"/>
  <c r="OE5" i="5"/>
  <c r="OE6" i="5"/>
  <c r="OE7" i="5"/>
  <c r="OE8" i="5"/>
  <c r="OE9" i="5"/>
  <c r="OE10" i="5"/>
  <c r="OE11" i="5"/>
  <c r="OE12" i="5"/>
  <c r="OE13" i="5"/>
  <c r="OE14" i="5"/>
  <c r="OE15" i="5"/>
  <c r="OE16" i="5"/>
  <c r="OE17" i="5"/>
  <c r="OE18" i="5"/>
  <c r="OE19" i="5"/>
  <c r="OE20" i="5"/>
  <c r="OE21" i="5"/>
  <c r="OD4" i="5"/>
  <c r="OD5" i="5"/>
  <c r="OD6" i="5"/>
  <c r="OD7" i="5"/>
  <c r="OD8" i="5"/>
  <c r="OD9" i="5"/>
  <c r="OD10" i="5"/>
  <c r="OD11" i="5"/>
  <c r="OD12" i="5"/>
  <c r="OD13" i="5"/>
  <c r="OD14" i="5"/>
  <c r="OD15" i="5"/>
  <c r="OD16" i="5"/>
  <c r="OD17" i="5"/>
  <c r="OD18" i="5"/>
  <c r="OD19" i="5"/>
  <c r="OD20" i="5"/>
  <c r="OD21" i="5"/>
  <c r="OC4" i="5"/>
  <c r="OC5" i="5"/>
  <c r="OC6" i="5"/>
  <c r="OC7" i="5"/>
  <c r="OC8" i="5"/>
  <c r="OC9" i="5"/>
  <c r="OC10" i="5"/>
  <c r="OC11" i="5"/>
  <c r="OC12" i="5"/>
  <c r="OC13" i="5"/>
  <c r="OC14" i="5"/>
  <c r="OC15" i="5"/>
  <c r="OC16" i="5"/>
  <c r="OC17" i="5"/>
  <c r="OC18" i="5"/>
  <c r="OC19" i="5"/>
  <c r="OC20" i="5"/>
  <c r="OC21" i="5"/>
  <c r="OB4" i="5"/>
  <c r="OB5" i="5"/>
  <c r="OB6" i="5"/>
  <c r="OB7" i="5"/>
  <c r="OB8" i="5"/>
  <c r="OB9" i="5"/>
  <c r="OB10" i="5"/>
  <c r="OB11" i="5"/>
  <c r="OB12" i="5"/>
  <c r="OB13" i="5"/>
  <c r="OB14" i="5"/>
  <c r="OB15" i="5"/>
  <c r="OB16" i="5"/>
  <c r="OB17" i="5"/>
  <c r="OB18" i="5"/>
  <c r="OB19" i="5"/>
  <c r="OB20" i="5"/>
  <c r="OB21" i="5"/>
  <c r="OA4" i="5"/>
  <c r="OA5" i="5"/>
  <c r="OA6" i="5"/>
  <c r="OA7" i="5"/>
  <c r="OA8" i="5"/>
  <c r="OA9" i="5"/>
  <c r="OA10" i="5"/>
  <c r="OA11" i="5"/>
  <c r="OA12" i="5"/>
  <c r="OA13" i="5"/>
  <c r="OA14" i="5"/>
  <c r="OA15" i="5"/>
  <c r="OA16" i="5"/>
  <c r="OA17" i="5"/>
  <c r="OA18" i="5"/>
  <c r="OA19" i="5"/>
  <c r="OA20" i="5"/>
  <c r="OA21" i="5"/>
  <c r="NZ4" i="5"/>
  <c r="NZ5" i="5"/>
  <c r="NZ6" i="5"/>
  <c r="NZ7" i="5"/>
  <c r="NZ8" i="5"/>
  <c r="NZ9" i="5"/>
  <c r="NZ10" i="5"/>
  <c r="NZ11" i="5"/>
  <c r="NZ12" i="5"/>
  <c r="NZ13" i="5"/>
  <c r="NZ14" i="5"/>
  <c r="NZ15" i="5"/>
  <c r="NZ16" i="5"/>
  <c r="NZ17" i="5"/>
  <c r="NZ18" i="5"/>
  <c r="NZ19" i="5"/>
  <c r="NZ20" i="5"/>
  <c r="NZ21" i="5"/>
  <c r="NY4" i="5"/>
  <c r="NY5" i="5"/>
  <c r="NY6" i="5"/>
  <c r="NY7" i="5"/>
  <c r="NY8" i="5"/>
  <c r="NY9" i="5"/>
  <c r="NY10" i="5"/>
  <c r="NY11" i="5"/>
  <c r="NY12" i="5"/>
  <c r="NY13" i="5"/>
  <c r="NY14" i="5"/>
  <c r="NY15" i="5"/>
  <c r="NY16" i="5"/>
  <c r="NY17" i="5"/>
  <c r="NY18" i="5"/>
  <c r="NY19" i="5"/>
  <c r="NY20" i="5"/>
  <c r="NY21" i="5"/>
  <c r="NX4" i="5"/>
  <c r="NX5" i="5"/>
  <c r="NX6" i="5"/>
  <c r="NX7" i="5"/>
  <c r="NX8" i="5"/>
  <c r="NX9" i="5"/>
  <c r="NX10" i="5"/>
  <c r="NX11" i="5"/>
  <c r="NX12" i="5"/>
  <c r="NX13" i="5"/>
  <c r="NX14" i="5"/>
  <c r="NX15" i="5"/>
  <c r="NX16" i="5"/>
  <c r="NX17" i="5"/>
  <c r="NX18" i="5"/>
  <c r="NX19" i="5"/>
  <c r="NX20" i="5"/>
  <c r="NX21" i="5"/>
  <c r="NW4" i="5"/>
  <c r="NW5" i="5"/>
  <c r="NW6" i="5"/>
  <c r="NW7" i="5"/>
  <c r="NW8" i="5"/>
  <c r="NW9" i="5"/>
  <c r="NW10" i="5"/>
  <c r="NW11" i="5"/>
  <c r="NW12" i="5"/>
  <c r="NW13" i="5"/>
  <c r="NW14" i="5"/>
  <c r="NW15" i="5"/>
  <c r="NW16" i="5"/>
  <c r="NW17" i="5"/>
  <c r="NW18" i="5"/>
  <c r="NW19" i="5"/>
  <c r="NW20" i="5"/>
  <c r="NW21" i="5"/>
  <c r="NV4" i="5"/>
  <c r="NV5" i="5"/>
  <c r="NV6" i="5"/>
  <c r="NV7" i="5"/>
  <c r="NV8" i="5"/>
  <c r="NV9" i="5"/>
  <c r="NV10" i="5"/>
  <c r="NV11" i="5"/>
  <c r="NV12" i="5"/>
  <c r="NV13" i="5"/>
  <c r="NV14" i="5"/>
  <c r="NV15" i="5"/>
  <c r="NV16" i="5"/>
  <c r="NV17" i="5"/>
  <c r="NV18" i="5"/>
  <c r="NV19" i="5"/>
  <c r="NV20" i="5"/>
  <c r="NV21" i="5"/>
  <c r="NU4" i="5"/>
  <c r="NU5" i="5"/>
  <c r="NU6" i="5"/>
  <c r="NU7" i="5"/>
  <c r="NU8" i="5"/>
  <c r="NU9" i="5"/>
  <c r="NU10" i="5"/>
  <c r="NU11" i="5"/>
  <c r="NU12" i="5"/>
  <c r="NU13" i="5"/>
  <c r="NU14" i="5"/>
  <c r="NU15" i="5"/>
  <c r="NU16" i="5"/>
  <c r="NU17" i="5"/>
  <c r="NU18" i="5"/>
  <c r="NU19" i="5"/>
  <c r="NU20" i="5"/>
  <c r="NU21" i="5"/>
  <c r="NT4" i="5"/>
  <c r="NT5" i="5"/>
  <c r="NT6" i="5"/>
  <c r="NT7" i="5"/>
  <c r="NT8" i="5"/>
  <c r="NT9" i="5"/>
  <c r="NT10" i="5"/>
  <c r="NT11" i="5"/>
  <c r="NT12" i="5"/>
  <c r="NT13" i="5"/>
  <c r="NT14" i="5"/>
  <c r="NT15" i="5"/>
  <c r="NT16" i="5"/>
  <c r="NT17" i="5"/>
  <c r="NT18" i="5"/>
  <c r="NT19" i="5"/>
  <c r="NT20" i="5"/>
  <c r="NT21" i="5"/>
  <c r="NS4" i="5"/>
  <c r="NS5" i="5"/>
  <c r="NS6" i="5"/>
  <c r="NS7" i="5"/>
  <c r="NS8" i="5"/>
  <c r="NS9" i="5"/>
  <c r="NS10" i="5"/>
  <c r="NS11" i="5"/>
  <c r="NS12" i="5"/>
  <c r="NS13" i="5"/>
  <c r="NS14" i="5"/>
  <c r="NS15" i="5"/>
  <c r="NS16" i="5"/>
  <c r="NS17" i="5"/>
  <c r="NS18" i="5"/>
  <c r="NS19" i="5"/>
  <c r="NS20" i="5"/>
  <c r="NS21" i="5"/>
  <c r="NR4" i="5"/>
  <c r="NR5" i="5"/>
  <c r="NR6" i="5"/>
  <c r="NR7" i="5"/>
  <c r="NR8" i="5"/>
  <c r="NR9" i="5"/>
  <c r="NR10" i="5"/>
  <c r="NR11" i="5"/>
  <c r="NR12" i="5"/>
  <c r="NR13" i="5"/>
  <c r="NR14" i="5"/>
  <c r="NR15" i="5"/>
  <c r="NR16" i="5"/>
  <c r="NR17" i="5"/>
  <c r="NR18" i="5"/>
  <c r="NR19" i="5"/>
  <c r="NR20" i="5"/>
  <c r="NR21" i="5"/>
  <c r="NQ4" i="5"/>
  <c r="NQ5" i="5"/>
  <c r="NQ6" i="5"/>
  <c r="NQ7" i="5"/>
  <c r="NQ8" i="5"/>
  <c r="NQ9" i="5"/>
  <c r="NQ10" i="5"/>
  <c r="NQ11" i="5"/>
  <c r="NQ12" i="5"/>
  <c r="NQ13" i="5"/>
  <c r="NQ14" i="5"/>
  <c r="NQ15" i="5"/>
  <c r="NQ16" i="5"/>
  <c r="NQ17" i="5"/>
  <c r="NQ18" i="5"/>
  <c r="NQ19" i="5"/>
  <c r="NQ20" i="5"/>
  <c r="NQ21" i="5"/>
  <c r="NP4" i="5"/>
  <c r="NP5" i="5"/>
  <c r="NP6" i="5"/>
  <c r="NP7" i="5"/>
  <c r="NP8" i="5"/>
  <c r="NP9" i="5"/>
  <c r="NP10" i="5"/>
  <c r="NP11" i="5"/>
  <c r="NP12" i="5"/>
  <c r="NP13" i="5"/>
  <c r="NP14" i="5"/>
  <c r="NP15" i="5"/>
  <c r="NP16" i="5"/>
  <c r="NP17" i="5"/>
  <c r="NP18" i="5"/>
  <c r="NP19" i="5"/>
  <c r="NP20" i="5"/>
  <c r="NP21" i="5"/>
  <c r="NO4" i="5"/>
  <c r="NO5" i="5"/>
  <c r="NO6" i="5"/>
  <c r="NO7" i="5"/>
  <c r="NO8" i="5"/>
  <c r="NO9" i="5"/>
  <c r="NO10" i="5"/>
  <c r="NO11" i="5"/>
  <c r="NO12" i="5"/>
  <c r="NO13" i="5"/>
  <c r="NO14" i="5"/>
  <c r="NO15" i="5"/>
  <c r="NO16" i="5"/>
  <c r="NO17" i="5"/>
  <c r="NO18" i="5"/>
  <c r="NO19" i="5"/>
  <c r="NO20" i="5"/>
  <c r="NO21" i="5"/>
  <c r="NN4" i="5"/>
  <c r="NN5" i="5"/>
  <c r="NN6" i="5"/>
  <c r="NN7" i="5"/>
  <c r="NN8" i="5"/>
  <c r="NN9" i="5"/>
  <c r="NN10" i="5"/>
  <c r="NN11" i="5"/>
  <c r="NN12" i="5"/>
  <c r="NN13" i="5"/>
  <c r="NN14" i="5"/>
  <c r="NN15" i="5"/>
  <c r="NN16" i="5"/>
  <c r="NN17" i="5"/>
  <c r="NN18" i="5"/>
  <c r="NN19" i="5"/>
  <c r="NN20" i="5"/>
  <c r="NN21" i="5"/>
  <c r="NM4" i="5"/>
  <c r="NM5" i="5"/>
  <c r="NM6" i="5"/>
  <c r="NM7" i="5"/>
  <c r="NM8" i="5"/>
  <c r="NM9" i="5"/>
  <c r="NM10" i="5"/>
  <c r="NM11" i="5"/>
  <c r="NM12" i="5"/>
  <c r="NM13" i="5"/>
  <c r="NM14" i="5"/>
  <c r="NM15" i="5"/>
  <c r="NM16" i="5"/>
  <c r="NM17" i="5"/>
  <c r="NM18" i="5"/>
  <c r="NM19" i="5"/>
  <c r="NM20" i="5"/>
  <c r="NM21" i="5"/>
  <c r="NL4" i="5"/>
  <c r="NL5" i="5"/>
  <c r="NL6" i="5"/>
  <c r="NL7" i="5"/>
  <c r="NL8" i="5"/>
  <c r="NL9" i="5"/>
  <c r="NL10" i="5"/>
  <c r="NL11" i="5"/>
  <c r="NL12" i="5"/>
  <c r="NL13" i="5"/>
  <c r="NL14" i="5"/>
  <c r="NL15" i="5"/>
  <c r="NL16" i="5"/>
  <c r="NL17" i="5"/>
  <c r="NL18" i="5"/>
  <c r="NL19" i="5"/>
  <c r="NL20" i="5"/>
  <c r="NL21" i="5"/>
  <c r="NK4" i="5"/>
  <c r="NK5" i="5"/>
  <c r="NK6" i="5"/>
  <c r="NK7" i="5"/>
  <c r="NK8" i="5"/>
  <c r="NK9" i="5"/>
  <c r="NK10" i="5"/>
  <c r="NK11" i="5"/>
  <c r="NK12" i="5"/>
  <c r="NK13" i="5"/>
  <c r="NK14" i="5"/>
  <c r="NK15" i="5"/>
  <c r="NK16" i="5"/>
  <c r="NK17" i="5"/>
  <c r="NK18" i="5"/>
  <c r="NK19" i="5"/>
  <c r="NK20" i="5"/>
  <c r="NK21" i="5"/>
  <c r="NJ4" i="5"/>
  <c r="NJ5" i="5"/>
  <c r="NJ6" i="5"/>
  <c r="NJ7" i="5"/>
  <c r="NJ8" i="5"/>
  <c r="NJ9" i="5"/>
  <c r="NJ10" i="5"/>
  <c r="NJ11" i="5"/>
  <c r="NJ12" i="5"/>
  <c r="NJ13" i="5"/>
  <c r="NJ14" i="5"/>
  <c r="NJ15" i="5"/>
  <c r="NJ16" i="5"/>
  <c r="NJ17" i="5"/>
  <c r="NJ18" i="5"/>
  <c r="NJ19" i="5"/>
  <c r="NJ20" i="5"/>
  <c r="NJ21" i="5"/>
  <c r="NI4" i="5"/>
  <c r="NI5" i="5"/>
  <c r="NI6" i="5"/>
  <c r="NI7" i="5"/>
  <c r="NI8" i="5"/>
  <c r="NI9" i="5"/>
  <c r="NI10" i="5"/>
  <c r="NI11" i="5"/>
  <c r="NI12" i="5"/>
  <c r="NI13" i="5"/>
  <c r="NI14" i="5"/>
  <c r="NI15" i="5"/>
  <c r="NI16" i="5"/>
  <c r="NI17" i="5"/>
  <c r="NI18" i="5"/>
  <c r="NI19" i="5"/>
  <c r="NI20" i="5"/>
  <c r="NI21" i="5"/>
  <c r="NH4" i="5"/>
  <c r="NH5" i="5"/>
  <c r="NH6" i="5"/>
  <c r="NH7" i="5"/>
  <c r="NH8" i="5"/>
  <c r="NH9" i="5"/>
  <c r="NH10" i="5"/>
  <c r="NH11" i="5"/>
  <c r="NH12" i="5"/>
  <c r="NH13" i="5"/>
  <c r="NH14" i="5"/>
  <c r="NH15" i="5"/>
  <c r="NH16" i="5"/>
  <c r="NH17" i="5"/>
  <c r="NH18" i="5"/>
  <c r="NH19" i="5"/>
  <c r="NH20" i="5"/>
  <c r="NH21" i="5"/>
  <c r="NG4" i="5"/>
  <c r="NG5" i="5"/>
  <c r="NG6" i="5"/>
  <c r="NG7" i="5"/>
  <c r="NG8" i="5"/>
  <c r="NG9" i="5"/>
  <c r="NG10" i="5"/>
  <c r="NG11" i="5"/>
  <c r="NG12" i="5"/>
  <c r="NG13" i="5"/>
  <c r="NG14" i="5"/>
  <c r="NG15" i="5"/>
  <c r="NG16" i="5"/>
  <c r="NG17" i="5"/>
  <c r="NG18" i="5"/>
  <c r="NG19" i="5"/>
  <c r="NG20" i="5"/>
  <c r="NG21" i="5"/>
  <c r="NF4" i="5"/>
  <c r="NF5" i="5"/>
  <c r="NF6" i="5"/>
  <c r="NF7" i="5"/>
  <c r="NF8" i="5"/>
  <c r="NF9" i="5"/>
  <c r="NF10" i="5"/>
  <c r="NF11" i="5"/>
  <c r="NF12" i="5"/>
  <c r="NF13" i="5"/>
  <c r="NF14" i="5"/>
  <c r="NF15" i="5"/>
  <c r="NF16" i="5"/>
  <c r="NF17" i="5"/>
  <c r="NF18" i="5"/>
  <c r="NF19" i="5"/>
  <c r="NF20" i="5"/>
  <c r="NF21" i="5"/>
  <c r="NE4" i="5"/>
  <c r="NE5" i="5"/>
  <c r="NE6" i="5"/>
  <c r="NE7" i="5"/>
  <c r="NE8" i="5"/>
  <c r="NE9" i="5"/>
  <c r="NE10" i="5"/>
  <c r="NE11" i="5"/>
  <c r="NE12" i="5"/>
  <c r="NE13" i="5"/>
  <c r="NE14" i="5"/>
  <c r="NE15" i="5"/>
  <c r="NE16" i="5"/>
  <c r="NE17" i="5"/>
  <c r="NE18" i="5"/>
  <c r="NE19" i="5"/>
  <c r="NE20" i="5"/>
  <c r="NE21" i="5"/>
  <c r="ND4" i="5"/>
  <c r="ND5" i="5"/>
  <c r="ND6" i="5"/>
  <c r="ND7" i="5"/>
  <c r="ND8" i="5"/>
  <c r="ND9" i="5"/>
  <c r="ND10" i="5"/>
  <c r="ND11" i="5"/>
  <c r="ND12" i="5"/>
  <c r="ND13" i="5"/>
  <c r="ND14" i="5"/>
  <c r="ND15" i="5"/>
  <c r="ND16" i="5"/>
  <c r="ND17" i="5"/>
  <c r="ND18" i="5"/>
  <c r="ND19" i="5"/>
  <c r="ND20" i="5"/>
  <c r="ND21" i="5"/>
  <c r="NC4" i="5"/>
  <c r="NC5" i="5"/>
  <c r="NC6" i="5"/>
  <c r="NC7" i="5"/>
  <c r="NC8" i="5"/>
  <c r="NC9" i="5"/>
  <c r="NC10" i="5"/>
  <c r="NC11" i="5"/>
  <c r="NC12" i="5"/>
  <c r="NC13" i="5"/>
  <c r="NC14" i="5"/>
  <c r="NC15" i="5"/>
  <c r="NC16" i="5"/>
  <c r="NC17" i="5"/>
  <c r="NC18" i="5"/>
  <c r="NC19" i="5"/>
  <c r="NC20" i="5"/>
  <c r="NC21" i="5"/>
  <c r="NB4" i="5"/>
  <c r="NB5" i="5"/>
  <c r="NB6" i="5"/>
  <c r="NB7" i="5"/>
  <c r="NB8" i="5"/>
  <c r="NB9" i="5"/>
  <c r="NB10" i="5"/>
  <c r="NB11" i="5"/>
  <c r="NB12" i="5"/>
  <c r="NB13" i="5"/>
  <c r="NB14" i="5"/>
  <c r="NB15" i="5"/>
  <c r="NB16" i="5"/>
  <c r="NB17" i="5"/>
  <c r="NB18" i="5"/>
  <c r="NB19" i="5"/>
  <c r="NB20" i="5"/>
  <c r="NB21" i="5"/>
  <c r="NA4" i="5"/>
  <c r="NA5" i="5"/>
  <c r="NA6" i="5"/>
  <c r="NA7" i="5"/>
  <c r="NA8" i="5"/>
  <c r="NA9" i="5"/>
  <c r="NA10" i="5"/>
  <c r="NA11" i="5"/>
  <c r="NA12" i="5"/>
  <c r="NA13" i="5"/>
  <c r="NA14" i="5"/>
  <c r="NA15" i="5"/>
  <c r="NA16" i="5"/>
  <c r="NA17" i="5"/>
  <c r="NA18" i="5"/>
  <c r="NA19" i="5"/>
  <c r="NA20" i="5"/>
  <c r="NA21" i="5"/>
  <c r="MZ4" i="5"/>
  <c r="MZ5" i="5"/>
  <c r="MZ6" i="5"/>
  <c r="MZ7" i="5"/>
  <c r="MZ8" i="5"/>
  <c r="MZ9" i="5"/>
  <c r="MZ10" i="5"/>
  <c r="MZ11" i="5"/>
  <c r="MZ12" i="5"/>
  <c r="MZ13" i="5"/>
  <c r="MZ14" i="5"/>
  <c r="MZ15" i="5"/>
  <c r="MZ16" i="5"/>
  <c r="MZ17" i="5"/>
  <c r="MZ18" i="5"/>
  <c r="MZ19" i="5"/>
  <c r="MZ20" i="5"/>
  <c r="MZ21" i="5"/>
  <c r="MY4" i="5"/>
  <c r="MY5" i="5"/>
  <c r="MY6" i="5"/>
  <c r="MY7" i="5"/>
  <c r="MY8" i="5"/>
  <c r="MY9" i="5"/>
  <c r="MY10" i="5"/>
  <c r="MY11" i="5"/>
  <c r="MY12" i="5"/>
  <c r="MY13" i="5"/>
  <c r="MY14" i="5"/>
  <c r="MY15" i="5"/>
  <c r="MY16" i="5"/>
  <c r="MY17" i="5"/>
  <c r="MY18" i="5"/>
  <c r="MY19" i="5"/>
  <c r="MY20" i="5"/>
  <c r="MY21" i="5"/>
  <c r="MX4" i="5"/>
  <c r="MX5" i="5"/>
  <c r="MX6" i="5"/>
  <c r="MX7" i="5"/>
  <c r="MX8" i="5"/>
  <c r="MX9" i="5"/>
  <c r="MX10" i="5"/>
  <c r="MX11" i="5"/>
  <c r="MX12" i="5"/>
  <c r="MX13" i="5"/>
  <c r="MX14" i="5"/>
  <c r="MX15" i="5"/>
  <c r="MX16" i="5"/>
  <c r="MX17" i="5"/>
  <c r="MX18" i="5"/>
  <c r="MX19" i="5"/>
  <c r="MX20" i="5"/>
  <c r="MX21" i="5"/>
  <c r="MW4" i="5"/>
  <c r="MW5" i="5"/>
  <c r="MW6" i="5"/>
  <c r="MW7" i="5"/>
  <c r="MW8" i="5"/>
  <c r="MW9" i="5"/>
  <c r="MW10" i="5"/>
  <c r="MW11" i="5"/>
  <c r="MW12" i="5"/>
  <c r="MW13" i="5"/>
  <c r="MW14" i="5"/>
  <c r="MW15" i="5"/>
  <c r="MW16" i="5"/>
  <c r="MW17" i="5"/>
  <c r="MW18" i="5"/>
  <c r="MW19" i="5"/>
  <c r="MW20" i="5"/>
  <c r="MW21" i="5"/>
  <c r="MV4" i="5"/>
  <c r="MV5" i="5"/>
  <c r="MV6" i="5"/>
  <c r="MV7" i="5"/>
  <c r="MV8" i="5"/>
  <c r="MV9" i="5"/>
  <c r="MV10" i="5"/>
  <c r="MV11" i="5"/>
  <c r="MV12" i="5"/>
  <c r="MV13" i="5"/>
  <c r="MV14" i="5"/>
  <c r="MV15" i="5"/>
  <c r="MV16" i="5"/>
  <c r="MV17" i="5"/>
  <c r="MV18" i="5"/>
  <c r="MV19" i="5"/>
  <c r="MV20" i="5"/>
  <c r="MV21" i="5"/>
  <c r="MU4" i="5"/>
  <c r="MU5" i="5"/>
  <c r="MU6" i="5"/>
  <c r="MU7" i="5"/>
  <c r="MU8" i="5"/>
  <c r="MU9" i="5"/>
  <c r="MU10" i="5"/>
  <c r="MU11" i="5"/>
  <c r="MU12" i="5"/>
  <c r="MU13" i="5"/>
  <c r="MU14" i="5"/>
  <c r="MU15" i="5"/>
  <c r="MU16" i="5"/>
  <c r="MU17" i="5"/>
  <c r="MU18" i="5"/>
  <c r="MU19" i="5"/>
  <c r="MU20" i="5"/>
  <c r="MU21" i="5"/>
  <c r="MT4" i="5"/>
  <c r="MT5" i="5"/>
  <c r="MT6" i="5"/>
  <c r="MT7" i="5"/>
  <c r="MT8" i="5"/>
  <c r="MT9" i="5"/>
  <c r="MT10" i="5"/>
  <c r="MT11" i="5"/>
  <c r="MT12" i="5"/>
  <c r="MT13" i="5"/>
  <c r="MT14" i="5"/>
  <c r="MT15" i="5"/>
  <c r="MT16" i="5"/>
  <c r="MT17" i="5"/>
  <c r="MT18" i="5"/>
  <c r="MT19" i="5"/>
  <c r="MT20" i="5"/>
  <c r="MT21" i="5"/>
  <c r="MS4" i="5"/>
  <c r="MS5" i="5"/>
  <c r="MS6" i="5"/>
  <c r="MS7" i="5"/>
  <c r="MS8" i="5"/>
  <c r="MS9" i="5"/>
  <c r="MS10" i="5"/>
  <c r="MS11" i="5"/>
  <c r="MS12" i="5"/>
  <c r="MS13" i="5"/>
  <c r="MS14" i="5"/>
  <c r="MS15" i="5"/>
  <c r="MS16" i="5"/>
  <c r="MS17" i="5"/>
  <c r="MS18" i="5"/>
  <c r="MS19" i="5"/>
  <c r="MS20" i="5"/>
  <c r="MS21" i="5"/>
  <c r="MR4" i="5"/>
  <c r="MR5" i="5"/>
  <c r="MR6" i="5"/>
  <c r="MR7" i="5"/>
  <c r="MR8" i="5"/>
  <c r="MR9" i="5"/>
  <c r="MR10" i="5"/>
  <c r="MR11" i="5"/>
  <c r="MR12" i="5"/>
  <c r="MR13" i="5"/>
  <c r="MR14" i="5"/>
  <c r="MR15" i="5"/>
  <c r="MR16" i="5"/>
  <c r="MR17" i="5"/>
  <c r="MR18" i="5"/>
  <c r="MR19" i="5"/>
  <c r="MR20" i="5"/>
  <c r="MR21" i="5"/>
  <c r="MQ4" i="5"/>
  <c r="MQ5" i="5"/>
  <c r="MQ6" i="5"/>
  <c r="MQ7" i="5"/>
  <c r="MQ8" i="5"/>
  <c r="MQ9" i="5"/>
  <c r="MQ10" i="5"/>
  <c r="MQ11" i="5"/>
  <c r="MQ12" i="5"/>
  <c r="MQ13" i="5"/>
  <c r="MQ14" i="5"/>
  <c r="MQ15" i="5"/>
  <c r="MQ16" i="5"/>
  <c r="MQ17" i="5"/>
  <c r="MQ18" i="5"/>
  <c r="MQ19" i="5"/>
  <c r="MQ20" i="5"/>
  <c r="MQ21" i="5"/>
  <c r="MP4" i="5"/>
  <c r="MP5" i="5"/>
  <c r="MP6" i="5"/>
  <c r="MP7" i="5"/>
  <c r="MP8" i="5"/>
  <c r="MP9" i="5"/>
  <c r="MP10" i="5"/>
  <c r="MP11" i="5"/>
  <c r="MP12" i="5"/>
  <c r="MP13" i="5"/>
  <c r="MP14" i="5"/>
  <c r="MP15" i="5"/>
  <c r="MP16" i="5"/>
  <c r="MP17" i="5"/>
  <c r="MP18" i="5"/>
  <c r="MP19" i="5"/>
  <c r="MP20" i="5"/>
  <c r="MP21" i="5"/>
  <c r="MO4" i="5"/>
  <c r="MO5" i="5"/>
  <c r="MO6" i="5"/>
  <c r="MO7" i="5"/>
  <c r="MO8" i="5"/>
  <c r="MO9" i="5"/>
  <c r="MO10" i="5"/>
  <c r="MO11" i="5"/>
  <c r="MO12" i="5"/>
  <c r="MO13" i="5"/>
  <c r="MO14" i="5"/>
  <c r="MO15" i="5"/>
  <c r="MO16" i="5"/>
  <c r="MO17" i="5"/>
  <c r="MO18" i="5"/>
  <c r="MO19" i="5"/>
  <c r="MO20" i="5"/>
  <c r="MO21" i="5"/>
  <c r="MN4" i="5"/>
  <c r="MN5" i="5"/>
  <c r="MN6" i="5"/>
  <c r="MN7" i="5"/>
  <c r="MN8" i="5"/>
  <c r="MN9" i="5"/>
  <c r="MN10" i="5"/>
  <c r="MN11" i="5"/>
  <c r="MN12" i="5"/>
  <c r="MN13" i="5"/>
  <c r="MN14" i="5"/>
  <c r="MN15" i="5"/>
  <c r="MN16" i="5"/>
  <c r="MN17" i="5"/>
  <c r="MN18" i="5"/>
  <c r="MN19" i="5"/>
  <c r="MN20" i="5"/>
  <c r="MN21" i="5"/>
  <c r="MM4" i="5"/>
  <c r="MM5" i="5"/>
  <c r="MM6" i="5"/>
  <c r="MM7" i="5"/>
  <c r="MM8" i="5"/>
  <c r="MM9" i="5"/>
  <c r="MM10" i="5"/>
  <c r="MM11" i="5"/>
  <c r="MM12" i="5"/>
  <c r="MM13" i="5"/>
  <c r="MM14" i="5"/>
  <c r="MM15" i="5"/>
  <c r="MM16" i="5"/>
  <c r="MM17" i="5"/>
  <c r="MM18" i="5"/>
  <c r="MM19" i="5"/>
  <c r="MM20" i="5"/>
  <c r="MM21" i="5"/>
  <c r="ML4" i="5"/>
  <c r="ML5" i="5"/>
  <c r="ML6" i="5"/>
  <c r="ML7" i="5"/>
  <c r="ML8" i="5"/>
  <c r="ML9" i="5"/>
  <c r="ML10" i="5"/>
  <c r="ML11" i="5"/>
  <c r="ML12" i="5"/>
  <c r="ML13" i="5"/>
  <c r="ML14" i="5"/>
  <c r="ML15" i="5"/>
  <c r="ML16" i="5"/>
  <c r="ML17" i="5"/>
  <c r="ML18" i="5"/>
  <c r="ML19" i="5"/>
  <c r="ML20" i="5"/>
  <c r="ML21" i="5"/>
  <c r="MK4" i="5"/>
  <c r="MK5" i="5"/>
  <c r="MK6" i="5"/>
  <c r="MK7" i="5"/>
  <c r="MK8" i="5"/>
  <c r="MK9" i="5"/>
  <c r="MK10" i="5"/>
  <c r="MK11" i="5"/>
  <c r="MK12" i="5"/>
  <c r="MK13" i="5"/>
  <c r="MK14" i="5"/>
  <c r="MK15" i="5"/>
  <c r="MK16" i="5"/>
  <c r="MK17" i="5"/>
  <c r="MK18" i="5"/>
  <c r="MK19" i="5"/>
  <c r="MK20" i="5"/>
  <c r="MK21" i="5"/>
  <c r="MJ4" i="5"/>
  <c r="MJ5" i="5"/>
  <c r="MJ6" i="5"/>
  <c r="MJ7" i="5"/>
  <c r="MJ8" i="5"/>
  <c r="MJ9" i="5"/>
  <c r="MJ10" i="5"/>
  <c r="MJ11" i="5"/>
  <c r="MJ12" i="5"/>
  <c r="MJ13" i="5"/>
  <c r="MJ14" i="5"/>
  <c r="MJ15" i="5"/>
  <c r="MJ16" i="5"/>
  <c r="MJ17" i="5"/>
  <c r="MJ18" i="5"/>
  <c r="MJ19" i="5"/>
  <c r="MJ20" i="5"/>
  <c r="MJ21" i="5"/>
  <c r="MI4" i="5"/>
  <c r="MI5" i="5"/>
  <c r="MI6" i="5"/>
  <c r="MI7" i="5"/>
  <c r="MI8" i="5"/>
  <c r="MI9" i="5"/>
  <c r="MI10" i="5"/>
  <c r="MI11" i="5"/>
  <c r="MI12" i="5"/>
  <c r="MI13" i="5"/>
  <c r="MI14" i="5"/>
  <c r="MI15" i="5"/>
  <c r="MI16" i="5"/>
  <c r="MI17" i="5"/>
  <c r="MI18" i="5"/>
  <c r="MI19" i="5"/>
  <c r="MI20" i="5"/>
  <c r="MI21" i="5"/>
  <c r="MH4" i="5"/>
  <c r="MH5" i="5"/>
  <c r="MH6" i="5"/>
  <c r="MH7" i="5"/>
  <c r="MH8" i="5"/>
  <c r="MH9" i="5"/>
  <c r="MH10" i="5"/>
  <c r="MH11" i="5"/>
  <c r="MH12" i="5"/>
  <c r="MH13" i="5"/>
  <c r="MH14" i="5"/>
  <c r="MH15" i="5"/>
  <c r="MH16" i="5"/>
  <c r="MH17" i="5"/>
  <c r="MH18" i="5"/>
  <c r="MH19" i="5"/>
  <c r="MH20" i="5"/>
  <c r="MH21" i="5"/>
  <c r="MG4" i="5"/>
  <c r="MG5" i="5"/>
  <c r="MG6" i="5"/>
  <c r="MG7" i="5"/>
  <c r="MG8" i="5"/>
  <c r="MG9" i="5"/>
  <c r="MG10" i="5"/>
  <c r="MG11" i="5"/>
  <c r="MG12" i="5"/>
  <c r="MG13" i="5"/>
  <c r="MG14" i="5"/>
  <c r="MG15" i="5"/>
  <c r="MG16" i="5"/>
  <c r="MG17" i="5"/>
  <c r="MG18" i="5"/>
  <c r="MG19" i="5"/>
  <c r="MG20" i="5"/>
  <c r="MG21" i="5"/>
  <c r="MF4" i="5"/>
  <c r="MF5" i="5"/>
  <c r="MF6" i="5"/>
  <c r="MF7" i="5"/>
  <c r="MF8" i="5"/>
  <c r="MF9" i="5"/>
  <c r="MF10" i="5"/>
  <c r="MF11" i="5"/>
  <c r="MF12" i="5"/>
  <c r="MF13" i="5"/>
  <c r="MF14" i="5"/>
  <c r="MF15" i="5"/>
  <c r="MF16" i="5"/>
  <c r="MF17" i="5"/>
  <c r="MF18" i="5"/>
  <c r="MF19" i="5"/>
  <c r="MF20" i="5"/>
  <c r="MF21" i="5"/>
  <c r="ME4" i="5"/>
  <c r="ME5" i="5"/>
  <c r="ME6" i="5"/>
  <c r="ME7" i="5"/>
  <c r="ME8" i="5"/>
  <c r="ME9" i="5"/>
  <c r="ME10" i="5"/>
  <c r="ME11" i="5"/>
  <c r="ME12" i="5"/>
  <c r="ME13" i="5"/>
  <c r="ME14" i="5"/>
  <c r="ME15" i="5"/>
  <c r="ME16" i="5"/>
  <c r="ME17" i="5"/>
  <c r="ME18" i="5"/>
  <c r="ME19" i="5"/>
  <c r="ME20" i="5"/>
  <c r="ME21" i="5"/>
  <c r="MD4" i="5"/>
  <c r="MD5" i="5"/>
  <c r="MD6" i="5"/>
  <c r="MD7" i="5"/>
  <c r="MD8" i="5"/>
  <c r="MD9" i="5"/>
  <c r="MD10" i="5"/>
  <c r="MD11" i="5"/>
  <c r="MD12" i="5"/>
  <c r="MD13" i="5"/>
  <c r="MD14" i="5"/>
  <c r="MD15" i="5"/>
  <c r="MD16" i="5"/>
  <c r="MD17" i="5"/>
  <c r="MD18" i="5"/>
  <c r="MD19" i="5"/>
  <c r="MD20" i="5"/>
  <c r="MD21" i="5"/>
  <c r="MC4" i="5"/>
  <c r="MC5" i="5"/>
  <c r="MC6" i="5"/>
  <c r="MC7" i="5"/>
  <c r="MC8" i="5"/>
  <c r="MC9" i="5"/>
  <c r="MC10" i="5"/>
  <c r="MC11" i="5"/>
  <c r="MC12" i="5"/>
  <c r="MC13" i="5"/>
  <c r="MC14" i="5"/>
  <c r="MC15" i="5"/>
  <c r="MC16" i="5"/>
  <c r="MC17" i="5"/>
  <c r="MC18" i="5"/>
  <c r="MC19" i="5"/>
  <c r="MC20" i="5"/>
  <c r="MC21" i="5"/>
  <c r="MB4" i="5"/>
  <c r="MB5" i="5"/>
  <c r="MB6" i="5"/>
  <c r="MB7" i="5"/>
  <c r="MB8" i="5"/>
  <c r="MB9" i="5"/>
  <c r="MB10" i="5"/>
  <c r="MB11" i="5"/>
  <c r="MB12" i="5"/>
  <c r="MB13" i="5"/>
  <c r="MB14" i="5"/>
  <c r="MB15" i="5"/>
  <c r="MB16" i="5"/>
  <c r="MB17" i="5"/>
  <c r="MB18" i="5"/>
  <c r="MB19" i="5"/>
  <c r="MB20" i="5"/>
  <c r="MB21" i="5"/>
  <c r="MA4" i="5"/>
  <c r="MA5" i="5"/>
  <c r="MA6" i="5"/>
  <c r="MA7" i="5"/>
  <c r="MA8" i="5"/>
  <c r="MA9" i="5"/>
  <c r="MA10" i="5"/>
  <c r="MA11" i="5"/>
  <c r="MA12" i="5"/>
  <c r="MA13" i="5"/>
  <c r="MA14" i="5"/>
  <c r="MA15" i="5"/>
  <c r="MA16" i="5"/>
  <c r="MA17" i="5"/>
  <c r="MA18" i="5"/>
  <c r="MA19" i="5"/>
  <c r="MA20" i="5"/>
  <c r="MA21" i="5"/>
  <c r="LZ4" i="5"/>
  <c r="LZ5" i="5"/>
  <c r="LZ6" i="5"/>
  <c r="LZ7" i="5"/>
  <c r="LZ8" i="5"/>
  <c r="LZ9" i="5"/>
  <c r="LZ10" i="5"/>
  <c r="LZ11" i="5"/>
  <c r="LZ12" i="5"/>
  <c r="LZ13" i="5"/>
  <c r="LZ14" i="5"/>
  <c r="LZ15" i="5"/>
  <c r="LZ16" i="5"/>
  <c r="LZ17" i="5"/>
  <c r="LZ18" i="5"/>
  <c r="LZ19" i="5"/>
  <c r="LZ20" i="5"/>
  <c r="LZ21" i="5"/>
  <c r="LY4" i="5"/>
  <c r="LY5" i="5"/>
  <c r="LY6" i="5"/>
  <c r="LY7" i="5"/>
  <c r="LY8" i="5"/>
  <c r="LY9" i="5"/>
  <c r="LY10" i="5"/>
  <c r="LY11" i="5"/>
  <c r="LY12" i="5"/>
  <c r="LY13" i="5"/>
  <c r="LY14" i="5"/>
  <c r="LY15" i="5"/>
  <c r="LY16" i="5"/>
  <c r="LY17" i="5"/>
  <c r="LY18" i="5"/>
  <c r="LY19" i="5"/>
  <c r="LY20" i="5"/>
  <c r="LY21" i="5"/>
  <c r="LX4" i="5"/>
  <c r="LX5" i="5"/>
  <c r="LX6" i="5"/>
  <c r="LX7" i="5"/>
  <c r="LX8" i="5"/>
  <c r="LX9" i="5"/>
  <c r="LX10" i="5"/>
  <c r="LX11" i="5"/>
  <c r="LX12" i="5"/>
  <c r="LX13" i="5"/>
  <c r="LX14" i="5"/>
  <c r="LX15" i="5"/>
  <c r="LX16" i="5"/>
  <c r="LX17" i="5"/>
  <c r="LX18" i="5"/>
  <c r="LX19" i="5"/>
  <c r="LX20" i="5"/>
  <c r="LX21" i="5"/>
  <c r="LW4" i="5"/>
  <c r="LW5" i="5"/>
  <c r="LW6" i="5"/>
  <c r="LW7" i="5"/>
  <c r="LW8" i="5"/>
  <c r="LW9" i="5"/>
  <c r="LW10" i="5"/>
  <c r="LW11" i="5"/>
  <c r="LW12" i="5"/>
  <c r="LW13" i="5"/>
  <c r="LW14" i="5"/>
  <c r="LW15" i="5"/>
  <c r="LW16" i="5"/>
  <c r="LW17" i="5"/>
  <c r="LW18" i="5"/>
  <c r="LW19" i="5"/>
  <c r="LW20" i="5"/>
  <c r="LW21" i="5"/>
  <c r="LV4" i="5"/>
  <c r="LV5" i="5"/>
  <c r="LV6" i="5"/>
  <c r="LV7" i="5"/>
  <c r="LV8" i="5"/>
  <c r="LV9" i="5"/>
  <c r="LV10" i="5"/>
  <c r="LV11" i="5"/>
  <c r="LV12" i="5"/>
  <c r="LV13" i="5"/>
  <c r="LV14" i="5"/>
  <c r="LV15" i="5"/>
  <c r="LV16" i="5"/>
  <c r="LV17" i="5"/>
  <c r="LV18" i="5"/>
  <c r="LV19" i="5"/>
  <c r="LV20" i="5"/>
  <c r="LV21" i="5"/>
  <c r="LU4" i="5"/>
  <c r="LU5" i="5"/>
  <c r="LU6" i="5"/>
  <c r="LU7" i="5"/>
  <c r="LU8" i="5"/>
  <c r="LU9" i="5"/>
  <c r="LU10" i="5"/>
  <c r="LU11" i="5"/>
  <c r="LU12" i="5"/>
  <c r="LU13" i="5"/>
  <c r="LU14" i="5"/>
  <c r="LU15" i="5"/>
  <c r="LU16" i="5"/>
  <c r="LU17" i="5"/>
  <c r="LU18" i="5"/>
  <c r="LU19" i="5"/>
  <c r="LU20" i="5"/>
  <c r="LU21" i="5"/>
  <c r="LT4" i="5"/>
  <c r="LT5" i="5"/>
  <c r="LT6" i="5"/>
  <c r="LT7" i="5"/>
  <c r="LT8" i="5"/>
  <c r="LT9" i="5"/>
  <c r="LT10" i="5"/>
  <c r="LT11" i="5"/>
  <c r="LT12" i="5"/>
  <c r="LT13" i="5"/>
  <c r="LT14" i="5"/>
  <c r="LT15" i="5"/>
  <c r="LT16" i="5"/>
  <c r="LT17" i="5"/>
  <c r="LT18" i="5"/>
  <c r="LT19" i="5"/>
  <c r="LT20" i="5"/>
  <c r="LT21" i="5"/>
  <c r="LS4" i="5"/>
  <c r="LS5" i="5"/>
  <c r="LS6" i="5"/>
  <c r="LS7" i="5"/>
  <c r="LS8" i="5"/>
  <c r="LS9" i="5"/>
  <c r="LS10" i="5"/>
  <c r="LS11" i="5"/>
  <c r="LS12" i="5"/>
  <c r="LS13" i="5"/>
  <c r="LS14" i="5"/>
  <c r="LS15" i="5"/>
  <c r="LS16" i="5"/>
  <c r="LS17" i="5"/>
  <c r="LS18" i="5"/>
  <c r="LS19" i="5"/>
  <c r="LS20" i="5"/>
  <c r="LS21" i="5"/>
  <c r="LR4" i="5"/>
  <c r="LR5" i="5"/>
  <c r="LR6" i="5"/>
  <c r="LR7" i="5"/>
  <c r="LR8" i="5"/>
  <c r="LR9" i="5"/>
  <c r="LR10" i="5"/>
  <c r="LR11" i="5"/>
  <c r="LR12" i="5"/>
  <c r="LR13" i="5"/>
  <c r="LR14" i="5"/>
  <c r="LR15" i="5"/>
  <c r="LR16" i="5"/>
  <c r="LR17" i="5"/>
  <c r="LR18" i="5"/>
  <c r="LR19" i="5"/>
  <c r="LR20" i="5"/>
  <c r="LR21" i="5"/>
  <c r="LQ4" i="5"/>
  <c r="LQ5" i="5"/>
  <c r="LQ6" i="5"/>
  <c r="LQ7" i="5"/>
  <c r="LQ8" i="5"/>
  <c r="LQ9" i="5"/>
  <c r="LQ10" i="5"/>
  <c r="LQ11" i="5"/>
  <c r="LQ12" i="5"/>
  <c r="LQ13" i="5"/>
  <c r="LQ14" i="5"/>
  <c r="LQ15" i="5"/>
  <c r="LQ16" i="5"/>
  <c r="LQ17" i="5"/>
  <c r="LQ18" i="5"/>
  <c r="LQ19" i="5"/>
  <c r="LQ20" i="5"/>
  <c r="LQ21" i="5"/>
  <c r="LP4" i="5"/>
  <c r="LP5" i="5"/>
  <c r="LP6" i="5"/>
  <c r="LP7" i="5"/>
  <c r="LP8" i="5"/>
  <c r="LP9" i="5"/>
  <c r="LP10" i="5"/>
  <c r="LP11" i="5"/>
  <c r="LP12" i="5"/>
  <c r="LP13" i="5"/>
  <c r="LP14" i="5"/>
  <c r="LP15" i="5"/>
  <c r="LP16" i="5"/>
  <c r="LP17" i="5"/>
  <c r="LP18" i="5"/>
  <c r="LP19" i="5"/>
  <c r="LP20" i="5"/>
  <c r="LP21" i="5"/>
  <c r="F5" i="10"/>
  <c r="G5" i="10"/>
  <c r="H5" i="10"/>
  <c r="F4" i="10"/>
  <c r="G4" i="10"/>
  <c r="H4" i="10"/>
  <c r="F6" i="10"/>
  <c r="G6" i="10"/>
  <c r="H6" i="10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F15" i="10"/>
  <c r="G15" i="10"/>
  <c r="H15" i="10"/>
  <c r="F16" i="10"/>
  <c r="G16" i="10"/>
  <c r="H16" i="10"/>
  <c r="F17" i="10"/>
  <c r="G17" i="10"/>
  <c r="H17" i="10"/>
  <c r="F18" i="10"/>
  <c r="G18" i="10"/>
  <c r="H18" i="10"/>
  <c r="F19" i="10"/>
  <c r="G19" i="10"/>
  <c r="H19" i="10"/>
  <c r="F20" i="10"/>
  <c r="G20" i="10"/>
  <c r="H20" i="10"/>
  <c r="F21" i="10"/>
  <c r="G21" i="10"/>
  <c r="H21" i="10"/>
  <c r="H22" i="10"/>
  <c r="M5" i="10"/>
  <c r="M8" i="10"/>
  <c r="M9" i="10"/>
  <c r="M10" i="10"/>
  <c r="M11" i="10"/>
  <c r="M4" i="10"/>
  <c r="M6" i="10"/>
  <c r="M7" i="10"/>
  <c r="M12" i="10"/>
  <c r="M13" i="10"/>
  <c r="M14" i="10"/>
  <c r="M15" i="10"/>
  <c r="M16" i="10"/>
  <c r="M17" i="10"/>
  <c r="M18" i="10"/>
  <c r="M19" i="10"/>
  <c r="M20" i="10"/>
  <c r="M21" i="10"/>
  <c r="I31" i="10"/>
  <c r="I32" i="10"/>
  <c r="I33" i="10"/>
  <c r="I34" i="10"/>
  <c r="I35" i="10"/>
  <c r="J32" i="10"/>
  <c r="J33" i="10"/>
  <c r="J34" i="10"/>
  <c r="J35" i="10"/>
  <c r="J31" i="10"/>
  <c r="K32" i="10"/>
  <c r="K33" i="10"/>
  <c r="K34" i="10"/>
  <c r="K35" i="10"/>
  <c r="K31" i="10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BH7" i="16"/>
  <c r="BI7" i="16"/>
  <c r="BJ7" i="16"/>
  <c r="BK7" i="16"/>
  <c r="BL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H28" i="10"/>
  <c r="I5" i="10"/>
  <c r="I8" i="10"/>
  <c r="I9" i="10"/>
  <c r="I10" i="10"/>
  <c r="I6" i="10"/>
  <c r="I7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N22" i="10"/>
  <c r="M22" i="10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L5" i="10"/>
  <c r="J5" i="10"/>
  <c r="K5" i="10"/>
  <c r="J15" i="10"/>
  <c r="K15" i="10"/>
  <c r="L15" i="10"/>
  <c r="L20" i="10"/>
  <c r="J20" i="10"/>
  <c r="K20" i="10"/>
  <c r="J16" i="10"/>
  <c r="L16" i="10"/>
  <c r="K16" i="10"/>
  <c r="J7" i="10"/>
  <c r="K7" i="10"/>
  <c r="L7" i="10"/>
  <c r="J8" i="10"/>
  <c r="L8" i="10"/>
  <c r="K8" i="10"/>
  <c r="K17" i="10"/>
  <c r="J17" i="10"/>
  <c r="L17" i="10"/>
  <c r="J12" i="10"/>
  <c r="K12" i="10"/>
  <c r="L12" i="10"/>
  <c r="K4" i="10"/>
  <c r="J4" i="10"/>
  <c r="K9" i="10"/>
  <c r="J9" i="10"/>
  <c r="L9" i="10"/>
  <c r="J11" i="10"/>
  <c r="L11" i="10"/>
  <c r="K11" i="10"/>
  <c r="K14" i="10"/>
  <c r="J14" i="10"/>
  <c r="L14" i="10"/>
  <c r="K19" i="10"/>
  <c r="L19" i="10"/>
  <c r="J19" i="10"/>
  <c r="J10" i="10"/>
  <c r="K10" i="10"/>
  <c r="L10" i="10"/>
  <c r="K18" i="10"/>
  <c r="J18" i="10"/>
  <c r="L18" i="10"/>
  <c r="J13" i="10"/>
  <c r="K13" i="10"/>
  <c r="L13" i="10"/>
  <c r="L6" i="10"/>
  <c r="K6" i="10"/>
  <c r="J6" i="10"/>
  <c r="L21" i="10"/>
  <c r="K21" i="10"/>
  <c r="J21" i="10"/>
  <c r="J22" i="10"/>
  <c r="K22" i="10"/>
  <c r="L22" i="10"/>
  <c r="HY6" i="16"/>
  <c r="FM6" i="16"/>
  <c r="DA6" i="16"/>
  <c r="HZ6" i="16"/>
  <c r="FN6" i="16"/>
  <c r="DB6" i="16"/>
  <c r="IE6" i="16"/>
  <c r="FS6" i="16"/>
  <c r="DG6" i="16"/>
  <c r="AU6" i="16"/>
  <c r="IF6" i="16"/>
  <c r="FT6" i="16"/>
  <c r="DH6" i="16"/>
  <c r="AV6" i="16"/>
  <c r="IS6" i="16"/>
  <c r="GG6" i="16"/>
  <c r="DU6" i="16"/>
  <c r="BI6" i="16"/>
  <c r="IT6" i="16"/>
  <c r="GH6" i="16"/>
  <c r="DV6" i="16"/>
  <c r="BJ6" i="16"/>
  <c r="IY6" i="16"/>
  <c r="GM6" i="16"/>
  <c r="EA6" i="16"/>
  <c r="BO6" i="16"/>
  <c r="HD6" i="16"/>
  <c r="ER6" i="16"/>
  <c r="CF6" i="16"/>
  <c r="HQ6" i="16"/>
  <c r="FE6" i="16"/>
  <c r="CS6" i="16"/>
  <c r="HR6" i="16"/>
  <c r="FF6" i="16"/>
  <c r="CT6" i="16"/>
  <c r="HW6" i="16"/>
  <c r="FK6" i="16"/>
  <c r="CY6" i="16"/>
  <c r="HX6" i="16"/>
  <c r="FL6" i="16"/>
  <c r="CZ6" i="16"/>
  <c r="IK6" i="16"/>
  <c r="FY6" i="16"/>
  <c r="DM6" i="16"/>
  <c r="BA6" i="16"/>
  <c r="JB6" i="16"/>
  <c r="GP6" i="16"/>
  <c r="ED6" i="16"/>
  <c r="BR6" i="16"/>
  <c r="GU6" i="16"/>
  <c r="EI6" i="16"/>
  <c r="BW6" i="16"/>
  <c r="GV6" i="16"/>
  <c r="EJ6" i="16"/>
  <c r="BX6" i="16"/>
  <c r="IO6" i="16"/>
  <c r="GC6" i="16"/>
  <c r="DQ6" i="16"/>
  <c r="BE6" i="16"/>
  <c r="IP6" i="16"/>
  <c r="GD6" i="16"/>
  <c r="DR6" i="16"/>
  <c r="BF6" i="16"/>
  <c r="IU6" i="16"/>
  <c r="GI6" i="16"/>
  <c r="DW6" i="16"/>
  <c r="BK6" i="16"/>
  <c r="IV6" i="16"/>
  <c r="GJ6" i="16"/>
  <c r="DX6" i="16"/>
  <c r="BL6" i="16"/>
  <c r="GW6" i="16"/>
  <c r="EK6" i="16"/>
  <c r="BY6" i="16"/>
  <c r="GX6" i="16"/>
  <c r="EL6" i="16"/>
  <c r="BZ6" i="16"/>
  <c r="HC6" i="16"/>
  <c r="EQ6" i="16"/>
  <c r="CE6" i="16"/>
  <c r="HT6" i="16"/>
  <c r="FH6" i="16"/>
  <c r="CV6" i="16"/>
  <c r="IG6" i="16"/>
  <c r="FU6" i="16"/>
  <c r="DI6" i="16"/>
  <c r="AW6" i="16"/>
  <c r="IH6" i="16"/>
  <c r="FV6" i="16"/>
  <c r="DJ6" i="16"/>
  <c r="AX6" i="16"/>
  <c r="IM6" i="16"/>
  <c r="GA6" i="16"/>
  <c r="DO6" i="16"/>
  <c r="BC6" i="16"/>
  <c r="IN6" i="16"/>
  <c r="GB6" i="16"/>
  <c r="DP6" i="16"/>
  <c r="BD6" i="16"/>
  <c r="JA6" i="16"/>
  <c r="GO6" i="16"/>
  <c r="EC6" i="16"/>
  <c r="BQ6" i="16"/>
  <c r="HF6" i="16"/>
  <c r="ET6" i="16"/>
  <c r="CH6" i="16"/>
  <c r="HK6" i="16"/>
  <c r="EY6" i="16"/>
  <c r="CM6" i="16"/>
  <c r="HL6" i="16"/>
  <c r="EZ6" i="16"/>
  <c r="CN6" i="16"/>
  <c r="GS6" i="16"/>
  <c r="EG6" i="16"/>
  <c r="BU6" i="16"/>
  <c r="GT6" i="16"/>
  <c r="EH6" i="16"/>
  <c r="BV6" i="16"/>
  <c r="GY6" i="16"/>
  <c r="EM6" i="16"/>
  <c r="CA6" i="16"/>
  <c r="GZ6" i="16"/>
  <c r="EN6" i="16"/>
  <c r="CB6" i="16"/>
  <c r="HM6" i="16"/>
  <c r="FA6" i="16"/>
  <c r="CO6" i="16"/>
  <c r="HN6" i="16"/>
  <c r="FB6" i="16"/>
  <c r="CP6" i="16"/>
  <c r="HS6" i="16"/>
  <c r="FG6" i="16"/>
  <c r="CU6" i="16"/>
  <c r="IJ6" i="16"/>
  <c r="FX6" i="16"/>
  <c r="DL6" i="16"/>
  <c r="AZ6" i="16"/>
  <c r="IW6" i="16"/>
  <c r="GK6" i="16"/>
  <c r="DY6" i="16"/>
  <c r="BM6" i="16"/>
  <c r="IX6" i="16"/>
  <c r="GL6" i="16"/>
  <c r="DZ6" i="16"/>
  <c r="BN6" i="16"/>
  <c r="GQ6" i="16"/>
  <c r="EE6" i="16"/>
  <c r="BS6" i="16"/>
  <c r="GR6" i="16"/>
  <c r="EF6" i="16"/>
  <c r="BT6" i="16"/>
  <c r="HE6" i="16"/>
  <c r="ES6" i="16"/>
  <c r="CG6" i="16"/>
  <c r="HV6" i="16"/>
  <c r="FJ6" i="16"/>
  <c r="CX6" i="16"/>
  <c r="IA6" i="16"/>
  <c r="FO6" i="16"/>
  <c r="DC6" i="16"/>
  <c r="IB6" i="16"/>
  <c r="FP6" i="16"/>
  <c r="DD6" i="16"/>
  <c r="HI6" i="16"/>
  <c r="EW6" i="16"/>
  <c r="CK6" i="16"/>
  <c r="HJ6" i="16"/>
  <c r="EX6" i="16"/>
  <c r="CL6" i="16"/>
  <c r="HO6" i="16"/>
  <c r="FC6" i="16"/>
  <c r="CQ6" i="16"/>
  <c r="HP6" i="16"/>
  <c r="FD6" i="16"/>
  <c r="CR6" i="16"/>
  <c r="IC6" i="16"/>
  <c r="FQ6" i="16"/>
  <c r="DE6" i="16"/>
  <c r="AS6" i="16"/>
  <c r="ID6" i="16"/>
  <c r="FR6" i="16"/>
  <c r="DF6" i="16"/>
  <c r="AT6" i="16"/>
  <c r="II6" i="16"/>
  <c r="FW6" i="16"/>
  <c r="DK6" i="16"/>
  <c r="AY6" i="16"/>
  <c r="IZ6" i="16"/>
  <c r="GN6" i="16"/>
  <c r="EB6" i="16"/>
  <c r="BP6" i="16"/>
  <c r="HA6" i="16"/>
  <c r="EO6" i="16"/>
  <c r="CC6" i="16"/>
  <c r="HB6" i="16"/>
  <c r="EP6" i="16"/>
  <c r="CD6" i="16"/>
  <c r="HG6" i="16"/>
  <c r="EU6" i="16"/>
  <c r="CI6" i="16"/>
  <c r="HH6" i="16"/>
  <c r="EV6" i="16"/>
  <c r="CJ6" i="16"/>
  <c r="HU6" i="16"/>
  <c r="FI6" i="16"/>
  <c r="CW6" i="16"/>
  <c r="IL6" i="16"/>
  <c r="FZ6" i="16"/>
  <c r="DN6" i="16"/>
  <c r="BB6" i="16"/>
  <c r="IQ6" i="16"/>
  <c r="GE6" i="16"/>
  <c r="DS6" i="16"/>
  <c r="BG6" i="16"/>
  <c r="IR6" i="16"/>
  <c r="GF6" i="16"/>
  <c r="DT6" i="16"/>
  <c r="BH6" i="16"/>
  <c r="BM7" i="16"/>
  <c r="BN7" i="16"/>
  <c r="BO7" i="16"/>
  <c r="BP7" i="16"/>
  <c r="BQ7" i="16"/>
  <c r="BR7" i="16"/>
  <c r="BS7" i="16"/>
  <c r="BT7" i="16"/>
  <c r="BU7" i="16"/>
  <c r="BV7" i="16"/>
  <c r="BW7" i="16"/>
  <c r="BX7" i="16"/>
  <c r="BY7" i="16"/>
  <c r="BZ7" i="16"/>
  <c r="CA7" i="16"/>
  <c r="CB7" i="16"/>
  <c r="CC7" i="16"/>
  <c r="CD7" i="16"/>
  <c r="CE7" i="16"/>
  <c r="CF7" i="16"/>
  <c r="CG7" i="16"/>
  <c r="CH7" i="16"/>
  <c r="CI7" i="16"/>
  <c r="CJ7" i="16"/>
  <c r="CK7" i="16"/>
  <c r="CL7" i="16"/>
  <c r="CM7" i="16"/>
  <c r="CN7" i="16"/>
  <c r="CO7" i="16"/>
  <c r="CP7" i="16"/>
  <c r="CQ7" i="16"/>
  <c r="CR7" i="16"/>
  <c r="CS7" i="16"/>
  <c r="CT7" i="16"/>
  <c r="CU7" i="16"/>
  <c r="CV7" i="16"/>
  <c r="CW7" i="16"/>
  <c r="CX7" i="16"/>
  <c r="CY7" i="16"/>
  <c r="CZ7" i="16"/>
  <c r="DA7" i="16"/>
  <c r="DB7" i="16"/>
  <c r="DC7" i="16"/>
  <c r="DD7" i="16"/>
  <c r="DE7" i="16"/>
  <c r="DF7" i="16"/>
  <c r="DG7" i="16"/>
  <c r="DH7" i="16"/>
  <c r="DI7" i="16"/>
  <c r="DJ7" i="16"/>
  <c r="DK7" i="16"/>
  <c r="DL7" i="16"/>
  <c r="DM7" i="16"/>
  <c r="DN7" i="16"/>
  <c r="DO7" i="16"/>
  <c r="DP7" i="16"/>
  <c r="DQ7" i="16"/>
  <c r="DR7" i="16"/>
  <c r="DS7" i="16"/>
  <c r="DT7" i="16"/>
  <c r="DU7" i="16"/>
  <c r="DV7" i="16"/>
  <c r="DW7" i="16"/>
  <c r="DX7" i="16"/>
  <c r="DY7" i="16"/>
  <c r="DZ7" i="16"/>
  <c r="EA7" i="16"/>
  <c r="EB7" i="16"/>
  <c r="EC7" i="16"/>
  <c r="ED7" i="16"/>
  <c r="EE7" i="16"/>
  <c r="EF7" i="16"/>
  <c r="EG7" i="16"/>
  <c r="EH7" i="16"/>
  <c r="EI7" i="16"/>
  <c r="EJ7" i="16"/>
  <c r="EK7" i="16"/>
  <c r="EL7" i="16"/>
  <c r="EM7" i="16"/>
  <c r="EN7" i="16"/>
  <c r="EO7" i="16"/>
  <c r="EP7" i="16"/>
  <c r="EQ7" i="16"/>
  <c r="ER7" i="16"/>
  <c r="ES7" i="16"/>
  <c r="ET7" i="16"/>
  <c r="EU7" i="16"/>
  <c r="EV7" i="16"/>
  <c r="EW7" i="16"/>
  <c r="EX7" i="16"/>
  <c r="EY7" i="16"/>
  <c r="EZ7" i="16"/>
  <c r="FA7" i="16"/>
  <c r="FB7" i="16"/>
  <c r="FC7" i="16"/>
  <c r="FD7" i="16"/>
  <c r="FE7" i="16"/>
  <c r="FF7" i="16"/>
  <c r="FG7" i="16"/>
  <c r="FH7" i="16"/>
  <c r="FI7" i="16"/>
  <c r="FJ7" i="16"/>
  <c r="FK7" i="16"/>
  <c r="FL7" i="16"/>
  <c r="FM7" i="16"/>
  <c r="FN7" i="16"/>
  <c r="FO7" i="16"/>
  <c r="FP7" i="16"/>
  <c r="FQ7" i="16"/>
  <c r="FR7" i="16"/>
  <c r="FS7" i="16"/>
  <c r="FT7" i="16"/>
  <c r="FU7" i="16"/>
  <c r="FV7" i="16"/>
  <c r="FW7" i="16"/>
  <c r="FX7" i="16"/>
  <c r="FY7" i="16"/>
  <c r="FZ7" i="16"/>
  <c r="GA7" i="16"/>
  <c r="GB7" i="16"/>
  <c r="GC7" i="16"/>
  <c r="GD7" i="16"/>
  <c r="GE7" i="16"/>
  <c r="GF7" i="16"/>
  <c r="GG7" i="16"/>
  <c r="GH7" i="16"/>
  <c r="GI7" i="16"/>
  <c r="GJ7" i="16"/>
  <c r="GK7" i="16"/>
  <c r="GL7" i="16"/>
  <c r="GM7" i="16"/>
  <c r="GN7" i="16"/>
  <c r="GO7" i="16"/>
  <c r="GP7" i="16"/>
  <c r="GQ7" i="16"/>
  <c r="GR7" i="16"/>
  <c r="GS7" i="16"/>
  <c r="GT7" i="16"/>
  <c r="GU7" i="16"/>
  <c r="GV7" i="16"/>
  <c r="GW7" i="16"/>
  <c r="GX7" i="16"/>
  <c r="GY7" i="16"/>
  <c r="GZ7" i="16"/>
  <c r="HA7" i="16"/>
  <c r="HB7" i="16"/>
  <c r="HC7" i="16"/>
  <c r="HD7" i="16"/>
  <c r="HE7" i="16"/>
  <c r="HF7" i="16"/>
  <c r="HG7" i="16"/>
  <c r="HH7" i="16"/>
  <c r="HI7" i="16"/>
  <c r="HJ7" i="16"/>
  <c r="HK7" i="16"/>
  <c r="HL7" i="16"/>
  <c r="HM7" i="16"/>
  <c r="HN7" i="16"/>
  <c r="HO7" i="16"/>
  <c r="HP7" i="16"/>
  <c r="HQ7" i="16"/>
  <c r="HR7" i="16"/>
  <c r="HS7" i="16"/>
  <c r="HT7" i="16"/>
  <c r="HU7" i="16"/>
  <c r="HV7" i="16"/>
  <c r="HW7" i="16"/>
  <c r="HX7" i="16"/>
  <c r="HY7" i="16"/>
  <c r="HZ7" i="16"/>
  <c r="IA7" i="16"/>
  <c r="IB7" i="16"/>
  <c r="IC7" i="16"/>
  <c r="ID7" i="16"/>
  <c r="IE7" i="16"/>
  <c r="IF7" i="16"/>
  <c r="IG7" i="16"/>
  <c r="IH7" i="16"/>
  <c r="II7" i="16"/>
  <c r="IJ7" i="16"/>
  <c r="IK7" i="16"/>
  <c r="IL7" i="16"/>
  <c r="IM7" i="16"/>
  <c r="IN7" i="16"/>
  <c r="IO7" i="16"/>
  <c r="IP7" i="16"/>
  <c r="IQ7" i="16"/>
  <c r="IR7" i="16"/>
  <c r="IS7" i="16"/>
  <c r="IT7" i="16"/>
  <c r="IU7" i="16"/>
  <c r="IV7" i="16"/>
  <c r="IW7" i="16"/>
  <c r="IX7" i="16"/>
  <c r="IY7" i="16"/>
  <c r="IZ7" i="16"/>
  <c r="JA7" i="16"/>
  <c r="JB7" i="16"/>
</calcChain>
</file>

<file path=xl/comments1.xml><?xml version="1.0" encoding="utf-8"?>
<comments xmlns="http://schemas.openxmlformats.org/spreadsheetml/2006/main">
  <authors>
    <author>Keko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csv" description="Conexion con el CSV de la cartera" type="6" refreshedVersion="3" background="1" refreshOnLoad="1" saveData="1">
    <textPr codePage="65001" sourceFile="Yimbiri:Users:Yimbiri:Documents:Mario:Dropbox:Fondos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<sst xmlns="http://schemas.openxmlformats.org/spreadsheetml/2006/main" count="234" uniqueCount="72">
  <si>
    <t>ISIN</t>
  </si>
  <si>
    <t>NOMBRE</t>
  </si>
  <si>
    <t>FECHA</t>
  </si>
  <si>
    <t>VL</t>
  </si>
  <si>
    <t>ES0128520006</t>
  </si>
  <si>
    <t>DATOS CSV</t>
  </si>
  <si>
    <t>LU0572586674</t>
  </si>
  <si>
    <t>PARTICIPACIONES</t>
  </si>
  <si>
    <t>GASTOS</t>
  </si>
  <si>
    <t>VALOR</t>
  </si>
  <si>
    <t>H. CORTE</t>
  </si>
  <si>
    <t>PESO</t>
  </si>
  <si>
    <t>DESV. PESO</t>
  </si>
  <si>
    <t>TOTALES</t>
  </si>
  <si>
    <t>Fecha Fin</t>
  </si>
  <si>
    <t>LU0524465977</t>
  </si>
  <si>
    <t>LU0300834669</t>
  </si>
  <si>
    <t>LU0313923228</t>
  </si>
  <si>
    <t>LU0145655824</t>
  </si>
  <si>
    <t>LU0300357802</t>
  </si>
  <si>
    <t>LU0062574610</t>
  </si>
  <si>
    <t>LU0261948904</t>
  </si>
  <si>
    <t>LU0122613499</t>
  </si>
  <si>
    <t>LU0011889846</t>
  </si>
  <si>
    <t>LU0264597617</t>
  </si>
  <si>
    <t>LU0612891514</t>
  </si>
  <si>
    <t>IE0002122038</t>
  </si>
  <si>
    <t>GB00B1VMCY93</t>
  </si>
  <si>
    <t>LU0299413608</t>
  </si>
  <si>
    <t>LU0266117927</t>
  </si>
  <si>
    <t>LU0141799501</t>
  </si>
  <si>
    <t>LU0194438841</t>
  </si>
  <si>
    <t>LU0474970190</t>
  </si>
  <si>
    <t>LU0562313402</t>
  </si>
  <si>
    <t>LU0236737465</t>
  </si>
  <si>
    <t>GB00B3L0ZS29</t>
  </si>
  <si>
    <t>VL EUR</t>
  </si>
  <si>
    <t>MONEDA</t>
  </si>
  <si>
    <t>CAMBIO</t>
  </si>
  <si>
    <t>EUR</t>
  </si>
  <si>
    <t>USD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</si>
  <si>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</si>
  <si>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</si>
  <si>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</si>
  <si>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</si>
  <si>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</si>
  <si>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</si>
  <si>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</si>
  <si>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</si>
  <si>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CAT.</t>
  </si>
  <si>
    <t>VALOR DIARIO DE LA CARTERA</t>
  </si>
  <si>
    <t>INDICE</t>
  </si>
  <si>
    <t>DIFERENCIA %</t>
  </si>
  <si>
    <t>DIFERENCIA €</t>
  </si>
  <si>
    <t>ES0176954008</t>
  </si>
  <si>
    <t>Renta Variable</t>
  </si>
  <si>
    <t>Renta Fija</t>
  </si>
  <si>
    <t>Retorno Absoluto</t>
  </si>
  <si>
    <t>Monetario</t>
  </si>
  <si>
    <t>Mixto</t>
  </si>
  <si>
    <t>IE00B73XJ859</t>
  </si>
  <si>
    <t>Peso</t>
  </si>
  <si>
    <t>Importe</t>
  </si>
  <si>
    <t>ES0116848005</t>
  </si>
  <si>
    <t>Rent Anualizada</t>
  </si>
  <si>
    <t>Inicio</t>
  </si>
  <si>
    <t>Fin</t>
  </si>
  <si>
    <t>Rentabilidad</t>
  </si>
  <si>
    <t>Categoría</t>
  </si>
  <si>
    <t>Semana</t>
  </si>
  <si>
    <t>FONDO</t>
  </si>
  <si>
    <t>CATEGORÍA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</si>
</sst>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  <numFmt numFmtId="168" formatCode="0.00_ ;[Red]\-0.00\ "/>
    <numFmt numFmtId="169" formatCode="0.00000"/>
  </numFmts>
  <fonts count="14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scheme val="minor"/>
    </font>
    <font>
      <b/>
      <sz val="11"/>
      <color theme="0"/>
      <name val="Calibri"/>
      <scheme val="minor"/>
    </font>
    <font>
      <b/>
      <sz val="11"/>
      <color rgb="FF1F497D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3" tint="-0.249977111117893"/>
      <name val="Calibri"/>
      <scheme val="minor"/>
    </font>
    <font>
      <sz val="10"/>
      <name val="Arial"/>
      <family val="2"/>
    </font>
    <font>
      <sz val="1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rgb="FF95B3D7"/>
      </bottom>
      <diagonal/>
    </border>
    <border>
      <left/>
      <right style="thin">
        <color auto="1"/>
      </right>
      <top style="thin">
        <color auto="1"/>
      </top>
      <bottom style="medium">
        <color rgb="FF95B3D7"/>
      </bottom>
      <diagonal/>
    </border>
    <border>
      <left/>
      <right/>
      <top style="thin">
        <color auto="1"/>
      </top>
      <bottom style="medium">
        <color rgb="FF95B3D7"/>
      </bottom>
      <diagonal/>
    </border>
  </borders>
  <cellStyleXfs count="240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164" fontId="1" fillId="2" borderId="3" xfId="1" applyNumberFormat="1" applyFill="1" applyBorder="1" applyAlignment="1">
      <alignment horizontal="center"/>
    </xf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0" fillId="3" borderId="0" xfId="0" applyFill="1" applyAlignment="1">
      <alignment horizontal="center"/>
    </xf>
    <xf numFmtId="167" fontId="1" fillId="2" borderId="3" xfId="1" applyNumberFormat="1" applyFill="1" applyBorder="1" applyAlignment="1">
      <alignment horizontal="right" vertical="center"/>
    </xf>
    <xf numFmtId="0" fontId="1" fillId="2" borderId="2" xfId="1" applyFill="1" applyBorder="1" applyAlignment="1">
      <alignment horizontal="left"/>
    </xf>
    <xf numFmtId="0" fontId="1" fillId="2" borderId="0" xfId="1" applyFill="1" applyBorder="1" applyAlignment="1">
      <alignment horizontal="left"/>
    </xf>
    <xf numFmtId="167" fontId="0" fillId="0" borderId="0" xfId="0" applyNumberFormat="1"/>
    <xf numFmtId="0" fontId="0" fillId="0" borderId="0" xfId="0" quotePrefix="1"/>
    <xf numFmtId="0" fontId="0" fillId="3" borderId="0" xfId="0" quotePrefix="1" applyFill="1"/>
    <xf numFmtId="10" fontId="0" fillId="0" borderId="0" xfId="58" applyNumberFormat="1" applyFont="1"/>
    <xf numFmtId="1" fontId="0" fillId="0" borderId="0" xfId="0" applyNumberFormat="1"/>
    <xf numFmtId="169" fontId="0" fillId="0" borderId="0" xfId="0" applyNumberFormat="1"/>
    <xf numFmtId="165" fontId="0" fillId="0" borderId="0" xfId="0" applyNumberFormat="1"/>
    <xf numFmtId="0" fontId="0" fillId="0" borderId="0" xfId="0" applyBorder="1"/>
    <xf numFmtId="14" fontId="1" fillId="2" borderId="0" xfId="1" applyNumberFormat="1" applyFill="1" applyBorder="1" applyAlignment="1">
      <alignment horizontal="center"/>
    </xf>
    <xf numFmtId="14" fontId="1" fillId="2" borderId="1" xfId="1" applyNumberForma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2" borderId="3" xfId="1" applyFont="1" applyFill="1" applyBorder="1" applyAlignment="1">
      <alignment horizontal="center"/>
    </xf>
    <xf numFmtId="167" fontId="0" fillId="2" borderId="0" xfId="0" applyNumberFormat="1" applyFill="1" applyAlignment="1">
      <alignment horizontal="center" vertical="center"/>
    </xf>
    <xf numFmtId="0" fontId="1" fillId="2" borderId="6" xfId="1" applyFill="1" applyBorder="1" applyAlignment="1">
      <alignment horizontal="center"/>
    </xf>
    <xf numFmtId="10" fontId="0" fillId="0" borderId="6" xfId="58" applyNumberFormat="1" applyFont="1" applyBorder="1" applyAlignment="1">
      <alignment horizontal="center" vertical="center"/>
    </xf>
    <xf numFmtId="8" fontId="0" fillId="0" borderId="6" xfId="0" applyNumberFormat="1" applyBorder="1" applyAlignment="1">
      <alignment horizontal="center" vertical="center"/>
    </xf>
    <xf numFmtId="0" fontId="1" fillId="2" borderId="12" xfId="1" applyFill="1" applyBorder="1" applyAlignment="1">
      <alignment horizontal="center"/>
    </xf>
    <xf numFmtId="10" fontId="11" fillId="0" borderId="13" xfId="58" applyNumberFormat="1" applyFont="1" applyBorder="1" applyAlignment="1">
      <alignment horizontal="center" vertical="center"/>
    </xf>
    <xf numFmtId="10" fontId="0" fillId="0" borderId="12" xfId="58" applyNumberFormat="1" applyFont="1" applyBorder="1" applyAlignment="1">
      <alignment horizontal="center" vertical="center"/>
    </xf>
    <xf numFmtId="14" fontId="13" fillId="0" borderId="6" xfId="1" applyNumberFormat="1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10" fillId="5" borderId="7" xfId="0" applyFont="1" applyFill="1" applyBorder="1"/>
    <xf numFmtId="0" fontId="10" fillId="5" borderId="9" xfId="0" applyFont="1" applyFill="1" applyBorder="1"/>
    <xf numFmtId="0" fontId="9" fillId="4" borderId="16" xfId="0" applyFont="1" applyFill="1" applyBorder="1" applyAlignment="1">
      <alignment horizontal="center"/>
    </xf>
    <xf numFmtId="10" fontId="10" fillId="4" borderId="7" xfId="0" applyNumberFormat="1" applyFont="1" applyFill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 vertical="center"/>
    </xf>
    <xf numFmtId="167" fontId="10" fillId="4" borderId="8" xfId="0" applyNumberFormat="1" applyFont="1" applyFill="1" applyBorder="1" applyAlignment="1">
      <alignment horizontal="center" vertical="center"/>
    </xf>
    <xf numFmtId="10" fontId="10" fillId="4" borderId="9" xfId="0" applyNumberFormat="1" applyFont="1" applyFill="1" applyBorder="1" applyAlignment="1">
      <alignment horizontal="center" vertical="center"/>
    </xf>
    <xf numFmtId="10" fontId="10" fillId="0" borderId="10" xfId="0" applyNumberFormat="1" applyFont="1" applyBorder="1" applyAlignment="1">
      <alignment horizontal="center" vertical="center"/>
    </xf>
    <xf numFmtId="167" fontId="10" fillId="4" borderId="11" xfId="0" applyNumberFormat="1" applyFont="1" applyFill="1" applyBorder="1" applyAlignment="1">
      <alignment horizontal="center" vertical="center"/>
    </xf>
    <xf numFmtId="14" fontId="1" fillId="2" borderId="6" xfId="1" applyNumberFormat="1" applyFill="1" applyBorder="1" applyAlignment="1">
      <alignment horizontal="center" vertical="center"/>
    </xf>
    <xf numFmtId="8" fontId="0" fillId="0" borderId="6" xfId="0" applyNumberFormat="1" applyBorder="1" applyAlignment="1">
      <alignment vertical="center"/>
    </xf>
    <xf numFmtId="168" fontId="0" fillId="0" borderId="6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1" fillId="2" borderId="3" xfId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" fillId="2" borderId="1" xfId="1" applyFill="1" applyAlignment="1">
      <alignment horizontal="center" vertical="center"/>
    </xf>
  </cellXfs>
  <cellStyles count="240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" xfId="48" builtinId="8" hidden="1"/>
    <cellStyle name="Hipervínculo" xfId="50" builtinId="8" hidden="1"/>
    <cellStyle name="Hipervínculo" xfId="52" builtinId="8" hidden="1"/>
    <cellStyle name="Hipervínculo" xfId="54" builtinId="8" hidden="1"/>
    <cellStyle name="Hipervínculo" xfId="56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40" builtinId="8" hidden="1"/>
    <cellStyle name="Hipervínculo" xfId="142" builtinId="8" hidden="1"/>
    <cellStyle name="Hipervínculo" xfId="144" builtinId="8" hidden="1"/>
    <cellStyle name="Hipervínculo" xfId="146" builtinId="8" hidden="1"/>
    <cellStyle name="Hipervínculo" xfId="148" builtinId="8" hidden="1"/>
    <cellStyle name="Hipervínculo" xfId="150" builtinId="8" hidden="1"/>
    <cellStyle name="Hipervínculo" xfId="152" builtinId="8" hidden="1"/>
    <cellStyle name="Hipervínculo" xfId="154" builtinId="8" hidden="1"/>
    <cellStyle name="Hipervínculo" xfId="156" builtinId="8" hidden="1"/>
    <cellStyle name="Hipervínculo" xfId="158" builtinId="8" hidden="1"/>
    <cellStyle name="Hipervínculo" xfId="160" builtinId="8" hidden="1"/>
    <cellStyle name="Hipervínculo" xfId="162" builtinId="8" hidden="1"/>
    <cellStyle name="Hipervínculo" xfId="164" builtinId="8" hidden="1"/>
    <cellStyle name="Hipervínculo" xfId="166" builtinId="8" hidden="1"/>
    <cellStyle name="Hipervínculo" xfId="168" builtinId="8" hidden="1"/>
    <cellStyle name="Hipervínculo" xfId="170" builtinId="8" hidden="1"/>
    <cellStyle name="Hipervínculo" xfId="172" builtinId="8" hidden="1"/>
    <cellStyle name="Hipervínculo" xfId="174" builtinId="8" hidden="1"/>
    <cellStyle name="Hipervínculo" xfId="176" builtinId="8" hidden="1"/>
    <cellStyle name="Hipervínculo" xfId="178" builtinId="8" hidden="1"/>
    <cellStyle name="Hipervínculo" xfId="180" builtinId="8" hidden="1"/>
    <cellStyle name="Hipervínculo" xfId="182" builtinId="8" hidden="1"/>
    <cellStyle name="Hipervínculo" xfId="184" builtinId="8" hidden="1"/>
    <cellStyle name="Hipervínculo" xfId="186" builtinId="8" hidden="1"/>
    <cellStyle name="Hipervínculo" xfId="188" builtinId="8" hidden="1"/>
    <cellStyle name="Hipervínculo" xfId="190" builtinId="8" hidden="1"/>
    <cellStyle name="Hipervínculo" xfId="192" builtinId="8" hidden="1"/>
    <cellStyle name="Hipervínculo" xfId="194" builtinId="8" hidden="1"/>
    <cellStyle name="Hipervínculo" xfId="196" builtinId="8" hidden="1"/>
    <cellStyle name="Hipervínculo" xfId="198" builtinId="8" hidden="1"/>
    <cellStyle name="Hipervínculo" xfId="200" builtinId="8" hidden="1"/>
    <cellStyle name="Hipervínculo" xfId="202" builtinId="8" hidden="1"/>
    <cellStyle name="Hipervínculo" xfId="204" builtinId="8" hidden="1"/>
    <cellStyle name="Hipervínculo" xfId="206" builtinId="8" hidden="1"/>
    <cellStyle name="Hipervínculo" xfId="208" builtinId="8" hidden="1"/>
    <cellStyle name="Hipervínculo" xfId="210" builtinId="8" hidden="1"/>
    <cellStyle name="Hipervínculo" xfId="212" builtinId="8" hidden="1"/>
    <cellStyle name="Hipervínculo" xfId="214" builtinId="8" hidden="1"/>
    <cellStyle name="Hipervínculo" xfId="216" builtinId="8" hidden="1"/>
    <cellStyle name="Hipervínculo" xfId="218" builtinId="8" hidden="1"/>
    <cellStyle name="Hipervínculo" xfId="220" builtinId="8" hidden="1"/>
    <cellStyle name="Hipervínculo" xfId="222" builtinId="8" hidden="1"/>
    <cellStyle name="Hipervínculo" xfId="224" builtinId="8" hidden="1"/>
    <cellStyle name="Hipervínculo" xfId="226" builtinId="8" hidden="1"/>
    <cellStyle name="Hipervínculo" xfId="228" builtinId="8" hidden="1"/>
    <cellStyle name="Hipervínculo" xfId="230" builtinId="8" hidden="1"/>
    <cellStyle name="Hipervínculo" xfId="232" builtinId="8" hidden="1"/>
    <cellStyle name="Hipervínculo" xfId="234" builtinId="8" hidden="1"/>
    <cellStyle name="Hipervínculo" xfId="236" builtinId="8" hidden="1"/>
    <cellStyle name="Hipervínculo" xfId="238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Hipervínculo visitado" xfId="49" builtinId="9" hidden="1"/>
    <cellStyle name="Hipervínculo visitado" xfId="51" builtinId="9" hidden="1"/>
    <cellStyle name="Hipervínculo visitado" xfId="53" builtinId="9" hidden="1"/>
    <cellStyle name="Hipervínculo visitado" xfId="55" builtinId="9" hidden="1"/>
    <cellStyle name="Hipervínculo visitado" xfId="57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1" builtinId="9" hidden="1"/>
    <cellStyle name="Hipervínculo visitado" xfId="143" builtinId="9" hidden="1"/>
    <cellStyle name="Hipervínculo visitado" xfId="145" builtinId="9" hidden="1"/>
    <cellStyle name="Hipervínculo visitado" xfId="147" builtinId="9" hidden="1"/>
    <cellStyle name="Hipervínculo visitado" xfId="149" builtinId="9" hidden="1"/>
    <cellStyle name="Hipervínculo visitado" xfId="151" builtinId="9" hidden="1"/>
    <cellStyle name="Hipervínculo visitado" xfId="153" builtinId="9" hidden="1"/>
    <cellStyle name="Hipervínculo visitado" xfId="155" builtinId="9" hidden="1"/>
    <cellStyle name="Hipervínculo visitado" xfId="157" builtinId="9" hidden="1"/>
    <cellStyle name="Hipervínculo visitado" xfId="159" builtinId="9" hidden="1"/>
    <cellStyle name="Hipervínculo visitado" xfId="161" builtinId="9" hidden="1"/>
    <cellStyle name="Hipervínculo visitado" xfId="163" builtinId="9" hidden="1"/>
    <cellStyle name="Hipervínculo visitado" xfId="165" builtinId="9" hidden="1"/>
    <cellStyle name="Hipervínculo visitado" xfId="167" builtinId="9" hidden="1"/>
    <cellStyle name="Hipervínculo visitado" xfId="169" builtinId="9" hidden="1"/>
    <cellStyle name="Hipervínculo visitado" xfId="171" builtinId="9" hidden="1"/>
    <cellStyle name="Hipervínculo visitado" xfId="173" builtinId="9" hidden="1"/>
    <cellStyle name="Hipervínculo visitado" xfId="175" builtinId="9" hidden="1"/>
    <cellStyle name="Hipervínculo visitado" xfId="177" builtinId="9" hidden="1"/>
    <cellStyle name="Hipervínculo visitado" xfId="179" builtinId="9" hidden="1"/>
    <cellStyle name="Hipervínculo visitado" xfId="181" builtinId="9" hidden="1"/>
    <cellStyle name="Hipervínculo visitado" xfId="183" builtinId="9" hidden="1"/>
    <cellStyle name="Hipervínculo visitado" xfId="185" builtinId="9" hidden="1"/>
    <cellStyle name="Hipervínculo visitado" xfId="187" builtinId="9" hidden="1"/>
    <cellStyle name="Hipervínculo visitado" xfId="189" builtinId="9" hidden="1"/>
    <cellStyle name="Hipervínculo visitado" xfId="191" builtinId="9" hidden="1"/>
    <cellStyle name="Hipervínculo visitado" xfId="193" builtinId="9" hidden="1"/>
    <cellStyle name="Hipervínculo visitado" xfId="195" builtinId="9" hidden="1"/>
    <cellStyle name="Hipervínculo visitado" xfId="197" builtinId="9" hidden="1"/>
    <cellStyle name="Hipervínculo visitado" xfId="199" builtinId="9" hidden="1"/>
    <cellStyle name="Hipervínculo visitado" xfId="201" builtinId="9" hidden="1"/>
    <cellStyle name="Hipervínculo visitado" xfId="203" builtinId="9" hidden="1"/>
    <cellStyle name="Hipervínculo visitado" xfId="205" builtinId="9" hidden="1"/>
    <cellStyle name="Hipervínculo visitado" xfId="207" builtinId="9" hidden="1"/>
    <cellStyle name="Hipervínculo visitado" xfId="209" builtinId="9" hidden="1"/>
    <cellStyle name="Hipervínculo visitado" xfId="211" builtinId="9" hidden="1"/>
    <cellStyle name="Hipervínculo visitado" xfId="213" builtinId="9" hidden="1"/>
    <cellStyle name="Hipervínculo visitado" xfId="215" builtinId="9" hidden="1"/>
    <cellStyle name="Hipervínculo visitado" xfId="217" builtinId="9" hidden="1"/>
    <cellStyle name="Hipervínculo visitado" xfId="219" builtinId="9" hidden="1"/>
    <cellStyle name="Hipervínculo visitado" xfId="221" builtinId="9" hidden="1"/>
    <cellStyle name="Hipervínculo visitado" xfId="223" builtinId="9" hidden="1"/>
    <cellStyle name="Hipervínculo visitado" xfId="225" builtinId="9" hidden="1"/>
    <cellStyle name="Hipervínculo visitado" xfId="227" builtinId="9" hidden="1"/>
    <cellStyle name="Hipervínculo visitado" xfId="229" builtinId="9" hidden="1"/>
    <cellStyle name="Hipervínculo visitado" xfId="231" builtinId="9" hidden="1"/>
    <cellStyle name="Hipervínculo visitado" xfId="233" builtinId="9" hidden="1"/>
    <cellStyle name="Hipervínculo visitado" xfId="235" builtinId="9" hidden="1"/>
    <cellStyle name="Hipervínculo visitado" xfId="237" builtinId="9" hidden="1"/>
    <cellStyle name="Hipervínculo visitado" xfId="239" builtinId="9" hidden="1"/>
    <cellStyle name="Normal" xfId="0" builtinId="0"/>
    <cellStyle name="Normal 2" xfId="139"/>
    <cellStyle name="Porcentaje" xfId="58" builtinId="5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3804617382474001E-2"/>
          <c:y val="6.6218123914451699E-2"/>
          <c:w val="0.92884082909835797"/>
          <c:h val="0.876208807232429"/>
        </c:manualLayout>
      </c:layout>
      <c:lineChart>
        <c:grouping val="standard"/>
        <c:varyColors val="0"/>
        <c:ser>
          <c:idx val="1"/>
          <c:order val="0"/>
          <c:tx>
            <c:strRef>
              <c:f>Evolucion!$A$5</c:f>
              <c:strCache>
                <c:ptCount val="1"/>
                <c:pt idx="0">
                  <c:v>INDICE</c:v>
                </c:pt>
              </c:strCache>
            </c:strRef>
          </c:tx>
          <c:marker>
            <c:symbol val="none"/>
          </c:marker>
          <c:cat>
            <c:numRef>
              <c:f>Evolucion!$B$3:$JB$3</c:f>
              <c:numCache>
                <c:formatCode>m/d/yyyy</c:formatCode>
                <c:ptCount val="26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</c:numCache>
            </c:numRef>
          </c:cat>
          <c:val>
            <c:numRef>
              <c:f>Evolucion!$B$5:$JB$5</c:f>
              <c:numCache>
                <c:formatCode>0.00_ ;[Red]\-0.00\ </c:formatCode>
                <c:ptCount val="26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772032"/>
        <c:axId val="89773568"/>
      </c:lineChart>
      <c:dateAx>
        <c:axId val="89772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9773568"/>
        <c:crosses val="autoZero"/>
        <c:auto val="1"/>
        <c:lblOffset val="100"/>
        <c:baseTimeUnit val="days"/>
      </c:dateAx>
      <c:valAx>
        <c:axId val="89773568"/>
        <c:scaling>
          <c:orientation val="minMax"/>
          <c:max val="114"/>
          <c:min val="99"/>
        </c:scaling>
        <c:delete val="0"/>
        <c:axPos val="l"/>
        <c:majorGridlines/>
        <c:numFmt formatCode="0.00_ ;[Red]\-0.00\ " sourceLinked="1"/>
        <c:majorTickMark val="out"/>
        <c:minorTickMark val="none"/>
        <c:tickLblPos val="nextTo"/>
        <c:crossAx val="8977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146049</xdr:colOff>
      <xdr:row>1</xdr:row>
      <xdr:rowOff>53974</xdr:rowOff>
    </xdr:from>
    <xdr:to>
      <xdr:col>14</xdr:col>
      <xdr:colOff>584200</xdr:colOff>
      <xdr:row>55</xdr:row>
      <xdr:rowOff>139699</xdr:rowOff>
    </xdr:to>
    <xdr:graphicFrame macro="">
      <xdr:nvGraphicFramePr>
        <xdr:cNvPr id="2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tar_portfolio_csv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O39"/>
  <sheetViews>
    <sheetView showZeros="0" zoomScaleNormal="100" zoomScalePageLayoutView="150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18" sqref="B18"/>
    </sheetView>
  </sheetViews>
  <sheetFormatPr baseColWidth="10" defaultRowHeight="15"/>
  <cols>
    <col min="1" max="1" width="9.7109375" bestFit="1" customWidth="1"/>
    <col min="2" max="2" width="13.42578125" bestFit="1" customWidth="1"/>
    <col min="3" max="3" width="51" bestFit="1" customWidth="1"/>
    <col min="4" max="4" width="14.42578125" bestFit="1" customWidth="1"/>
    <col min="5" max="5" width="8.28515625" bestFit="1" customWidth="1"/>
    <col min="6" max="7" width="9.140625" bestFit="1" customWidth="1"/>
    <col min="8" max="8" width="14.42578125" bestFit="1" customWidth="1"/>
    <col min="9" max="9" width="11" bestFit="1" customWidth="1"/>
    <col min="10" max="10" width="9.85546875" bestFit="1" customWidth="1"/>
    <col min="11" max="11" width="11" bestFit="1" customWidth="1"/>
    <col min="12" max="12" width="13.7109375" bestFit="1" customWidth="1"/>
    <col min="13" max="13" width="7.7109375" bestFit="1" customWidth="1"/>
    <col min="14" max="14" width="9" bestFit="1" customWidth="1"/>
    <col min="15" max="15" width="10.140625" bestFit="1" customWidth="1"/>
  </cols>
  <sheetData>
    <row r="1" spans="1:15" ht="15.75" thickBot="1">
      <c r="A1" s="14" t="s">
        <v>14</v>
      </c>
      <c r="B1" s="15">
        <v>41726</v>
      </c>
    </row>
    <row r="3" spans="1:15" ht="15.75" thickBot="1">
      <c r="A3" s="2" t="s">
        <v>47</v>
      </c>
      <c r="B3" s="2" t="s">
        <v>0</v>
      </c>
      <c r="C3" s="2" t="s">
        <v>1</v>
      </c>
      <c r="D3" s="2" t="s">
        <v>49</v>
      </c>
      <c r="E3" s="2" t="s">
        <v>10</v>
      </c>
      <c r="F3" s="2" t="s">
        <v>41</v>
      </c>
      <c r="G3" s="2" t="s">
        <v>3</v>
      </c>
      <c r="H3" s="2" t="s">
        <v>9</v>
      </c>
      <c r="I3" s="2" t="s">
        <v>46</v>
      </c>
      <c r="J3" s="2" t="s">
        <v>45</v>
      </c>
      <c r="K3" s="2" t="s">
        <v>43</v>
      </c>
      <c r="L3" s="2" t="s">
        <v>44</v>
      </c>
      <c r="M3" s="2" t="s">
        <v>11</v>
      </c>
      <c r="N3" s="2" t="s">
        <v>42</v>
      </c>
      <c r="O3" s="2" t="s">
        <v>12</v>
      </c>
    </row>
    <row r="4" spans="1:15">
      <c r="A4" s="31" t="s">
        <v>48</v>
      </c>
      <c r="B4" s="25"/>
      <c r="C4" s="37"/>
      <c r="D4" s="31"/>
      <c r="E4" s="25"/>
      <c r="F4" s="27" t="e">
        <f t="shared" ref="F4:F21" ca="1" si="0">buscarPart($B4,$B$1)</f>
        <v>#VALUE!</v>
      </c>
      <c r="G4" s="27" t="e">
        <f t="shared" ref="G4:G21" ca="1" si="1">buscarVL($B4,$B$1)</f>
        <v>#VALUE!</v>
      </c>
      <c r="H4" s="27" t="str">
        <f t="shared" ref="H4:H21" ca="1" si="2">IFERROR((F4*G4), "")</f>
        <v/>
      </c>
      <c r="I4" s="27"/>
      <c r="J4" s="27">
        <f t="shared" ref="J4:J21" si="3">I4*(1-0.21)</f>
        <v>0</v>
      </c>
      <c r="K4" s="27">
        <f t="shared" ref="K4:K21" si="4">I4*0.21</f>
        <v>0</v>
      </c>
      <c r="L4" s="29"/>
      <c r="M4" s="12" t="str">
        <f t="shared" ref="M4:M21" ca="1" si="5">IFERROR(H4/H$22, "")</f>
        <v/>
      </c>
      <c r="N4" s="24"/>
      <c r="O4" s="29" t="str">
        <f t="shared" ref="O4:O21" ca="1" si="6">IFERROR(M4-N4, "")</f>
        <v/>
      </c>
    </row>
    <row r="5" spans="1:15">
      <c r="A5" s="31" t="s">
        <v>48</v>
      </c>
      <c r="B5" s="25"/>
      <c r="C5" s="25"/>
      <c r="D5" s="31"/>
      <c r="E5" s="25"/>
      <c r="F5" s="27" t="e">
        <f t="shared" ca="1" si="0"/>
        <v>#VALUE!</v>
      </c>
      <c r="G5" s="27" t="e">
        <f t="shared" ca="1" si="1"/>
        <v>#VALUE!</v>
      </c>
      <c r="H5" s="27" t="str">
        <f t="shared" ca="1" si="2"/>
        <v/>
      </c>
      <c r="I5" s="27" t="str">
        <f ca="1">IFERROR(H5-SUMIFS(Movimientos!G:G,Movimientos!A:A,B5,Movimientos!D:D,CONCATENATE("&lt;=",$B$1)),"")</f>
        <v/>
      </c>
      <c r="J5" s="27" t="e">
        <f t="shared" ca="1" si="3"/>
        <v>#VALUE!</v>
      </c>
      <c r="K5" s="27" t="e">
        <f t="shared" ca="1" si="4"/>
        <v>#VALUE!</v>
      </c>
      <c r="L5" s="29" t="str">
        <f ca="1">IFERROR(I5/SUMIFS(Movimientos!G:G,Movimientos!A:A,B5,Movimientos!D:D,CONCATENATE("&lt;=",$B$1),Movimientos!G:G,"&gt;0"), "")</f>
        <v/>
      </c>
      <c r="M5" s="12" t="str">
        <f t="shared" ca="1" si="5"/>
        <v/>
      </c>
      <c r="N5" s="24"/>
      <c r="O5" s="29" t="str">
        <f t="shared" ca="1" si="6"/>
        <v/>
      </c>
    </row>
    <row r="6" spans="1:15">
      <c r="A6" s="31" t="s">
        <v>48</v>
      </c>
      <c r="B6" s="25"/>
      <c r="C6" s="25"/>
      <c r="D6" s="31"/>
      <c r="E6" s="25"/>
      <c r="F6" s="27" t="e">
        <f t="shared" ca="1" si="0"/>
        <v>#VALUE!</v>
      </c>
      <c r="G6" s="27" t="e">
        <f t="shared" ca="1" si="1"/>
        <v>#VALUE!</v>
      </c>
      <c r="H6" s="27" t="str">
        <f t="shared" ca="1" si="2"/>
        <v/>
      </c>
      <c r="I6" s="27" t="str">
        <f ca="1">IFERROR(H6-SUMIFS(Movimientos!G:G,Movimientos!A:A,B6,Movimientos!D:D,CONCATENATE("&lt;=",$B$1)),"")</f>
        <v/>
      </c>
      <c r="J6" s="27" t="e">
        <f t="shared" ca="1" si="3"/>
        <v>#VALUE!</v>
      </c>
      <c r="K6" s="27" t="e">
        <f t="shared" ca="1" si="4"/>
        <v>#VALUE!</v>
      </c>
      <c r="L6" s="29" t="str">
        <f ca="1">IFERROR(I6/SUMIFS(Movimientos!G:G,Movimientos!A:A,B6,Movimientos!D:D,CONCATENATE("&lt;=",$B$1),Movimientos!G:G,"&gt;0"), "")</f>
        <v/>
      </c>
      <c r="M6" s="12" t="str">
        <f t="shared" ca="1" si="5"/>
        <v/>
      </c>
      <c r="N6" s="24"/>
      <c r="O6" s="29" t="str">
        <f t="shared" ca="1" si="6"/>
        <v/>
      </c>
    </row>
    <row r="7" spans="1:15">
      <c r="A7" s="31" t="s">
        <v>48</v>
      </c>
      <c r="B7" s="25"/>
      <c r="C7" s="25"/>
      <c r="D7" s="31"/>
      <c r="E7" s="25"/>
      <c r="F7" s="27" t="e">
        <f t="shared" ca="1" si="0"/>
        <v>#VALUE!</v>
      </c>
      <c r="G7" s="27" t="e">
        <f t="shared" ca="1" si="1"/>
        <v>#VALUE!</v>
      </c>
      <c r="H7" s="27" t="str">
        <f t="shared" ca="1" si="2"/>
        <v/>
      </c>
      <c r="I7" s="27" t="str">
        <f ca="1">IFERROR(H7-SUMIFS(Movimientos!G:G,Movimientos!A:A,B7,Movimientos!D:D,CONCATENATE("&lt;=",$B$1)),"")</f>
        <v/>
      </c>
      <c r="J7" s="27" t="e">
        <f t="shared" ca="1" si="3"/>
        <v>#VALUE!</v>
      </c>
      <c r="K7" s="27" t="e">
        <f t="shared" ca="1" si="4"/>
        <v>#VALUE!</v>
      </c>
      <c r="L7" s="29" t="str">
        <f ca="1">IFERROR(I7/SUMIFS(Movimientos!G:G,Movimientos!A:A,B7,Movimientos!D:D,CONCATENATE("&lt;=",$B$1),Movimientos!G:G,"&gt;0"), "")</f>
        <v/>
      </c>
      <c r="M7" s="12" t="str">
        <f t="shared" ca="1" si="5"/>
        <v/>
      </c>
      <c r="N7" s="24"/>
      <c r="O7" s="29" t="str">
        <f t="shared" ca="1" si="6"/>
        <v/>
      </c>
    </row>
    <row r="8" spans="1:15">
      <c r="A8" s="31" t="s">
        <v>48</v>
      </c>
      <c r="B8" s="25"/>
      <c r="C8" s="25"/>
      <c r="D8" s="31"/>
      <c r="E8" s="25"/>
      <c r="F8" s="27" t="e">
        <f t="shared" ca="1" si="0"/>
        <v>#VALUE!</v>
      </c>
      <c r="G8" s="27" t="e">
        <f t="shared" ca="1" si="1"/>
        <v>#VALUE!</v>
      </c>
      <c r="H8" s="27" t="str">
        <f t="shared" ca="1" si="2"/>
        <v/>
      </c>
      <c r="I8" s="27" t="str">
        <f ca="1">IFERROR(H8-SUMIFS(Movimientos!G:G,Movimientos!A:A,B8,Movimientos!D:D,CONCATENATE("&lt;=",$B$1)),"")</f>
        <v/>
      </c>
      <c r="J8" s="27" t="e">
        <f t="shared" ca="1" si="3"/>
        <v>#VALUE!</v>
      </c>
      <c r="K8" s="27" t="e">
        <f t="shared" ca="1" si="4"/>
        <v>#VALUE!</v>
      </c>
      <c r="L8" s="29" t="str">
        <f ca="1">IFERROR(I8/SUMIFS(Movimientos!G:G,Movimientos!A:A,B8,Movimientos!D:D,CONCATENATE("&lt;=",$B$1),Movimientos!G:G,"&gt;0"), "")</f>
        <v/>
      </c>
      <c r="M8" s="12" t="str">
        <f t="shared" ca="1" si="5"/>
        <v/>
      </c>
      <c r="N8" s="24"/>
      <c r="O8" s="29" t="str">
        <f t="shared" ca="1" si="6"/>
        <v/>
      </c>
    </row>
    <row r="9" spans="1:15">
      <c r="A9" s="31" t="s">
        <v>48</v>
      </c>
      <c r="B9" s="25"/>
      <c r="C9" s="25"/>
      <c r="D9" s="31"/>
      <c r="E9" s="25"/>
      <c r="F9" s="27" t="e">
        <f t="shared" ca="1" si="0"/>
        <v>#VALUE!</v>
      </c>
      <c r="G9" s="27" t="e">
        <f t="shared" ca="1" si="1"/>
        <v>#VALUE!</v>
      </c>
      <c r="H9" s="27" t="str">
        <f t="shared" ca="1" si="2"/>
        <v/>
      </c>
      <c r="I9" s="27" t="str">
        <f ca="1">IFERROR(H9-SUMIFS(Movimientos!G:G,Movimientos!A:A,B9,Movimientos!D:D,CONCATENATE("&lt;=",$B$1)),"")</f>
        <v/>
      </c>
      <c r="J9" s="27" t="e">
        <f t="shared" ca="1" si="3"/>
        <v>#VALUE!</v>
      </c>
      <c r="K9" s="27" t="e">
        <f t="shared" ca="1" si="4"/>
        <v>#VALUE!</v>
      </c>
      <c r="L9" s="29" t="str">
        <f ca="1">IFERROR(I9/SUMIFS(Movimientos!G:G,Movimientos!A:A,B9,Movimientos!D:D,CONCATENATE("&lt;=",$B$1),Movimientos!G:G,"&gt;0"), "")</f>
        <v/>
      </c>
      <c r="M9" s="12" t="str">
        <f t="shared" ca="1" si="5"/>
        <v/>
      </c>
      <c r="N9" s="24"/>
      <c r="O9" s="29" t="str">
        <f t="shared" ca="1" si="6"/>
        <v/>
      </c>
    </row>
    <row r="10" spans="1:15">
      <c r="A10" s="31" t="s">
        <v>48</v>
      </c>
      <c r="B10" s="25"/>
      <c r="C10" s="25"/>
      <c r="D10" s="31"/>
      <c r="E10" s="25"/>
      <c r="F10" s="27" t="e">
        <f t="shared" ca="1" si="0"/>
        <v>#VALUE!</v>
      </c>
      <c r="G10" s="27" t="e">
        <f t="shared" ca="1" si="1"/>
        <v>#VALUE!</v>
      </c>
      <c r="H10" s="27" t="str">
        <f t="shared" ca="1" si="2"/>
        <v/>
      </c>
      <c r="I10" s="27" t="str">
        <f ca="1">IFERROR(H10-SUMIFS(Movimientos!G:G,Movimientos!A:A,B10,Movimientos!D:D,CONCATENATE("&lt;=",$B$1)),"")</f>
        <v/>
      </c>
      <c r="J10" s="27" t="e">
        <f t="shared" ca="1" si="3"/>
        <v>#VALUE!</v>
      </c>
      <c r="K10" s="27" t="e">
        <f t="shared" ca="1" si="4"/>
        <v>#VALUE!</v>
      </c>
      <c r="L10" s="29" t="str">
        <f ca="1">IFERROR(I10/SUMIFS(Movimientos!G:G,Movimientos!A:A,B10,Movimientos!D:D,CONCATENATE("&lt;=",$B$1),Movimientos!G:G,"&gt;0"), "")</f>
        <v/>
      </c>
      <c r="M10" s="12" t="str">
        <f t="shared" ca="1" si="5"/>
        <v/>
      </c>
      <c r="N10" s="24"/>
      <c r="O10" s="29" t="str">
        <f t="shared" ca="1" si="6"/>
        <v/>
      </c>
    </row>
    <row r="11" spans="1:15" ht="15" customHeight="1">
      <c r="A11" s="31" t="s">
        <v>48</v>
      </c>
      <c r="B11" s="25"/>
      <c r="C11" s="25"/>
      <c r="D11" s="31"/>
      <c r="E11" s="25"/>
      <c r="F11" s="27" t="e">
        <f t="shared" ca="1" si="0"/>
        <v>#VALUE!</v>
      </c>
      <c r="G11" s="27" t="e">
        <f t="shared" ca="1" si="1"/>
        <v>#VALUE!</v>
      </c>
      <c r="H11" s="27" t="str">
        <f t="shared" ca="1" si="2"/>
        <v/>
      </c>
      <c r="I11" s="27" t="str">
        <f ca="1">IFERROR(H11-SUMIFS(Movimientos!G:G,Movimientos!A:A,B11,Movimientos!D:D,CONCATENATE("&lt;=",$B$1)),"")</f>
        <v/>
      </c>
      <c r="J11" s="27" t="e">
        <f t="shared" ca="1" si="3"/>
        <v>#VALUE!</v>
      </c>
      <c r="K11" s="27" t="e">
        <f t="shared" ca="1" si="4"/>
        <v>#VALUE!</v>
      </c>
      <c r="L11" s="29" t="str">
        <f ca="1">IFERROR(I11/SUMIFS(Movimientos!G:G,Movimientos!A:A,B11,Movimientos!D:D,CONCATENATE("&lt;=",$B$1),Movimientos!G:G,"&gt;0"), "")</f>
        <v/>
      </c>
      <c r="M11" s="12" t="str">
        <f t="shared" ca="1" si="5"/>
        <v/>
      </c>
      <c r="N11" s="24"/>
      <c r="O11" s="29" t="str">
        <f t="shared" ca="1" si="6"/>
        <v/>
      </c>
    </row>
    <row r="12" spans="1:15">
      <c r="A12" s="31" t="s">
        <v>48</v>
      </c>
      <c r="B12" s="25"/>
      <c r="C12" s="25"/>
      <c r="D12" s="31"/>
      <c r="E12" s="25"/>
      <c r="F12" s="27" t="e">
        <f t="shared" ca="1" si="0"/>
        <v>#VALUE!</v>
      </c>
      <c r="G12" s="27" t="e">
        <f t="shared" ca="1" si="1"/>
        <v>#VALUE!</v>
      </c>
      <c r="H12" s="27" t="str">
        <f t="shared" ca="1" si="2"/>
        <v/>
      </c>
      <c r="I12" s="27" t="str">
        <f ca="1">IFERROR(H12-SUMIFS(Movimientos!G:G,Movimientos!A:A,B12,Movimientos!D:D,CONCATENATE("&lt;=",$B$1)),"")</f>
        <v/>
      </c>
      <c r="J12" s="27" t="e">
        <f t="shared" ca="1" si="3"/>
        <v>#VALUE!</v>
      </c>
      <c r="K12" s="27" t="e">
        <f t="shared" ca="1" si="4"/>
        <v>#VALUE!</v>
      </c>
      <c r="L12" s="29" t="str">
        <f ca="1">IFERROR(I12/SUMIFS(Movimientos!G:G,Movimientos!A:A,B12,Movimientos!D:D,CONCATENATE("&lt;=",$B$1),Movimientos!G:G,"&gt;0"), "")</f>
        <v/>
      </c>
      <c r="M12" s="12" t="str">
        <f t="shared" ca="1" si="5"/>
        <v/>
      </c>
      <c r="N12" s="24"/>
      <c r="O12" s="29" t="str">
        <f t="shared" ca="1" si="6"/>
        <v/>
      </c>
    </row>
    <row r="13" spans="1:15">
      <c r="A13" s="31" t="s">
        <v>48</v>
      </c>
      <c r="B13" s="25"/>
      <c r="C13" s="25"/>
      <c r="D13" s="31"/>
      <c r="E13" s="25"/>
      <c r="F13" s="27" t="e">
        <f t="shared" ca="1" si="0"/>
        <v>#VALUE!</v>
      </c>
      <c r="G13" s="27" t="e">
        <f t="shared" ca="1" si="1"/>
        <v>#VALUE!</v>
      </c>
      <c r="H13" s="27" t="str">
        <f t="shared" ca="1" si="2"/>
        <v/>
      </c>
      <c r="I13" s="27" t="str">
        <f ca="1">IFERROR(H13-SUMIFS(Movimientos!G:G,Movimientos!A:A,B13,Movimientos!D:D,CONCATENATE("&lt;=",$B$1)),"")</f>
        <v/>
      </c>
      <c r="J13" s="27" t="e">
        <f t="shared" ca="1" si="3"/>
        <v>#VALUE!</v>
      </c>
      <c r="K13" s="27" t="e">
        <f t="shared" ca="1" si="4"/>
        <v>#VALUE!</v>
      </c>
      <c r="L13" s="29" t="str">
        <f ca="1">IFERROR(I13/SUMIFS(Movimientos!G:G,Movimientos!A:A,B13,Movimientos!D:D,CONCATENATE("&lt;=",$B$1),Movimientos!G:G,"&gt;0"), "")</f>
        <v/>
      </c>
      <c r="M13" s="12" t="str">
        <f t="shared" ca="1" si="5"/>
        <v/>
      </c>
      <c r="N13" s="24"/>
      <c r="O13" s="29" t="str">
        <f t="shared" ca="1" si="6"/>
        <v/>
      </c>
    </row>
    <row r="14" spans="1:15">
      <c r="A14" s="31" t="s">
        <v>48</v>
      </c>
      <c r="B14" s="25"/>
      <c r="C14" s="25"/>
      <c r="D14" s="31"/>
      <c r="E14" s="25"/>
      <c r="F14" s="27" t="e">
        <f t="shared" ca="1" si="0"/>
        <v>#VALUE!</v>
      </c>
      <c r="G14" s="27" t="e">
        <f t="shared" ca="1" si="1"/>
        <v>#VALUE!</v>
      </c>
      <c r="H14" s="27" t="str">
        <f t="shared" ca="1" si="2"/>
        <v/>
      </c>
      <c r="I14" s="27" t="str">
        <f ca="1">IFERROR(H14-SUMIFS(Movimientos!G:G,Movimientos!A:A,B14,Movimientos!D:D,CONCATENATE("&lt;=",$B$1)),"")</f>
        <v/>
      </c>
      <c r="J14" s="27" t="e">
        <f t="shared" ca="1" si="3"/>
        <v>#VALUE!</v>
      </c>
      <c r="K14" s="27" t="e">
        <f t="shared" ca="1" si="4"/>
        <v>#VALUE!</v>
      </c>
      <c r="L14" s="29" t="str">
        <f ca="1">IFERROR(I14/SUMIFS(Movimientos!G:G,Movimientos!A:A,B14,Movimientos!D:D,CONCATENATE("&lt;=",$B$1),Movimientos!G:G,"&gt;0"), "")</f>
        <v/>
      </c>
      <c r="M14" s="12" t="str">
        <f t="shared" ca="1" si="5"/>
        <v/>
      </c>
      <c r="N14" s="24"/>
      <c r="O14" s="29" t="str">
        <f t="shared" ca="1" si="6"/>
        <v/>
      </c>
    </row>
    <row r="15" spans="1:15">
      <c r="A15" s="31" t="s">
        <v>48</v>
      </c>
      <c r="B15" s="25"/>
      <c r="C15" s="25"/>
      <c r="D15" s="31"/>
      <c r="E15" s="25"/>
      <c r="F15" s="27" t="e">
        <f t="shared" ca="1" si="0"/>
        <v>#VALUE!</v>
      </c>
      <c r="G15" s="27" t="e">
        <f t="shared" ca="1" si="1"/>
        <v>#VALUE!</v>
      </c>
      <c r="H15" s="27" t="str">
        <f t="shared" ca="1" si="2"/>
        <v/>
      </c>
      <c r="I15" s="27" t="str">
        <f ca="1">IFERROR(H15-SUMIFS(Movimientos!G:G,Movimientos!A:A,B15,Movimientos!D:D,CONCATENATE("&lt;=",$B$1)),"")</f>
        <v/>
      </c>
      <c r="J15" s="27" t="e">
        <f t="shared" ca="1" si="3"/>
        <v>#VALUE!</v>
      </c>
      <c r="K15" s="27" t="e">
        <f t="shared" ca="1" si="4"/>
        <v>#VALUE!</v>
      </c>
      <c r="L15" s="29" t="str">
        <f ca="1">IFERROR(I15/SUMIFS(Movimientos!G:G,Movimientos!A:A,B15,Movimientos!D:D,CONCATENATE("&lt;=",$B$1),Movimientos!G:G,"&gt;0"), "")</f>
        <v/>
      </c>
      <c r="M15" s="12" t="str">
        <f t="shared" ca="1" si="5"/>
        <v/>
      </c>
      <c r="N15" s="24"/>
      <c r="O15" s="29" t="str">
        <f t="shared" ca="1" si="6"/>
        <v/>
      </c>
    </row>
    <row r="16" spans="1:15">
      <c r="A16" s="31" t="s">
        <v>48</v>
      </c>
      <c r="B16" s="25"/>
      <c r="C16" s="25"/>
      <c r="D16" s="31"/>
      <c r="E16" s="25"/>
      <c r="F16" s="27" t="e">
        <f t="shared" ca="1" si="0"/>
        <v>#VALUE!</v>
      </c>
      <c r="G16" s="27" t="e">
        <f t="shared" ca="1" si="1"/>
        <v>#VALUE!</v>
      </c>
      <c r="H16" s="27" t="str">
        <f t="shared" ca="1" si="2"/>
        <v/>
      </c>
      <c r="I16" s="27" t="str">
        <f ca="1">IFERROR(H16-SUMIFS(Movimientos!G:G,Movimientos!A:A,B16,Movimientos!D:D,CONCATENATE("&lt;=",$B$1)),"")</f>
        <v/>
      </c>
      <c r="J16" s="27" t="e">
        <f t="shared" ca="1" si="3"/>
        <v>#VALUE!</v>
      </c>
      <c r="K16" s="27" t="e">
        <f t="shared" ca="1" si="4"/>
        <v>#VALUE!</v>
      </c>
      <c r="L16" s="29" t="str">
        <f ca="1">IFERROR(I16/SUMIFS(Movimientos!G:G,Movimientos!A:A,B16,Movimientos!D:D,CONCATENATE("&lt;=",$B$1),Movimientos!G:G,"&gt;0"), "")</f>
        <v/>
      </c>
      <c r="M16" s="12" t="str">
        <f t="shared" ca="1" si="5"/>
        <v/>
      </c>
      <c r="N16" s="24"/>
      <c r="O16" s="29" t="str">
        <f t="shared" ca="1" si="6"/>
        <v/>
      </c>
    </row>
    <row r="17" spans="1:15">
      <c r="A17" s="31" t="s">
        <v>48</v>
      </c>
      <c r="B17" s="25"/>
      <c r="C17" s="25"/>
      <c r="D17" s="31"/>
      <c r="E17" s="25"/>
      <c r="F17" s="27" t="e">
        <f t="shared" ca="1" si="0"/>
        <v>#VALUE!</v>
      </c>
      <c r="G17" s="27" t="e">
        <f t="shared" ca="1" si="1"/>
        <v>#VALUE!</v>
      </c>
      <c r="H17" s="27" t="str">
        <f t="shared" ca="1" si="2"/>
        <v/>
      </c>
      <c r="I17" s="27" t="str">
        <f ca="1">IFERROR(H17-SUMIFS(Movimientos!G:G,Movimientos!A:A,B17,Movimientos!D:D,CONCATENATE("&lt;=",$B$1)),"")</f>
        <v/>
      </c>
      <c r="J17" s="27" t="e">
        <f t="shared" ca="1" si="3"/>
        <v>#VALUE!</v>
      </c>
      <c r="K17" s="27" t="e">
        <f t="shared" ca="1" si="4"/>
        <v>#VALUE!</v>
      </c>
      <c r="L17" s="29" t="str">
        <f ca="1">IFERROR(I17/SUMIFS(Movimientos!G:G,Movimientos!A:A,B17,Movimientos!D:D,CONCATENATE("&lt;=",$B$1),Movimientos!G:G,"&gt;0"), "")</f>
        <v/>
      </c>
      <c r="M17" s="12" t="str">
        <f t="shared" ca="1" si="5"/>
        <v/>
      </c>
      <c r="N17" s="24"/>
      <c r="O17" s="29" t="str">
        <f t="shared" ca="1" si="6"/>
        <v/>
      </c>
    </row>
    <row r="18" spans="1:15">
      <c r="A18" s="31" t="s">
        <v>48</v>
      </c>
      <c r="B18" s="25"/>
      <c r="C18" s="25"/>
      <c r="D18" s="31"/>
      <c r="E18" s="25"/>
      <c r="F18" s="27" t="e">
        <f t="shared" ca="1" si="0"/>
        <v>#VALUE!</v>
      </c>
      <c r="G18" s="27" t="e">
        <f t="shared" ca="1" si="1"/>
        <v>#VALUE!</v>
      </c>
      <c r="H18" s="27" t="str">
        <f t="shared" ca="1" si="2"/>
        <v/>
      </c>
      <c r="I18" s="27" t="str">
        <f ca="1">IFERROR(H18-SUMIFS(Movimientos!G:G,Movimientos!A:A,B18,Movimientos!D:D,CONCATENATE("&lt;=",$B$1)),"")</f>
        <v/>
      </c>
      <c r="J18" s="27" t="e">
        <f t="shared" ca="1" si="3"/>
        <v>#VALUE!</v>
      </c>
      <c r="K18" s="27" t="e">
        <f t="shared" ca="1" si="4"/>
        <v>#VALUE!</v>
      </c>
      <c r="L18" s="29" t="str">
        <f ca="1">IFERROR(I18/SUMIFS(Movimientos!G:G,Movimientos!A:A,B18,Movimientos!D:D,CONCATENATE("&lt;=",$B$1),Movimientos!G:G,"&gt;0"), "")</f>
        <v/>
      </c>
      <c r="M18" s="12" t="str">
        <f t="shared" ca="1" si="5"/>
        <v/>
      </c>
      <c r="N18" s="24"/>
      <c r="O18" s="29" t="str">
        <f t="shared" ca="1" si="6"/>
        <v/>
      </c>
    </row>
    <row r="19" spans="1:15">
      <c r="A19" s="31" t="s">
        <v>48</v>
      </c>
      <c r="B19" s="25"/>
      <c r="C19" s="25"/>
      <c r="D19" s="31"/>
      <c r="E19" s="25"/>
      <c r="F19" s="27" t="e">
        <f t="shared" ca="1" si="0"/>
        <v>#VALUE!</v>
      </c>
      <c r="G19" s="27" t="e">
        <f t="shared" ca="1" si="1"/>
        <v>#VALUE!</v>
      </c>
      <c r="H19" s="27" t="str">
        <f t="shared" ca="1" si="2"/>
        <v/>
      </c>
      <c r="I19" s="27" t="str">
        <f ca="1">IFERROR(H19-SUMIFS(Movimientos!G:G,Movimientos!A:A,B19,Movimientos!D:D,CONCATENATE("&lt;=",$B$1)),"")</f>
        <v/>
      </c>
      <c r="J19" s="27" t="e">
        <f t="shared" ca="1" si="3"/>
        <v>#VALUE!</v>
      </c>
      <c r="K19" s="27" t="e">
        <f t="shared" ca="1" si="4"/>
        <v>#VALUE!</v>
      </c>
      <c r="L19" s="29" t="str">
        <f ca="1">IFERROR(I19/SUMIFS(Movimientos!G:G,Movimientos!A:A,B19,Movimientos!D:D,CONCATENATE("&lt;=",$B$1),Movimientos!G:G,"&gt;0"), "")</f>
        <v/>
      </c>
      <c r="M19" s="12" t="str">
        <f t="shared" ca="1" si="5"/>
        <v/>
      </c>
      <c r="N19" s="24"/>
      <c r="O19" s="29" t="str">
        <f t="shared" ca="1" si="6"/>
        <v/>
      </c>
    </row>
    <row r="20" spans="1:15">
      <c r="A20" s="31" t="s">
        <v>48</v>
      </c>
      <c r="B20" s="25"/>
      <c r="C20" s="25"/>
      <c r="D20" s="31"/>
      <c r="E20" s="25"/>
      <c r="F20" s="27" t="e">
        <f t="shared" ca="1" si="0"/>
        <v>#VALUE!</v>
      </c>
      <c r="G20" s="27" t="e">
        <f t="shared" ca="1" si="1"/>
        <v>#VALUE!</v>
      </c>
      <c r="H20" s="27" t="str">
        <f t="shared" ca="1" si="2"/>
        <v/>
      </c>
      <c r="I20" s="27" t="str">
        <f ca="1">IFERROR(H20-SUMIFS(Movimientos!G:G,Movimientos!A:A,B20,Movimientos!D:D,CONCATENATE("&lt;=",$B$1)),"")</f>
        <v/>
      </c>
      <c r="J20" s="27" t="e">
        <f t="shared" ca="1" si="3"/>
        <v>#VALUE!</v>
      </c>
      <c r="K20" s="27" t="e">
        <f t="shared" ca="1" si="4"/>
        <v>#VALUE!</v>
      </c>
      <c r="L20" s="29" t="str">
        <f ca="1">IFERROR(I20/SUMIFS(Movimientos!G:G,Movimientos!A:A,B20,Movimientos!D:D,CONCATENATE("&lt;=",$B$1),Movimientos!G:G,"&gt;0"), "")</f>
        <v/>
      </c>
      <c r="M20" s="12" t="str">
        <f t="shared" ca="1" si="5"/>
        <v/>
      </c>
      <c r="N20" s="24"/>
      <c r="O20" s="29" t="str">
        <f t="shared" ca="1" si="6"/>
        <v/>
      </c>
    </row>
    <row r="21" spans="1:15" ht="15.75" thickBot="1">
      <c r="A21" s="31" t="s">
        <v>48</v>
      </c>
      <c r="B21" s="25"/>
      <c r="C21" s="25"/>
      <c r="D21" s="31"/>
      <c r="E21" s="25"/>
      <c r="F21" s="27" t="e">
        <f t="shared" ca="1" si="0"/>
        <v>#VALUE!</v>
      </c>
      <c r="G21" s="27" t="e">
        <f t="shared" ca="1" si="1"/>
        <v>#VALUE!</v>
      </c>
      <c r="H21" s="27" t="str">
        <f t="shared" ca="1" si="2"/>
        <v/>
      </c>
      <c r="I21" s="27" t="str">
        <f ca="1">IFERROR(H21-SUMIFS(Movimientos!G:G,Movimientos!A:A,B21,Movimientos!D:D,CONCATENATE("&lt;=",$B$1)),"")</f>
        <v/>
      </c>
      <c r="J21" s="27" t="e">
        <f t="shared" ca="1" si="3"/>
        <v>#VALUE!</v>
      </c>
      <c r="K21" s="27" t="e">
        <f t="shared" ca="1" si="4"/>
        <v>#VALUE!</v>
      </c>
      <c r="L21" s="29" t="str">
        <f ca="1">IFERROR(I21/SUMIFS(Movimientos!G:G,Movimientos!A:A,B21,Movimientos!D:D,CONCATENATE("&lt;=",$B$1),Movimientos!G:G,"&gt;0"), "")</f>
        <v/>
      </c>
      <c r="M21" s="12" t="str">
        <f t="shared" ca="1" si="5"/>
        <v/>
      </c>
      <c r="N21" s="24"/>
      <c r="O21" s="29" t="str">
        <f t="shared" ca="1" si="6"/>
        <v/>
      </c>
    </row>
    <row r="22" spans="1:15" ht="15.75" thickTop="1">
      <c r="A22" s="46" t="s">
        <v>48</v>
      </c>
      <c r="B22" s="71" t="s">
        <v>13</v>
      </c>
      <c r="C22" s="71"/>
      <c r="D22" s="8"/>
      <c r="E22" s="9"/>
      <c r="F22" s="10"/>
      <c r="G22" s="13"/>
      <c r="H22" s="28">
        <f ca="1">SUM(H4:H21)</f>
        <v>0</v>
      </c>
      <c r="I22" s="28">
        <f ca="1">SUM(I4:I21)</f>
        <v>0</v>
      </c>
      <c r="J22" s="28">
        <f t="shared" ref="J22" ca="1" si="7">I22*(1-0.21)</f>
        <v>0</v>
      </c>
      <c r="K22" s="28">
        <f t="shared" ref="K22" ca="1" si="8">I22*0.21</f>
        <v>0</v>
      </c>
      <c r="L22" s="32" t="e">
        <f ca="1">SUMPRODUCT(L4:L21,M4:M21)/M22</f>
        <v>#DIV/0!</v>
      </c>
      <c r="M22" s="11">
        <f ca="1">SUM(M4:M21)</f>
        <v>0</v>
      </c>
      <c r="N22" s="11">
        <f>SUM(N4:N21)</f>
        <v>0</v>
      </c>
      <c r="O22" s="11">
        <f ca="1">SUM(O4:O21)</f>
        <v>0</v>
      </c>
    </row>
    <row r="23" spans="1:15">
      <c r="A23" s="45" t="s">
        <v>48</v>
      </c>
      <c r="H23" s="51" t="s">
        <v>64</v>
      </c>
      <c r="I23" s="52">
        <f ca="1">((HLOOKUP(B1,Evolucion!3:5,3,TRUE)/100)^(1/((B1-Evolucion!B3)/365))-1)</f>
        <v>0</v>
      </c>
    </row>
    <row r="25" spans="1:15">
      <c r="H25" s="48" t="s">
        <v>61</v>
      </c>
      <c r="I25" s="48" t="s">
        <v>65</v>
      </c>
      <c r="J25" s="48" t="s">
        <v>66</v>
      </c>
      <c r="K25" s="48" t="s">
        <v>67</v>
      </c>
    </row>
    <row r="26" spans="1:15">
      <c r="H26" s="53">
        <v>0.05</v>
      </c>
      <c r="I26" s="54">
        <v>41640</v>
      </c>
      <c r="J26" s="54">
        <v>41698</v>
      </c>
      <c r="K26" s="49">
        <f ca="1">((HLOOKUP(J26,Evolucion!3:5,3,TRUE))-(HLOOKUP(I26,Evolucion!3:5,3,TRUE)))/100</f>
        <v>0</v>
      </c>
    </row>
    <row r="27" spans="1:15">
      <c r="H27" s="48" t="s">
        <v>62</v>
      </c>
    </row>
    <row r="28" spans="1:15">
      <c r="G28" s="40"/>
      <c r="H28" s="50">
        <f ca="1">H22*H26</f>
        <v>0</v>
      </c>
    </row>
    <row r="29" spans="1:15">
      <c r="C29" s="39"/>
      <c r="G29" s="23"/>
    </row>
    <row r="30" spans="1:15" ht="15.75" thickBot="1">
      <c r="C30" s="23"/>
      <c r="H30" s="55" t="s">
        <v>49</v>
      </c>
      <c r="I30" s="55" t="s">
        <v>11</v>
      </c>
      <c r="J30" s="59" t="s">
        <v>42</v>
      </c>
      <c r="K30" s="56" t="s">
        <v>12</v>
      </c>
    </row>
    <row r="31" spans="1:15">
      <c r="C31" s="23"/>
      <c r="H31" s="57" t="s">
        <v>55</v>
      </c>
      <c r="I31" s="60">
        <f>SUMIF(D4:D21,H31,M4:M21)</f>
        <v>0</v>
      </c>
      <c r="J31" s="61">
        <f>SUMIF(D4:D21,H31,N4:N21)</f>
        <v>0</v>
      </c>
      <c r="K31" s="62">
        <f>+J31-I31</f>
        <v>0</v>
      </c>
    </row>
    <row r="32" spans="1:15">
      <c r="H32" s="57" t="s">
        <v>56</v>
      </c>
      <c r="I32" s="60">
        <f>SUMIF(D5:D21,H32,M5:M21)</f>
        <v>0</v>
      </c>
      <c r="J32" s="61">
        <f>SUMIF(D5:D21,H32,N5:N21)</f>
        <v>0</v>
      </c>
      <c r="K32" s="62">
        <f t="shared" ref="K32:K35" si="9">+J32-I32</f>
        <v>0</v>
      </c>
    </row>
    <row r="33" spans="3:11">
      <c r="H33" s="57" t="s">
        <v>58</v>
      </c>
      <c r="I33" s="60">
        <f>SUMIF(D6:D21,H33,M6:M21)</f>
        <v>0</v>
      </c>
      <c r="J33" s="61">
        <f>SUMIF(D6:D21,H33,N6:N21)</f>
        <v>0</v>
      </c>
      <c r="K33" s="62">
        <f t="shared" si="9"/>
        <v>0</v>
      </c>
    </row>
    <row r="34" spans="3:11">
      <c r="H34" s="57" t="s">
        <v>57</v>
      </c>
      <c r="I34" s="60">
        <f>SUMIF(D7:D21,H34,M7:M21)</f>
        <v>0</v>
      </c>
      <c r="J34" s="61">
        <f>SUMIF(D7:D21,H34,N7:N21)</f>
        <v>0</v>
      </c>
      <c r="K34" s="62">
        <f t="shared" si="9"/>
        <v>0</v>
      </c>
    </row>
    <row r="35" spans="3:11">
      <c r="H35" s="58" t="s">
        <v>59</v>
      </c>
      <c r="I35" s="63">
        <f>SUMIF(D8:D21,H35,M8:M21)</f>
        <v>0</v>
      </c>
      <c r="J35" s="64">
        <f>SUMIF(D8:D21,H35,N8:N21)</f>
        <v>0</v>
      </c>
      <c r="K35" s="65">
        <f t="shared" si="9"/>
        <v>0</v>
      </c>
    </row>
    <row r="39" spans="3:11">
      <c r="C39" s="38"/>
    </row>
  </sheetData>
  <autoFilter ref="A3:D23"/>
  <sortState ref="A4:P84">
    <sortCondition ref="C4:C84"/>
  </sortState>
  <mergeCells count="1">
    <mergeCell ref="B22:C22"/>
  </mergeCells>
  <dataValidations count="5">
    <dataValidation type="list" allowBlank="1" showInputMessage="1" showErrorMessage="1" sqref="D4:D21">
      <formula1>#REF!</formula1>
    </dataValidation>
    <dataValidation type="list" allowBlank="1" showInputMessage="1" showErrorMessage="1" sqref="D6">
      <formula1>H29:H35</formula1>
    </dataValidation>
    <dataValidation type="list" allowBlank="1" showInputMessage="1" showErrorMessage="1" sqref="D14:D21">
      <formula1>H36:H42</formula1>
    </dataValidation>
    <dataValidation type="list" allowBlank="1" showInputMessage="1" showErrorMessage="1" sqref="D7:D13">
      <formula1>H30:H35</formula1>
    </dataValidation>
    <dataValidation type="list" allowBlank="1" showInputMessage="1" showErrorMessage="1" sqref="A4:A23">
      <formula1>"SI,NO"</formula1>
    </dataValidation>
  </dataValidations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G201"/>
  <sheetViews>
    <sheetView workbookViewId="0">
      <pane ySplit="3" topLeftCell="A4" activePane="bottomLeft" state="frozen"/>
      <selection pane="bottomLeft" activeCell="I20" sqref="I20"/>
    </sheetView>
  </sheetViews>
  <sheetFormatPr baseColWidth="10" defaultRowHeight="15"/>
  <cols>
    <col min="1" max="1" width="13.8554687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hidden="1" customWidth="1"/>
    <col min="7" max="7" width="12.42578125" bestFit="1" customWidth="1"/>
    <col min="11" max="11" width="12" customWidth="1"/>
  </cols>
  <sheetData>
    <row r="3" spans="1:7" ht="15.75" thickBot="1">
      <c r="A3" s="2" t="s">
        <v>0</v>
      </c>
      <c r="B3" s="2" t="s">
        <v>1</v>
      </c>
      <c r="C3" s="2" t="s">
        <v>7</v>
      </c>
      <c r="D3" s="2" t="s">
        <v>2</v>
      </c>
      <c r="E3" s="2" t="s">
        <v>3</v>
      </c>
      <c r="F3" s="2" t="s">
        <v>8</v>
      </c>
      <c r="G3" s="2" t="s">
        <v>9</v>
      </c>
    </row>
    <row r="4" spans="1:7">
      <c r="A4" s="4" t="e">
        <f ca="1">OFFSET(Cartera!A$1,MATCH(B4,Cartera!C:C,0) - 1, 1)</f>
        <v>#N/A</v>
      </c>
      <c r="C4" s="41"/>
      <c r="D4" s="1"/>
      <c r="E4" s="27" t="e">
        <f ca="1">INDEX(VLs!$1:$1048576,MATCH(A4,VLs!B:B,0),MATCH(D4,VLs!$3:$3,0))</f>
        <v>#N/A</v>
      </c>
      <c r="F4" s="30"/>
      <c r="G4" s="27" t="e">
        <f t="shared" ref="G4:G67" ca="1" si="0">(C4*E4)+F4</f>
        <v>#N/A</v>
      </c>
    </row>
    <row r="5" spans="1:7">
      <c r="A5" s="4" t="e">
        <f ca="1">OFFSET(Cartera!A$1,MATCH(B5,Cartera!C:C,0) - 1, 1)</f>
        <v>#N/A</v>
      </c>
      <c r="C5" s="41"/>
      <c r="D5" s="1"/>
      <c r="E5" s="27" t="e">
        <f ca="1">INDEX(VLs!$1:$1048576,MATCH(A5,VLs!B:B,0),MATCH(D5,VLs!$3:$3,0))</f>
        <v>#N/A</v>
      </c>
      <c r="F5" s="30"/>
      <c r="G5" s="27" t="e">
        <f t="shared" ca="1" si="0"/>
        <v>#N/A</v>
      </c>
    </row>
    <row r="6" spans="1:7">
      <c r="A6" s="4" t="e">
        <f ca="1">OFFSET(Cartera!A$1,MATCH(B6,Cartera!C:C,0) - 1, 1)</f>
        <v>#N/A</v>
      </c>
      <c r="C6" s="41"/>
      <c r="D6" s="1"/>
      <c r="E6" s="27" t="e">
        <f ca="1">INDEX(VLs!$1:$1048576,MATCH(A6,VLs!B:B,0),MATCH(D6,VLs!$3:$3,0))</f>
        <v>#N/A</v>
      </c>
      <c r="F6" s="30"/>
      <c r="G6" s="27" t="e">
        <f t="shared" ca="1" si="0"/>
        <v>#N/A</v>
      </c>
    </row>
    <row r="7" spans="1:7">
      <c r="A7" s="4" t="e">
        <f ca="1">OFFSET(Cartera!A$1,MATCH(B7,Cartera!C:C,0) - 1, 1)</f>
        <v>#N/A</v>
      </c>
      <c r="C7" s="41"/>
      <c r="D7" s="1"/>
      <c r="E7" s="27" t="e">
        <f ca="1">INDEX(VLs!$1:$1048576,MATCH(A7,VLs!B:B,0),MATCH(D7,VLs!$3:$3,0))</f>
        <v>#N/A</v>
      </c>
      <c r="F7" s="30"/>
      <c r="G7" s="27" t="e">
        <f t="shared" ca="1" si="0"/>
        <v>#N/A</v>
      </c>
    </row>
    <row r="8" spans="1:7">
      <c r="A8" s="4" t="e">
        <f ca="1">OFFSET(Cartera!A$1,MATCH(B8,Cartera!C:C,0) - 1, 1)</f>
        <v>#N/A</v>
      </c>
      <c r="C8" s="41"/>
      <c r="D8" s="1"/>
      <c r="E8" s="27" t="e">
        <f ca="1">INDEX(VLs!$1:$1048576,MATCH(A8,VLs!B:B,0),MATCH(D8,VLs!$3:$3,0))</f>
        <v>#N/A</v>
      </c>
      <c r="F8" s="30"/>
      <c r="G8" s="27" t="e">
        <f t="shared" ca="1" si="0"/>
        <v>#N/A</v>
      </c>
    </row>
    <row r="9" spans="1:7">
      <c r="A9" s="4" t="e">
        <f ca="1">OFFSET(Cartera!A$1,MATCH(B9,Cartera!C:C,0) - 1, 1)</f>
        <v>#N/A</v>
      </c>
      <c r="C9" s="41"/>
      <c r="D9" s="1"/>
      <c r="E9" s="27" t="e">
        <f ca="1">INDEX(VLs!$1:$1048576,MATCH(A9,VLs!B:B,0),MATCH(D9,VLs!$3:$3,0))</f>
        <v>#N/A</v>
      </c>
      <c r="F9" s="30"/>
      <c r="G9" s="27" t="e">
        <f t="shared" ca="1" si="0"/>
        <v>#N/A</v>
      </c>
    </row>
    <row r="10" spans="1:7">
      <c r="A10" s="4" t="e">
        <f ca="1">OFFSET(Cartera!A$1,MATCH(B10,Cartera!C:C,0) - 1, 1)</f>
        <v>#N/A</v>
      </c>
      <c r="C10" s="41"/>
      <c r="D10" s="1"/>
      <c r="E10" s="27" t="e">
        <f ca="1">INDEX(VLs!$1:$1048576,MATCH(A10,VLs!B:B,0),MATCH(D10,VLs!$3:$3,0))</f>
        <v>#N/A</v>
      </c>
      <c r="F10" s="30"/>
      <c r="G10" s="27" t="e">
        <f t="shared" ca="1" si="0"/>
        <v>#N/A</v>
      </c>
    </row>
    <row r="11" spans="1:7">
      <c r="A11" s="4" t="e">
        <f ca="1">OFFSET(Cartera!A$1,MATCH(B11,Cartera!C:C,0) - 1, 1)</f>
        <v>#N/A</v>
      </c>
      <c r="C11" s="41"/>
      <c r="D11" s="1"/>
      <c r="E11" s="27" t="e">
        <f ca="1">INDEX(VLs!$1:$1048576,MATCH(A11,VLs!B:B,0),MATCH(D11,VLs!$3:$3,0))</f>
        <v>#N/A</v>
      </c>
      <c r="F11" s="30"/>
      <c r="G11" s="27" t="e">
        <f t="shared" ca="1" si="0"/>
        <v>#N/A</v>
      </c>
    </row>
    <row r="12" spans="1:7">
      <c r="A12" s="4" t="e">
        <f ca="1">OFFSET(Cartera!A$1,MATCH(B12,Cartera!C:C,0) - 1, 1)</f>
        <v>#N/A</v>
      </c>
      <c r="C12" s="41"/>
      <c r="D12" s="1"/>
      <c r="E12" s="27" t="e">
        <f ca="1">INDEX(VLs!$1:$1048576,MATCH(A12,VLs!B:B,0),MATCH(D12,VLs!$3:$3,0))</f>
        <v>#N/A</v>
      </c>
      <c r="F12" s="30"/>
      <c r="G12" s="27" t="e">
        <f t="shared" ca="1" si="0"/>
        <v>#N/A</v>
      </c>
    </row>
    <row r="13" spans="1:7">
      <c r="A13" s="4" t="e">
        <f ca="1">OFFSET(Cartera!A$1,MATCH(B13,Cartera!C:C,0) - 1, 1)</f>
        <v>#N/A</v>
      </c>
      <c r="C13" s="41"/>
      <c r="D13" s="1"/>
      <c r="E13" s="27" t="e">
        <f ca="1">INDEX(VLs!$1:$1048576,MATCH(A13,VLs!B:B,0),MATCH(D13,VLs!$3:$3,0))</f>
        <v>#N/A</v>
      </c>
      <c r="F13" s="30"/>
      <c r="G13" s="27" t="e">
        <f t="shared" ca="1" si="0"/>
        <v>#N/A</v>
      </c>
    </row>
    <row r="14" spans="1:7">
      <c r="A14" s="4" t="e">
        <f ca="1">OFFSET(Cartera!A$1,MATCH(B14,Cartera!C:C,0) - 1, 1)</f>
        <v>#N/A</v>
      </c>
      <c r="C14" s="41"/>
      <c r="D14" s="1"/>
      <c r="E14" s="27" t="e">
        <f ca="1">INDEX(VLs!$1:$1048576,MATCH(A14,VLs!B:B,0),MATCH(D14,VLs!$3:$3,0))</f>
        <v>#N/A</v>
      </c>
      <c r="F14" s="30"/>
      <c r="G14" s="27" t="e">
        <f t="shared" ca="1" si="0"/>
        <v>#N/A</v>
      </c>
    </row>
    <row r="15" spans="1:7">
      <c r="A15" s="4" t="e">
        <f ca="1">OFFSET(Cartera!A$1,MATCH(B15,Cartera!C:C,0) - 1, 1)</f>
        <v>#N/A</v>
      </c>
      <c r="C15" s="41"/>
      <c r="D15" s="1"/>
      <c r="E15" s="27" t="e">
        <f ca="1">INDEX(VLs!$1:$1048576,MATCH(A15,VLs!B:B,0),MATCH(D15,VLs!$3:$3,0))</f>
        <v>#N/A</v>
      </c>
      <c r="F15" s="30"/>
      <c r="G15" s="27" t="e">
        <f t="shared" ca="1" si="0"/>
        <v>#N/A</v>
      </c>
    </row>
    <row r="16" spans="1:7">
      <c r="A16" s="4" t="e">
        <f ca="1">OFFSET(Cartera!A$1,MATCH(B16,Cartera!C:C,0) - 1, 1)</f>
        <v>#N/A</v>
      </c>
      <c r="C16" s="41"/>
      <c r="D16" s="1"/>
      <c r="E16" s="27" t="e">
        <f ca="1">INDEX(VLs!$1:$1048576,MATCH(A16,VLs!B:B,0),MATCH(D16,VLs!$3:$3,0))</f>
        <v>#N/A</v>
      </c>
      <c r="F16" s="30"/>
      <c r="G16" s="27" t="e">
        <f t="shared" ca="1" si="0"/>
        <v>#N/A</v>
      </c>
    </row>
    <row r="17" spans="1:7">
      <c r="A17" s="4" t="e">
        <f ca="1">OFFSET(Cartera!A$1,MATCH(B17,Cartera!C:C,0) - 1, 1)</f>
        <v>#N/A</v>
      </c>
      <c r="C17" s="41"/>
      <c r="D17" s="1"/>
      <c r="E17" s="27" t="e">
        <f ca="1">INDEX(VLs!$1:$1048576,MATCH(A17,VLs!B:B,0),MATCH(D17,VLs!$3:$3,0))</f>
        <v>#N/A</v>
      </c>
      <c r="F17" s="30"/>
      <c r="G17" s="27" t="e">
        <f t="shared" ca="1" si="0"/>
        <v>#N/A</v>
      </c>
    </row>
    <row r="18" spans="1:7">
      <c r="A18" s="4" t="e">
        <f ca="1">OFFSET(Cartera!A$1,MATCH(B18,Cartera!C:C,0) - 1, 1)</f>
        <v>#N/A</v>
      </c>
      <c r="C18" s="41"/>
      <c r="D18" s="1"/>
      <c r="E18" s="27" t="e">
        <f ca="1">INDEX(VLs!$1:$1048576,MATCH(A18,VLs!B:B,0),MATCH(D18,VLs!$3:$3,0))</f>
        <v>#N/A</v>
      </c>
      <c r="F18" s="30"/>
      <c r="G18" s="27" t="e">
        <f t="shared" ca="1" si="0"/>
        <v>#N/A</v>
      </c>
    </row>
    <row r="19" spans="1:7">
      <c r="A19" s="4" t="e">
        <f ca="1">OFFSET(Cartera!A$1,MATCH(B19,Cartera!C:C,0) - 1, 1)</f>
        <v>#N/A</v>
      </c>
      <c r="C19" s="41"/>
      <c r="D19" s="1"/>
      <c r="E19" s="27" t="e">
        <f ca="1">INDEX(VLs!$1:$1048576,MATCH(A19,VLs!B:B,0),MATCH(D19,VLs!$3:$3,0))</f>
        <v>#N/A</v>
      </c>
      <c r="F19" s="30"/>
      <c r="G19" s="27" t="e">
        <f t="shared" ca="1" si="0"/>
        <v>#N/A</v>
      </c>
    </row>
    <row r="20" spans="1:7">
      <c r="A20" s="4" t="e">
        <f ca="1">OFFSET(Cartera!A$1,MATCH(B20,Cartera!C:C,0) - 1, 1)</f>
        <v>#N/A</v>
      </c>
      <c r="C20" s="41"/>
      <c r="D20" s="1"/>
      <c r="E20" s="27" t="e">
        <f ca="1">INDEX(VLs!$1:$1048576,MATCH(A20,VLs!B:B,0),MATCH(D20,VLs!$3:$3,0))</f>
        <v>#N/A</v>
      </c>
      <c r="F20" s="30"/>
      <c r="G20" s="27" t="e">
        <f t="shared" ca="1" si="0"/>
        <v>#N/A</v>
      </c>
    </row>
    <row r="21" spans="1:7">
      <c r="A21" s="4" t="e">
        <f ca="1">OFFSET(Cartera!A$1,MATCH(B21,Cartera!C:C,0) - 1, 1)</f>
        <v>#N/A</v>
      </c>
      <c r="C21" s="41"/>
      <c r="D21" s="1"/>
      <c r="E21" s="27" t="e">
        <f ca="1">INDEX(VLs!$1:$1048576,MATCH(A21,VLs!B:B,0),MATCH(D21,VLs!$3:$3,0))</f>
        <v>#N/A</v>
      </c>
      <c r="F21" s="30"/>
      <c r="G21" s="27" t="e">
        <f t="shared" ca="1" si="0"/>
        <v>#N/A</v>
      </c>
    </row>
    <row r="22" spans="1:7">
      <c r="A22" s="4" t="e">
        <f ca="1">OFFSET(Cartera!A$1,MATCH(B22,Cartera!C:C,0) - 1, 1)</f>
        <v>#N/A</v>
      </c>
      <c r="C22" s="41"/>
      <c r="D22" s="1"/>
      <c r="E22" s="27" t="e">
        <f ca="1">INDEX(VLs!$1:$1048576,MATCH(A22,VLs!B:B,0),MATCH(D22,VLs!$3:$3,0))</f>
        <v>#N/A</v>
      </c>
      <c r="F22" s="30"/>
      <c r="G22" s="27" t="e">
        <f t="shared" ca="1" si="0"/>
        <v>#N/A</v>
      </c>
    </row>
    <row r="23" spans="1:7">
      <c r="A23" s="4" t="e">
        <f ca="1">OFFSET(Cartera!A$1,MATCH(B23,Cartera!C:C,0) - 1, 1)</f>
        <v>#N/A</v>
      </c>
      <c r="C23" s="41"/>
      <c r="D23" s="1"/>
      <c r="E23" s="27" t="e">
        <f ca="1">INDEX(VLs!$1:$1048576,MATCH(A23,VLs!B:B,0),MATCH(D23,VLs!$3:$3,0))</f>
        <v>#N/A</v>
      </c>
      <c r="F23" s="30"/>
      <c r="G23" s="27" t="e">
        <f t="shared" ca="1" si="0"/>
        <v>#N/A</v>
      </c>
    </row>
    <row r="24" spans="1:7">
      <c r="A24" s="4" t="e">
        <f ca="1">OFFSET(Cartera!A$1,MATCH(B24,Cartera!C:C,0) - 1, 1)</f>
        <v>#N/A</v>
      </c>
      <c r="C24" s="41"/>
      <c r="D24" s="1"/>
      <c r="E24" s="27" t="e">
        <f ca="1">INDEX(VLs!$1:$1048576,MATCH(A24,VLs!B:B,0),MATCH(D24,VLs!$3:$3,0))</f>
        <v>#N/A</v>
      </c>
      <c r="F24" s="30"/>
      <c r="G24" s="27" t="e">
        <f t="shared" ca="1" si="0"/>
        <v>#N/A</v>
      </c>
    </row>
    <row r="25" spans="1:7">
      <c r="A25" s="4" t="e">
        <f ca="1">OFFSET(Cartera!A$1,MATCH(B25,Cartera!C:C,0) - 1, 1)</f>
        <v>#N/A</v>
      </c>
      <c r="C25" s="41"/>
      <c r="D25" s="1"/>
      <c r="E25" s="27" t="e">
        <f ca="1">INDEX(VLs!$1:$1048576,MATCH(A25,VLs!B:B,0),MATCH(D25,VLs!$3:$3,0))</f>
        <v>#N/A</v>
      </c>
      <c r="F25" s="30"/>
      <c r="G25" s="27" t="e">
        <f t="shared" ca="1" si="0"/>
        <v>#N/A</v>
      </c>
    </row>
    <row r="26" spans="1:7">
      <c r="A26" s="4" t="e">
        <f ca="1">OFFSET(Cartera!A$1,MATCH(B26,Cartera!C:C,0) - 1, 1)</f>
        <v>#N/A</v>
      </c>
      <c r="C26" s="41"/>
      <c r="D26" s="1"/>
      <c r="E26" s="27" t="e">
        <f ca="1">INDEX(VLs!$1:$1048576,MATCH(A26,VLs!B:B,0),MATCH(D26,VLs!$3:$3,0))</f>
        <v>#N/A</v>
      </c>
      <c r="F26" s="30"/>
      <c r="G26" s="27" t="e">
        <f t="shared" ca="1" si="0"/>
        <v>#N/A</v>
      </c>
    </row>
    <row r="27" spans="1:7">
      <c r="A27" s="4" t="e">
        <f ca="1">OFFSET(Cartera!A$1,MATCH(B27,Cartera!C:C,0) - 1, 1)</f>
        <v>#N/A</v>
      </c>
      <c r="C27" s="41"/>
      <c r="D27" s="1"/>
      <c r="E27" s="27" t="e">
        <f ca="1">INDEX(VLs!$1:$1048576,MATCH(A27,VLs!B:B,0),MATCH(D27,VLs!$3:$3,0))</f>
        <v>#N/A</v>
      </c>
      <c r="F27" s="30"/>
      <c r="G27" s="27" t="e">
        <f t="shared" ca="1" si="0"/>
        <v>#N/A</v>
      </c>
    </row>
    <row r="28" spans="1:7">
      <c r="A28" s="4" t="e">
        <f ca="1">OFFSET(Cartera!A$1,MATCH(B28,Cartera!C:C,0) - 1, 1)</f>
        <v>#N/A</v>
      </c>
      <c r="C28" s="41"/>
      <c r="D28" s="1"/>
      <c r="E28" s="27" t="e">
        <f ca="1">INDEX(VLs!$1:$1048576,MATCH(A28,VLs!B:B,0),MATCH(D28,VLs!$3:$3,0))</f>
        <v>#N/A</v>
      </c>
      <c r="F28" s="30"/>
      <c r="G28" s="27" t="e">
        <f t="shared" ca="1" si="0"/>
        <v>#N/A</v>
      </c>
    </row>
    <row r="29" spans="1:7">
      <c r="A29" s="4" t="e">
        <f ca="1">OFFSET(Cartera!A$1,MATCH(B29,Cartera!C:C,0) - 1, 1)</f>
        <v>#N/A</v>
      </c>
      <c r="C29" s="41"/>
      <c r="D29" s="1"/>
      <c r="E29" s="27" t="e">
        <f ca="1">INDEX(VLs!$1:$1048576,MATCH(A29,VLs!B:B,0),MATCH(D29,VLs!$3:$3,0))</f>
        <v>#N/A</v>
      </c>
      <c r="F29" s="30"/>
      <c r="G29" s="27" t="e">
        <f t="shared" ca="1" si="0"/>
        <v>#N/A</v>
      </c>
    </row>
    <row r="30" spans="1:7">
      <c r="A30" s="4" t="e">
        <f ca="1">OFFSET(Cartera!A$1,MATCH(B30,Cartera!C:C,0) - 1, 1)</f>
        <v>#N/A</v>
      </c>
      <c r="C30" s="41"/>
      <c r="D30" s="1"/>
      <c r="E30" s="27" t="e">
        <f ca="1">INDEX(VLs!$1:$1048576,MATCH(A30,VLs!B:B,0),MATCH(D30,VLs!$3:$3,0))</f>
        <v>#N/A</v>
      </c>
      <c r="F30" s="30"/>
      <c r="G30" s="27" t="e">
        <f t="shared" ca="1" si="0"/>
        <v>#N/A</v>
      </c>
    </row>
    <row r="31" spans="1:7">
      <c r="A31" s="4" t="e">
        <f ca="1">OFFSET(Cartera!A$1,MATCH(B31,Cartera!C:C,0) - 1, 1)</f>
        <v>#N/A</v>
      </c>
      <c r="C31" s="41"/>
      <c r="D31" s="1"/>
      <c r="E31" s="27" t="e">
        <f ca="1">INDEX(VLs!$1:$1048576,MATCH(A31,VLs!B:B,0),MATCH(D31,VLs!$3:$3,0))</f>
        <v>#N/A</v>
      </c>
      <c r="F31" s="30"/>
      <c r="G31" s="27" t="e">
        <f t="shared" ca="1" si="0"/>
        <v>#N/A</v>
      </c>
    </row>
    <row r="32" spans="1:7">
      <c r="A32" s="4" t="e">
        <f ca="1">OFFSET(Cartera!A$1,MATCH(B32,Cartera!C:C,0) - 1, 1)</f>
        <v>#N/A</v>
      </c>
      <c r="C32" s="41"/>
      <c r="D32" s="1"/>
      <c r="E32" s="27" t="e">
        <f ca="1">INDEX(VLs!$1:$1048576,MATCH(A32,VLs!B:B,0),MATCH(D32,VLs!$3:$3,0))</f>
        <v>#N/A</v>
      </c>
      <c r="F32" s="30"/>
      <c r="G32" s="27" t="e">
        <f t="shared" ca="1" si="0"/>
        <v>#N/A</v>
      </c>
    </row>
    <row r="33" spans="1:7">
      <c r="A33" s="4" t="e">
        <f ca="1">OFFSET(Cartera!A$1,MATCH(B33,Cartera!C:C,0) - 1, 1)</f>
        <v>#N/A</v>
      </c>
      <c r="C33" s="41"/>
      <c r="D33" s="1"/>
      <c r="E33" s="27" t="e">
        <f ca="1">INDEX(VLs!$1:$1048576,MATCH(A33,VLs!B:B,0),MATCH(D33,VLs!$3:$3,0))</f>
        <v>#N/A</v>
      </c>
      <c r="F33" s="30"/>
      <c r="G33" s="27" t="e">
        <f t="shared" ca="1" si="0"/>
        <v>#N/A</v>
      </c>
    </row>
    <row r="34" spans="1:7">
      <c r="A34" s="4" t="e">
        <f ca="1">OFFSET(Cartera!A$1,MATCH(B34,Cartera!C:C,0) - 1, 1)</f>
        <v>#N/A</v>
      </c>
      <c r="C34" s="41"/>
      <c r="D34" s="1"/>
      <c r="E34" s="27" t="e">
        <f ca="1">INDEX(VLs!$1:$1048576,MATCH(A34,VLs!B:B,0),MATCH(D34,VLs!$3:$3,0))</f>
        <v>#N/A</v>
      </c>
      <c r="F34" s="30"/>
      <c r="G34" s="27" t="e">
        <f t="shared" ca="1" si="0"/>
        <v>#N/A</v>
      </c>
    </row>
    <row r="35" spans="1:7">
      <c r="A35" s="4" t="e">
        <f ca="1">OFFSET(Cartera!A$1,MATCH(B35,Cartera!C:C,0) - 1, 1)</f>
        <v>#N/A</v>
      </c>
      <c r="C35" s="41"/>
      <c r="D35" s="1"/>
      <c r="E35" s="27" t="e">
        <f ca="1">INDEX(VLs!$1:$1048576,MATCH(A35,VLs!B:B,0),MATCH(D35,VLs!$3:$3,0))</f>
        <v>#N/A</v>
      </c>
      <c r="F35" s="30"/>
      <c r="G35" s="27" t="e">
        <f t="shared" ca="1" si="0"/>
        <v>#N/A</v>
      </c>
    </row>
    <row r="36" spans="1:7">
      <c r="A36" s="4" t="e">
        <f ca="1">OFFSET(Cartera!A$1,MATCH(B36,Cartera!C:C,0) - 1, 1)</f>
        <v>#N/A</v>
      </c>
      <c r="C36" s="41"/>
      <c r="D36" s="1"/>
      <c r="E36" s="27" t="e">
        <f ca="1">INDEX(VLs!$1:$1048576,MATCH(A36,VLs!B:B,0),MATCH(D36,VLs!$3:$3,0))</f>
        <v>#N/A</v>
      </c>
      <c r="F36" s="30"/>
      <c r="G36" s="27" t="e">
        <f t="shared" ca="1" si="0"/>
        <v>#N/A</v>
      </c>
    </row>
    <row r="37" spans="1:7">
      <c r="A37" s="4" t="e">
        <f ca="1">OFFSET(Cartera!A$1,MATCH(B37,Cartera!C:C,0) - 1, 1)</f>
        <v>#N/A</v>
      </c>
      <c r="C37" s="41"/>
      <c r="D37" s="1"/>
      <c r="E37" s="27" t="e">
        <f ca="1">INDEX(VLs!$1:$1048576,MATCH(A37,VLs!B:B,0),MATCH(D37,VLs!$3:$3,0))</f>
        <v>#N/A</v>
      </c>
      <c r="F37" s="30"/>
      <c r="G37" s="27" t="e">
        <f t="shared" ca="1" si="0"/>
        <v>#N/A</v>
      </c>
    </row>
    <row r="38" spans="1:7">
      <c r="A38" s="4" t="e">
        <f ca="1">OFFSET(Cartera!A$1,MATCH(B38,Cartera!C:C,0) - 1, 1)</f>
        <v>#N/A</v>
      </c>
      <c r="C38" s="41"/>
      <c r="D38" s="1"/>
      <c r="E38" s="27" t="e">
        <f ca="1">INDEX(VLs!$1:$1048576,MATCH(A38,VLs!B:B,0),MATCH(D38,VLs!$3:$3,0))</f>
        <v>#N/A</v>
      </c>
      <c r="F38" s="30"/>
      <c r="G38" s="27" t="e">
        <f t="shared" ca="1" si="0"/>
        <v>#N/A</v>
      </c>
    </row>
    <row r="39" spans="1:7">
      <c r="A39" s="4" t="e">
        <f ca="1">OFFSET(Cartera!A$1,MATCH(B39,Cartera!C:C,0) - 1, 1)</f>
        <v>#N/A</v>
      </c>
      <c r="C39" s="41"/>
      <c r="D39" s="1"/>
      <c r="E39" s="27" t="e">
        <f ca="1">INDEX(VLs!$1:$1048576,MATCH(A39,VLs!B:B,0),MATCH(D39,VLs!$3:$3,0))</f>
        <v>#N/A</v>
      </c>
      <c r="F39" s="30"/>
      <c r="G39" s="27" t="e">
        <f t="shared" ca="1" si="0"/>
        <v>#N/A</v>
      </c>
    </row>
    <row r="40" spans="1:7">
      <c r="A40" s="4" t="e">
        <f ca="1">OFFSET(Cartera!A$1,MATCH(B40,Cartera!C:C,0) - 1, 1)</f>
        <v>#N/A</v>
      </c>
      <c r="C40" s="41"/>
      <c r="D40" s="1"/>
      <c r="E40" s="27" t="e">
        <f ca="1">INDEX(VLs!$1:$1048576,MATCH(A40,VLs!B:B,0),MATCH(D40,VLs!$3:$3,0))</f>
        <v>#N/A</v>
      </c>
      <c r="F40" s="30"/>
      <c r="G40" s="27" t="e">
        <f t="shared" ca="1" si="0"/>
        <v>#N/A</v>
      </c>
    </row>
    <row r="41" spans="1:7">
      <c r="A41" s="4" t="e">
        <f ca="1">OFFSET(Cartera!A$1,MATCH(B41,Cartera!C:C,0) - 1, 1)</f>
        <v>#N/A</v>
      </c>
      <c r="C41" s="41"/>
      <c r="D41" s="1"/>
      <c r="E41" s="27" t="e">
        <f ca="1">INDEX(VLs!$1:$1048576,MATCH(A41,VLs!B:B,0),MATCH(D41,VLs!$3:$3,0))</f>
        <v>#N/A</v>
      </c>
      <c r="F41" s="30"/>
      <c r="G41" s="27" t="e">
        <f t="shared" ca="1" si="0"/>
        <v>#N/A</v>
      </c>
    </row>
    <row r="42" spans="1:7">
      <c r="A42" s="4" t="e">
        <f ca="1">OFFSET(Cartera!A$1,MATCH(B42,Cartera!C:C,0) - 1, 1)</f>
        <v>#N/A</v>
      </c>
      <c r="C42" s="41"/>
      <c r="D42" s="1"/>
      <c r="E42" s="27" t="e">
        <f ca="1">INDEX(VLs!$1:$1048576,MATCH(A42,VLs!B:B,0),MATCH(D42,VLs!$3:$3,0))</f>
        <v>#N/A</v>
      </c>
      <c r="F42" s="30"/>
      <c r="G42" s="27" t="e">
        <f t="shared" ca="1" si="0"/>
        <v>#N/A</v>
      </c>
    </row>
    <row r="43" spans="1:7">
      <c r="A43" s="4" t="e">
        <f ca="1">OFFSET(Cartera!A$1,MATCH(B43,Cartera!C:C,0) - 1, 1)</f>
        <v>#N/A</v>
      </c>
      <c r="C43" s="41"/>
      <c r="D43" s="1"/>
      <c r="E43" s="27" t="e">
        <f ca="1">INDEX(VLs!$1:$1048576,MATCH(A43,VLs!B:B,0),MATCH(D43,VLs!$3:$3,0))</f>
        <v>#N/A</v>
      </c>
      <c r="F43" s="30"/>
      <c r="G43" s="27" t="e">
        <f t="shared" ca="1" si="0"/>
        <v>#N/A</v>
      </c>
    </row>
    <row r="44" spans="1:7">
      <c r="A44" s="4" t="e">
        <f ca="1">OFFSET(Cartera!A$1,MATCH(B44,Cartera!C:C,0) - 1, 1)</f>
        <v>#N/A</v>
      </c>
      <c r="C44" s="41"/>
      <c r="D44" s="1"/>
      <c r="E44" s="27" t="e">
        <f ca="1">INDEX(VLs!$1:$1048576,MATCH(A44,VLs!B:B,0),MATCH(D44,VLs!$3:$3,0))</f>
        <v>#N/A</v>
      </c>
      <c r="F44" s="30"/>
      <c r="G44" s="27" t="e">
        <f t="shared" ca="1" si="0"/>
        <v>#N/A</v>
      </c>
    </row>
    <row r="45" spans="1:7">
      <c r="A45" s="4" t="e">
        <f ca="1">OFFSET(Cartera!A$1,MATCH(B45,Cartera!C:C,0) - 1, 1)</f>
        <v>#N/A</v>
      </c>
      <c r="C45" s="41"/>
      <c r="D45" s="1"/>
      <c r="E45" s="27" t="e">
        <f ca="1">INDEX(VLs!$1:$1048576,MATCH(A45,VLs!B:B,0),MATCH(D45,VLs!$3:$3,0))</f>
        <v>#N/A</v>
      </c>
      <c r="F45" s="30"/>
      <c r="G45" s="27" t="e">
        <f t="shared" ca="1" si="0"/>
        <v>#N/A</v>
      </c>
    </row>
    <row r="46" spans="1:7">
      <c r="A46" s="4" t="e">
        <f ca="1">OFFSET(Cartera!A$1,MATCH(B46,Cartera!C:C,0) - 1, 1)</f>
        <v>#N/A</v>
      </c>
      <c r="C46" s="41"/>
      <c r="D46" s="1"/>
      <c r="E46" s="27" t="e">
        <f ca="1">INDEX(VLs!$1:$1048576,MATCH(A46,VLs!B:B,0),MATCH(D46,VLs!$3:$3,0))</f>
        <v>#N/A</v>
      </c>
      <c r="F46" s="30"/>
      <c r="G46" s="27" t="e">
        <f t="shared" ca="1" si="0"/>
        <v>#N/A</v>
      </c>
    </row>
    <row r="47" spans="1:7">
      <c r="A47" s="4" t="e">
        <f ca="1">OFFSET(Cartera!A$1,MATCH(B47,Cartera!C:C,0) - 1, 1)</f>
        <v>#N/A</v>
      </c>
      <c r="C47" s="41"/>
      <c r="D47" s="1"/>
      <c r="E47" s="27" t="e">
        <f ca="1">INDEX(VLs!$1:$1048576,MATCH(A47,VLs!B:B,0),MATCH(D47,VLs!$3:$3,0))</f>
        <v>#N/A</v>
      </c>
      <c r="F47" s="30"/>
      <c r="G47" s="27" t="e">
        <f t="shared" ca="1" si="0"/>
        <v>#N/A</v>
      </c>
    </row>
    <row r="48" spans="1:7">
      <c r="A48" s="4" t="e">
        <f ca="1">OFFSET(Cartera!A$1,MATCH(B48,Cartera!C:C,0) - 1, 1)</f>
        <v>#N/A</v>
      </c>
      <c r="C48" s="41"/>
      <c r="D48" s="1"/>
      <c r="E48" s="27" t="e">
        <f ca="1">INDEX(VLs!$1:$1048576,MATCH(A48,VLs!B:B,0),MATCH(D48,VLs!$3:$3,0))</f>
        <v>#N/A</v>
      </c>
      <c r="F48" s="30"/>
      <c r="G48" s="27" t="e">
        <f t="shared" ca="1" si="0"/>
        <v>#N/A</v>
      </c>
    </row>
    <row r="49" spans="1:7">
      <c r="A49" s="4" t="e">
        <f ca="1">OFFSET(Cartera!A$1,MATCH(B49,Cartera!C:C,0) - 1, 1)</f>
        <v>#N/A</v>
      </c>
      <c r="C49" s="41"/>
      <c r="D49" s="1"/>
      <c r="E49" s="27" t="e">
        <f ca="1">INDEX(VLs!$1:$1048576,MATCH(A49,VLs!B:B,0),MATCH(D49,VLs!$3:$3,0))</f>
        <v>#N/A</v>
      </c>
      <c r="F49" s="30"/>
      <c r="G49" s="27" t="e">
        <f t="shared" ca="1" si="0"/>
        <v>#N/A</v>
      </c>
    </row>
    <row r="50" spans="1:7">
      <c r="A50" s="4" t="e">
        <f ca="1">OFFSET(Cartera!A$1,MATCH(B50,Cartera!C:C,0) - 1, 1)</f>
        <v>#N/A</v>
      </c>
      <c r="C50" s="41"/>
      <c r="D50" s="1"/>
      <c r="E50" s="27" t="e">
        <f ca="1">INDEX(VLs!$1:$1048576,MATCH(A50,VLs!B:B,0),MATCH(D50,VLs!$3:$3,0))</f>
        <v>#N/A</v>
      </c>
      <c r="F50" s="30"/>
      <c r="G50" s="27" t="e">
        <f t="shared" ca="1" si="0"/>
        <v>#N/A</v>
      </c>
    </row>
    <row r="51" spans="1:7">
      <c r="A51" s="4" t="e">
        <f ca="1">OFFSET(Cartera!A$1,MATCH(B51,Cartera!C:C,0) - 1, 1)</f>
        <v>#N/A</v>
      </c>
      <c r="C51" s="41"/>
      <c r="D51" s="1"/>
      <c r="E51" s="27" t="e">
        <f ca="1">INDEX(VLs!$1:$1048576,MATCH(A51,VLs!B:B,0),MATCH(D51,VLs!$3:$3,0))</f>
        <v>#N/A</v>
      </c>
      <c r="F51" s="30"/>
      <c r="G51" s="27" t="e">
        <f t="shared" ca="1" si="0"/>
        <v>#N/A</v>
      </c>
    </row>
    <row r="52" spans="1:7">
      <c r="A52" s="4" t="e">
        <f ca="1">OFFSET(Cartera!A$1,MATCH(B52,Cartera!C:C,0) - 1, 1)</f>
        <v>#N/A</v>
      </c>
      <c r="C52" s="41"/>
      <c r="D52" s="1"/>
      <c r="E52" s="27" t="e">
        <f ca="1">INDEX(VLs!$1:$1048576,MATCH(A52,VLs!B:B,0),MATCH(D52,VLs!$3:$3,0))</f>
        <v>#N/A</v>
      </c>
      <c r="F52" s="30"/>
      <c r="G52" s="27" t="e">
        <f t="shared" ca="1" si="0"/>
        <v>#N/A</v>
      </c>
    </row>
    <row r="53" spans="1:7">
      <c r="A53" s="4" t="e">
        <f ca="1">OFFSET(Cartera!A$1,MATCH(B53,Cartera!C:C,0) - 1, 1)</f>
        <v>#N/A</v>
      </c>
      <c r="C53" s="41"/>
      <c r="D53" s="1"/>
      <c r="E53" s="27" t="e">
        <f ca="1">INDEX(VLs!$1:$1048576,MATCH(A53,VLs!B:B,0),MATCH(D53,VLs!$3:$3,0))</f>
        <v>#N/A</v>
      </c>
      <c r="F53" s="30"/>
      <c r="G53" s="27" t="e">
        <f t="shared" ca="1" si="0"/>
        <v>#N/A</v>
      </c>
    </row>
    <row r="54" spans="1:7">
      <c r="A54" s="4" t="e">
        <f ca="1">OFFSET(Cartera!A$1,MATCH(B54,Cartera!C:C,0) - 1, 1)</f>
        <v>#N/A</v>
      </c>
      <c r="C54" s="41"/>
      <c r="D54" s="1"/>
      <c r="E54" s="27" t="e">
        <f ca="1">INDEX(VLs!$1:$1048576,MATCH(A54,VLs!B:B,0),MATCH(D54,VLs!$3:$3,0))</f>
        <v>#N/A</v>
      </c>
      <c r="F54" s="30"/>
      <c r="G54" s="27" t="e">
        <f t="shared" ca="1" si="0"/>
        <v>#N/A</v>
      </c>
    </row>
    <row r="55" spans="1:7">
      <c r="A55" s="4" t="e">
        <f ca="1">OFFSET(Cartera!A$1,MATCH(B55,Cartera!C:C,0) - 1, 1)</f>
        <v>#N/A</v>
      </c>
      <c r="C55" s="41"/>
      <c r="D55" s="1"/>
      <c r="E55" s="27" t="e">
        <f ca="1">INDEX(VLs!$1:$1048576,MATCH(A55,VLs!B:B,0),MATCH(D55,VLs!$3:$3,0))</f>
        <v>#N/A</v>
      </c>
      <c r="F55" s="30"/>
      <c r="G55" s="27" t="e">
        <f t="shared" ca="1" si="0"/>
        <v>#N/A</v>
      </c>
    </row>
    <row r="56" spans="1:7">
      <c r="A56" s="4" t="e">
        <f ca="1">OFFSET(Cartera!A$1,MATCH(B56,Cartera!C:C,0) - 1, 1)</f>
        <v>#N/A</v>
      </c>
      <c r="C56" s="41"/>
      <c r="D56" s="1"/>
      <c r="E56" s="27" t="e">
        <f ca="1">INDEX(VLs!$1:$1048576,MATCH(A56,VLs!B:B,0),MATCH(D56,VLs!$3:$3,0))</f>
        <v>#N/A</v>
      </c>
      <c r="F56" s="30"/>
      <c r="G56" s="27" t="e">
        <f t="shared" ca="1" si="0"/>
        <v>#N/A</v>
      </c>
    </row>
    <row r="57" spans="1:7">
      <c r="A57" s="4" t="e">
        <f ca="1">OFFSET(Cartera!A$1,MATCH(B57,Cartera!C:C,0) - 1, 1)</f>
        <v>#N/A</v>
      </c>
      <c r="C57" s="41"/>
      <c r="D57" s="1"/>
      <c r="E57" s="27" t="e">
        <f ca="1">INDEX(VLs!$1:$1048576,MATCH(A57,VLs!B:B,0),MATCH(D57,VLs!$3:$3,0))</f>
        <v>#N/A</v>
      </c>
      <c r="F57" s="30"/>
      <c r="G57" s="27" t="e">
        <f t="shared" ca="1" si="0"/>
        <v>#N/A</v>
      </c>
    </row>
    <row r="58" spans="1:7">
      <c r="A58" s="4" t="e">
        <f ca="1">OFFSET(Cartera!A$1,MATCH(B58,Cartera!C:C,0) - 1, 1)</f>
        <v>#N/A</v>
      </c>
      <c r="C58" s="41"/>
      <c r="D58" s="1"/>
      <c r="E58" s="27" t="e">
        <f ca="1">INDEX(VLs!$1:$1048576,MATCH(A58,VLs!B:B,0),MATCH(D58,VLs!$3:$3,0))</f>
        <v>#N/A</v>
      </c>
      <c r="F58" s="30"/>
      <c r="G58" s="27" t="e">
        <f t="shared" ca="1" si="0"/>
        <v>#N/A</v>
      </c>
    </row>
    <row r="59" spans="1:7">
      <c r="A59" s="4" t="e">
        <f ca="1">OFFSET(Cartera!A$1,MATCH(B59,Cartera!C:C,0) - 1, 1)</f>
        <v>#N/A</v>
      </c>
      <c r="C59" s="41"/>
      <c r="D59" s="1"/>
      <c r="E59" s="27" t="e">
        <f ca="1">INDEX(VLs!$1:$1048576,MATCH(A59,VLs!B:B,0),MATCH(D59,VLs!$3:$3,0))</f>
        <v>#N/A</v>
      </c>
      <c r="F59" s="30"/>
      <c r="G59" s="27" t="e">
        <f t="shared" ca="1" si="0"/>
        <v>#N/A</v>
      </c>
    </row>
    <row r="60" spans="1:7">
      <c r="A60" s="4" t="e">
        <f ca="1">OFFSET(Cartera!A$1,MATCH(B60,Cartera!C:C,0) - 1, 1)</f>
        <v>#N/A</v>
      </c>
      <c r="C60" s="41"/>
      <c r="D60" s="1"/>
      <c r="E60" s="27" t="e">
        <f ca="1">INDEX(VLs!$1:$1048576,MATCH(A60,VLs!B:B,0),MATCH(D60,VLs!$3:$3,0))</f>
        <v>#N/A</v>
      </c>
      <c r="F60" s="30"/>
      <c r="G60" s="27" t="e">
        <f t="shared" ca="1" si="0"/>
        <v>#N/A</v>
      </c>
    </row>
    <row r="61" spans="1:7">
      <c r="A61" s="4" t="e">
        <f ca="1">OFFSET(Cartera!A$1,MATCH(B61,Cartera!C:C,0) - 1, 1)</f>
        <v>#N/A</v>
      </c>
      <c r="C61" s="41"/>
      <c r="D61" s="1"/>
      <c r="E61" s="27" t="e">
        <f ca="1">INDEX(VLs!$1:$1048576,MATCH(A61,VLs!B:B,0),MATCH(D61,VLs!$3:$3,0))</f>
        <v>#N/A</v>
      </c>
      <c r="F61" s="30"/>
      <c r="G61" s="27" t="e">
        <f t="shared" ca="1" si="0"/>
        <v>#N/A</v>
      </c>
    </row>
    <row r="62" spans="1:7">
      <c r="A62" s="4" t="e">
        <f ca="1">OFFSET(Cartera!A$1,MATCH(B62,Cartera!C:C,0) - 1, 1)</f>
        <v>#N/A</v>
      </c>
      <c r="C62" s="41"/>
      <c r="D62" s="1"/>
      <c r="E62" s="27" t="e">
        <f ca="1">INDEX(VLs!$1:$1048576,MATCH(A62,VLs!B:B,0),MATCH(D62,VLs!$3:$3,0))</f>
        <v>#N/A</v>
      </c>
      <c r="F62" s="30"/>
      <c r="G62" s="27" t="e">
        <f t="shared" ca="1" si="0"/>
        <v>#N/A</v>
      </c>
    </row>
    <row r="63" spans="1:7">
      <c r="A63" s="4" t="e">
        <f ca="1">OFFSET(Cartera!A$1,MATCH(B63,Cartera!C:C,0) - 1, 1)</f>
        <v>#N/A</v>
      </c>
      <c r="C63" s="41"/>
      <c r="D63" s="1"/>
      <c r="E63" s="27" t="e">
        <f ca="1">INDEX(VLs!$1:$1048576,MATCH(A63,VLs!B:B,0),MATCH(D63,VLs!$3:$3,0))</f>
        <v>#N/A</v>
      </c>
      <c r="F63" s="30"/>
      <c r="G63" s="27" t="e">
        <f t="shared" ca="1" si="0"/>
        <v>#N/A</v>
      </c>
    </row>
    <row r="64" spans="1:7">
      <c r="A64" s="4" t="e">
        <f ca="1">OFFSET(Cartera!A$1,MATCH(B64,Cartera!C:C,0) - 1, 1)</f>
        <v>#N/A</v>
      </c>
      <c r="C64" s="41"/>
      <c r="D64" s="1"/>
      <c r="E64" s="27" t="e">
        <f ca="1">INDEX(VLs!$1:$1048576,MATCH(A64,VLs!B:B,0),MATCH(D64,VLs!$3:$3,0))</f>
        <v>#N/A</v>
      </c>
      <c r="F64" s="30"/>
      <c r="G64" s="27" t="e">
        <f t="shared" ca="1" si="0"/>
        <v>#N/A</v>
      </c>
    </row>
    <row r="65" spans="1:7">
      <c r="A65" s="4" t="e">
        <f ca="1">OFFSET(Cartera!A$1,MATCH(B65,Cartera!C:C,0) - 1, 1)</f>
        <v>#N/A</v>
      </c>
      <c r="C65" s="41"/>
      <c r="D65" s="1"/>
      <c r="E65" s="27" t="e">
        <f ca="1">INDEX(VLs!$1:$1048576,MATCH(A65,VLs!B:B,0),MATCH(D65,VLs!$3:$3,0))</f>
        <v>#N/A</v>
      </c>
      <c r="F65" s="30"/>
      <c r="G65" s="27" t="e">
        <f t="shared" ca="1" si="0"/>
        <v>#N/A</v>
      </c>
    </row>
    <row r="66" spans="1:7">
      <c r="A66" s="4" t="e">
        <f ca="1">OFFSET(Cartera!A$1,MATCH(B66,Cartera!C:C,0) - 1, 1)</f>
        <v>#N/A</v>
      </c>
      <c r="C66" s="41"/>
      <c r="D66" s="1"/>
      <c r="E66" s="27" t="e">
        <f ca="1">INDEX(VLs!$1:$1048576,MATCH(A66,VLs!B:B,0),MATCH(D66,VLs!$3:$3,0))</f>
        <v>#N/A</v>
      </c>
      <c r="F66" s="30"/>
      <c r="G66" s="27" t="e">
        <f t="shared" ca="1" si="0"/>
        <v>#N/A</v>
      </c>
    </row>
    <row r="67" spans="1:7">
      <c r="A67" s="4" t="e">
        <f ca="1">OFFSET(Cartera!A$1,MATCH(B67,Cartera!C:C,0) - 1, 1)</f>
        <v>#N/A</v>
      </c>
      <c r="C67" s="41"/>
      <c r="D67" s="1"/>
      <c r="E67" s="27" t="e">
        <f ca="1">INDEX(VLs!$1:$1048576,MATCH(A67,VLs!B:B,0),MATCH(D67,VLs!$3:$3,0))</f>
        <v>#N/A</v>
      </c>
      <c r="F67" s="30"/>
      <c r="G67" s="27" t="e">
        <f t="shared" ca="1" si="0"/>
        <v>#N/A</v>
      </c>
    </row>
    <row r="68" spans="1:7">
      <c r="A68" s="4" t="e">
        <f ca="1">OFFSET(Cartera!A$1,MATCH(B68,Cartera!C:C,0) - 1, 1)</f>
        <v>#N/A</v>
      </c>
      <c r="C68" s="41"/>
      <c r="D68" s="1"/>
      <c r="E68" s="27" t="e">
        <f ca="1">INDEX(VLs!$1:$1048576,MATCH(A68,VLs!B:B,0),MATCH(D68,VLs!$3:$3,0))</f>
        <v>#N/A</v>
      </c>
      <c r="F68" s="30"/>
      <c r="G68" s="27" t="e">
        <f t="shared" ref="G68:G131" ca="1" si="1">(C68*E68)+F68</f>
        <v>#N/A</v>
      </c>
    </row>
    <row r="69" spans="1:7">
      <c r="A69" s="4" t="e">
        <f ca="1">OFFSET(Cartera!A$1,MATCH(B69,Cartera!C:C,0) - 1, 1)</f>
        <v>#N/A</v>
      </c>
      <c r="C69" s="41"/>
      <c r="D69" s="1"/>
      <c r="E69" s="27" t="e">
        <f ca="1">INDEX(VLs!$1:$1048576,MATCH(A69,VLs!B:B,0),MATCH(D69,VLs!$3:$3,0))</f>
        <v>#N/A</v>
      </c>
      <c r="F69" s="30"/>
      <c r="G69" s="27" t="e">
        <f t="shared" ca="1" si="1"/>
        <v>#N/A</v>
      </c>
    </row>
    <row r="70" spans="1:7">
      <c r="A70" s="4" t="e">
        <f ca="1">OFFSET(Cartera!A$1,MATCH(B70,Cartera!C:C,0) - 1, 1)</f>
        <v>#N/A</v>
      </c>
      <c r="C70" s="41"/>
      <c r="D70" s="1"/>
      <c r="E70" s="27" t="e">
        <f ca="1">INDEX(VLs!$1:$1048576,MATCH(A70,VLs!B:B,0),MATCH(D70,VLs!$3:$3,0))</f>
        <v>#N/A</v>
      </c>
      <c r="F70" s="30"/>
      <c r="G70" s="27" t="e">
        <f t="shared" ca="1" si="1"/>
        <v>#N/A</v>
      </c>
    </row>
    <row r="71" spans="1:7">
      <c r="A71" s="4" t="e">
        <f ca="1">OFFSET(Cartera!A$1,MATCH(B71,Cartera!C:C,0) - 1, 1)</f>
        <v>#N/A</v>
      </c>
      <c r="C71" s="41"/>
      <c r="D71" s="1"/>
      <c r="E71" s="27" t="e">
        <f ca="1">INDEX(VLs!$1:$1048576,MATCH(A71,VLs!B:B,0),MATCH(D71,VLs!$3:$3,0))</f>
        <v>#N/A</v>
      </c>
      <c r="F71" s="30"/>
      <c r="G71" s="27" t="e">
        <f t="shared" ca="1" si="1"/>
        <v>#N/A</v>
      </c>
    </row>
    <row r="72" spans="1:7">
      <c r="A72" s="4" t="e">
        <f ca="1">OFFSET(Cartera!A$1,MATCH(B72,Cartera!C:C,0) - 1, 1)</f>
        <v>#N/A</v>
      </c>
      <c r="C72" s="41"/>
      <c r="D72" s="1"/>
      <c r="E72" s="27" t="e">
        <f ca="1">INDEX(VLs!$1:$1048576,MATCH(A72,VLs!B:B,0),MATCH(D72,VLs!$3:$3,0))</f>
        <v>#N/A</v>
      </c>
      <c r="F72" s="30"/>
      <c r="G72" s="27" t="e">
        <f t="shared" ca="1" si="1"/>
        <v>#N/A</v>
      </c>
    </row>
    <row r="73" spans="1:7">
      <c r="A73" s="4" t="e">
        <f ca="1">OFFSET(Cartera!A$1,MATCH(B73,Cartera!C:C,0) - 1, 1)</f>
        <v>#N/A</v>
      </c>
      <c r="C73" s="41"/>
      <c r="D73" s="1"/>
      <c r="E73" s="27" t="e">
        <f ca="1">INDEX(VLs!$1:$1048576,MATCH(A73,VLs!B:B,0),MATCH(D73,VLs!$3:$3,0))</f>
        <v>#N/A</v>
      </c>
      <c r="F73" s="30"/>
      <c r="G73" s="27" t="e">
        <f t="shared" ca="1" si="1"/>
        <v>#N/A</v>
      </c>
    </row>
    <row r="74" spans="1:7">
      <c r="A74" s="4" t="e">
        <f ca="1">OFFSET(Cartera!A$1,MATCH(B74,Cartera!C:C,0) - 1, 1)</f>
        <v>#N/A</v>
      </c>
      <c r="C74" s="41"/>
      <c r="D74" s="1"/>
      <c r="E74" s="27" t="e">
        <f ca="1">INDEX(VLs!$1:$1048576,MATCH(A74,VLs!B:B,0),MATCH(D74,VLs!$3:$3,0))</f>
        <v>#N/A</v>
      </c>
      <c r="F74" s="30"/>
      <c r="G74" s="27" t="e">
        <f t="shared" ca="1" si="1"/>
        <v>#N/A</v>
      </c>
    </row>
    <row r="75" spans="1:7">
      <c r="A75" s="4" t="e">
        <f ca="1">OFFSET(Cartera!A$1,MATCH(B75,Cartera!C:C,0) - 1, 1)</f>
        <v>#N/A</v>
      </c>
      <c r="C75" s="41"/>
      <c r="D75" s="1"/>
      <c r="E75" s="27" t="e">
        <f ca="1">INDEX(VLs!$1:$1048576,MATCH(A75,VLs!B:B,0),MATCH(D75,VLs!$3:$3,0))</f>
        <v>#N/A</v>
      </c>
      <c r="F75" s="30"/>
      <c r="G75" s="27" t="e">
        <f t="shared" ca="1" si="1"/>
        <v>#N/A</v>
      </c>
    </row>
    <row r="76" spans="1:7">
      <c r="A76" s="4" t="e">
        <f ca="1">OFFSET(Cartera!A$1,MATCH(B76,Cartera!C:C,0) - 1, 1)</f>
        <v>#N/A</v>
      </c>
      <c r="C76" s="41"/>
      <c r="D76" s="1"/>
      <c r="E76" s="27" t="e">
        <f ca="1">INDEX(VLs!$1:$1048576,MATCH(A76,VLs!B:B,0),MATCH(D76,VLs!$3:$3,0))</f>
        <v>#N/A</v>
      </c>
      <c r="F76" s="30"/>
      <c r="G76" s="27" t="e">
        <f t="shared" ca="1" si="1"/>
        <v>#N/A</v>
      </c>
    </row>
    <row r="77" spans="1:7">
      <c r="A77" s="4" t="e">
        <f ca="1">OFFSET(Cartera!A$1,MATCH(B77,Cartera!C:C,0) - 1, 1)</f>
        <v>#N/A</v>
      </c>
      <c r="C77" s="41"/>
      <c r="D77" s="1"/>
      <c r="E77" s="27" t="e">
        <f ca="1">INDEX(VLs!$1:$1048576,MATCH(A77,VLs!B:B,0),MATCH(D77,VLs!$3:$3,0))</f>
        <v>#N/A</v>
      </c>
      <c r="F77" s="30"/>
      <c r="G77" s="27" t="e">
        <f t="shared" ca="1" si="1"/>
        <v>#N/A</v>
      </c>
    </row>
    <row r="78" spans="1:7">
      <c r="A78" s="4" t="e">
        <f ca="1">OFFSET(Cartera!A$1,MATCH(B78,Cartera!C:C,0) - 1, 1)</f>
        <v>#N/A</v>
      </c>
      <c r="C78" s="41"/>
      <c r="D78" s="1"/>
      <c r="E78" s="27" t="e">
        <f ca="1">INDEX(VLs!$1:$1048576,MATCH(A78,VLs!B:B,0),MATCH(D78,VLs!$3:$3,0))</f>
        <v>#N/A</v>
      </c>
      <c r="F78" s="30"/>
      <c r="G78" s="27" t="e">
        <f t="shared" ca="1" si="1"/>
        <v>#N/A</v>
      </c>
    </row>
    <row r="79" spans="1:7">
      <c r="A79" s="4" t="e">
        <f ca="1">OFFSET(Cartera!A$1,MATCH(B79,Cartera!C:C,0) - 1, 1)</f>
        <v>#N/A</v>
      </c>
      <c r="C79" s="41"/>
      <c r="D79" s="1"/>
      <c r="E79" s="27" t="e">
        <f ca="1">INDEX(VLs!$1:$1048576,MATCH(A79,VLs!B:B,0),MATCH(D79,VLs!$3:$3,0))</f>
        <v>#N/A</v>
      </c>
      <c r="F79" s="30"/>
      <c r="G79" s="27" t="e">
        <f t="shared" ca="1" si="1"/>
        <v>#N/A</v>
      </c>
    </row>
    <row r="80" spans="1:7">
      <c r="A80" s="4" t="e">
        <f ca="1">OFFSET(Cartera!A$1,MATCH(B80,Cartera!C:C,0) - 1, 1)</f>
        <v>#N/A</v>
      </c>
      <c r="C80" s="41"/>
      <c r="D80" s="1"/>
      <c r="E80" s="27" t="e">
        <f ca="1">INDEX(VLs!$1:$1048576,MATCH(A80,VLs!B:B,0),MATCH(D80,VLs!$3:$3,0))</f>
        <v>#N/A</v>
      </c>
      <c r="F80" s="30"/>
      <c r="G80" s="27" t="e">
        <f t="shared" ca="1" si="1"/>
        <v>#N/A</v>
      </c>
    </row>
    <row r="81" spans="1:7">
      <c r="A81" s="4" t="e">
        <f ca="1">OFFSET(Cartera!A$1,MATCH(B81,Cartera!C:C,0) - 1, 1)</f>
        <v>#N/A</v>
      </c>
      <c r="C81" s="41"/>
      <c r="D81" s="1"/>
      <c r="E81" s="27" t="e">
        <f ca="1">INDEX(VLs!$1:$1048576,MATCH(A81,VLs!B:B,0),MATCH(D81,VLs!$3:$3,0))</f>
        <v>#N/A</v>
      </c>
      <c r="F81" s="30"/>
      <c r="G81" s="27" t="e">
        <f t="shared" ca="1" si="1"/>
        <v>#N/A</v>
      </c>
    </row>
    <row r="82" spans="1:7">
      <c r="A82" s="4" t="e">
        <f ca="1">OFFSET(Cartera!A$1,MATCH(B82,Cartera!C:C,0) - 1, 1)</f>
        <v>#N/A</v>
      </c>
      <c r="C82" s="41"/>
      <c r="D82" s="1"/>
      <c r="E82" s="27" t="e">
        <f ca="1">INDEX(VLs!$1:$1048576,MATCH(A82,VLs!B:B,0),MATCH(D82,VLs!$3:$3,0))</f>
        <v>#N/A</v>
      </c>
      <c r="F82" s="30"/>
      <c r="G82" s="27" t="e">
        <f t="shared" ca="1" si="1"/>
        <v>#N/A</v>
      </c>
    </row>
    <row r="83" spans="1:7">
      <c r="A83" s="4" t="e">
        <f ca="1">OFFSET(Cartera!A$1,MATCH(B83,Cartera!C:C,0) - 1, 1)</f>
        <v>#N/A</v>
      </c>
      <c r="C83" s="41"/>
      <c r="D83" s="1"/>
      <c r="E83" s="27" t="e">
        <f ca="1">INDEX(VLs!$1:$1048576,MATCH(A83,VLs!B:B,0),MATCH(D83,VLs!$3:$3,0))</f>
        <v>#N/A</v>
      </c>
      <c r="F83" s="30"/>
      <c r="G83" s="27" t="e">
        <f t="shared" ca="1" si="1"/>
        <v>#N/A</v>
      </c>
    </row>
    <row r="84" spans="1:7">
      <c r="A84" s="4" t="e">
        <f ca="1">OFFSET(Cartera!A$1,MATCH(B84,Cartera!C:C,0) - 1, 1)</f>
        <v>#N/A</v>
      </c>
      <c r="C84" s="41"/>
      <c r="D84" s="1"/>
      <c r="E84" s="27" t="e">
        <f ca="1">INDEX(VLs!$1:$1048576,MATCH(A84,VLs!B:B,0),MATCH(D84,VLs!$3:$3,0))</f>
        <v>#N/A</v>
      </c>
      <c r="F84" s="30"/>
      <c r="G84" s="27" t="e">
        <f t="shared" ca="1" si="1"/>
        <v>#N/A</v>
      </c>
    </row>
    <row r="85" spans="1:7">
      <c r="A85" s="4" t="e">
        <f ca="1">OFFSET(Cartera!A$1,MATCH(B85,Cartera!C:C,0) - 1, 1)</f>
        <v>#N/A</v>
      </c>
      <c r="C85" s="41"/>
      <c r="D85" s="1"/>
      <c r="E85" s="27" t="e">
        <f ca="1">INDEX(VLs!$1:$1048576,MATCH(A85,VLs!B:B,0),MATCH(D85,VLs!$3:$3,0))</f>
        <v>#N/A</v>
      </c>
      <c r="F85" s="30"/>
      <c r="G85" s="27" t="e">
        <f t="shared" ca="1" si="1"/>
        <v>#N/A</v>
      </c>
    </row>
    <row r="86" spans="1:7">
      <c r="A86" s="4" t="e">
        <f ca="1">OFFSET(Cartera!A$1,MATCH(B86,Cartera!C:C,0) - 1, 1)</f>
        <v>#N/A</v>
      </c>
      <c r="C86" s="41"/>
      <c r="D86" s="1"/>
      <c r="E86" s="27" t="e">
        <f ca="1">INDEX(VLs!$1:$1048576,MATCH(A86,VLs!B:B,0),MATCH(D86,VLs!$3:$3,0))</f>
        <v>#N/A</v>
      </c>
      <c r="F86" s="30"/>
      <c r="G86" s="27" t="e">
        <f t="shared" ca="1" si="1"/>
        <v>#N/A</v>
      </c>
    </row>
    <row r="87" spans="1:7">
      <c r="A87" s="4" t="e">
        <f ca="1">OFFSET(Cartera!A$1,MATCH(B87,Cartera!C:C,0) - 1, 1)</f>
        <v>#N/A</v>
      </c>
      <c r="C87" s="41"/>
      <c r="D87" s="1"/>
      <c r="E87" s="27" t="e">
        <f ca="1">INDEX(VLs!$1:$1048576,MATCH(A87,VLs!B:B,0),MATCH(D87,VLs!$3:$3,0))</f>
        <v>#N/A</v>
      </c>
      <c r="F87" s="30"/>
      <c r="G87" s="27" t="e">
        <f t="shared" ca="1" si="1"/>
        <v>#N/A</v>
      </c>
    </row>
    <row r="88" spans="1:7">
      <c r="A88" s="4" t="e">
        <f ca="1">OFFSET(Cartera!A$1,MATCH(B88,Cartera!C:C,0) - 1, 1)</f>
        <v>#N/A</v>
      </c>
      <c r="C88" s="41"/>
      <c r="D88" s="1"/>
      <c r="E88" s="27" t="e">
        <f ca="1">INDEX(VLs!$1:$1048576,MATCH(A88,VLs!B:B,0),MATCH(D88,VLs!$3:$3,0))</f>
        <v>#N/A</v>
      </c>
      <c r="F88" s="30"/>
      <c r="G88" s="27" t="e">
        <f t="shared" ca="1" si="1"/>
        <v>#N/A</v>
      </c>
    </row>
    <row r="89" spans="1:7">
      <c r="A89" s="4" t="e">
        <f ca="1">OFFSET(Cartera!A$1,MATCH(B89,Cartera!C:C,0) - 1, 1)</f>
        <v>#N/A</v>
      </c>
      <c r="C89" s="41"/>
      <c r="D89" s="1"/>
      <c r="E89" s="27" t="e">
        <f ca="1">INDEX(VLs!$1:$1048576,MATCH(A89,VLs!B:B,0),MATCH(D89,VLs!$3:$3,0))</f>
        <v>#N/A</v>
      </c>
      <c r="F89" s="30"/>
      <c r="G89" s="27" t="e">
        <f t="shared" ca="1" si="1"/>
        <v>#N/A</v>
      </c>
    </row>
    <row r="90" spans="1:7">
      <c r="A90" s="4" t="e">
        <f ca="1">OFFSET(Cartera!A$1,MATCH(B90,Cartera!C:C,0) - 1, 1)</f>
        <v>#N/A</v>
      </c>
      <c r="C90" s="41"/>
      <c r="D90" s="1"/>
      <c r="E90" s="27" t="e">
        <f ca="1">INDEX(VLs!$1:$1048576,MATCH(A90,VLs!B:B,0),MATCH(D90,VLs!$3:$3,0))</f>
        <v>#N/A</v>
      </c>
      <c r="F90" s="30"/>
      <c r="G90" s="27" t="e">
        <f t="shared" ca="1" si="1"/>
        <v>#N/A</v>
      </c>
    </row>
    <row r="91" spans="1:7">
      <c r="A91" s="4" t="e">
        <f ca="1">OFFSET(Cartera!A$1,MATCH(B91,Cartera!C:C,0) - 1, 1)</f>
        <v>#N/A</v>
      </c>
      <c r="C91" s="41"/>
      <c r="D91" s="1"/>
      <c r="E91" s="27" t="e">
        <f ca="1">INDEX(VLs!$1:$1048576,MATCH(A91,VLs!B:B,0),MATCH(D91,VLs!$3:$3,0))</f>
        <v>#N/A</v>
      </c>
      <c r="F91" s="30"/>
      <c r="G91" s="27" t="e">
        <f t="shared" ca="1" si="1"/>
        <v>#N/A</v>
      </c>
    </row>
    <row r="92" spans="1:7">
      <c r="A92" s="4" t="e">
        <f ca="1">OFFSET(Cartera!A$1,MATCH(B92,Cartera!C:C,0) - 1, 1)</f>
        <v>#N/A</v>
      </c>
      <c r="C92" s="41"/>
      <c r="D92" s="1"/>
      <c r="E92" s="27" t="e">
        <f ca="1">INDEX(VLs!$1:$1048576,MATCH(A92,VLs!B:B,0),MATCH(D92,VLs!$3:$3,0))</f>
        <v>#N/A</v>
      </c>
      <c r="F92" s="30"/>
      <c r="G92" s="27" t="e">
        <f t="shared" ca="1" si="1"/>
        <v>#N/A</v>
      </c>
    </row>
    <row r="93" spans="1:7">
      <c r="A93" s="4" t="e">
        <f ca="1">OFFSET(Cartera!A$1,MATCH(B93,Cartera!C:C,0) - 1, 1)</f>
        <v>#N/A</v>
      </c>
      <c r="C93" s="41"/>
      <c r="D93" s="1"/>
      <c r="E93" s="27" t="e">
        <f ca="1">INDEX(VLs!$1:$1048576,MATCH(A93,VLs!B:B,0),MATCH(D93,VLs!$3:$3,0))</f>
        <v>#N/A</v>
      </c>
      <c r="F93" s="30"/>
      <c r="G93" s="27" t="e">
        <f t="shared" ca="1" si="1"/>
        <v>#N/A</v>
      </c>
    </row>
    <row r="94" spans="1:7">
      <c r="A94" s="4" t="e">
        <f ca="1">OFFSET(Cartera!A$1,MATCH(B94,Cartera!C:C,0) - 1, 1)</f>
        <v>#N/A</v>
      </c>
      <c r="C94" s="41"/>
      <c r="D94" s="1"/>
      <c r="E94" s="27" t="e">
        <f ca="1">INDEX(VLs!$1:$1048576,MATCH(A94,VLs!B:B,0),MATCH(D94,VLs!$3:$3,0))</f>
        <v>#N/A</v>
      </c>
      <c r="F94" s="30"/>
      <c r="G94" s="27" t="e">
        <f t="shared" ca="1" si="1"/>
        <v>#N/A</v>
      </c>
    </row>
    <row r="95" spans="1:7">
      <c r="A95" s="4" t="e">
        <f ca="1">OFFSET(Cartera!A$1,MATCH(B95,Cartera!C:C,0) - 1, 1)</f>
        <v>#N/A</v>
      </c>
      <c r="C95" s="41"/>
      <c r="D95" s="1"/>
      <c r="E95" s="27" t="e">
        <f ca="1">INDEX(VLs!$1:$1048576,MATCH(A95,VLs!B:B,0),MATCH(D95,VLs!$3:$3,0))</f>
        <v>#N/A</v>
      </c>
      <c r="F95" s="30"/>
      <c r="G95" s="27" t="e">
        <f t="shared" ca="1" si="1"/>
        <v>#N/A</v>
      </c>
    </row>
    <row r="96" spans="1:7">
      <c r="A96" s="4" t="e">
        <f ca="1">OFFSET(Cartera!A$1,MATCH(B96,Cartera!C:C,0) - 1, 1)</f>
        <v>#N/A</v>
      </c>
      <c r="C96" s="41"/>
      <c r="D96" s="1"/>
      <c r="E96" s="27" t="e">
        <f ca="1">INDEX(VLs!$1:$1048576,MATCH(A96,VLs!B:B,0),MATCH(D96,VLs!$3:$3,0))</f>
        <v>#N/A</v>
      </c>
      <c r="F96" s="30"/>
      <c r="G96" s="27" t="e">
        <f t="shared" ca="1" si="1"/>
        <v>#N/A</v>
      </c>
    </row>
    <row r="97" spans="1:7">
      <c r="A97" s="4" t="e">
        <f ca="1">OFFSET(Cartera!A$1,MATCH(B97,Cartera!C:C,0) - 1, 1)</f>
        <v>#N/A</v>
      </c>
      <c r="C97" s="41"/>
      <c r="D97" s="1"/>
      <c r="E97" s="27" t="e">
        <f ca="1">INDEX(VLs!$1:$1048576,MATCH(A97,VLs!B:B,0),MATCH(D97,VLs!$3:$3,0))</f>
        <v>#N/A</v>
      </c>
      <c r="F97" s="30"/>
      <c r="G97" s="27" t="e">
        <f t="shared" ca="1" si="1"/>
        <v>#N/A</v>
      </c>
    </row>
    <row r="98" spans="1:7">
      <c r="A98" s="4" t="e">
        <f ca="1">OFFSET(Cartera!A$1,MATCH(B98,Cartera!C:C,0) - 1, 1)</f>
        <v>#N/A</v>
      </c>
      <c r="C98" s="41"/>
      <c r="D98" s="1"/>
      <c r="E98" s="27" t="e">
        <f ca="1">INDEX(VLs!$1:$1048576,MATCH(A98,VLs!B:B,0),MATCH(D98,VLs!$3:$3,0))</f>
        <v>#N/A</v>
      </c>
      <c r="F98" s="30"/>
      <c r="G98" s="27" t="e">
        <f t="shared" ca="1" si="1"/>
        <v>#N/A</v>
      </c>
    </row>
    <row r="99" spans="1:7">
      <c r="A99" s="4" t="e">
        <f ca="1">OFFSET(Cartera!A$1,MATCH(B99,Cartera!C:C,0) - 1, 1)</f>
        <v>#N/A</v>
      </c>
      <c r="C99" s="41"/>
      <c r="D99" s="1"/>
      <c r="E99" s="27" t="e">
        <f ca="1">INDEX(VLs!$1:$1048576,MATCH(A99,VLs!B:B,0),MATCH(D99,VLs!$3:$3,0))</f>
        <v>#N/A</v>
      </c>
      <c r="F99" s="30"/>
      <c r="G99" s="27" t="e">
        <f t="shared" ca="1" si="1"/>
        <v>#N/A</v>
      </c>
    </row>
    <row r="100" spans="1:7">
      <c r="A100" s="4" t="e">
        <f ca="1">OFFSET(Cartera!A$1,MATCH(B100,Cartera!C:C,0) - 1, 1)</f>
        <v>#N/A</v>
      </c>
      <c r="C100" s="41"/>
      <c r="D100" s="1"/>
      <c r="E100" s="27" t="e">
        <f ca="1">INDEX(VLs!$1:$1048576,MATCH(A100,VLs!B:B,0),MATCH(D100,VLs!$3:$3,0))</f>
        <v>#N/A</v>
      </c>
      <c r="F100" s="30"/>
      <c r="G100" s="27" t="e">
        <f t="shared" ca="1" si="1"/>
        <v>#N/A</v>
      </c>
    </row>
    <row r="101" spans="1:7">
      <c r="A101" s="4" t="e">
        <f ca="1">OFFSET(Cartera!A$1,MATCH(B101,Cartera!C:C,0) - 1, 1)</f>
        <v>#N/A</v>
      </c>
      <c r="C101" s="41"/>
      <c r="D101" s="1"/>
      <c r="E101" s="27" t="e">
        <f ca="1">INDEX(VLs!$1:$1048576,MATCH(A101,VLs!B:B,0),MATCH(D101,VLs!$3:$3,0))</f>
        <v>#N/A</v>
      </c>
      <c r="F101" s="30"/>
      <c r="G101" s="27" t="e">
        <f t="shared" ca="1" si="1"/>
        <v>#N/A</v>
      </c>
    </row>
    <row r="102" spans="1:7">
      <c r="A102" s="4" t="e">
        <f ca="1">OFFSET(Cartera!A$1,MATCH(B102,Cartera!C:C,0) - 1, 1)</f>
        <v>#N/A</v>
      </c>
      <c r="C102" s="41"/>
      <c r="D102" s="1"/>
      <c r="E102" s="27" t="e">
        <f ca="1">INDEX(VLs!$1:$1048576,MATCH(A102,VLs!B:B,0),MATCH(D102,VLs!$3:$3,0))</f>
        <v>#N/A</v>
      </c>
      <c r="F102" s="30"/>
      <c r="G102" s="27" t="e">
        <f t="shared" ca="1" si="1"/>
        <v>#N/A</v>
      </c>
    </row>
    <row r="103" spans="1:7">
      <c r="A103" s="4" t="e">
        <f ca="1">OFFSET(Cartera!A$1,MATCH(B103,Cartera!C:C,0) - 1, 1)</f>
        <v>#N/A</v>
      </c>
      <c r="C103" s="41"/>
      <c r="D103" s="1"/>
      <c r="E103" s="27" t="e">
        <f ca="1">INDEX(VLs!$1:$1048576,MATCH(A103,VLs!B:B,0),MATCH(D103,VLs!$3:$3,0))</f>
        <v>#N/A</v>
      </c>
      <c r="F103" s="30"/>
      <c r="G103" s="27" t="e">
        <f t="shared" ca="1" si="1"/>
        <v>#N/A</v>
      </c>
    </row>
    <row r="104" spans="1:7">
      <c r="A104" s="4" t="e">
        <f ca="1">OFFSET(Cartera!A$1,MATCH(B104,Cartera!C:C,0) - 1, 1)</f>
        <v>#N/A</v>
      </c>
      <c r="C104" s="41"/>
      <c r="D104" s="1"/>
      <c r="E104" s="27" t="e">
        <f ca="1">INDEX(VLs!$1:$1048576,MATCH(A104,VLs!B:B,0),MATCH(D104,VLs!$3:$3,0))</f>
        <v>#N/A</v>
      </c>
      <c r="F104" s="30"/>
      <c r="G104" s="27" t="e">
        <f t="shared" ca="1" si="1"/>
        <v>#N/A</v>
      </c>
    </row>
    <row r="105" spans="1:7">
      <c r="A105" s="4" t="e">
        <f ca="1">OFFSET(Cartera!A$1,MATCH(B105,Cartera!C:C,0) - 1, 1)</f>
        <v>#N/A</v>
      </c>
      <c r="C105" s="41"/>
      <c r="D105" s="1"/>
      <c r="E105" s="27" t="e">
        <f ca="1">INDEX(VLs!$1:$1048576,MATCH(A105,VLs!B:B,0),MATCH(D105,VLs!$3:$3,0))</f>
        <v>#N/A</v>
      </c>
      <c r="F105" s="30"/>
      <c r="G105" s="27" t="e">
        <f t="shared" ca="1" si="1"/>
        <v>#N/A</v>
      </c>
    </row>
    <row r="106" spans="1:7">
      <c r="A106" s="4" t="e">
        <f ca="1">OFFSET(Cartera!A$1,MATCH(B106,Cartera!C:C,0) - 1, 1)</f>
        <v>#N/A</v>
      </c>
      <c r="C106" s="41"/>
      <c r="D106" s="1"/>
      <c r="E106" s="27" t="e">
        <f ca="1">INDEX(VLs!$1:$1048576,MATCH(A106,VLs!B:B,0),MATCH(D106,VLs!$3:$3,0))</f>
        <v>#N/A</v>
      </c>
      <c r="F106" s="30"/>
      <c r="G106" s="27" t="e">
        <f t="shared" ca="1" si="1"/>
        <v>#N/A</v>
      </c>
    </row>
    <row r="107" spans="1:7">
      <c r="A107" s="4" t="e">
        <f ca="1">OFFSET(Cartera!A$1,MATCH(B107,Cartera!C:C,0) - 1, 1)</f>
        <v>#N/A</v>
      </c>
      <c r="C107" s="41"/>
      <c r="D107" s="1"/>
      <c r="E107" s="27" t="e">
        <f ca="1">INDEX(VLs!$1:$1048576,MATCH(A107,VLs!B:B,0),MATCH(D107,VLs!$3:$3,0))</f>
        <v>#N/A</v>
      </c>
      <c r="F107" s="30"/>
      <c r="G107" s="27" t="e">
        <f t="shared" ca="1" si="1"/>
        <v>#N/A</v>
      </c>
    </row>
    <row r="108" spans="1:7">
      <c r="A108" s="4" t="e">
        <f ca="1">OFFSET(Cartera!A$1,MATCH(B108,Cartera!C:C,0) - 1, 1)</f>
        <v>#N/A</v>
      </c>
      <c r="C108" s="41"/>
      <c r="D108" s="1"/>
      <c r="E108" s="27" t="e">
        <f ca="1">INDEX(VLs!$1:$1048576,MATCH(A108,VLs!B:B,0),MATCH(D108,VLs!$3:$3,0))</f>
        <v>#N/A</v>
      </c>
      <c r="F108" s="30"/>
      <c r="G108" s="27" t="e">
        <f t="shared" ca="1" si="1"/>
        <v>#N/A</v>
      </c>
    </row>
    <row r="109" spans="1:7">
      <c r="A109" s="4" t="e">
        <f ca="1">OFFSET(Cartera!A$1,MATCH(B109,Cartera!C:C,0) - 1, 1)</f>
        <v>#N/A</v>
      </c>
      <c r="C109" s="41"/>
      <c r="D109" s="1"/>
      <c r="E109" s="27" t="e">
        <f ca="1">INDEX(VLs!$1:$1048576,MATCH(A109,VLs!B:B,0),MATCH(D109,VLs!$3:$3,0))</f>
        <v>#N/A</v>
      </c>
      <c r="F109" s="30"/>
      <c r="G109" s="27" t="e">
        <f t="shared" ca="1" si="1"/>
        <v>#N/A</v>
      </c>
    </row>
    <row r="110" spans="1:7">
      <c r="A110" s="4" t="e">
        <f ca="1">OFFSET(Cartera!A$1,MATCH(B110,Cartera!C:C,0) - 1, 1)</f>
        <v>#N/A</v>
      </c>
      <c r="C110" s="41"/>
      <c r="D110" s="1"/>
      <c r="E110" s="27" t="e">
        <f ca="1">INDEX(VLs!$1:$1048576,MATCH(A110,VLs!B:B,0),MATCH(D110,VLs!$3:$3,0))</f>
        <v>#N/A</v>
      </c>
      <c r="F110" s="30"/>
      <c r="G110" s="27" t="e">
        <f t="shared" ca="1" si="1"/>
        <v>#N/A</v>
      </c>
    </row>
    <row r="111" spans="1:7">
      <c r="A111" s="4" t="e">
        <f ca="1">OFFSET(Cartera!A$1,MATCH(B111,Cartera!C:C,0) - 1, 1)</f>
        <v>#N/A</v>
      </c>
      <c r="C111" s="41"/>
      <c r="D111" s="1"/>
      <c r="E111" s="27" t="e">
        <f ca="1">INDEX(VLs!$1:$1048576,MATCH(A111,VLs!B:B,0),MATCH(D111,VLs!$3:$3,0))</f>
        <v>#N/A</v>
      </c>
      <c r="F111" s="30"/>
      <c r="G111" s="27" t="e">
        <f t="shared" ca="1" si="1"/>
        <v>#N/A</v>
      </c>
    </row>
    <row r="112" spans="1:7">
      <c r="A112" s="4" t="e">
        <f ca="1">OFFSET(Cartera!A$1,MATCH(B112,Cartera!C:C,0) - 1, 1)</f>
        <v>#N/A</v>
      </c>
      <c r="C112" s="41"/>
      <c r="D112" s="1"/>
      <c r="E112" s="27" t="e">
        <f ca="1">INDEX(VLs!$1:$1048576,MATCH(A112,VLs!B:B,0),MATCH(D112,VLs!$3:$3,0))</f>
        <v>#N/A</v>
      </c>
      <c r="F112" s="30"/>
      <c r="G112" s="27" t="e">
        <f t="shared" ca="1" si="1"/>
        <v>#N/A</v>
      </c>
    </row>
    <row r="113" spans="1:7">
      <c r="A113" s="4" t="e">
        <f ca="1">OFFSET(Cartera!A$1,MATCH(B113,Cartera!C:C,0) - 1, 1)</f>
        <v>#N/A</v>
      </c>
      <c r="C113" s="41"/>
      <c r="D113" s="1"/>
      <c r="E113" s="27" t="e">
        <f ca="1">INDEX(VLs!$1:$1048576,MATCH(A113,VLs!B:B,0),MATCH(D113,VLs!$3:$3,0))</f>
        <v>#N/A</v>
      </c>
      <c r="F113" s="30"/>
      <c r="G113" s="27" t="e">
        <f t="shared" ca="1" si="1"/>
        <v>#N/A</v>
      </c>
    </row>
    <row r="114" spans="1:7">
      <c r="A114" s="4" t="e">
        <f ca="1">OFFSET(Cartera!A$1,MATCH(B114,Cartera!C:C,0) - 1, 1)</f>
        <v>#N/A</v>
      </c>
      <c r="C114" s="41"/>
      <c r="D114" s="1"/>
      <c r="E114" s="27" t="e">
        <f ca="1">INDEX(VLs!$1:$1048576,MATCH(A114,VLs!B:B,0),MATCH(D114,VLs!$3:$3,0))</f>
        <v>#N/A</v>
      </c>
      <c r="F114" s="30"/>
      <c r="G114" s="27" t="e">
        <f t="shared" ca="1" si="1"/>
        <v>#N/A</v>
      </c>
    </row>
    <row r="115" spans="1:7">
      <c r="A115" s="4" t="e">
        <f ca="1">OFFSET(Cartera!A$1,MATCH(B115,Cartera!C:C,0) - 1, 1)</f>
        <v>#N/A</v>
      </c>
      <c r="C115" s="41"/>
      <c r="D115" s="1"/>
      <c r="E115" s="27" t="e">
        <f ca="1">INDEX(VLs!$1:$1048576,MATCH(A115,VLs!B:B,0),MATCH(D115,VLs!$3:$3,0))</f>
        <v>#N/A</v>
      </c>
      <c r="F115" s="30"/>
      <c r="G115" s="27" t="e">
        <f t="shared" ca="1" si="1"/>
        <v>#N/A</v>
      </c>
    </row>
    <row r="116" spans="1:7">
      <c r="A116" s="4" t="e">
        <f ca="1">OFFSET(Cartera!A$1,MATCH(B116,Cartera!C:C,0) - 1, 1)</f>
        <v>#N/A</v>
      </c>
      <c r="C116" s="41"/>
      <c r="D116" s="1"/>
      <c r="E116" s="27" t="e">
        <f ca="1">INDEX(VLs!$1:$1048576,MATCH(A116,VLs!B:B,0),MATCH(D116,VLs!$3:$3,0))</f>
        <v>#N/A</v>
      </c>
      <c r="F116" s="30"/>
      <c r="G116" s="27" t="e">
        <f t="shared" ca="1" si="1"/>
        <v>#N/A</v>
      </c>
    </row>
    <row r="117" spans="1:7">
      <c r="A117" s="4" t="e">
        <f ca="1">OFFSET(Cartera!A$1,MATCH(B117,Cartera!C:C,0) - 1, 1)</f>
        <v>#N/A</v>
      </c>
      <c r="C117" s="41"/>
      <c r="D117" s="1"/>
      <c r="E117" s="27" t="e">
        <f ca="1">INDEX(VLs!$1:$1048576,MATCH(A117,VLs!B:B,0),MATCH(D117,VLs!$3:$3,0))</f>
        <v>#N/A</v>
      </c>
      <c r="F117" s="30"/>
      <c r="G117" s="27" t="e">
        <f t="shared" ca="1" si="1"/>
        <v>#N/A</v>
      </c>
    </row>
    <row r="118" spans="1:7">
      <c r="A118" s="4" t="e">
        <f ca="1">OFFSET(Cartera!A$1,MATCH(B118,Cartera!C:C,0) - 1, 1)</f>
        <v>#N/A</v>
      </c>
      <c r="C118" s="41"/>
      <c r="D118" s="1"/>
      <c r="E118" s="27" t="e">
        <f ca="1">INDEX(VLs!$1:$1048576,MATCH(A118,VLs!B:B,0),MATCH(D118,VLs!$3:$3,0))</f>
        <v>#N/A</v>
      </c>
      <c r="F118" s="30"/>
      <c r="G118" s="27" t="e">
        <f t="shared" ca="1" si="1"/>
        <v>#N/A</v>
      </c>
    </row>
    <row r="119" spans="1:7">
      <c r="A119" s="4" t="e">
        <f ca="1">OFFSET(Cartera!A$1,MATCH(B119,Cartera!C:C,0) - 1, 1)</f>
        <v>#N/A</v>
      </c>
      <c r="C119" s="41"/>
      <c r="D119" s="1"/>
      <c r="E119" s="27" t="e">
        <f ca="1">INDEX(VLs!$1:$1048576,MATCH(A119,VLs!B:B,0),MATCH(D119,VLs!$3:$3,0))</f>
        <v>#N/A</v>
      </c>
      <c r="F119" s="30"/>
      <c r="G119" s="27" t="e">
        <f t="shared" ca="1" si="1"/>
        <v>#N/A</v>
      </c>
    </row>
    <row r="120" spans="1:7">
      <c r="A120" s="4" t="e">
        <f ca="1">OFFSET(Cartera!A$1,MATCH(B120,Cartera!C:C,0) - 1, 1)</f>
        <v>#N/A</v>
      </c>
      <c r="C120" s="41"/>
      <c r="D120" s="1"/>
      <c r="E120" s="27" t="e">
        <f ca="1">INDEX(VLs!$1:$1048576,MATCH(A120,VLs!B:B,0),MATCH(D120,VLs!$3:$3,0))</f>
        <v>#N/A</v>
      </c>
      <c r="F120" s="30"/>
      <c r="G120" s="27" t="e">
        <f t="shared" ca="1" si="1"/>
        <v>#N/A</v>
      </c>
    </row>
    <row r="121" spans="1:7">
      <c r="A121" s="4" t="e">
        <f ca="1">OFFSET(Cartera!A$1,MATCH(B121,Cartera!C:C,0) - 1, 1)</f>
        <v>#N/A</v>
      </c>
      <c r="C121" s="41"/>
      <c r="D121" s="1"/>
      <c r="E121" s="27" t="e">
        <f ca="1">INDEX(VLs!$1:$1048576,MATCH(A121,VLs!B:B,0),MATCH(D121,VLs!$3:$3,0))</f>
        <v>#N/A</v>
      </c>
      <c r="F121" s="30"/>
      <c r="G121" s="27" t="e">
        <f t="shared" ca="1" si="1"/>
        <v>#N/A</v>
      </c>
    </row>
    <row r="122" spans="1:7">
      <c r="A122" s="4" t="e">
        <f ca="1">OFFSET(Cartera!A$1,MATCH(B122,Cartera!C:C,0) - 1, 1)</f>
        <v>#N/A</v>
      </c>
      <c r="C122" s="41"/>
      <c r="D122" s="1"/>
      <c r="E122" s="27" t="e">
        <f ca="1">INDEX(VLs!$1:$1048576,MATCH(A122,VLs!B:B,0),MATCH(D122,VLs!$3:$3,0))</f>
        <v>#N/A</v>
      </c>
      <c r="F122" s="30"/>
      <c r="G122" s="27" t="e">
        <f t="shared" ca="1" si="1"/>
        <v>#N/A</v>
      </c>
    </row>
    <row r="123" spans="1:7">
      <c r="A123" s="4" t="e">
        <f ca="1">OFFSET(Cartera!A$1,MATCH(B123,Cartera!C:C,0) - 1, 1)</f>
        <v>#N/A</v>
      </c>
      <c r="C123" s="41"/>
      <c r="D123" s="1"/>
      <c r="E123" s="27" t="e">
        <f ca="1">INDEX(VLs!$1:$1048576,MATCH(A123,VLs!B:B,0),MATCH(D123,VLs!$3:$3,0))</f>
        <v>#N/A</v>
      </c>
      <c r="F123" s="30"/>
      <c r="G123" s="27" t="e">
        <f t="shared" ca="1" si="1"/>
        <v>#N/A</v>
      </c>
    </row>
    <row r="124" spans="1:7">
      <c r="A124" s="4" t="e">
        <f ca="1">OFFSET(Cartera!A$1,MATCH(B124,Cartera!C:C,0) - 1, 1)</f>
        <v>#N/A</v>
      </c>
      <c r="C124" s="41"/>
      <c r="D124" s="1"/>
      <c r="E124" s="27" t="e">
        <f ca="1">INDEX(VLs!$1:$1048576,MATCH(A124,VLs!B:B,0),MATCH(D124,VLs!$3:$3,0))</f>
        <v>#N/A</v>
      </c>
      <c r="F124" s="30"/>
      <c r="G124" s="27" t="e">
        <f t="shared" ca="1" si="1"/>
        <v>#N/A</v>
      </c>
    </row>
    <row r="125" spans="1:7">
      <c r="A125" s="4" t="e">
        <f ca="1">OFFSET(Cartera!A$1,MATCH(B125,Cartera!C:C,0) - 1, 1)</f>
        <v>#N/A</v>
      </c>
      <c r="C125" s="41"/>
      <c r="D125" s="1"/>
      <c r="E125" s="27" t="e">
        <f ca="1">INDEX(VLs!$1:$1048576,MATCH(A125,VLs!B:B,0),MATCH(D125,VLs!$3:$3,0))</f>
        <v>#N/A</v>
      </c>
      <c r="F125" s="30"/>
      <c r="G125" s="27" t="e">
        <f t="shared" ca="1" si="1"/>
        <v>#N/A</v>
      </c>
    </row>
    <row r="126" spans="1:7">
      <c r="A126" s="4" t="e">
        <f ca="1">OFFSET(Cartera!A$1,MATCH(B126,Cartera!C:C,0) - 1, 1)</f>
        <v>#N/A</v>
      </c>
      <c r="C126" s="41"/>
      <c r="D126" s="1"/>
      <c r="E126" s="27" t="e">
        <f ca="1">INDEX(VLs!$1:$1048576,MATCH(A126,VLs!B:B,0),MATCH(D126,VLs!$3:$3,0))</f>
        <v>#N/A</v>
      </c>
      <c r="F126" s="30"/>
      <c r="G126" s="27" t="e">
        <f t="shared" ca="1" si="1"/>
        <v>#N/A</v>
      </c>
    </row>
    <row r="127" spans="1:7">
      <c r="A127" s="4" t="e">
        <f ca="1">OFFSET(Cartera!A$1,MATCH(B127,Cartera!C:C,0) - 1, 1)</f>
        <v>#N/A</v>
      </c>
      <c r="C127" s="41"/>
      <c r="D127" s="1"/>
      <c r="E127" s="27" t="e">
        <f ca="1">INDEX(VLs!$1:$1048576,MATCH(A127,VLs!B:B,0),MATCH(D127,VLs!$3:$3,0))</f>
        <v>#N/A</v>
      </c>
      <c r="F127" s="30"/>
      <c r="G127" s="27" t="e">
        <f t="shared" ca="1" si="1"/>
        <v>#N/A</v>
      </c>
    </row>
    <row r="128" spans="1:7">
      <c r="A128" s="4" t="e">
        <f ca="1">OFFSET(Cartera!A$1,MATCH(B128,Cartera!C:C,0) - 1, 1)</f>
        <v>#N/A</v>
      </c>
      <c r="C128" s="41"/>
      <c r="D128" s="1"/>
      <c r="E128" s="27" t="e">
        <f ca="1">INDEX(VLs!$1:$1048576,MATCH(A128,VLs!B:B,0),MATCH(D128,VLs!$3:$3,0))</f>
        <v>#N/A</v>
      </c>
      <c r="F128" s="30"/>
      <c r="G128" s="27" t="e">
        <f t="shared" ca="1" si="1"/>
        <v>#N/A</v>
      </c>
    </row>
    <row r="129" spans="1:7">
      <c r="A129" s="4" t="e">
        <f ca="1">OFFSET(Cartera!A$1,MATCH(B129,Cartera!C:C,0) - 1, 1)</f>
        <v>#N/A</v>
      </c>
      <c r="C129" s="41"/>
      <c r="D129" s="1"/>
      <c r="E129" s="27" t="e">
        <f ca="1">INDEX(VLs!$1:$1048576,MATCH(A129,VLs!B:B,0),MATCH(D129,VLs!$3:$3,0))</f>
        <v>#N/A</v>
      </c>
      <c r="F129" s="30"/>
      <c r="G129" s="27" t="e">
        <f t="shared" ca="1" si="1"/>
        <v>#N/A</v>
      </c>
    </row>
    <row r="130" spans="1:7">
      <c r="A130" s="4" t="e">
        <f ca="1">OFFSET(Cartera!A$1,MATCH(B130,Cartera!C:C,0) - 1, 1)</f>
        <v>#N/A</v>
      </c>
      <c r="C130" s="41"/>
      <c r="D130" s="1"/>
      <c r="E130" s="27" t="e">
        <f ca="1">INDEX(VLs!$1:$1048576,MATCH(A130,VLs!B:B,0),MATCH(D130,VLs!$3:$3,0))</f>
        <v>#N/A</v>
      </c>
      <c r="F130" s="30"/>
      <c r="G130" s="27" t="e">
        <f t="shared" ca="1" si="1"/>
        <v>#N/A</v>
      </c>
    </row>
    <row r="131" spans="1:7">
      <c r="A131" s="4" t="e">
        <f ca="1">OFFSET(Cartera!A$1,MATCH(B131,Cartera!C:C,0) - 1, 1)</f>
        <v>#N/A</v>
      </c>
      <c r="C131" s="41"/>
      <c r="D131" s="1"/>
      <c r="E131" s="27" t="e">
        <f ca="1">INDEX(VLs!$1:$1048576,MATCH(A131,VLs!B:B,0),MATCH(D131,VLs!$3:$3,0))</f>
        <v>#N/A</v>
      </c>
      <c r="F131" s="30"/>
      <c r="G131" s="27" t="e">
        <f t="shared" ca="1" si="1"/>
        <v>#N/A</v>
      </c>
    </row>
    <row r="132" spans="1:7">
      <c r="A132" s="4" t="e">
        <f ca="1">OFFSET(Cartera!A$1,MATCH(B132,Cartera!C:C,0) - 1, 1)</f>
        <v>#N/A</v>
      </c>
      <c r="C132" s="41"/>
      <c r="D132" s="1"/>
      <c r="E132" s="27" t="e">
        <f ca="1">INDEX(VLs!$1:$1048576,MATCH(A132,VLs!B:B,0),MATCH(D132,VLs!$3:$3,0))</f>
        <v>#N/A</v>
      </c>
      <c r="F132" s="30"/>
      <c r="G132" s="27" t="e">
        <f t="shared" ref="G132:G195" ca="1" si="2">(C132*E132)+F132</f>
        <v>#N/A</v>
      </c>
    </row>
    <row r="133" spans="1:7">
      <c r="A133" s="4" t="e">
        <f ca="1">OFFSET(Cartera!A$1,MATCH(B133,Cartera!C:C,0) - 1, 1)</f>
        <v>#N/A</v>
      </c>
      <c r="C133" s="41"/>
      <c r="D133" s="1"/>
      <c r="E133" s="27" t="e">
        <f ca="1">INDEX(VLs!$1:$1048576,MATCH(A133,VLs!B:B,0),MATCH(D133,VLs!$3:$3,0))</f>
        <v>#N/A</v>
      </c>
      <c r="F133" s="30"/>
      <c r="G133" s="27" t="e">
        <f t="shared" ca="1" si="2"/>
        <v>#N/A</v>
      </c>
    </row>
    <row r="134" spans="1:7">
      <c r="A134" s="4" t="e">
        <f ca="1">OFFSET(Cartera!A$1,MATCH(B134,Cartera!C:C,0) - 1, 1)</f>
        <v>#N/A</v>
      </c>
      <c r="C134" s="41"/>
      <c r="D134" s="1"/>
      <c r="E134" s="27" t="e">
        <f ca="1">INDEX(VLs!$1:$1048576,MATCH(A134,VLs!B:B,0),MATCH(D134,VLs!$3:$3,0))</f>
        <v>#N/A</v>
      </c>
      <c r="F134" s="30"/>
      <c r="G134" s="27" t="e">
        <f t="shared" ca="1" si="2"/>
        <v>#N/A</v>
      </c>
    </row>
    <row r="135" spans="1:7">
      <c r="A135" s="4" t="e">
        <f ca="1">OFFSET(Cartera!A$1,MATCH(B135,Cartera!C:C,0) - 1, 1)</f>
        <v>#N/A</v>
      </c>
      <c r="C135" s="41"/>
      <c r="D135" s="1"/>
      <c r="E135" s="27" t="e">
        <f ca="1">INDEX(VLs!$1:$1048576,MATCH(A135,VLs!B:B,0),MATCH(D135,VLs!$3:$3,0))</f>
        <v>#N/A</v>
      </c>
      <c r="F135" s="30"/>
      <c r="G135" s="27" t="e">
        <f t="shared" ca="1" si="2"/>
        <v>#N/A</v>
      </c>
    </row>
    <row r="136" spans="1:7">
      <c r="A136" s="4" t="e">
        <f ca="1">OFFSET(Cartera!A$1,MATCH(B136,Cartera!C:C,0) - 1, 1)</f>
        <v>#N/A</v>
      </c>
      <c r="C136" s="41"/>
      <c r="D136" s="1"/>
      <c r="E136" s="27" t="e">
        <f ca="1">INDEX(VLs!$1:$1048576,MATCH(A136,VLs!B:B,0),MATCH(D136,VLs!$3:$3,0))</f>
        <v>#N/A</v>
      </c>
      <c r="F136" s="30"/>
      <c r="G136" s="27" t="e">
        <f t="shared" ca="1" si="2"/>
        <v>#N/A</v>
      </c>
    </row>
    <row r="137" spans="1:7">
      <c r="A137" s="4" t="e">
        <f ca="1">OFFSET(Cartera!A$1,MATCH(B137,Cartera!C:C,0) - 1, 1)</f>
        <v>#N/A</v>
      </c>
      <c r="C137" s="41"/>
      <c r="D137" s="1"/>
      <c r="E137" s="27" t="e">
        <f ca="1">INDEX(VLs!$1:$1048576,MATCH(A137,VLs!B:B,0),MATCH(D137,VLs!$3:$3,0))</f>
        <v>#N/A</v>
      </c>
      <c r="F137" s="30"/>
      <c r="G137" s="27" t="e">
        <f t="shared" ca="1" si="2"/>
        <v>#N/A</v>
      </c>
    </row>
    <row r="138" spans="1:7">
      <c r="A138" s="4" t="e">
        <f ca="1">OFFSET(Cartera!A$1,MATCH(B138,Cartera!C:C,0) - 1, 1)</f>
        <v>#N/A</v>
      </c>
      <c r="C138" s="41"/>
      <c r="D138" s="1"/>
      <c r="E138" s="27" t="e">
        <f ca="1">INDEX(VLs!$1:$1048576,MATCH(A138,VLs!B:B,0),MATCH(D138,VLs!$3:$3,0))</f>
        <v>#N/A</v>
      </c>
      <c r="F138" s="30"/>
      <c r="G138" s="27" t="e">
        <f t="shared" ca="1" si="2"/>
        <v>#N/A</v>
      </c>
    </row>
    <row r="139" spans="1:7">
      <c r="A139" s="4" t="e">
        <f ca="1">OFFSET(Cartera!A$1,MATCH(B139,Cartera!C:C,0) - 1, 1)</f>
        <v>#N/A</v>
      </c>
      <c r="C139" s="41"/>
      <c r="D139" s="1"/>
      <c r="E139" s="27" t="e">
        <f ca="1">INDEX(VLs!$1:$1048576,MATCH(A139,VLs!B:B,0),MATCH(D139,VLs!$3:$3,0))</f>
        <v>#N/A</v>
      </c>
      <c r="F139" s="30"/>
      <c r="G139" s="27" t="e">
        <f t="shared" ca="1" si="2"/>
        <v>#N/A</v>
      </c>
    </row>
    <row r="140" spans="1:7">
      <c r="A140" s="4" t="e">
        <f ca="1">OFFSET(Cartera!A$1,MATCH(B140,Cartera!C:C,0) - 1, 1)</f>
        <v>#N/A</v>
      </c>
      <c r="C140" s="41"/>
      <c r="D140" s="1"/>
      <c r="E140" s="27" t="e">
        <f ca="1">INDEX(VLs!$1:$1048576,MATCH(A140,VLs!B:B,0),MATCH(D140,VLs!$3:$3,0))</f>
        <v>#N/A</v>
      </c>
      <c r="F140" s="30"/>
      <c r="G140" s="27" t="e">
        <f t="shared" ca="1" si="2"/>
        <v>#N/A</v>
      </c>
    </row>
    <row r="141" spans="1:7">
      <c r="A141" s="4" t="e">
        <f ca="1">OFFSET(Cartera!A$1,MATCH(B141,Cartera!C:C,0) - 1, 1)</f>
        <v>#N/A</v>
      </c>
      <c r="C141" s="41"/>
      <c r="D141" s="1"/>
      <c r="E141" s="27" t="e">
        <f ca="1">INDEX(VLs!$1:$1048576,MATCH(A141,VLs!B:B,0),MATCH(D141,VLs!$3:$3,0))</f>
        <v>#N/A</v>
      </c>
      <c r="F141" s="30"/>
      <c r="G141" s="27" t="e">
        <f t="shared" ca="1" si="2"/>
        <v>#N/A</v>
      </c>
    </row>
    <row r="142" spans="1:7">
      <c r="A142" s="4" t="e">
        <f ca="1">OFFSET(Cartera!A$1,MATCH(B142,Cartera!C:C,0) - 1, 1)</f>
        <v>#N/A</v>
      </c>
      <c r="C142" s="41"/>
      <c r="D142" s="1"/>
      <c r="E142" s="27" t="e">
        <f ca="1">INDEX(VLs!$1:$1048576,MATCH(A142,VLs!B:B,0),MATCH(D142,VLs!$3:$3,0))</f>
        <v>#N/A</v>
      </c>
      <c r="F142" s="30"/>
      <c r="G142" s="27" t="e">
        <f t="shared" ca="1" si="2"/>
        <v>#N/A</v>
      </c>
    </row>
    <row r="143" spans="1:7">
      <c r="A143" s="4" t="e">
        <f ca="1">OFFSET(Cartera!A$1,MATCH(B143,Cartera!C:C,0) - 1, 1)</f>
        <v>#N/A</v>
      </c>
      <c r="C143" s="41"/>
      <c r="D143" s="1"/>
      <c r="E143" s="27" t="e">
        <f ca="1">INDEX(VLs!$1:$1048576,MATCH(A143,VLs!B:B,0),MATCH(D143,VLs!$3:$3,0))</f>
        <v>#N/A</v>
      </c>
      <c r="F143" s="30"/>
      <c r="G143" s="27" t="e">
        <f t="shared" ca="1" si="2"/>
        <v>#N/A</v>
      </c>
    </row>
    <row r="144" spans="1:7">
      <c r="A144" s="4" t="e">
        <f ca="1">OFFSET(Cartera!A$1,MATCH(B144,Cartera!C:C,0) - 1, 1)</f>
        <v>#N/A</v>
      </c>
      <c r="C144" s="41"/>
      <c r="D144" s="1"/>
      <c r="E144" s="27" t="e">
        <f ca="1">INDEX(VLs!$1:$1048576,MATCH(A144,VLs!B:B,0),MATCH(D144,VLs!$3:$3,0))</f>
        <v>#N/A</v>
      </c>
      <c r="F144" s="30"/>
      <c r="G144" s="27" t="e">
        <f t="shared" ca="1" si="2"/>
        <v>#N/A</v>
      </c>
    </row>
    <row r="145" spans="1:7">
      <c r="A145" s="4" t="e">
        <f ca="1">OFFSET(Cartera!A$1,MATCH(B145,Cartera!C:C,0) - 1, 1)</f>
        <v>#N/A</v>
      </c>
      <c r="C145" s="41"/>
      <c r="D145" s="1"/>
      <c r="E145" s="27" t="e">
        <f ca="1">INDEX(VLs!$1:$1048576,MATCH(A145,VLs!B:B,0),MATCH(D145,VLs!$3:$3,0))</f>
        <v>#N/A</v>
      </c>
      <c r="F145" s="30"/>
      <c r="G145" s="27" t="e">
        <f t="shared" ca="1" si="2"/>
        <v>#N/A</v>
      </c>
    </row>
    <row r="146" spans="1:7">
      <c r="A146" s="4" t="e">
        <f ca="1">OFFSET(Cartera!A$1,MATCH(B146,Cartera!C:C,0) - 1, 1)</f>
        <v>#N/A</v>
      </c>
      <c r="C146" s="41"/>
      <c r="D146" s="1"/>
      <c r="E146" s="27" t="e">
        <f ca="1">INDEX(VLs!$1:$1048576,MATCH(A146,VLs!B:B,0),MATCH(D146,VLs!$3:$3,0))</f>
        <v>#N/A</v>
      </c>
      <c r="F146" s="30"/>
      <c r="G146" s="27" t="e">
        <f t="shared" ca="1" si="2"/>
        <v>#N/A</v>
      </c>
    </row>
    <row r="147" spans="1:7">
      <c r="A147" s="4" t="e">
        <f ca="1">OFFSET(Cartera!A$1,MATCH(B147,Cartera!C:C,0) - 1, 1)</f>
        <v>#N/A</v>
      </c>
      <c r="C147" s="41"/>
      <c r="D147" s="1"/>
      <c r="E147" s="27" t="e">
        <f ca="1">INDEX(VLs!$1:$1048576,MATCH(A147,VLs!B:B,0),MATCH(D147,VLs!$3:$3,0))</f>
        <v>#N/A</v>
      </c>
      <c r="F147" s="30"/>
      <c r="G147" s="27" t="e">
        <f t="shared" ca="1" si="2"/>
        <v>#N/A</v>
      </c>
    </row>
    <row r="148" spans="1:7">
      <c r="A148" s="4" t="e">
        <f ca="1">OFFSET(Cartera!A$1,MATCH(B148,Cartera!C:C,0) - 1, 1)</f>
        <v>#N/A</v>
      </c>
      <c r="C148" s="41"/>
      <c r="D148" s="1"/>
      <c r="E148" s="27" t="e">
        <f ca="1">INDEX(VLs!$1:$1048576,MATCH(A148,VLs!B:B,0),MATCH(D148,VLs!$3:$3,0))</f>
        <v>#N/A</v>
      </c>
      <c r="F148" s="30"/>
      <c r="G148" s="27" t="e">
        <f t="shared" ca="1" si="2"/>
        <v>#N/A</v>
      </c>
    </row>
    <row r="149" spans="1:7">
      <c r="A149" s="4" t="e">
        <f ca="1">OFFSET(Cartera!A$1,MATCH(B149,Cartera!C:C,0) - 1, 1)</f>
        <v>#N/A</v>
      </c>
      <c r="C149" s="41"/>
      <c r="D149" s="1"/>
      <c r="E149" s="27" t="e">
        <f ca="1">INDEX(VLs!$1:$1048576,MATCH(A149,VLs!B:B,0),MATCH(D149,VLs!$3:$3,0))</f>
        <v>#N/A</v>
      </c>
      <c r="F149" s="30"/>
      <c r="G149" s="27" t="e">
        <f t="shared" ca="1" si="2"/>
        <v>#N/A</v>
      </c>
    </row>
    <row r="150" spans="1:7">
      <c r="A150" s="4" t="e">
        <f ca="1">OFFSET(Cartera!A$1,MATCH(B150,Cartera!C:C,0) - 1, 1)</f>
        <v>#N/A</v>
      </c>
      <c r="C150" s="41"/>
      <c r="D150" s="1"/>
      <c r="E150" s="27" t="e">
        <f ca="1">INDEX(VLs!$1:$1048576,MATCH(A150,VLs!B:B,0),MATCH(D150,VLs!$3:$3,0))</f>
        <v>#N/A</v>
      </c>
      <c r="F150" s="30"/>
      <c r="G150" s="27" t="e">
        <f t="shared" ca="1" si="2"/>
        <v>#N/A</v>
      </c>
    </row>
    <row r="151" spans="1:7">
      <c r="A151" s="4" t="e">
        <f ca="1">OFFSET(Cartera!A$1,MATCH(B151,Cartera!C:C,0) - 1, 1)</f>
        <v>#N/A</v>
      </c>
      <c r="C151" s="41"/>
      <c r="D151" s="1"/>
      <c r="E151" s="27" t="e">
        <f ca="1">INDEX(VLs!$1:$1048576,MATCH(A151,VLs!B:B,0),MATCH(D151,VLs!$3:$3,0))</f>
        <v>#N/A</v>
      </c>
      <c r="F151" s="30"/>
      <c r="G151" s="27" t="e">
        <f t="shared" ca="1" si="2"/>
        <v>#N/A</v>
      </c>
    </row>
    <row r="152" spans="1:7">
      <c r="A152" s="4" t="e">
        <f ca="1">OFFSET(Cartera!A$1,MATCH(B152,Cartera!C:C,0) - 1, 1)</f>
        <v>#N/A</v>
      </c>
      <c r="C152" s="41"/>
      <c r="D152" s="1"/>
      <c r="E152" s="27" t="e">
        <f ca="1">INDEX(VLs!$1:$1048576,MATCH(A152,VLs!B:B,0),MATCH(D152,VLs!$3:$3,0))</f>
        <v>#N/A</v>
      </c>
      <c r="F152" s="30"/>
      <c r="G152" s="27" t="e">
        <f t="shared" ca="1" si="2"/>
        <v>#N/A</v>
      </c>
    </row>
    <row r="153" spans="1:7">
      <c r="A153" s="4" t="e">
        <f ca="1">OFFSET(Cartera!A$1,MATCH(B153,Cartera!C:C,0) - 1, 1)</f>
        <v>#N/A</v>
      </c>
      <c r="C153" s="41"/>
      <c r="D153" s="1"/>
      <c r="E153" s="27" t="e">
        <f ca="1">INDEX(VLs!$1:$1048576,MATCH(A153,VLs!B:B,0),MATCH(D153,VLs!$3:$3,0))</f>
        <v>#N/A</v>
      </c>
      <c r="F153" s="30"/>
      <c r="G153" s="27" t="e">
        <f t="shared" ca="1" si="2"/>
        <v>#N/A</v>
      </c>
    </row>
    <row r="154" spans="1:7">
      <c r="A154" s="4" t="e">
        <f ca="1">OFFSET(Cartera!A$1,MATCH(B154,Cartera!C:C,0) - 1, 1)</f>
        <v>#N/A</v>
      </c>
      <c r="C154" s="41"/>
      <c r="D154" s="1"/>
      <c r="E154" s="27" t="e">
        <f ca="1">INDEX(VLs!$1:$1048576,MATCH(A154,VLs!B:B,0),MATCH(D154,VLs!$3:$3,0))</f>
        <v>#N/A</v>
      </c>
      <c r="F154" s="30"/>
      <c r="G154" s="27" t="e">
        <f t="shared" ca="1" si="2"/>
        <v>#N/A</v>
      </c>
    </row>
    <row r="155" spans="1:7">
      <c r="A155" s="4" t="e">
        <f ca="1">OFFSET(Cartera!A$1,MATCH(B155,Cartera!C:C,0) - 1, 1)</f>
        <v>#N/A</v>
      </c>
      <c r="C155" s="41"/>
      <c r="D155" s="1"/>
      <c r="E155" s="27" t="e">
        <f ca="1">INDEX(VLs!$1:$1048576,MATCH(A155,VLs!B:B,0),MATCH(D155,VLs!$3:$3,0))</f>
        <v>#N/A</v>
      </c>
      <c r="F155" s="30"/>
      <c r="G155" s="27" t="e">
        <f t="shared" ca="1" si="2"/>
        <v>#N/A</v>
      </c>
    </row>
    <row r="156" spans="1:7">
      <c r="A156" s="4" t="e">
        <f ca="1">OFFSET(Cartera!A$1,MATCH(B156,Cartera!C:C,0) - 1, 1)</f>
        <v>#N/A</v>
      </c>
      <c r="C156" s="41"/>
      <c r="D156" s="1"/>
      <c r="E156" s="27" t="e">
        <f ca="1">INDEX(VLs!$1:$1048576,MATCH(A156,VLs!B:B,0),MATCH(D156,VLs!$3:$3,0))</f>
        <v>#N/A</v>
      </c>
      <c r="F156" s="30"/>
      <c r="G156" s="27" t="e">
        <f t="shared" ca="1" si="2"/>
        <v>#N/A</v>
      </c>
    </row>
    <row r="157" spans="1:7">
      <c r="A157" s="4" t="e">
        <f ca="1">OFFSET(Cartera!A$1,MATCH(B157,Cartera!C:C,0) - 1, 1)</f>
        <v>#N/A</v>
      </c>
      <c r="C157" s="41"/>
      <c r="D157" s="1"/>
      <c r="E157" s="27" t="e">
        <f ca="1">INDEX(VLs!$1:$1048576,MATCH(A157,VLs!B:B,0),MATCH(D157,VLs!$3:$3,0))</f>
        <v>#N/A</v>
      </c>
      <c r="F157" s="30"/>
      <c r="G157" s="27" t="e">
        <f t="shared" ca="1" si="2"/>
        <v>#N/A</v>
      </c>
    </row>
    <row r="158" spans="1:7">
      <c r="A158" s="4" t="e">
        <f ca="1">OFFSET(Cartera!A$1,MATCH(B158,Cartera!C:C,0) - 1, 1)</f>
        <v>#N/A</v>
      </c>
      <c r="C158" s="41"/>
      <c r="D158" s="1"/>
      <c r="E158" s="27" t="e">
        <f ca="1">INDEX(VLs!$1:$1048576,MATCH(A158,VLs!B:B,0),MATCH(D158,VLs!$3:$3,0))</f>
        <v>#N/A</v>
      </c>
      <c r="F158" s="30"/>
      <c r="G158" s="27" t="e">
        <f t="shared" ca="1" si="2"/>
        <v>#N/A</v>
      </c>
    </row>
    <row r="159" spans="1:7">
      <c r="A159" s="4" t="e">
        <f ca="1">OFFSET(Cartera!A$1,MATCH(B159,Cartera!C:C,0) - 1, 1)</f>
        <v>#N/A</v>
      </c>
      <c r="C159" s="41"/>
      <c r="D159" s="1"/>
      <c r="E159" s="27" t="e">
        <f ca="1">INDEX(VLs!$1:$1048576,MATCH(A159,VLs!B:B,0),MATCH(D159,VLs!$3:$3,0))</f>
        <v>#N/A</v>
      </c>
      <c r="F159" s="30"/>
      <c r="G159" s="27" t="e">
        <f t="shared" ca="1" si="2"/>
        <v>#N/A</v>
      </c>
    </row>
    <row r="160" spans="1:7">
      <c r="A160" s="4" t="e">
        <f ca="1">OFFSET(Cartera!A$1,MATCH(B160,Cartera!C:C,0) - 1, 1)</f>
        <v>#N/A</v>
      </c>
      <c r="C160" s="41"/>
      <c r="D160" s="1"/>
      <c r="E160" s="27" t="e">
        <f ca="1">INDEX(VLs!$1:$1048576,MATCH(A160,VLs!B:B,0),MATCH(D160,VLs!$3:$3,0))</f>
        <v>#N/A</v>
      </c>
      <c r="F160" s="30"/>
      <c r="G160" s="27" t="e">
        <f t="shared" ca="1" si="2"/>
        <v>#N/A</v>
      </c>
    </row>
    <row r="161" spans="1:7">
      <c r="A161" s="4" t="e">
        <f ca="1">OFFSET(Cartera!A$1,MATCH(B161,Cartera!C:C,0) - 1, 1)</f>
        <v>#N/A</v>
      </c>
      <c r="C161" s="41"/>
      <c r="D161" s="1"/>
      <c r="E161" s="27" t="e">
        <f ca="1">INDEX(VLs!$1:$1048576,MATCH(A161,VLs!B:B,0),MATCH(D161,VLs!$3:$3,0))</f>
        <v>#N/A</v>
      </c>
      <c r="F161" s="30"/>
      <c r="G161" s="27" t="e">
        <f t="shared" ca="1" si="2"/>
        <v>#N/A</v>
      </c>
    </row>
    <row r="162" spans="1:7">
      <c r="A162" s="4" t="e">
        <f ca="1">OFFSET(Cartera!A$1,MATCH(B162,Cartera!C:C,0) - 1, 1)</f>
        <v>#N/A</v>
      </c>
      <c r="C162" s="41"/>
      <c r="D162" s="1"/>
      <c r="E162" s="27" t="e">
        <f ca="1">INDEX(VLs!$1:$1048576,MATCH(A162,VLs!B:B,0),MATCH(D162,VLs!$3:$3,0))</f>
        <v>#N/A</v>
      </c>
      <c r="F162" s="30"/>
      <c r="G162" s="27" t="e">
        <f t="shared" ca="1" si="2"/>
        <v>#N/A</v>
      </c>
    </row>
    <row r="163" spans="1:7">
      <c r="A163" s="4" t="e">
        <f ca="1">OFFSET(Cartera!A$1,MATCH(B163,Cartera!C:C,0) - 1, 1)</f>
        <v>#N/A</v>
      </c>
      <c r="C163" s="41"/>
      <c r="D163" s="1"/>
      <c r="E163" s="27" t="e">
        <f ca="1">INDEX(VLs!$1:$1048576,MATCH(A163,VLs!B:B,0),MATCH(D163,VLs!$3:$3,0))</f>
        <v>#N/A</v>
      </c>
      <c r="F163" s="30"/>
      <c r="G163" s="27" t="e">
        <f t="shared" ca="1" si="2"/>
        <v>#N/A</v>
      </c>
    </row>
    <row r="164" spans="1:7">
      <c r="A164" s="4" t="e">
        <f ca="1">OFFSET(Cartera!A$1,MATCH(B164,Cartera!C:C,0) - 1, 1)</f>
        <v>#N/A</v>
      </c>
      <c r="C164" s="41"/>
      <c r="D164" s="1"/>
      <c r="E164" s="27" t="e">
        <f ca="1">INDEX(VLs!$1:$1048576,MATCH(A164,VLs!B:B,0),MATCH(D164,VLs!$3:$3,0))</f>
        <v>#N/A</v>
      </c>
      <c r="F164" s="30"/>
      <c r="G164" s="27" t="e">
        <f t="shared" ca="1" si="2"/>
        <v>#N/A</v>
      </c>
    </row>
    <row r="165" spans="1:7">
      <c r="A165" s="4" t="e">
        <f ca="1">OFFSET(Cartera!A$1,MATCH(B165,Cartera!C:C,0) - 1, 1)</f>
        <v>#N/A</v>
      </c>
      <c r="C165" s="41"/>
      <c r="D165" s="1"/>
      <c r="E165" s="27" t="e">
        <f ca="1">INDEX(VLs!$1:$1048576,MATCH(A165,VLs!B:B,0),MATCH(D165,VLs!$3:$3,0))</f>
        <v>#N/A</v>
      </c>
      <c r="F165" s="30"/>
      <c r="G165" s="27" t="e">
        <f t="shared" ca="1" si="2"/>
        <v>#N/A</v>
      </c>
    </row>
    <row r="166" spans="1:7">
      <c r="A166" s="4" t="e">
        <f ca="1">OFFSET(Cartera!A$1,MATCH(B166,Cartera!C:C,0) - 1, 1)</f>
        <v>#N/A</v>
      </c>
      <c r="C166" s="41"/>
      <c r="D166" s="1"/>
      <c r="E166" s="27" t="e">
        <f ca="1">INDEX(VLs!$1:$1048576,MATCH(A166,VLs!B:B,0),MATCH(D166,VLs!$3:$3,0))</f>
        <v>#N/A</v>
      </c>
      <c r="F166" s="30"/>
      <c r="G166" s="27" t="e">
        <f t="shared" ca="1" si="2"/>
        <v>#N/A</v>
      </c>
    </row>
    <row r="167" spans="1:7">
      <c r="A167" s="4" t="e">
        <f ca="1">OFFSET(Cartera!A$1,MATCH(B167,Cartera!C:C,0) - 1, 1)</f>
        <v>#N/A</v>
      </c>
      <c r="C167" s="41"/>
      <c r="D167" s="1"/>
      <c r="E167" s="27" t="e">
        <f ca="1">INDEX(VLs!$1:$1048576,MATCH(A167,VLs!B:B,0),MATCH(D167,VLs!$3:$3,0))</f>
        <v>#N/A</v>
      </c>
      <c r="F167" s="30"/>
      <c r="G167" s="27" t="e">
        <f t="shared" ca="1" si="2"/>
        <v>#N/A</v>
      </c>
    </row>
    <row r="168" spans="1:7">
      <c r="A168" s="4" t="e">
        <f ca="1">OFFSET(Cartera!A$1,MATCH(B168,Cartera!C:C,0) - 1, 1)</f>
        <v>#N/A</v>
      </c>
      <c r="C168" s="41"/>
      <c r="D168" s="1"/>
      <c r="E168" s="27" t="e">
        <f ca="1">INDEX(VLs!$1:$1048576,MATCH(A168,VLs!B:B,0),MATCH(D168,VLs!$3:$3,0))</f>
        <v>#N/A</v>
      </c>
      <c r="F168" s="30"/>
      <c r="G168" s="27" t="e">
        <f t="shared" ca="1" si="2"/>
        <v>#N/A</v>
      </c>
    </row>
    <row r="169" spans="1:7">
      <c r="A169" s="4" t="e">
        <f ca="1">OFFSET(Cartera!A$1,MATCH(B169,Cartera!C:C,0) - 1, 1)</f>
        <v>#N/A</v>
      </c>
      <c r="C169" s="41"/>
      <c r="D169" s="1"/>
      <c r="E169" s="27" t="e">
        <f ca="1">INDEX(VLs!$1:$1048576,MATCH(A169,VLs!B:B,0),MATCH(D169,VLs!$3:$3,0))</f>
        <v>#N/A</v>
      </c>
      <c r="F169" s="30"/>
      <c r="G169" s="27" t="e">
        <f t="shared" ca="1" si="2"/>
        <v>#N/A</v>
      </c>
    </row>
    <row r="170" spans="1:7">
      <c r="A170" s="4" t="e">
        <f ca="1">OFFSET(Cartera!A$1,MATCH(B170,Cartera!C:C,0) - 1, 1)</f>
        <v>#N/A</v>
      </c>
      <c r="C170" s="41"/>
      <c r="D170" s="1"/>
      <c r="E170" s="27" t="e">
        <f ca="1">INDEX(VLs!$1:$1048576,MATCH(A170,VLs!B:B,0),MATCH(D170,VLs!$3:$3,0))</f>
        <v>#N/A</v>
      </c>
      <c r="F170" s="30"/>
      <c r="G170" s="27" t="e">
        <f t="shared" ca="1" si="2"/>
        <v>#N/A</v>
      </c>
    </row>
    <row r="171" spans="1:7">
      <c r="A171" s="4" t="e">
        <f ca="1">OFFSET(Cartera!A$1,MATCH(B171,Cartera!C:C,0) - 1, 1)</f>
        <v>#N/A</v>
      </c>
      <c r="C171" s="41"/>
      <c r="D171" s="1"/>
      <c r="E171" s="27" t="e">
        <f ca="1">INDEX(VLs!$1:$1048576,MATCH(A171,VLs!B:B,0),MATCH(D171,VLs!$3:$3,0))</f>
        <v>#N/A</v>
      </c>
      <c r="F171" s="30"/>
      <c r="G171" s="27" t="e">
        <f t="shared" ca="1" si="2"/>
        <v>#N/A</v>
      </c>
    </row>
    <row r="172" spans="1:7">
      <c r="A172" s="4" t="e">
        <f ca="1">OFFSET(Cartera!A$1,MATCH(B172,Cartera!C:C,0) - 1, 1)</f>
        <v>#N/A</v>
      </c>
      <c r="C172" s="41"/>
      <c r="D172" s="1"/>
      <c r="E172" s="27" t="e">
        <f ca="1">INDEX(VLs!$1:$1048576,MATCH(A172,VLs!B:B,0),MATCH(D172,VLs!$3:$3,0))</f>
        <v>#N/A</v>
      </c>
      <c r="F172" s="30"/>
      <c r="G172" s="27" t="e">
        <f t="shared" ca="1" si="2"/>
        <v>#N/A</v>
      </c>
    </row>
    <row r="173" spans="1:7">
      <c r="A173" s="4" t="e">
        <f ca="1">OFFSET(Cartera!A$1,MATCH(B173,Cartera!C:C,0) - 1, 1)</f>
        <v>#N/A</v>
      </c>
      <c r="C173" s="41"/>
      <c r="D173" s="1"/>
      <c r="E173" s="27" t="e">
        <f ca="1">INDEX(VLs!$1:$1048576,MATCH(A173,VLs!B:B,0),MATCH(D173,VLs!$3:$3,0))</f>
        <v>#N/A</v>
      </c>
      <c r="F173" s="30"/>
      <c r="G173" s="27" t="e">
        <f t="shared" ca="1" si="2"/>
        <v>#N/A</v>
      </c>
    </row>
    <row r="174" spans="1:7">
      <c r="A174" s="4" t="e">
        <f ca="1">OFFSET(Cartera!A$1,MATCH(B174,Cartera!C:C,0) - 1, 1)</f>
        <v>#N/A</v>
      </c>
      <c r="C174" s="41"/>
      <c r="D174" s="1"/>
      <c r="E174" s="27" t="e">
        <f ca="1">INDEX(VLs!$1:$1048576,MATCH(A174,VLs!B:B,0),MATCH(D174,VLs!$3:$3,0))</f>
        <v>#N/A</v>
      </c>
      <c r="F174" s="30"/>
      <c r="G174" s="27" t="e">
        <f t="shared" ca="1" si="2"/>
        <v>#N/A</v>
      </c>
    </row>
    <row r="175" spans="1:7">
      <c r="A175" s="4" t="e">
        <f ca="1">OFFSET(Cartera!A$1,MATCH(B175,Cartera!C:C,0) - 1, 1)</f>
        <v>#N/A</v>
      </c>
      <c r="C175" s="41"/>
      <c r="D175" s="1"/>
      <c r="E175" s="27" t="e">
        <f ca="1">INDEX(VLs!$1:$1048576,MATCH(A175,VLs!B:B,0),MATCH(D175,VLs!$3:$3,0))</f>
        <v>#N/A</v>
      </c>
      <c r="F175" s="30"/>
      <c r="G175" s="27" t="e">
        <f t="shared" ca="1" si="2"/>
        <v>#N/A</v>
      </c>
    </row>
    <row r="176" spans="1:7">
      <c r="A176" s="4" t="e">
        <f ca="1">OFFSET(Cartera!A$1,MATCH(B176,Cartera!C:C,0) - 1, 1)</f>
        <v>#N/A</v>
      </c>
      <c r="C176" s="41"/>
      <c r="D176" s="1"/>
      <c r="E176" s="27" t="e">
        <f ca="1">INDEX(VLs!$1:$1048576,MATCH(A176,VLs!B:B,0),MATCH(D176,VLs!$3:$3,0))</f>
        <v>#N/A</v>
      </c>
      <c r="F176" s="30"/>
      <c r="G176" s="27" t="e">
        <f t="shared" ca="1" si="2"/>
        <v>#N/A</v>
      </c>
    </row>
    <row r="177" spans="1:7">
      <c r="A177" s="4" t="e">
        <f ca="1">OFFSET(Cartera!A$1,MATCH(B177,Cartera!C:C,0) - 1, 1)</f>
        <v>#N/A</v>
      </c>
      <c r="C177" s="41"/>
      <c r="D177" s="1"/>
      <c r="E177" s="27" t="e">
        <f ca="1">INDEX(VLs!$1:$1048576,MATCH(A177,VLs!B:B,0),MATCH(D177,VLs!$3:$3,0))</f>
        <v>#N/A</v>
      </c>
      <c r="F177" s="30"/>
      <c r="G177" s="27" t="e">
        <f t="shared" ca="1" si="2"/>
        <v>#N/A</v>
      </c>
    </row>
    <row r="178" spans="1:7">
      <c r="A178" s="4" t="e">
        <f ca="1">OFFSET(Cartera!A$1,MATCH(B178,Cartera!C:C,0) - 1, 1)</f>
        <v>#N/A</v>
      </c>
      <c r="C178" s="41"/>
      <c r="D178" s="1"/>
      <c r="E178" s="27" t="e">
        <f ca="1">INDEX(VLs!$1:$1048576,MATCH(A178,VLs!B:B,0),MATCH(D178,VLs!$3:$3,0))</f>
        <v>#N/A</v>
      </c>
      <c r="F178" s="30"/>
      <c r="G178" s="27" t="e">
        <f t="shared" ca="1" si="2"/>
        <v>#N/A</v>
      </c>
    </row>
    <row r="179" spans="1:7">
      <c r="A179" s="4" t="e">
        <f ca="1">OFFSET(Cartera!A$1,MATCH(B179,Cartera!C:C,0) - 1, 1)</f>
        <v>#N/A</v>
      </c>
      <c r="C179" s="41"/>
      <c r="D179" s="1"/>
      <c r="E179" s="27" t="e">
        <f ca="1">INDEX(VLs!$1:$1048576,MATCH(A179,VLs!B:B,0),MATCH(D179,VLs!$3:$3,0))</f>
        <v>#N/A</v>
      </c>
      <c r="F179" s="30"/>
      <c r="G179" s="27" t="e">
        <f t="shared" ca="1" si="2"/>
        <v>#N/A</v>
      </c>
    </row>
    <row r="180" spans="1:7">
      <c r="A180" s="4" t="e">
        <f ca="1">OFFSET(Cartera!A$1,MATCH(B180,Cartera!C:C,0) - 1, 1)</f>
        <v>#N/A</v>
      </c>
      <c r="C180" s="41"/>
      <c r="D180" s="1"/>
      <c r="E180" s="27" t="e">
        <f ca="1">INDEX(VLs!$1:$1048576,MATCH(A180,VLs!B:B,0),MATCH(D180,VLs!$3:$3,0))</f>
        <v>#N/A</v>
      </c>
      <c r="F180" s="30"/>
      <c r="G180" s="27" t="e">
        <f t="shared" ca="1" si="2"/>
        <v>#N/A</v>
      </c>
    </row>
    <row r="181" spans="1:7">
      <c r="A181" s="4" t="e">
        <f ca="1">OFFSET(Cartera!A$1,MATCH(B181,Cartera!C:C,0) - 1, 1)</f>
        <v>#N/A</v>
      </c>
      <c r="C181" s="41"/>
      <c r="D181" s="1"/>
      <c r="E181" s="27" t="e">
        <f ca="1">INDEX(VLs!$1:$1048576,MATCH(A181,VLs!B:B,0),MATCH(D181,VLs!$3:$3,0))</f>
        <v>#N/A</v>
      </c>
      <c r="F181" s="30"/>
      <c r="G181" s="27" t="e">
        <f t="shared" ca="1" si="2"/>
        <v>#N/A</v>
      </c>
    </row>
    <row r="182" spans="1:7">
      <c r="A182" s="4" t="e">
        <f ca="1">OFFSET(Cartera!A$1,MATCH(B182,Cartera!C:C,0) - 1, 1)</f>
        <v>#N/A</v>
      </c>
      <c r="C182" s="41"/>
      <c r="D182" s="1"/>
      <c r="E182" s="27" t="e">
        <f ca="1">INDEX(VLs!$1:$1048576,MATCH(A182,VLs!B:B,0),MATCH(D182,VLs!$3:$3,0))</f>
        <v>#N/A</v>
      </c>
      <c r="F182" s="30"/>
      <c r="G182" s="27" t="e">
        <f t="shared" ca="1" si="2"/>
        <v>#N/A</v>
      </c>
    </row>
    <row r="183" spans="1:7">
      <c r="A183" s="4" t="e">
        <f ca="1">OFFSET(Cartera!A$1,MATCH(B183,Cartera!C:C,0) - 1, 1)</f>
        <v>#N/A</v>
      </c>
      <c r="C183" s="41"/>
      <c r="D183" s="1"/>
      <c r="E183" s="27" t="e">
        <f ca="1">INDEX(VLs!$1:$1048576,MATCH(A183,VLs!B:B,0),MATCH(D183,VLs!$3:$3,0))</f>
        <v>#N/A</v>
      </c>
      <c r="F183" s="30"/>
      <c r="G183" s="27" t="e">
        <f t="shared" ca="1" si="2"/>
        <v>#N/A</v>
      </c>
    </row>
    <row r="184" spans="1:7">
      <c r="A184" s="4" t="e">
        <f ca="1">OFFSET(Cartera!A$1,MATCH(B184,Cartera!C:C,0) - 1, 1)</f>
        <v>#N/A</v>
      </c>
      <c r="C184" s="41"/>
      <c r="D184" s="1"/>
      <c r="E184" s="27" t="e">
        <f ca="1">INDEX(VLs!$1:$1048576,MATCH(A184,VLs!B:B,0),MATCH(D184,VLs!$3:$3,0))</f>
        <v>#N/A</v>
      </c>
      <c r="F184" s="30"/>
      <c r="G184" s="27" t="e">
        <f t="shared" ca="1" si="2"/>
        <v>#N/A</v>
      </c>
    </row>
    <row r="185" spans="1:7">
      <c r="A185" s="4" t="e">
        <f ca="1">OFFSET(Cartera!A$1,MATCH(B185,Cartera!C:C,0) - 1, 1)</f>
        <v>#N/A</v>
      </c>
      <c r="C185" s="41"/>
      <c r="D185" s="1"/>
      <c r="E185" s="27" t="e">
        <f ca="1">INDEX(VLs!$1:$1048576,MATCH(A185,VLs!B:B,0),MATCH(D185,VLs!$3:$3,0))</f>
        <v>#N/A</v>
      </c>
      <c r="F185" s="30"/>
      <c r="G185" s="27" t="e">
        <f t="shared" ca="1" si="2"/>
        <v>#N/A</v>
      </c>
    </row>
    <row r="186" spans="1:7">
      <c r="A186" s="4" t="e">
        <f ca="1">OFFSET(Cartera!A$1,MATCH(B186,Cartera!C:C,0) - 1, 1)</f>
        <v>#N/A</v>
      </c>
      <c r="C186" s="41"/>
      <c r="D186" s="1"/>
      <c r="E186" s="27" t="e">
        <f ca="1">INDEX(VLs!$1:$1048576,MATCH(A186,VLs!B:B,0),MATCH(D186,VLs!$3:$3,0))</f>
        <v>#N/A</v>
      </c>
      <c r="F186" s="30"/>
      <c r="G186" s="27" t="e">
        <f t="shared" ca="1" si="2"/>
        <v>#N/A</v>
      </c>
    </row>
    <row r="187" spans="1:7">
      <c r="A187" s="4" t="e">
        <f ca="1">OFFSET(Cartera!A$1,MATCH(B187,Cartera!C:C,0) - 1, 1)</f>
        <v>#N/A</v>
      </c>
      <c r="C187" s="41"/>
      <c r="D187" s="1"/>
      <c r="E187" s="27" t="e">
        <f ca="1">INDEX(VLs!$1:$1048576,MATCH(A187,VLs!B:B,0),MATCH(D187,VLs!$3:$3,0))</f>
        <v>#N/A</v>
      </c>
      <c r="F187" s="30"/>
      <c r="G187" s="27" t="e">
        <f t="shared" ca="1" si="2"/>
        <v>#N/A</v>
      </c>
    </row>
    <row r="188" spans="1:7">
      <c r="A188" s="4" t="e">
        <f ca="1">OFFSET(Cartera!A$1,MATCH(B188,Cartera!C:C,0) - 1, 1)</f>
        <v>#N/A</v>
      </c>
      <c r="C188" s="41"/>
      <c r="D188" s="1"/>
      <c r="E188" s="27" t="e">
        <f ca="1">INDEX(VLs!$1:$1048576,MATCH(A188,VLs!B:B,0),MATCH(D188,VLs!$3:$3,0))</f>
        <v>#N/A</v>
      </c>
      <c r="F188" s="30"/>
      <c r="G188" s="27" t="e">
        <f t="shared" ca="1" si="2"/>
        <v>#N/A</v>
      </c>
    </row>
    <row r="189" spans="1:7">
      <c r="A189" s="4" t="e">
        <f ca="1">OFFSET(Cartera!A$1,MATCH(B189,Cartera!C:C,0) - 1, 1)</f>
        <v>#N/A</v>
      </c>
      <c r="C189" s="41"/>
      <c r="D189" s="1"/>
      <c r="E189" s="27" t="e">
        <f ca="1">INDEX(VLs!$1:$1048576,MATCH(A189,VLs!B:B,0),MATCH(D189,VLs!$3:$3,0))</f>
        <v>#N/A</v>
      </c>
      <c r="F189" s="30"/>
      <c r="G189" s="27" t="e">
        <f t="shared" ca="1" si="2"/>
        <v>#N/A</v>
      </c>
    </row>
    <row r="190" spans="1:7">
      <c r="A190" s="4" t="e">
        <f ca="1">OFFSET(Cartera!A$1,MATCH(B190,Cartera!C:C,0) - 1, 1)</f>
        <v>#N/A</v>
      </c>
      <c r="C190" s="41"/>
      <c r="D190" s="1"/>
      <c r="E190" s="27" t="e">
        <f ca="1">INDEX(VLs!$1:$1048576,MATCH(A190,VLs!B:B,0),MATCH(D190,VLs!$3:$3,0))</f>
        <v>#N/A</v>
      </c>
      <c r="F190" s="30"/>
      <c r="G190" s="27" t="e">
        <f t="shared" ca="1" si="2"/>
        <v>#N/A</v>
      </c>
    </row>
    <row r="191" spans="1:7">
      <c r="A191" s="4" t="e">
        <f ca="1">OFFSET(Cartera!A$1,MATCH(B191,Cartera!C:C,0) - 1, 1)</f>
        <v>#N/A</v>
      </c>
      <c r="C191" s="41"/>
      <c r="D191" s="1"/>
      <c r="E191" s="27" t="e">
        <f ca="1">INDEX(VLs!$1:$1048576,MATCH(A191,VLs!B:B,0),MATCH(D191,VLs!$3:$3,0))</f>
        <v>#N/A</v>
      </c>
      <c r="F191" s="30"/>
      <c r="G191" s="27" t="e">
        <f t="shared" ca="1" si="2"/>
        <v>#N/A</v>
      </c>
    </row>
    <row r="192" spans="1:7">
      <c r="A192" s="4" t="e">
        <f ca="1">OFFSET(Cartera!A$1,MATCH(B192,Cartera!C:C,0) - 1, 1)</f>
        <v>#N/A</v>
      </c>
      <c r="C192" s="41"/>
      <c r="D192" s="1"/>
      <c r="E192" s="27" t="e">
        <f ca="1">INDEX(VLs!$1:$1048576,MATCH(A192,VLs!B:B,0),MATCH(D192,VLs!$3:$3,0))</f>
        <v>#N/A</v>
      </c>
      <c r="F192" s="30"/>
      <c r="G192" s="27" t="e">
        <f t="shared" ca="1" si="2"/>
        <v>#N/A</v>
      </c>
    </row>
    <row r="193" spans="1:7">
      <c r="A193" s="4" t="e">
        <f ca="1">OFFSET(Cartera!A$1,MATCH(B193,Cartera!C:C,0) - 1, 1)</f>
        <v>#N/A</v>
      </c>
      <c r="C193" s="41"/>
      <c r="D193" s="1"/>
      <c r="E193" s="27" t="e">
        <f ca="1">INDEX(VLs!$1:$1048576,MATCH(A193,VLs!B:B,0),MATCH(D193,VLs!$3:$3,0))</f>
        <v>#N/A</v>
      </c>
      <c r="F193" s="30"/>
      <c r="G193" s="27" t="e">
        <f t="shared" ca="1" si="2"/>
        <v>#N/A</v>
      </c>
    </row>
    <row r="194" spans="1:7">
      <c r="A194" s="4" t="e">
        <f ca="1">OFFSET(Cartera!A$1,MATCH(B194,Cartera!C:C,0) - 1, 1)</f>
        <v>#N/A</v>
      </c>
      <c r="C194" s="41"/>
      <c r="D194" s="1"/>
      <c r="E194" s="27" t="e">
        <f ca="1">INDEX(VLs!$1:$1048576,MATCH(A194,VLs!B:B,0),MATCH(D194,VLs!$3:$3,0))</f>
        <v>#N/A</v>
      </c>
      <c r="F194" s="30"/>
      <c r="G194" s="27" t="e">
        <f t="shared" ca="1" si="2"/>
        <v>#N/A</v>
      </c>
    </row>
    <row r="195" spans="1:7">
      <c r="A195" s="4" t="e">
        <f ca="1">OFFSET(Cartera!A$1,MATCH(B195,Cartera!C:C,0) - 1, 1)</f>
        <v>#N/A</v>
      </c>
      <c r="C195" s="41"/>
      <c r="D195" s="1"/>
      <c r="E195" s="27" t="e">
        <f ca="1">INDEX(VLs!$1:$1048576,MATCH(A195,VLs!B:B,0),MATCH(D195,VLs!$3:$3,0))</f>
        <v>#N/A</v>
      </c>
      <c r="F195" s="30"/>
      <c r="G195" s="27" t="e">
        <f t="shared" ca="1" si="2"/>
        <v>#N/A</v>
      </c>
    </row>
    <row r="196" spans="1:7">
      <c r="A196" s="4" t="e">
        <f ca="1">OFFSET(Cartera!A$1,MATCH(B196,Cartera!C:C,0) - 1, 1)</f>
        <v>#N/A</v>
      </c>
      <c r="C196" s="41"/>
      <c r="D196" s="1"/>
      <c r="E196" s="27" t="e">
        <f ca="1">INDEX(VLs!$1:$1048576,MATCH(A196,VLs!B:B,0),MATCH(D196,VLs!$3:$3,0))</f>
        <v>#N/A</v>
      </c>
      <c r="F196" s="30"/>
      <c r="G196" s="27" t="e">
        <f t="shared" ref="G196:G201" ca="1" si="3">(C196*E196)+F196</f>
        <v>#N/A</v>
      </c>
    </row>
    <row r="197" spans="1:7">
      <c r="A197" s="4" t="e">
        <f ca="1">OFFSET(Cartera!A$1,MATCH(B197,Cartera!C:C,0) - 1, 1)</f>
        <v>#N/A</v>
      </c>
      <c r="C197" s="41"/>
      <c r="D197" s="1"/>
      <c r="E197" s="27" t="e">
        <f ca="1">INDEX(VLs!$1:$1048576,MATCH(A197,VLs!B:B,0),MATCH(D197,VLs!$3:$3,0))</f>
        <v>#N/A</v>
      </c>
      <c r="F197" s="30"/>
      <c r="G197" s="27" t="e">
        <f t="shared" ca="1" si="3"/>
        <v>#N/A</v>
      </c>
    </row>
    <row r="198" spans="1:7">
      <c r="A198" s="4" t="e">
        <f ca="1">OFFSET(Cartera!A$1,MATCH(B198,Cartera!C:C,0) - 1, 1)</f>
        <v>#N/A</v>
      </c>
      <c r="C198" s="41"/>
      <c r="D198" s="1"/>
      <c r="E198" s="27" t="e">
        <f ca="1">INDEX(VLs!$1:$1048576,MATCH(A198,VLs!B:B,0),MATCH(D198,VLs!$3:$3,0))</f>
        <v>#N/A</v>
      </c>
      <c r="F198" s="30"/>
      <c r="G198" s="27" t="e">
        <f t="shared" ca="1" si="3"/>
        <v>#N/A</v>
      </c>
    </row>
    <row r="199" spans="1:7">
      <c r="A199" s="4" t="e">
        <f ca="1">OFFSET(Cartera!A$1,MATCH(B199,Cartera!C:C,0) - 1, 1)</f>
        <v>#N/A</v>
      </c>
      <c r="C199" s="41"/>
      <c r="D199" s="1"/>
      <c r="E199" s="27" t="e">
        <f ca="1">INDEX(VLs!$1:$1048576,MATCH(A199,VLs!B:B,0),MATCH(D199,VLs!$3:$3,0))</f>
        <v>#N/A</v>
      </c>
      <c r="F199" s="30"/>
      <c r="G199" s="27" t="e">
        <f t="shared" ca="1" si="3"/>
        <v>#N/A</v>
      </c>
    </row>
    <row r="200" spans="1:7">
      <c r="A200" s="4" t="e">
        <f ca="1">OFFSET(Cartera!A$1,MATCH(B200,Cartera!C:C,0) - 1, 1)</f>
        <v>#N/A</v>
      </c>
      <c r="C200" s="41"/>
      <c r="D200" s="1"/>
      <c r="E200" s="27" t="e">
        <f ca="1">INDEX(VLs!$1:$1048576,MATCH(A200,VLs!B:B,0),MATCH(D200,VLs!$3:$3,0))</f>
        <v>#N/A</v>
      </c>
      <c r="F200" s="30"/>
      <c r="G200" s="27" t="e">
        <f t="shared" ca="1" si="3"/>
        <v>#N/A</v>
      </c>
    </row>
    <row r="201" spans="1:7">
      <c r="A201" s="4" t="e">
        <f ca="1">OFFSET(Cartera!A$1,MATCH(B201,Cartera!C:C,0) - 1, 1)</f>
        <v>#N/A</v>
      </c>
      <c r="C201" s="41"/>
      <c r="D201" s="1"/>
      <c r="E201" s="27" t="e">
        <f ca="1">INDEX(VLs!$1:$1048576,MATCH(A201,VLs!B:B,0),MATCH(D201,VLs!$3:$3,0))</f>
        <v>#N/A</v>
      </c>
      <c r="F201" s="30"/>
      <c r="G201" s="27" t="e">
        <f t="shared" ca="1" si="3"/>
        <v>#N/A</v>
      </c>
    </row>
  </sheetData>
  <autoFilter ref="A3:B201"/>
  <sortState ref="A4:G541">
    <sortCondition ref="D4:D541"/>
    <sortCondition ref="B4:B541"/>
  </sortState>
  <dataConsolidate/>
  <pageMargins left="0.7" right="0.7" top="0.75" bottom="0.75" header="0.3" footer="0.3"/>
  <pageSetup paperSize="9" orientation="portrait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Cartera!$C$4:$C$87</xm:f>
          </x14:formula1>
          <xm:sqref>B4:B201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F21"/>
  <sheetViews>
    <sheetView showZeros="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C44" sqref="C44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14" width="10.7109375" bestFit="1" customWidth="1"/>
    <col min="15" max="16" width="12.42578125" bestFit="1" customWidth="1"/>
    <col min="17" max="19" width="10.7109375" bestFit="1" customWidth="1"/>
    <col min="20" max="22" width="12.42578125" bestFit="1" customWidth="1"/>
    <col min="23" max="49" width="10.7109375" bestFit="1" customWidth="1"/>
    <col min="50" max="145" width="11" bestFit="1" customWidth="1"/>
    <col min="146" max="524" width="12.42578125" bestFit="1" customWidth="1"/>
    <col min="525" max="526" width="14.42578125" bestFit="1" customWidth="1"/>
  </cols>
  <sheetData>
    <row r="3" spans="1:526" ht="15.75" thickBot="1">
      <c r="A3" s="2" t="s">
        <v>47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1" t="s">
        <v>48</v>
      </c>
      <c r="B4" s="4">
        <f>Cartera!B4</f>
        <v>0</v>
      </c>
      <c r="C4" s="4">
        <f>Cartera!C4</f>
        <v>0</v>
      </c>
      <c r="D4" s="5">
        <f ca="1">SUMIFS(Movimientos!$C:$C,Movimientos!$A:$A,$B4,Movimientos!$D:$D,CONCATENATE("&lt;=",D$3),Movimientos!$C:$C,"&gt;0")+SUMIFS(Movimientos!$C:$C,Movimientos!$A:$A,$B4,Movimientos!$D:$D,CONCATENATE("&lt;",D$3),Movimientos!$C:$C,"&lt;0")</f>
        <v>0</v>
      </c>
      <c r="E4" s="5">
        <f ca="1">SUMIFS(Movimientos!$C:$C,Movimientos!$A:$A,$B4,Movimientos!$D:$D,CONCATENATE("&lt;=",E$3),Movimientos!$C:$C,"&gt;0")+SUMIFS(Movimientos!$C:$C,Movimientos!$A:$A,$B4,Movimientos!$D:$D,CONCATENATE("&lt;",E$3),Movimientos!$C:$C,"&lt;0")</f>
        <v>0</v>
      </c>
      <c r="F4" s="5">
        <f ca="1">SUMIFS(Movimientos!$C:$C,Movimientos!$A:$A,$B4,Movimientos!$D:$D,CONCATENATE("&lt;=",F$3),Movimientos!$C:$C,"&gt;0")+SUMIFS(Movimientos!$C:$C,Movimientos!$A:$A,$B4,Movimientos!$D:$D,CONCATENATE("&lt;",F$3),Movimientos!$C:$C,"&lt;0")</f>
        <v>0</v>
      </c>
      <c r="G4" s="5">
        <f ca="1">SUMIFS(Movimientos!$C:$C,Movimientos!$A:$A,$B4,Movimientos!$D:$D,CONCATENATE("&lt;=",G$3),Movimientos!$C:$C,"&gt;0")+SUMIFS(Movimientos!$C:$C,Movimientos!$A:$A,$B4,Movimientos!$D:$D,CONCATENATE("&lt;",G$3),Movimientos!$C:$C,"&lt;0")</f>
        <v>0</v>
      </c>
      <c r="H4" s="5">
        <f ca="1">SUMIFS(Movimientos!$C:$C,Movimientos!$A:$A,$B4,Movimientos!$D:$D,CONCATENATE("&lt;=",H$3),Movimientos!$C:$C,"&gt;0")+SUMIFS(Movimientos!$C:$C,Movimientos!$A:$A,$B4,Movimientos!$D:$D,CONCATENATE("&lt;",H$3),Movimientos!$C:$C,"&lt;0")</f>
        <v>0</v>
      </c>
      <c r="I4" s="5">
        <f ca="1">SUMIFS(Movimientos!$C:$C,Movimientos!$A:$A,$B4,Movimientos!$D:$D,CONCATENATE("&lt;=",I$3),Movimientos!$C:$C,"&gt;0")+SUMIFS(Movimientos!$C:$C,Movimientos!$A:$A,$B4,Movimientos!$D:$D,CONCATENATE("&lt;",I$3),Movimientos!$C:$C,"&lt;0")</f>
        <v>0</v>
      </c>
      <c r="J4" s="5">
        <f ca="1">SUMIFS(Movimientos!$C:$C,Movimientos!$A:$A,$B4,Movimientos!$D:$D,CONCATENATE("&lt;=",J$3),Movimientos!$C:$C,"&gt;0")+SUMIFS(Movimientos!$C:$C,Movimientos!$A:$A,$B4,Movimientos!$D:$D,CONCATENATE("&lt;",J$3),Movimientos!$C:$C,"&lt;0")</f>
        <v>0</v>
      </c>
      <c r="K4" s="5">
        <f ca="1">SUMIFS(Movimientos!$C:$C,Movimientos!$A:$A,$B4,Movimientos!$D:$D,CONCATENATE("&lt;=",K$3),Movimientos!$C:$C,"&gt;0")+SUMIFS(Movimientos!$C:$C,Movimientos!$A:$A,$B4,Movimientos!$D:$D,CONCATENATE("&lt;",K$3),Movimientos!$C:$C,"&lt;0")</f>
        <v>0</v>
      </c>
      <c r="L4" s="5">
        <f ca="1">SUMIFS(Movimientos!$C:$C,Movimientos!$A:$A,$B4,Movimientos!$D:$D,CONCATENATE("&lt;=",L$3),Movimientos!$C:$C,"&gt;0")+SUMIFS(Movimientos!$C:$C,Movimientos!$A:$A,$B4,Movimientos!$D:$D,CONCATENATE("&lt;",L$3),Movimientos!$C:$C,"&lt;0")</f>
        <v>0</v>
      </c>
      <c r="M4" s="5">
        <f ca="1">SUMIFS(Movimientos!$C:$C,Movimientos!$A:$A,$B4,Movimientos!$D:$D,CONCATENATE("&lt;=",M$3),Movimientos!$C:$C,"&gt;0")+SUMIFS(Movimientos!$C:$C,Movimientos!$A:$A,$B4,Movimientos!$D:$D,CONCATENATE("&lt;",M$3),Movimientos!$C:$C,"&lt;0")</f>
        <v>0</v>
      </c>
      <c r="N4" s="5">
        <f ca="1">SUMIFS(Movimientos!$C:$C,Movimientos!$A:$A,$B4,Movimientos!$D:$D,CONCATENATE("&lt;=",N$3),Movimientos!$C:$C,"&gt;0")+SUMIFS(Movimientos!$C:$C,Movimientos!$A:$A,$B4,Movimientos!$D:$D,CONCATENATE("&lt;",N$3),Movimientos!$C:$C,"&lt;0")</f>
        <v>0</v>
      </c>
      <c r="O4" s="5">
        <f ca="1">SUMIFS(Movimientos!$C:$C,Movimientos!$A:$A,$B4,Movimientos!$D:$D,CONCATENATE("&lt;=",O$3),Movimientos!$C:$C,"&gt;0")+SUMIFS(Movimientos!$C:$C,Movimientos!$A:$A,$B4,Movimientos!$D:$D,CONCATENATE("&lt;",O$3),Movimientos!$C:$C,"&lt;0")</f>
        <v>0</v>
      </c>
      <c r="P4" s="5">
        <f ca="1">SUMIFS(Movimientos!$C:$C,Movimientos!$A:$A,$B4,Movimientos!$D:$D,CONCATENATE("&lt;=",P$3),Movimientos!$C:$C,"&gt;0")+SUMIFS(Movimientos!$C:$C,Movimientos!$A:$A,$B4,Movimientos!$D:$D,CONCATENATE("&lt;",P$3),Movimientos!$C:$C,"&lt;0")</f>
        <v>0</v>
      </c>
      <c r="Q4" s="5">
        <f ca="1">SUMIFS(Movimientos!$C:$C,Movimientos!$A:$A,$B4,Movimientos!$D:$D,CONCATENATE("&lt;=",Q$3),Movimientos!$C:$C,"&gt;0")+SUMIFS(Movimientos!$C:$C,Movimientos!$A:$A,$B4,Movimientos!$D:$D,CONCATENATE("&lt;",Q$3),Movimientos!$C:$C,"&lt;0")</f>
        <v>0</v>
      </c>
      <c r="R4" s="5">
        <f ca="1">SUMIFS(Movimientos!$C:$C,Movimientos!$A:$A,$B4,Movimientos!$D:$D,CONCATENATE("&lt;=",R$3),Movimientos!$C:$C,"&gt;0")+SUMIFS(Movimientos!$C:$C,Movimientos!$A:$A,$B4,Movimientos!$D:$D,CONCATENATE("&lt;",R$3),Movimientos!$C:$C,"&lt;0")</f>
        <v>0</v>
      </c>
      <c r="S4" s="5">
        <f ca="1">SUMIFS(Movimientos!$C:$C,Movimientos!$A:$A,$B4,Movimientos!$D:$D,CONCATENATE("&lt;=",S$3),Movimientos!$C:$C,"&gt;0")+SUMIFS(Movimientos!$C:$C,Movimientos!$A:$A,$B4,Movimientos!$D:$D,CONCATENATE("&lt;",S$3),Movimientos!$C:$C,"&lt;0")</f>
        <v>0</v>
      </c>
      <c r="T4" s="5">
        <f ca="1">SUMIFS(Movimientos!$C:$C,Movimientos!$A:$A,$B4,Movimientos!$D:$D,CONCATENATE("&lt;=",T$3),Movimientos!$C:$C,"&gt;0")+SUMIFS(Movimientos!$C:$C,Movimientos!$A:$A,$B4,Movimientos!$D:$D,CONCATENATE("&lt;",T$3),Movimientos!$C:$C,"&lt;0")</f>
        <v>0</v>
      </c>
      <c r="U4" s="5">
        <f ca="1">SUMIFS(Movimientos!$C:$C,Movimientos!$A:$A,$B4,Movimientos!$D:$D,CONCATENATE("&lt;=",U$3),Movimientos!$C:$C,"&gt;0")+SUMIFS(Movimientos!$C:$C,Movimientos!$A:$A,$B4,Movimientos!$D:$D,CONCATENATE("&lt;",U$3),Movimientos!$C:$C,"&lt;0")</f>
        <v>0</v>
      </c>
      <c r="V4" s="5">
        <f ca="1">SUMIFS(Movimientos!$C:$C,Movimientos!$A:$A,$B4,Movimientos!$D:$D,CONCATENATE("&lt;=",V$3),Movimientos!$C:$C,"&gt;0")+SUMIFS(Movimientos!$C:$C,Movimientos!$A:$A,$B4,Movimientos!$D:$D,CONCATENATE("&lt;",V$3),Movimientos!$C:$C,"&lt;0")</f>
        <v>0</v>
      </c>
      <c r="W4" s="5">
        <f ca="1">SUMIFS(Movimientos!$C:$C,Movimientos!$A:$A,$B4,Movimientos!$D:$D,CONCATENATE("&lt;=",W$3),Movimientos!$C:$C,"&gt;0")+SUMIFS(Movimientos!$C:$C,Movimientos!$A:$A,$B4,Movimientos!$D:$D,CONCATENATE("&lt;",W$3),Movimientos!$C:$C,"&lt;0")</f>
        <v>0</v>
      </c>
      <c r="X4" s="5">
        <f ca="1">SUMIFS(Movimientos!$C:$C,Movimientos!$A:$A,$B4,Movimientos!$D:$D,CONCATENATE("&lt;=",X$3),Movimientos!$C:$C,"&gt;0")+SUMIFS(Movimientos!$C:$C,Movimientos!$A:$A,$B4,Movimientos!$D:$D,CONCATENATE("&lt;",X$3),Movimientos!$C:$C,"&lt;0")</f>
        <v>0</v>
      </c>
      <c r="Y4" s="5">
        <f ca="1">SUMIFS(Movimientos!$C:$C,Movimientos!$A:$A,$B4,Movimientos!$D:$D,CONCATENATE("&lt;=",Y$3),Movimientos!$C:$C,"&gt;0")+SUMIFS(Movimientos!$C:$C,Movimientos!$A:$A,$B4,Movimientos!$D:$D,CONCATENATE("&lt;",Y$3),Movimientos!$C:$C,"&lt;0")</f>
        <v>0</v>
      </c>
      <c r="Z4" s="5">
        <f ca="1">SUMIFS(Movimientos!$C:$C,Movimientos!$A:$A,$B4,Movimientos!$D:$D,CONCATENATE("&lt;=",Z$3),Movimientos!$C:$C,"&gt;0")+SUMIFS(Movimientos!$C:$C,Movimientos!$A:$A,$B4,Movimientos!$D:$D,CONCATENATE("&lt;",Z$3),Movimientos!$C:$C,"&lt;0")</f>
        <v>0</v>
      </c>
      <c r="AA4" s="5">
        <f ca="1">SUMIFS(Movimientos!$C:$C,Movimientos!$A:$A,$B4,Movimientos!$D:$D,CONCATENATE("&lt;=",AA$3),Movimientos!$C:$C,"&gt;0")+SUMIFS(Movimientos!$C:$C,Movimientos!$A:$A,$B4,Movimientos!$D:$D,CONCATENATE("&lt;",AA$3),Movimientos!$C:$C,"&lt;0")</f>
        <v>0</v>
      </c>
      <c r="AB4" s="5">
        <f ca="1">SUMIFS(Movimientos!$C:$C,Movimientos!$A:$A,$B4,Movimientos!$D:$D,CONCATENATE("&lt;=",AB$3),Movimientos!$C:$C,"&gt;0")+SUMIFS(Movimientos!$C:$C,Movimientos!$A:$A,$B4,Movimientos!$D:$D,CONCATENATE("&lt;",AB$3),Movimientos!$C:$C,"&lt;0")</f>
        <v>0</v>
      </c>
      <c r="AC4" s="5">
        <f ca="1">SUMIFS(Movimientos!$C:$C,Movimientos!$A:$A,$B4,Movimientos!$D:$D,CONCATENATE("&lt;=",AC$3),Movimientos!$C:$C,"&gt;0")+SUMIFS(Movimientos!$C:$C,Movimientos!$A:$A,$B4,Movimientos!$D:$D,CONCATENATE("&lt;",AC$3),Movimientos!$C:$C,"&lt;0")</f>
        <v>0</v>
      </c>
      <c r="AD4" s="5">
        <f ca="1">SUMIFS(Movimientos!$C:$C,Movimientos!$A:$A,$B4,Movimientos!$D:$D,CONCATENATE("&lt;=",AD$3),Movimientos!$C:$C,"&gt;0")+SUMIFS(Movimientos!$C:$C,Movimientos!$A:$A,$B4,Movimientos!$D:$D,CONCATENATE("&lt;",AD$3),Movimientos!$C:$C,"&lt;0")</f>
        <v>0</v>
      </c>
      <c r="AE4" s="5">
        <f ca="1">SUMIFS(Movimientos!$C:$C,Movimientos!$A:$A,$B4,Movimientos!$D:$D,CONCATENATE("&lt;=",AE$3),Movimientos!$C:$C,"&gt;0")+SUMIFS(Movimientos!$C:$C,Movimientos!$A:$A,$B4,Movimientos!$D:$D,CONCATENATE("&lt;",AE$3),Movimientos!$C:$C,"&lt;0")</f>
        <v>0</v>
      </c>
      <c r="AF4" s="5">
        <f ca="1">SUMIFS(Movimientos!$C:$C,Movimientos!$A:$A,$B4,Movimientos!$D:$D,CONCATENATE("&lt;=",AF$3),Movimientos!$C:$C,"&gt;0")+SUMIFS(Movimientos!$C:$C,Movimientos!$A:$A,$B4,Movimientos!$D:$D,CONCATENATE("&lt;",AF$3),Movimientos!$C:$C,"&lt;0")</f>
        <v>0</v>
      </c>
      <c r="AG4" s="5">
        <f ca="1">SUMIFS(Movimientos!$C:$C,Movimientos!$A:$A,$B4,Movimientos!$D:$D,CONCATENATE("&lt;=",AG$3),Movimientos!$C:$C,"&gt;0")+SUMIFS(Movimientos!$C:$C,Movimientos!$A:$A,$B4,Movimientos!$D:$D,CONCATENATE("&lt;",AG$3),Movimientos!$C:$C,"&lt;0")</f>
        <v>0</v>
      </c>
      <c r="AH4" s="5">
        <f ca="1">SUMIFS(Movimientos!$C:$C,Movimientos!$A:$A,$B4,Movimientos!$D:$D,CONCATENATE("&lt;=",AH$3),Movimientos!$C:$C,"&gt;0")+SUMIFS(Movimientos!$C:$C,Movimientos!$A:$A,$B4,Movimientos!$D:$D,CONCATENATE("&lt;",AH$3),Movimientos!$C:$C,"&lt;0")</f>
        <v>0</v>
      </c>
      <c r="AI4" s="5">
        <f ca="1">SUMIFS(Movimientos!$C:$C,Movimientos!$A:$A,$B4,Movimientos!$D:$D,CONCATENATE("&lt;=",AI$3),Movimientos!$C:$C,"&gt;0")+SUMIFS(Movimientos!$C:$C,Movimientos!$A:$A,$B4,Movimientos!$D:$D,CONCATENATE("&lt;",AI$3),Movimientos!$C:$C,"&lt;0")</f>
        <v>0</v>
      </c>
      <c r="AJ4" s="5">
        <f ca="1">SUMIFS(Movimientos!$C:$C,Movimientos!$A:$A,$B4,Movimientos!$D:$D,CONCATENATE("&lt;=",AJ$3),Movimientos!$C:$C,"&gt;0")+SUMIFS(Movimientos!$C:$C,Movimientos!$A:$A,$B4,Movimientos!$D:$D,CONCATENATE("&lt;",AJ$3),Movimientos!$C:$C,"&lt;0")</f>
        <v>0</v>
      </c>
      <c r="AK4" s="5">
        <f ca="1">SUMIFS(Movimientos!$C:$C,Movimientos!$A:$A,$B4,Movimientos!$D:$D,CONCATENATE("&lt;=",AK$3),Movimientos!$C:$C,"&gt;0")+SUMIFS(Movimientos!$C:$C,Movimientos!$A:$A,$B4,Movimientos!$D:$D,CONCATENATE("&lt;",AK$3),Movimientos!$C:$C,"&lt;0")</f>
        <v>0</v>
      </c>
      <c r="AL4" s="5">
        <f ca="1">SUMIFS(Movimientos!$C:$C,Movimientos!$A:$A,$B4,Movimientos!$D:$D,CONCATENATE("&lt;=",AL$3),Movimientos!$C:$C,"&gt;0")+SUMIFS(Movimientos!$C:$C,Movimientos!$A:$A,$B4,Movimientos!$D:$D,CONCATENATE("&lt;",AL$3),Movimientos!$C:$C,"&lt;0")</f>
        <v>0</v>
      </c>
      <c r="AM4" s="5">
        <f ca="1">SUMIFS(Movimientos!$C:$C,Movimientos!$A:$A,$B4,Movimientos!$D:$D,CONCATENATE("&lt;=",AM$3),Movimientos!$C:$C,"&gt;0")+SUMIFS(Movimientos!$C:$C,Movimientos!$A:$A,$B4,Movimientos!$D:$D,CONCATENATE("&lt;",AM$3),Movimientos!$C:$C,"&lt;0")</f>
        <v>0</v>
      </c>
      <c r="AN4" s="5">
        <f ca="1">SUMIFS(Movimientos!$C:$C,Movimientos!$A:$A,$B4,Movimientos!$D:$D,CONCATENATE("&lt;=",AN$3),Movimientos!$C:$C,"&gt;0")+SUMIFS(Movimientos!$C:$C,Movimientos!$A:$A,$B4,Movimientos!$D:$D,CONCATENATE("&lt;",AN$3),Movimientos!$C:$C,"&lt;0")</f>
        <v>0</v>
      </c>
      <c r="AO4" s="5">
        <f ca="1">SUMIFS(Movimientos!$C:$C,Movimientos!$A:$A,$B4,Movimientos!$D:$D,CONCATENATE("&lt;=",AO$3),Movimientos!$C:$C,"&gt;0")+SUMIFS(Movimientos!$C:$C,Movimientos!$A:$A,$B4,Movimientos!$D:$D,CONCATENATE("&lt;",AO$3),Movimientos!$C:$C,"&lt;0")</f>
        <v>0</v>
      </c>
      <c r="AP4" s="5">
        <f ca="1">SUMIFS(Movimientos!$C:$C,Movimientos!$A:$A,$B4,Movimientos!$D:$D,CONCATENATE("&lt;=",AP$3),Movimientos!$C:$C,"&gt;0")+SUMIFS(Movimientos!$C:$C,Movimientos!$A:$A,$B4,Movimientos!$D:$D,CONCATENATE("&lt;",AP$3),Movimientos!$C:$C,"&lt;0")</f>
        <v>0</v>
      </c>
      <c r="AQ4" s="5">
        <f ca="1">SUMIFS(Movimientos!$C:$C,Movimientos!$A:$A,$B4,Movimientos!$D:$D,CONCATENATE("&lt;=",AQ$3),Movimientos!$C:$C,"&gt;0")+SUMIFS(Movimientos!$C:$C,Movimientos!$A:$A,$B4,Movimientos!$D:$D,CONCATENATE("&lt;",AQ$3),Movimientos!$C:$C,"&lt;0")</f>
        <v>0</v>
      </c>
      <c r="AR4" s="5">
        <f ca="1">SUMIFS(Movimientos!$C:$C,Movimientos!$A:$A,$B4,Movimientos!$D:$D,CONCATENATE("&lt;=",AR$3),Movimientos!$C:$C,"&gt;0")+SUMIFS(Movimientos!$C:$C,Movimientos!$A:$A,$B4,Movimientos!$D:$D,CONCATENATE("&lt;",AR$3),Movimientos!$C:$C,"&lt;0")</f>
        <v>0</v>
      </c>
      <c r="AS4" s="5">
        <f ca="1">SUMIFS(Movimientos!$C:$C,Movimientos!$A:$A,$B4,Movimientos!$D:$D,CONCATENATE("&lt;=",AS$3),Movimientos!$C:$C,"&gt;0")+SUMIFS(Movimientos!$C:$C,Movimientos!$A:$A,$B4,Movimientos!$D:$D,CONCATENATE("&lt;",AS$3),Movimientos!$C:$C,"&lt;0")</f>
        <v>0</v>
      </c>
      <c r="AT4" s="5">
        <f ca="1">SUMIFS(Movimientos!$C:$C,Movimientos!$A:$A,$B4,Movimientos!$D:$D,CONCATENATE("&lt;=",AT$3),Movimientos!$C:$C,"&gt;0")+SUMIFS(Movimientos!$C:$C,Movimientos!$A:$A,$B4,Movimientos!$D:$D,CONCATENATE("&lt;",AT$3),Movimientos!$C:$C,"&lt;0")</f>
        <v>0</v>
      </c>
      <c r="AU4" s="5">
        <f ca="1">SUMIFS(Movimientos!$C:$C,Movimientos!$A:$A,$B4,Movimientos!$D:$D,CONCATENATE("&lt;=",AU$3),Movimientos!$C:$C,"&gt;0")+SUMIFS(Movimientos!$C:$C,Movimientos!$A:$A,$B4,Movimientos!$D:$D,CONCATENATE("&lt;",AU$3),Movimientos!$C:$C,"&lt;0")</f>
        <v>0</v>
      </c>
      <c r="AV4" s="5">
        <f ca="1">SUMIFS(Movimientos!$C:$C,Movimientos!$A:$A,$B4,Movimientos!$D:$D,CONCATENATE("&lt;=",AV$3),Movimientos!$C:$C,"&gt;0")+SUMIFS(Movimientos!$C:$C,Movimientos!$A:$A,$B4,Movimientos!$D:$D,CONCATENATE("&lt;",AV$3),Movimientos!$C:$C,"&lt;0")</f>
        <v>0</v>
      </c>
      <c r="AW4" s="5">
        <f ca="1">SUMIFS(Movimientos!$C:$C,Movimientos!$A:$A,$B4,Movimientos!$D:$D,CONCATENATE("&lt;=",AW$3),Movimientos!$C:$C,"&gt;0")+SUMIFS(Movimientos!$C:$C,Movimientos!$A:$A,$B4,Movimientos!$D:$D,CONCATENATE("&lt;",AW$3),Movimientos!$C:$C,"&lt;0")</f>
        <v>0</v>
      </c>
      <c r="AX4" s="5">
        <f ca="1">SUMIFS(Movimientos!$C:$C,Movimientos!$A:$A,$B4,Movimientos!$D:$D,CONCATENATE("&lt;=",AX$3),Movimientos!$C:$C,"&gt;0")+SUMIFS(Movimientos!$C:$C,Movimientos!$A:$A,$B4,Movimientos!$D:$D,CONCATENATE("&lt;",AX$3),Movimientos!$C:$C,"&lt;0")</f>
        <v>0</v>
      </c>
      <c r="AY4" s="5">
        <f ca="1">SUMIFS(Movimientos!$C:$C,Movimientos!$A:$A,$B4,Movimientos!$D:$D,CONCATENATE("&lt;=",AY$3),Movimientos!$C:$C,"&gt;0")+SUMIFS(Movimientos!$C:$C,Movimientos!$A:$A,$B4,Movimientos!$D:$D,CONCATENATE("&lt;",AY$3),Movimientos!$C:$C,"&lt;0")</f>
        <v>0</v>
      </c>
      <c r="AZ4" s="5">
        <f ca="1">SUMIFS(Movimientos!$C:$C,Movimientos!$A:$A,$B4,Movimientos!$D:$D,CONCATENATE("&lt;=",AZ$3),Movimientos!$C:$C,"&gt;0")+SUMIFS(Movimientos!$C:$C,Movimientos!$A:$A,$B4,Movimientos!$D:$D,CONCATENATE("&lt;",AZ$3),Movimientos!$C:$C,"&lt;0")</f>
        <v>0</v>
      </c>
      <c r="BA4" s="5">
        <f ca="1">SUMIFS(Movimientos!$C:$C,Movimientos!$A:$A,$B4,Movimientos!$D:$D,CONCATENATE("&lt;=",BA$3),Movimientos!$C:$C,"&gt;0")+SUMIFS(Movimientos!$C:$C,Movimientos!$A:$A,$B4,Movimientos!$D:$D,CONCATENATE("&lt;",BA$3),Movimientos!$C:$C,"&lt;0")</f>
        <v>0</v>
      </c>
      <c r="BB4" s="5">
        <f ca="1">SUMIFS(Movimientos!$C:$C,Movimientos!$A:$A,$B4,Movimientos!$D:$D,CONCATENATE("&lt;=",BB$3),Movimientos!$C:$C,"&gt;0")+SUMIFS(Movimientos!$C:$C,Movimientos!$A:$A,$B4,Movimientos!$D:$D,CONCATENATE("&lt;",BB$3),Movimientos!$C:$C,"&lt;0")</f>
        <v>0</v>
      </c>
      <c r="BC4" s="5">
        <f ca="1">SUMIFS(Movimientos!$C:$C,Movimientos!$A:$A,$B4,Movimientos!$D:$D,CONCATENATE("&lt;=",BC$3),Movimientos!$C:$C,"&gt;0")+SUMIFS(Movimientos!$C:$C,Movimientos!$A:$A,$B4,Movimientos!$D:$D,CONCATENATE("&lt;",BC$3),Movimientos!$C:$C,"&lt;0")</f>
        <v>0</v>
      </c>
      <c r="BD4" s="5">
        <f ca="1">SUMIFS(Movimientos!$C:$C,Movimientos!$A:$A,$B4,Movimientos!$D:$D,CONCATENATE("&lt;=",BD$3),Movimientos!$C:$C,"&gt;0")+SUMIFS(Movimientos!$C:$C,Movimientos!$A:$A,$B4,Movimientos!$D:$D,CONCATENATE("&lt;",BD$3),Movimientos!$C:$C,"&lt;0")</f>
        <v>0</v>
      </c>
      <c r="BE4" s="5">
        <f ca="1">SUMIFS(Movimientos!$C:$C,Movimientos!$A:$A,$B4,Movimientos!$D:$D,CONCATENATE("&lt;=",BE$3),Movimientos!$C:$C,"&gt;0")+SUMIFS(Movimientos!$C:$C,Movimientos!$A:$A,$B4,Movimientos!$D:$D,CONCATENATE("&lt;",BE$3),Movimientos!$C:$C,"&lt;0")</f>
        <v>0</v>
      </c>
      <c r="BF4" s="5">
        <f ca="1">SUMIFS(Movimientos!$C:$C,Movimientos!$A:$A,$B4,Movimientos!$D:$D,CONCATENATE("&lt;=",BF$3),Movimientos!$C:$C,"&gt;0")+SUMIFS(Movimientos!$C:$C,Movimientos!$A:$A,$B4,Movimientos!$D:$D,CONCATENATE("&lt;",BF$3),Movimientos!$C:$C,"&lt;0")</f>
        <v>0</v>
      </c>
      <c r="BG4" s="5">
        <f ca="1">SUMIFS(Movimientos!$C:$C,Movimientos!$A:$A,$B4,Movimientos!$D:$D,CONCATENATE("&lt;=",BG$3),Movimientos!$C:$C,"&gt;0")+SUMIFS(Movimientos!$C:$C,Movimientos!$A:$A,$B4,Movimientos!$D:$D,CONCATENATE("&lt;",BG$3),Movimientos!$C:$C,"&lt;0")</f>
        <v>0</v>
      </c>
      <c r="BH4" s="5">
        <f ca="1">SUMIFS(Movimientos!$C:$C,Movimientos!$A:$A,$B4,Movimientos!$D:$D,CONCATENATE("&lt;=",BH$3),Movimientos!$C:$C,"&gt;0")+SUMIFS(Movimientos!$C:$C,Movimientos!$A:$A,$B4,Movimientos!$D:$D,CONCATENATE("&lt;",BH$3),Movimientos!$C:$C,"&lt;0")</f>
        <v>0</v>
      </c>
      <c r="BI4" s="5">
        <f ca="1">SUMIFS(Movimientos!$C:$C,Movimientos!$A:$A,$B4,Movimientos!$D:$D,CONCATENATE("&lt;=",BI$3),Movimientos!$C:$C,"&gt;0")+SUMIFS(Movimientos!$C:$C,Movimientos!$A:$A,$B4,Movimientos!$D:$D,CONCATENATE("&lt;",BI$3),Movimientos!$C:$C,"&lt;0")</f>
        <v>0</v>
      </c>
      <c r="BJ4" s="5">
        <f ca="1">SUMIFS(Movimientos!$C:$C,Movimientos!$A:$A,$B4,Movimientos!$D:$D,CONCATENATE("&lt;=",BJ$3),Movimientos!$C:$C,"&gt;0")+SUMIFS(Movimientos!$C:$C,Movimientos!$A:$A,$B4,Movimientos!$D:$D,CONCATENATE("&lt;",BJ$3),Movimientos!$C:$C,"&lt;0")</f>
        <v>0</v>
      </c>
      <c r="BK4" s="5">
        <f ca="1">SUMIFS(Movimientos!$C:$C,Movimientos!$A:$A,$B4,Movimientos!$D:$D,CONCATENATE("&lt;=",BK$3),Movimientos!$C:$C,"&gt;0")+SUMIFS(Movimientos!$C:$C,Movimientos!$A:$A,$B4,Movimientos!$D:$D,CONCATENATE("&lt;",BK$3),Movimientos!$C:$C,"&lt;0")</f>
        <v>0</v>
      </c>
      <c r="BL4" s="5">
        <f ca="1">SUMIFS(Movimientos!$C:$C,Movimientos!$A:$A,$B4,Movimientos!$D:$D,CONCATENATE("&lt;=",BL$3),Movimientos!$C:$C,"&gt;0")+SUMIFS(Movimientos!$C:$C,Movimientos!$A:$A,$B4,Movimientos!$D:$D,CONCATENATE("&lt;",BL$3),Movimientos!$C:$C,"&lt;0")</f>
        <v>0</v>
      </c>
      <c r="BM4" s="5">
        <f ca="1">SUMIFS(Movimientos!$C:$C,Movimientos!$A:$A,$B4,Movimientos!$D:$D,CONCATENATE("&lt;=",BM$3),Movimientos!$C:$C,"&gt;0")+SUMIFS(Movimientos!$C:$C,Movimientos!$A:$A,$B4,Movimientos!$D:$D,CONCATENATE("&lt;",BM$3),Movimientos!$C:$C,"&lt;0")</f>
        <v>0</v>
      </c>
      <c r="BN4" s="5">
        <f ca="1">SUMIFS(Movimientos!$C:$C,Movimientos!$A:$A,$B4,Movimientos!$D:$D,CONCATENATE("&lt;=",BN$3),Movimientos!$C:$C,"&gt;0")+SUMIFS(Movimientos!$C:$C,Movimientos!$A:$A,$B4,Movimientos!$D:$D,CONCATENATE("&lt;",BN$3),Movimientos!$C:$C,"&lt;0")</f>
        <v>0</v>
      </c>
      <c r="BO4" s="5">
        <f ca="1">SUMIFS(Movimientos!$C:$C,Movimientos!$A:$A,$B4,Movimientos!$D:$D,CONCATENATE("&lt;=",BO$3),Movimientos!$C:$C,"&gt;0")+SUMIFS(Movimientos!$C:$C,Movimientos!$A:$A,$B4,Movimientos!$D:$D,CONCATENATE("&lt;",BO$3),Movimientos!$C:$C,"&lt;0")</f>
        <v>0</v>
      </c>
      <c r="BP4" s="5">
        <f ca="1">SUMIFS(Movimientos!$C:$C,Movimientos!$A:$A,$B4,Movimientos!$D:$D,CONCATENATE("&lt;=",BP$3),Movimientos!$C:$C,"&gt;0")+SUMIFS(Movimientos!$C:$C,Movimientos!$A:$A,$B4,Movimientos!$D:$D,CONCATENATE("&lt;",BP$3),Movimientos!$C:$C,"&lt;0")</f>
        <v>0</v>
      </c>
      <c r="BQ4" s="5">
        <f ca="1">SUMIFS(Movimientos!$C:$C,Movimientos!$A:$A,$B4,Movimientos!$D:$D,CONCATENATE("&lt;=",BQ$3),Movimientos!$C:$C,"&gt;0")+SUMIFS(Movimientos!$C:$C,Movimientos!$A:$A,$B4,Movimientos!$D:$D,CONCATENATE("&lt;",BQ$3),Movimientos!$C:$C,"&lt;0")</f>
        <v>0</v>
      </c>
      <c r="BR4" s="5">
        <f ca="1">SUMIFS(Movimientos!$C:$C,Movimientos!$A:$A,$B4,Movimientos!$D:$D,CONCATENATE("&lt;=",BR$3),Movimientos!$C:$C,"&gt;0")+SUMIFS(Movimientos!$C:$C,Movimientos!$A:$A,$B4,Movimientos!$D:$D,CONCATENATE("&lt;",BR$3),Movimientos!$C:$C,"&lt;0")</f>
        <v>0</v>
      </c>
      <c r="BS4" s="5">
        <f ca="1">SUMIFS(Movimientos!$C:$C,Movimientos!$A:$A,$B4,Movimientos!$D:$D,CONCATENATE("&lt;=",BS$3),Movimientos!$C:$C,"&gt;0")+SUMIFS(Movimientos!$C:$C,Movimientos!$A:$A,$B4,Movimientos!$D:$D,CONCATENATE("&lt;",BS$3),Movimientos!$C:$C,"&lt;0")</f>
        <v>0</v>
      </c>
      <c r="BT4" s="5">
        <f ca="1">SUMIFS(Movimientos!$C:$C,Movimientos!$A:$A,$B4,Movimientos!$D:$D,CONCATENATE("&lt;=",BT$3),Movimientos!$C:$C,"&gt;0")+SUMIFS(Movimientos!$C:$C,Movimientos!$A:$A,$B4,Movimientos!$D:$D,CONCATENATE("&lt;",BT$3),Movimientos!$C:$C,"&lt;0")</f>
        <v>0</v>
      </c>
      <c r="BU4" s="5">
        <f ca="1">SUMIFS(Movimientos!$C:$C,Movimientos!$A:$A,$B4,Movimientos!$D:$D,CONCATENATE("&lt;=",BU$3),Movimientos!$C:$C,"&gt;0")+SUMIFS(Movimientos!$C:$C,Movimientos!$A:$A,$B4,Movimientos!$D:$D,CONCATENATE("&lt;",BU$3),Movimientos!$C:$C,"&lt;0")</f>
        <v>0</v>
      </c>
      <c r="BV4" s="5">
        <f ca="1">SUMIFS(Movimientos!$C:$C,Movimientos!$A:$A,$B4,Movimientos!$D:$D,CONCATENATE("&lt;=",BV$3),Movimientos!$C:$C,"&gt;0")+SUMIFS(Movimientos!$C:$C,Movimientos!$A:$A,$B4,Movimientos!$D:$D,CONCATENATE("&lt;",BV$3),Movimientos!$C:$C,"&lt;0")</f>
        <v>0</v>
      </c>
      <c r="BW4" s="5">
        <f ca="1">SUMIFS(Movimientos!$C:$C,Movimientos!$A:$A,$B4,Movimientos!$D:$D,CONCATENATE("&lt;=",BW$3),Movimientos!$C:$C,"&gt;0")+SUMIFS(Movimientos!$C:$C,Movimientos!$A:$A,$B4,Movimientos!$D:$D,CONCATENATE("&lt;",BW$3),Movimientos!$C:$C,"&lt;0")</f>
        <v>0</v>
      </c>
      <c r="BX4" s="5">
        <f ca="1">SUMIFS(Movimientos!$C:$C,Movimientos!$A:$A,$B4,Movimientos!$D:$D,CONCATENATE("&lt;=",BX$3),Movimientos!$C:$C,"&gt;0")+SUMIFS(Movimientos!$C:$C,Movimientos!$A:$A,$B4,Movimientos!$D:$D,CONCATENATE("&lt;",BX$3),Movimientos!$C:$C,"&lt;0")</f>
        <v>0</v>
      </c>
      <c r="BY4" s="5">
        <f ca="1">SUMIFS(Movimientos!$C:$C,Movimientos!$A:$A,$B4,Movimientos!$D:$D,CONCATENATE("&lt;=",BY$3),Movimientos!$C:$C,"&gt;0")+SUMIFS(Movimientos!$C:$C,Movimientos!$A:$A,$B4,Movimientos!$D:$D,CONCATENATE("&lt;",BY$3),Movimientos!$C:$C,"&lt;0")</f>
        <v>0</v>
      </c>
      <c r="BZ4" s="5">
        <f ca="1">SUMIFS(Movimientos!$C:$C,Movimientos!$A:$A,$B4,Movimientos!$D:$D,CONCATENATE("&lt;=",BZ$3),Movimientos!$C:$C,"&gt;0")+SUMIFS(Movimientos!$C:$C,Movimientos!$A:$A,$B4,Movimientos!$D:$D,CONCATENATE("&lt;",BZ$3),Movimientos!$C:$C,"&lt;0")</f>
        <v>0</v>
      </c>
      <c r="CA4" s="5">
        <f ca="1">SUMIFS(Movimientos!$C:$C,Movimientos!$A:$A,$B4,Movimientos!$D:$D,CONCATENATE("&lt;=",CA$3),Movimientos!$C:$C,"&gt;0")+SUMIFS(Movimientos!$C:$C,Movimientos!$A:$A,$B4,Movimientos!$D:$D,CONCATENATE("&lt;",CA$3),Movimientos!$C:$C,"&lt;0")</f>
        <v>0</v>
      </c>
      <c r="CB4" s="5">
        <f ca="1">SUMIFS(Movimientos!$C:$C,Movimientos!$A:$A,$B4,Movimientos!$D:$D,CONCATENATE("&lt;=",CB$3),Movimientos!$C:$C,"&gt;0")+SUMIFS(Movimientos!$C:$C,Movimientos!$A:$A,$B4,Movimientos!$D:$D,CONCATENATE("&lt;",CB$3),Movimientos!$C:$C,"&lt;0")</f>
        <v>0</v>
      </c>
      <c r="CC4" s="5">
        <f ca="1">SUMIFS(Movimientos!$C:$C,Movimientos!$A:$A,$B4,Movimientos!$D:$D,CONCATENATE("&lt;=",CC$3),Movimientos!$C:$C,"&gt;0")+SUMIFS(Movimientos!$C:$C,Movimientos!$A:$A,$B4,Movimientos!$D:$D,CONCATENATE("&lt;",CC$3),Movimientos!$C:$C,"&lt;0")</f>
        <v>0</v>
      </c>
      <c r="CD4" s="5">
        <f ca="1">SUMIFS(Movimientos!$C:$C,Movimientos!$A:$A,$B4,Movimientos!$D:$D,CONCATENATE("&lt;=",CD$3),Movimientos!$C:$C,"&gt;0")+SUMIFS(Movimientos!$C:$C,Movimientos!$A:$A,$B4,Movimientos!$D:$D,CONCATENATE("&lt;",CD$3),Movimientos!$C:$C,"&lt;0")</f>
        <v>0</v>
      </c>
      <c r="CE4" s="5">
        <f ca="1">SUMIFS(Movimientos!$C:$C,Movimientos!$A:$A,$B4,Movimientos!$D:$D,CONCATENATE("&lt;=",CE$3),Movimientos!$C:$C,"&gt;0")+SUMIFS(Movimientos!$C:$C,Movimientos!$A:$A,$B4,Movimientos!$D:$D,CONCATENATE("&lt;",CE$3),Movimientos!$C:$C,"&lt;0")</f>
        <v>0</v>
      </c>
      <c r="CF4" s="5">
        <f ca="1">SUMIFS(Movimientos!$C:$C,Movimientos!$A:$A,$B4,Movimientos!$D:$D,CONCATENATE("&lt;=",CF$3),Movimientos!$C:$C,"&gt;0")+SUMIFS(Movimientos!$C:$C,Movimientos!$A:$A,$B4,Movimientos!$D:$D,CONCATENATE("&lt;",CF$3),Movimientos!$C:$C,"&lt;0")</f>
        <v>0</v>
      </c>
      <c r="CG4" s="5">
        <f ca="1">SUMIFS(Movimientos!$C:$C,Movimientos!$A:$A,$B4,Movimientos!$D:$D,CONCATENATE("&lt;=",CG$3),Movimientos!$C:$C,"&gt;0")+SUMIFS(Movimientos!$C:$C,Movimientos!$A:$A,$B4,Movimientos!$D:$D,CONCATENATE("&lt;",CG$3),Movimientos!$C:$C,"&lt;0")</f>
        <v>0</v>
      </c>
      <c r="CH4" s="5">
        <f ca="1">SUMIFS(Movimientos!$C:$C,Movimientos!$A:$A,$B4,Movimientos!$D:$D,CONCATENATE("&lt;=",CH$3),Movimientos!$C:$C,"&gt;0")+SUMIFS(Movimientos!$C:$C,Movimientos!$A:$A,$B4,Movimientos!$D:$D,CONCATENATE("&lt;",CH$3),Movimientos!$C:$C,"&lt;0")</f>
        <v>0</v>
      </c>
      <c r="CI4" s="5">
        <f ca="1">SUMIFS(Movimientos!$C:$C,Movimientos!$A:$A,$B4,Movimientos!$D:$D,CONCATENATE("&lt;=",CI$3),Movimientos!$C:$C,"&gt;0")+SUMIFS(Movimientos!$C:$C,Movimientos!$A:$A,$B4,Movimientos!$D:$D,CONCATENATE("&lt;",CI$3),Movimientos!$C:$C,"&lt;0")</f>
        <v>0</v>
      </c>
      <c r="CJ4" s="5">
        <f ca="1">SUMIFS(Movimientos!$C:$C,Movimientos!$A:$A,$B4,Movimientos!$D:$D,CONCATENATE("&lt;=",CJ$3),Movimientos!$C:$C,"&gt;0")+SUMIFS(Movimientos!$C:$C,Movimientos!$A:$A,$B4,Movimientos!$D:$D,CONCATENATE("&lt;",CJ$3),Movimientos!$C:$C,"&lt;0")</f>
        <v>0</v>
      </c>
      <c r="CK4" s="5">
        <f ca="1">SUMIFS(Movimientos!$C:$C,Movimientos!$A:$A,$B4,Movimientos!$D:$D,CONCATENATE("&lt;=",CK$3),Movimientos!$C:$C,"&gt;0")+SUMIFS(Movimientos!$C:$C,Movimientos!$A:$A,$B4,Movimientos!$D:$D,CONCATENATE("&lt;",CK$3),Movimientos!$C:$C,"&lt;0")</f>
        <v>0</v>
      </c>
      <c r="CL4" s="5">
        <f ca="1">SUMIFS(Movimientos!$C:$C,Movimientos!$A:$A,$B4,Movimientos!$D:$D,CONCATENATE("&lt;=",CL$3),Movimientos!$C:$C,"&gt;0")+SUMIFS(Movimientos!$C:$C,Movimientos!$A:$A,$B4,Movimientos!$D:$D,CONCATENATE("&lt;",CL$3),Movimientos!$C:$C,"&lt;0")</f>
        <v>0</v>
      </c>
      <c r="CM4" s="5">
        <f ca="1">SUMIFS(Movimientos!$C:$C,Movimientos!$A:$A,$B4,Movimientos!$D:$D,CONCATENATE("&lt;=",CM$3),Movimientos!$C:$C,"&gt;0")+SUMIFS(Movimientos!$C:$C,Movimientos!$A:$A,$B4,Movimientos!$D:$D,CONCATENATE("&lt;",CM$3),Movimientos!$C:$C,"&lt;0")</f>
        <v>0</v>
      </c>
      <c r="CN4" s="5">
        <f ca="1">SUMIFS(Movimientos!$C:$C,Movimientos!$A:$A,$B4,Movimientos!$D:$D,CONCATENATE("&lt;=",CN$3),Movimientos!$C:$C,"&gt;0")+SUMIFS(Movimientos!$C:$C,Movimientos!$A:$A,$B4,Movimientos!$D:$D,CONCATENATE("&lt;",CN$3),Movimientos!$C:$C,"&lt;0")</f>
        <v>0</v>
      </c>
      <c r="CO4" s="5">
        <f ca="1">SUMIFS(Movimientos!$C:$C,Movimientos!$A:$A,$B4,Movimientos!$D:$D,CONCATENATE("&lt;=",CO$3),Movimientos!$C:$C,"&gt;0")+SUMIFS(Movimientos!$C:$C,Movimientos!$A:$A,$B4,Movimientos!$D:$D,CONCATENATE("&lt;",CO$3),Movimientos!$C:$C,"&lt;0")</f>
        <v>0</v>
      </c>
      <c r="CP4" s="5">
        <f ca="1">SUMIFS(Movimientos!$C:$C,Movimientos!$A:$A,$B4,Movimientos!$D:$D,CONCATENATE("&lt;=",CP$3),Movimientos!$C:$C,"&gt;0")+SUMIFS(Movimientos!$C:$C,Movimientos!$A:$A,$B4,Movimientos!$D:$D,CONCATENATE("&lt;",CP$3),Movimientos!$C:$C,"&lt;0")</f>
        <v>0</v>
      </c>
      <c r="CQ4" s="5">
        <f ca="1">SUMIFS(Movimientos!$C:$C,Movimientos!$A:$A,$B4,Movimientos!$D:$D,CONCATENATE("&lt;=",CQ$3),Movimientos!$C:$C,"&gt;0")+SUMIFS(Movimientos!$C:$C,Movimientos!$A:$A,$B4,Movimientos!$D:$D,CONCATENATE("&lt;",CQ$3),Movimientos!$C:$C,"&lt;0")</f>
        <v>0</v>
      </c>
      <c r="CR4" s="5">
        <f ca="1">SUMIFS(Movimientos!$C:$C,Movimientos!$A:$A,$B4,Movimientos!$D:$D,CONCATENATE("&lt;=",CR$3),Movimientos!$C:$C,"&gt;0")+SUMIFS(Movimientos!$C:$C,Movimientos!$A:$A,$B4,Movimientos!$D:$D,CONCATENATE("&lt;",CR$3),Movimientos!$C:$C,"&lt;0")</f>
        <v>0</v>
      </c>
      <c r="CS4" s="5">
        <f ca="1">SUMIFS(Movimientos!$C:$C,Movimientos!$A:$A,$B4,Movimientos!$D:$D,CONCATENATE("&lt;=",CS$3),Movimientos!$C:$C,"&gt;0")+SUMIFS(Movimientos!$C:$C,Movimientos!$A:$A,$B4,Movimientos!$D:$D,CONCATENATE("&lt;",CS$3),Movimientos!$C:$C,"&lt;0")</f>
        <v>0</v>
      </c>
      <c r="CT4" s="5">
        <f ca="1">SUMIFS(Movimientos!$C:$C,Movimientos!$A:$A,$B4,Movimientos!$D:$D,CONCATENATE("&lt;=",CT$3),Movimientos!$C:$C,"&gt;0")+SUMIFS(Movimientos!$C:$C,Movimientos!$A:$A,$B4,Movimientos!$D:$D,CONCATENATE("&lt;",CT$3),Movimientos!$C:$C,"&lt;0")</f>
        <v>0</v>
      </c>
      <c r="CU4" s="5">
        <f ca="1">SUMIFS(Movimientos!$C:$C,Movimientos!$A:$A,$B4,Movimientos!$D:$D,CONCATENATE("&lt;=",CU$3),Movimientos!$C:$C,"&gt;0")+SUMIFS(Movimientos!$C:$C,Movimientos!$A:$A,$B4,Movimientos!$D:$D,CONCATENATE("&lt;",CU$3),Movimientos!$C:$C,"&lt;0")</f>
        <v>0</v>
      </c>
      <c r="CV4" s="5">
        <f ca="1">SUMIFS(Movimientos!$C:$C,Movimientos!$A:$A,$B4,Movimientos!$D:$D,CONCATENATE("&lt;=",CV$3),Movimientos!$C:$C,"&gt;0")+SUMIFS(Movimientos!$C:$C,Movimientos!$A:$A,$B4,Movimientos!$D:$D,CONCATENATE("&lt;",CV$3),Movimientos!$C:$C,"&lt;0")</f>
        <v>0</v>
      </c>
      <c r="CW4" s="5">
        <f ca="1">SUMIFS(Movimientos!$C:$C,Movimientos!$A:$A,$B4,Movimientos!$D:$D,CONCATENATE("&lt;=",CW$3),Movimientos!$C:$C,"&gt;0")+SUMIFS(Movimientos!$C:$C,Movimientos!$A:$A,$B4,Movimientos!$D:$D,CONCATENATE("&lt;",CW$3),Movimientos!$C:$C,"&lt;0")</f>
        <v>0</v>
      </c>
      <c r="CX4" s="5">
        <f ca="1">SUMIFS(Movimientos!$C:$C,Movimientos!$A:$A,$B4,Movimientos!$D:$D,CONCATENATE("&lt;=",CX$3),Movimientos!$C:$C,"&gt;0")+SUMIFS(Movimientos!$C:$C,Movimientos!$A:$A,$B4,Movimientos!$D:$D,CONCATENATE("&lt;",CX$3),Movimientos!$C:$C,"&lt;0")</f>
        <v>0</v>
      </c>
      <c r="CY4" s="5">
        <f ca="1">SUMIFS(Movimientos!$C:$C,Movimientos!$A:$A,$B4,Movimientos!$D:$D,CONCATENATE("&lt;=",CY$3),Movimientos!$C:$C,"&gt;0")+SUMIFS(Movimientos!$C:$C,Movimientos!$A:$A,$B4,Movimientos!$D:$D,CONCATENATE("&lt;",CY$3),Movimientos!$C:$C,"&lt;0")</f>
        <v>0</v>
      </c>
      <c r="CZ4" s="5">
        <f ca="1">SUMIFS(Movimientos!$C:$C,Movimientos!$A:$A,$B4,Movimientos!$D:$D,CONCATENATE("&lt;=",CZ$3),Movimientos!$C:$C,"&gt;0")+SUMIFS(Movimientos!$C:$C,Movimientos!$A:$A,$B4,Movimientos!$D:$D,CONCATENATE("&lt;",CZ$3),Movimientos!$C:$C,"&lt;0")</f>
        <v>0</v>
      </c>
      <c r="DA4" s="5">
        <f ca="1">SUMIFS(Movimientos!$C:$C,Movimientos!$A:$A,$B4,Movimientos!$D:$D,CONCATENATE("&lt;=",DA$3),Movimientos!$C:$C,"&gt;0")+SUMIFS(Movimientos!$C:$C,Movimientos!$A:$A,$B4,Movimientos!$D:$D,CONCATENATE("&lt;",DA$3),Movimientos!$C:$C,"&lt;0")</f>
        <v>0</v>
      </c>
      <c r="DB4" s="5">
        <f ca="1">SUMIFS(Movimientos!$C:$C,Movimientos!$A:$A,$B4,Movimientos!$D:$D,CONCATENATE("&lt;=",DB$3),Movimientos!$C:$C,"&gt;0")+SUMIFS(Movimientos!$C:$C,Movimientos!$A:$A,$B4,Movimientos!$D:$D,CONCATENATE("&lt;",DB$3),Movimientos!$C:$C,"&lt;0")</f>
        <v>0</v>
      </c>
      <c r="DC4" s="5">
        <f ca="1">SUMIFS(Movimientos!$C:$C,Movimientos!$A:$A,$B4,Movimientos!$D:$D,CONCATENATE("&lt;=",DC$3),Movimientos!$C:$C,"&gt;0")+SUMIFS(Movimientos!$C:$C,Movimientos!$A:$A,$B4,Movimientos!$D:$D,CONCATENATE("&lt;",DC$3),Movimientos!$C:$C,"&lt;0")</f>
        <v>0</v>
      </c>
      <c r="DD4" s="5">
        <f ca="1">SUMIFS(Movimientos!$C:$C,Movimientos!$A:$A,$B4,Movimientos!$D:$D,CONCATENATE("&lt;=",DD$3),Movimientos!$C:$C,"&gt;0")+SUMIFS(Movimientos!$C:$C,Movimientos!$A:$A,$B4,Movimientos!$D:$D,CONCATENATE("&lt;",DD$3),Movimientos!$C:$C,"&lt;0")</f>
        <v>0</v>
      </c>
      <c r="DE4" s="5">
        <f ca="1">SUMIFS(Movimientos!$C:$C,Movimientos!$A:$A,$B4,Movimientos!$D:$D,CONCATENATE("&lt;=",DE$3),Movimientos!$C:$C,"&gt;0")+SUMIFS(Movimientos!$C:$C,Movimientos!$A:$A,$B4,Movimientos!$D:$D,CONCATENATE("&lt;",DE$3),Movimientos!$C:$C,"&lt;0")</f>
        <v>0</v>
      </c>
      <c r="DF4" s="5">
        <f ca="1">SUMIFS(Movimientos!$C:$C,Movimientos!$A:$A,$B4,Movimientos!$D:$D,CONCATENATE("&lt;=",DF$3),Movimientos!$C:$C,"&gt;0")+SUMIFS(Movimientos!$C:$C,Movimientos!$A:$A,$B4,Movimientos!$D:$D,CONCATENATE("&lt;",DF$3),Movimientos!$C:$C,"&lt;0")</f>
        <v>0</v>
      </c>
      <c r="DG4" s="5">
        <f ca="1">SUMIFS(Movimientos!$C:$C,Movimientos!$A:$A,$B4,Movimientos!$D:$D,CONCATENATE("&lt;=",DG$3),Movimientos!$C:$C,"&gt;0")+SUMIFS(Movimientos!$C:$C,Movimientos!$A:$A,$B4,Movimientos!$D:$D,CONCATENATE("&lt;",DG$3),Movimientos!$C:$C,"&lt;0")</f>
        <v>0</v>
      </c>
      <c r="DH4" s="5">
        <f ca="1">SUMIFS(Movimientos!$C:$C,Movimientos!$A:$A,$B4,Movimientos!$D:$D,CONCATENATE("&lt;=",DH$3),Movimientos!$C:$C,"&gt;0")+SUMIFS(Movimientos!$C:$C,Movimientos!$A:$A,$B4,Movimientos!$D:$D,CONCATENATE("&lt;",DH$3),Movimientos!$C:$C,"&lt;0")</f>
        <v>0</v>
      </c>
      <c r="DI4" s="5">
        <f ca="1">SUMIFS(Movimientos!$C:$C,Movimientos!$A:$A,$B4,Movimientos!$D:$D,CONCATENATE("&lt;=",DI$3),Movimientos!$C:$C,"&gt;0")+SUMIFS(Movimientos!$C:$C,Movimientos!$A:$A,$B4,Movimientos!$D:$D,CONCATENATE("&lt;",DI$3),Movimientos!$C:$C,"&lt;0")</f>
        <v>0</v>
      </c>
      <c r="DJ4" s="5">
        <f ca="1">SUMIFS(Movimientos!$C:$C,Movimientos!$A:$A,$B4,Movimientos!$D:$D,CONCATENATE("&lt;=",DJ$3),Movimientos!$C:$C,"&gt;0")+SUMIFS(Movimientos!$C:$C,Movimientos!$A:$A,$B4,Movimientos!$D:$D,CONCATENATE("&lt;",DJ$3),Movimientos!$C:$C,"&lt;0")</f>
        <v>0</v>
      </c>
      <c r="DK4" s="5">
        <f ca="1">SUMIFS(Movimientos!$C:$C,Movimientos!$A:$A,$B4,Movimientos!$D:$D,CONCATENATE("&lt;=",DK$3),Movimientos!$C:$C,"&gt;0")+SUMIFS(Movimientos!$C:$C,Movimientos!$A:$A,$B4,Movimientos!$D:$D,CONCATENATE("&lt;",DK$3),Movimientos!$C:$C,"&lt;0")</f>
        <v>0</v>
      </c>
      <c r="DL4" s="5">
        <f ca="1">SUMIFS(Movimientos!$C:$C,Movimientos!$A:$A,$B4,Movimientos!$D:$D,CONCATENATE("&lt;=",DL$3),Movimientos!$C:$C,"&gt;0")+SUMIFS(Movimientos!$C:$C,Movimientos!$A:$A,$B4,Movimientos!$D:$D,CONCATENATE("&lt;",DL$3),Movimientos!$C:$C,"&lt;0")</f>
        <v>0</v>
      </c>
      <c r="DM4" s="5">
        <f ca="1">SUMIFS(Movimientos!$C:$C,Movimientos!$A:$A,$B4,Movimientos!$D:$D,CONCATENATE("&lt;=",DM$3),Movimientos!$C:$C,"&gt;0")+SUMIFS(Movimientos!$C:$C,Movimientos!$A:$A,$B4,Movimientos!$D:$D,CONCATENATE("&lt;",DM$3),Movimientos!$C:$C,"&lt;0")</f>
        <v>0</v>
      </c>
      <c r="DN4" s="5">
        <f ca="1">SUMIFS(Movimientos!$C:$C,Movimientos!$A:$A,$B4,Movimientos!$D:$D,CONCATENATE("&lt;=",DN$3),Movimientos!$C:$C,"&gt;0")+SUMIFS(Movimientos!$C:$C,Movimientos!$A:$A,$B4,Movimientos!$D:$D,CONCATENATE("&lt;",DN$3),Movimientos!$C:$C,"&lt;0")</f>
        <v>0</v>
      </c>
      <c r="DO4" s="5">
        <f ca="1">SUMIFS(Movimientos!$C:$C,Movimientos!$A:$A,$B4,Movimientos!$D:$D,CONCATENATE("&lt;=",DO$3),Movimientos!$C:$C,"&gt;0")+SUMIFS(Movimientos!$C:$C,Movimientos!$A:$A,$B4,Movimientos!$D:$D,CONCATENATE("&lt;",DO$3),Movimientos!$C:$C,"&lt;0")</f>
        <v>0</v>
      </c>
      <c r="DP4" s="5">
        <f ca="1">SUMIFS(Movimientos!$C:$C,Movimientos!$A:$A,$B4,Movimientos!$D:$D,CONCATENATE("&lt;=",DP$3),Movimientos!$C:$C,"&gt;0")+SUMIFS(Movimientos!$C:$C,Movimientos!$A:$A,$B4,Movimientos!$D:$D,CONCATENATE("&lt;",DP$3),Movimientos!$C:$C,"&lt;0")</f>
        <v>0</v>
      </c>
      <c r="DQ4" s="5">
        <f ca="1">SUMIFS(Movimientos!$C:$C,Movimientos!$A:$A,$B4,Movimientos!$D:$D,CONCATENATE("&lt;=",DQ$3),Movimientos!$C:$C,"&gt;0")+SUMIFS(Movimientos!$C:$C,Movimientos!$A:$A,$B4,Movimientos!$D:$D,CONCATENATE("&lt;",DQ$3),Movimientos!$C:$C,"&lt;0")</f>
        <v>0</v>
      </c>
      <c r="DR4" s="5">
        <f ca="1">SUMIFS(Movimientos!$C:$C,Movimientos!$A:$A,$B4,Movimientos!$D:$D,CONCATENATE("&lt;=",DR$3),Movimientos!$C:$C,"&gt;0")+SUMIFS(Movimientos!$C:$C,Movimientos!$A:$A,$B4,Movimientos!$D:$D,CONCATENATE("&lt;",DR$3),Movimientos!$C:$C,"&lt;0")</f>
        <v>0</v>
      </c>
      <c r="DS4" s="5">
        <f ca="1">SUMIFS(Movimientos!$C:$C,Movimientos!$A:$A,$B4,Movimientos!$D:$D,CONCATENATE("&lt;=",DS$3),Movimientos!$C:$C,"&gt;0")+SUMIFS(Movimientos!$C:$C,Movimientos!$A:$A,$B4,Movimientos!$D:$D,CONCATENATE("&lt;",DS$3),Movimientos!$C:$C,"&lt;0")</f>
        <v>0</v>
      </c>
      <c r="DT4" s="5">
        <f ca="1">SUMIFS(Movimientos!$C:$C,Movimientos!$A:$A,$B4,Movimientos!$D:$D,CONCATENATE("&lt;=",DT$3),Movimientos!$C:$C,"&gt;0")+SUMIFS(Movimientos!$C:$C,Movimientos!$A:$A,$B4,Movimientos!$D:$D,CONCATENATE("&lt;",DT$3),Movimientos!$C:$C,"&lt;0")</f>
        <v>0</v>
      </c>
      <c r="DU4" s="5">
        <f ca="1">SUMIFS(Movimientos!$C:$C,Movimientos!$A:$A,$B4,Movimientos!$D:$D,CONCATENATE("&lt;=",DU$3),Movimientos!$C:$C,"&gt;0")+SUMIFS(Movimientos!$C:$C,Movimientos!$A:$A,$B4,Movimientos!$D:$D,CONCATENATE("&lt;",DU$3),Movimientos!$C:$C,"&lt;0")</f>
        <v>0</v>
      </c>
      <c r="DV4" s="5">
        <f ca="1">SUMIFS(Movimientos!$C:$C,Movimientos!$A:$A,$B4,Movimientos!$D:$D,CONCATENATE("&lt;=",DV$3),Movimientos!$C:$C,"&gt;0")+SUMIFS(Movimientos!$C:$C,Movimientos!$A:$A,$B4,Movimientos!$D:$D,CONCATENATE("&lt;",DV$3),Movimientos!$C:$C,"&lt;0")</f>
        <v>0</v>
      </c>
      <c r="DW4" s="5">
        <f ca="1">SUMIFS(Movimientos!$C:$C,Movimientos!$A:$A,$B4,Movimientos!$D:$D,CONCATENATE("&lt;=",DW$3),Movimientos!$C:$C,"&gt;0")+SUMIFS(Movimientos!$C:$C,Movimientos!$A:$A,$B4,Movimientos!$D:$D,CONCATENATE("&lt;",DW$3),Movimientos!$C:$C,"&lt;0")</f>
        <v>0</v>
      </c>
      <c r="DX4" s="5">
        <f ca="1">SUMIFS(Movimientos!$C:$C,Movimientos!$A:$A,$B4,Movimientos!$D:$D,CONCATENATE("&lt;=",DX$3),Movimientos!$C:$C,"&gt;0")+SUMIFS(Movimientos!$C:$C,Movimientos!$A:$A,$B4,Movimientos!$D:$D,CONCATENATE("&lt;",DX$3),Movimientos!$C:$C,"&lt;0")</f>
        <v>0</v>
      </c>
      <c r="DY4" s="5">
        <f ca="1">SUMIFS(Movimientos!$C:$C,Movimientos!$A:$A,$B4,Movimientos!$D:$D,CONCATENATE("&lt;=",DY$3),Movimientos!$C:$C,"&gt;0")+SUMIFS(Movimientos!$C:$C,Movimientos!$A:$A,$B4,Movimientos!$D:$D,CONCATENATE("&lt;",DY$3),Movimientos!$C:$C,"&lt;0")</f>
        <v>0</v>
      </c>
      <c r="DZ4" s="5">
        <f ca="1">SUMIFS(Movimientos!$C:$C,Movimientos!$A:$A,$B4,Movimientos!$D:$D,CONCATENATE("&lt;=",DZ$3),Movimientos!$C:$C,"&gt;0")+SUMIFS(Movimientos!$C:$C,Movimientos!$A:$A,$B4,Movimientos!$D:$D,CONCATENATE("&lt;",DZ$3),Movimientos!$C:$C,"&lt;0")</f>
        <v>0</v>
      </c>
      <c r="EA4" s="5">
        <f ca="1">SUMIFS(Movimientos!$C:$C,Movimientos!$A:$A,$B4,Movimientos!$D:$D,CONCATENATE("&lt;=",EA$3),Movimientos!$C:$C,"&gt;0")+SUMIFS(Movimientos!$C:$C,Movimientos!$A:$A,$B4,Movimientos!$D:$D,CONCATENATE("&lt;",EA$3),Movimientos!$C:$C,"&lt;0")</f>
        <v>0</v>
      </c>
      <c r="EB4" s="5">
        <f ca="1">SUMIFS(Movimientos!$C:$C,Movimientos!$A:$A,$B4,Movimientos!$D:$D,CONCATENATE("&lt;=",EB$3),Movimientos!$C:$C,"&gt;0")+SUMIFS(Movimientos!$C:$C,Movimientos!$A:$A,$B4,Movimientos!$D:$D,CONCATENATE("&lt;",EB$3),Movimientos!$C:$C,"&lt;0")</f>
        <v>0</v>
      </c>
      <c r="EC4" s="5">
        <f ca="1">SUMIFS(Movimientos!$C:$C,Movimientos!$A:$A,$B4,Movimientos!$D:$D,CONCATENATE("&lt;=",EC$3),Movimientos!$C:$C,"&gt;0")+SUMIFS(Movimientos!$C:$C,Movimientos!$A:$A,$B4,Movimientos!$D:$D,CONCATENATE("&lt;",EC$3),Movimientos!$C:$C,"&lt;0")</f>
        <v>0</v>
      </c>
      <c r="ED4" s="5">
        <f ca="1">SUMIFS(Movimientos!$C:$C,Movimientos!$A:$A,$B4,Movimientos!$D:$D,CONCATENATE("&lt;=",ED$3),Movimientos!$C:$C,"&gt;0")+SUMIFS(Movimientos!$C:$C,Movimientos!$A:$A,$B4,Movimientos!$D:$D,CONCATENATE("&lt;",ED$3),Movimientos!$C:$C,"&lt;0")</f>
        <v>0</v>
      </c>
      <c r="EE4" s="5">
        <f ca="1">SUMIFS(Movimientos!$C:$C,Movimientos!$A:$A,$B4,Movimientos!$D:$D,CONCATENATE("&lt;=",EE$3),Movimientos!$C:$C,"&gt;0")+SUMIFS(Movimientos!$C:$C,Movimientos!$A:$A,$B4,Movimientos!$D:$D,CONCATENATE("&lt;",EE$3),Movimientos!$C:$C,"&lt;0")</f>
        <v>0</v>
      </c>
      <c r="EF4" s="5">
        <f ca="1">SUMIFS(Movimientos!$C:$C,Movimientos!$A:$A,$B4,Movimientos!$D:$D,CONCATENATE("&lt;=",EF$3),Movimientos!$C:$C,"&gt;0")+SUMIFS(Movimientos!$C:$C,Movimientos!$A:$A,$B4,Movimientos!$D:$D,CONCATENATE("&lt;",EF$3),Movimientos!$C:$C,"&lt;0")</f>
        <v>0</v>
      </c>
      <c r="EG4" s="5">
        <f ca="1">SUMIFS(Movimientos!$C:$C,Movimientos!$A:$A,$B4,Movimientos!$D:$D,CONCATENATE("&lt;=",EG$3),Movimientos!$C:$C,"&gt;0")+SUMIFS(Movimientos!$C:$C,Movimientos!$A:$A,$B4,Movimientos!$D:$D,CONCATENATE("&lt;",EG$3),Movimientos!$C:$C,"&lt;0")</f>
        <v>0</v>
      </c>
      <c r="EH4" s="5">
        <f ca="1">SUMIFS(Movimientos!$C:$C,Movimientos!$A:$A,$B4,Movimientos!$D:$D,CONCATENATE("&lt;=",EH$3),Movimientos!$C:$C,"&gt;0")+SUMIFS(Movimientos!$C:$C,Movimientos!$A:$A,$B4,Movimientos!$D:$D,CONCATENATE("&lt;",EH$3),Movimientos!$C:$C,"&lt;0")</f>
        <v>0</v>
      </c>
      <c r="EI4" s="5">
        <f ca="1">SUMIFS(Movimientos!$C:$C,Movimientos!$A:$A,$B4,Movimientos!$D:$D,CONCATENATE("&lt;=",EI$3),Movimientos!$C:$C,"&gt;0")+SUMIFS(Movimientos!$C:$C,Movimientos!$A:$A,$B4,Movimientos!$D:$D,CONCATENATE("&lt;",EI$3),Movimientos!$C:$C,"&lt;0")</f>
        <v>0</v>
      </c>
      <c r="EJ4" s="5">
        <f ca="1">SUMIFS(Movimientos!$C:$C,Movimientos!$A:$A,$B4,Movimientos!$D:$D,CONCATENATE("&lt;=",EJ$3),Movimientos!$C:$C,"&gt;0")+SUMIFS(Movimientos!$C:$C,Movimientos!$A:$A,$B4,Movimientos!$D:$D,CONCATENATE("&lt;",EJ$3),Movimientos!$C:$C,"&lt;0")</f>
        <v>0</v>
      </c>
      <c r="EK4" s="5">
        <f ca="1">SUMIFS(Movimientos!$C:$C,Movimientos!$A:$A,$B4,Movimientos!$D:$D,CONCATENATE("&lt;=",EK$3),Movimientos!$C:$C,"&gt;0")+SUMIFS(Movimientos!$C:$C,Movimientos!$A:$A,$B4,Movimientos!$D:$D,CONCATENATE("&lt;",EK$3),Movimientos!$C:$C,"&lt;0")</f>
        <v>0</v>
      </c>
      <c r="EL4" s="5">
        <f ca="1">SUMIFS(Movimientos!$C:$C,Movimientos!$A:$A,$B4,Movimientos!$D:$D,CONCATENATE("&lt;=",EL$3),Movimientos!$C:$C,"&gt;0")+SUMIFS(Movimientos!$C:$C,Movimientos!$A:$A,$B4,Movimientos!$D:$D,CONCATENATE("&lt;",EL$3),Movimientos!$C:$C,"&lt;0")</f>
        <v>0</v>
      </c>
      <c r="EM4" s="5">
        <f ca="1">SUMIFS(Movimientos!$C:$C,Movimientos!$A:$A,$B4,Movimientos!$D:$D,CONCATENATE("&lt;=",EM$3),Movimientos!$C:$C,"&gt;0")+SUMIFS(Movimientos!$C:$C,Movimientos!$A:$A,$B4,Movimientos!$D:$D,CONCATENATE("&lt;",EM$3),Movimientos!$C:$C,"&lt;0")</f>
        <v>0</v>
      </c>
      <c r="EN4" s="5">
        <f ca="1">SUMIFS(Movimientos!$C:$C,Movimientos!$A:$A,$B4,Movimientos!$D:$D,CONCATENATE("&lt;=",EN$3),Movimientos!$C:$C,"&gt;0")+SUMIFS(Movimientos!$C:$C,Movimientos!$A:$A,$B4,Movimientos!$D:$D,CONCATENATE("&lt;",EN$3),Movimientos!$C:$C,"&lt;0")</f>
        <v>0</v>
      </c>
      <c r="EO4" s="5">
        <f ca="1">SUMIFS(Movimientos!$C:$C,Movimientos!$A:$A,$B4,Movimientos!$D:$D,CONCATENATE("&lt;=",EO$3),Movimientos!$C:$C,"&gt;0")+SUMIFS(Movimientos!$C:$C,Movimientos!$A:$A,$B4,Movimientos!$D:$D,CONCATENATE("&lt;",EO$3),Movimientos!$C:$C,"&lt;0")</f>
        <v>0</v>
      </c>
      <c r="EP4" s="5">
        <f ca="1">SUMIFS(Movimientos!$C:$C,Movimientos!$A:$A,$B4,Movimientos!$D:$D,CONCATENATE("&lt;=",EP$3),Movimientos!$C:$C,"&gt;0")+SUMIFS(Movimientos!$C:$C,Movimientos!$A:$A,$B4,Movimientos!$D:$D,CONCATENATE("&lt;",EP$3),Movimientos!$C:$C,"&lt;0")</f>
        <v>0</v>
      </c>
      <c r="EQ4" s="5">
        <f ca="1">SUMIFS(Movimientos!$C:$C,Movimientos!$A:$A,$B4,Movimientos!$D:$D,CONCATENATE("&lt;=",EQ$3),Movimientos!$C:$C,"&gt;0")+SUMIFS(Movimientos!$C:$C,Movimientos!$A:$A,$B4,Movimientos!$D:$D,CONCATENATE("&lt;",EQ$3),Movimientos!$C:$C,"&lt;0")</f>
        <v>0</v>
      </c>
      <c r="ER4" s="5">
        <f ca="1">SUMIFS(Movimientos!$C:$C,Movimientos!$A:$A,$B4,Movimientos!$D:$D,CONCATENATE("&lt;=",ER$3),Movimientos!$C:$C,"&gt;0")+SUMIFS(Movimientos!$C:$C,Movimientos!$A:$A,$B4,Movimientos!$D:$D,CONCATENATE("&lt;",ER$3),Movimientos!$C:$C,"&lt;0")</f>
        <v>0</v>
      </c>
      <c r="ES4" s="5">
        <f ca="1">SUMIFS(Movimientos!$C:$C,Movimientos!$A:$A,$B4,Movimientos!$D:$D,CONCATENATE("&lt;=",ES$3),Movimientos!$C:$C,"&gt;0")+SUMIFS(Movimientos!$C:$C,Movimientos!$A:$A,$B4,Movimientos!$D:$D,CONCATENATE("&lt;",ES$3),Movimientos!$C:$C,"&lt;0")</f>
        <v>0</v>
      </c>
      <c r="ET4" s="5">
        <f ca="1">SUMIFS(Movimientos!$C:$C,Movimientos!$A:$A,$B4,Movimientos!$D:$D,CONCATENATE("&lt;=",ET$3),Movimientos!$C:$C,"&gt;0")+SUMIFS(Movimientos!$C:$C,Movimientos!$A:$A,$B4,Movimientos!$D:$D,CONCATENATE("&lt;",ET$3),Movimientos!$C:$C,"&lt;0")</f>
        <v>0</v>
      </c>
      <c r="EU4" s="5">
        <f ca="1">SUMIFS(Movimientos!$C:$C,Movimientos!$A:$A,$B4,Movimientos!$D:$D,CONCATENATE("&lt;=",EU$3),Movimientos!$C:$C,"&gt;0")+SUMIFS(Movimientos!$C:$C,Movimientos!$A:$A,$B4,Movimientos!$D:$D,CONCATENATE("&lt;",EU$3),Movimientos!$C:$C,"&lt;0")</f>
        <v>0</v>
      </c>
      <c r="EV4" s="5">
        <f ca="1">SUMIFS(Movimientos!$C:$C,Movimientos!$A:$A,$B4,Movimientos!$D:$D,CONCATENATE("&lt;=",EV$3),Movimientos!$C:$C,"&gt;0")+SUMIFS(Movimientos!$C:$C,Movimientos!$A:$A,$B4,Movimientos!$D:$D,CONCATENATE("&lt;",EV$3),Movimientos!$C:$C,"&lt;0")</f>
        <v>0</v>
      </c>
      <c r="EW4" s="5">
        <f ca="1">SUMIFS(Movimientos!$C:$C,Movimientos!$A:$A,$B4,Movimientos!$D:$D,CONCATENATE("&lt;=",EW$3),Movimientos!$C:$C,"&gt;0")+SUMIFS(Movimientos!$C:$C,Movimientos!$A:$A,$B4,Movimientos!$D:$D,CONCATENATE("&lt;",EW$3),Movimientos!$C:$C,"&lt;0")</f>
        <v>0</v>
      </c>
      <c r="EX4" s="5">
        <f ca="1">SUMIFS(Movimientos!$C:$C,Movimientos!$A:$A,$B4,Movimientos!$D:$D,CONCATENATE("&lt;=",EX$3),Movimientos!$C:$C,"&gt;0")+SUMIFS(Movimientos!$C:$C,Movimientos!$A:$A,$B4,Movimientos!$D:$D,CONCATENATE("&lt;",EX$3),Movimientos!$C:$C,"&lt;0")</f>
        <v>0</v>
      </c>
      <c r="EY4" s="5">
        <f ca="1">SUMIFS(Movimientos!$C:$C,Movimientos!$A:$A,$B4,Movimientos!$D:$D,CONCATENATE("&lt;=",EY$3),Movimientos!$C:$C,"&gt;0")+SUMIFS(Movimientos!$C:$C,Movimientos!$A:$A,$B4,Movimientos!$D:$D,CONCATENATE("&lt;",EY$3),Movimientos!$C:$C,"&lt;0")</f>
        <v>0</v>
      </c>
      <c r="EZ4" s="5">
        <f ca="1">SUMIFS(Movimientos!$C:$C,Movimientos!$A:$A,$B4,Movimientos!$D:$D,CONCATENATE("&lt;=",EZ$3),Movimientos!$C:$C,"&gt;0")+SUMIFS(Movimientos!$C:$C,Movimientos!$A:$A,$B4,Movimientos!$D:$D,CONCATENATE("&lt;",EZ$3),Movimientos!$C:$C,"&lt;0")</f>
        <v>0</v>
      </c>
      <c r="FA4" s="5">
        <f ca="1">SUMIFS(Movimientos!$C:$C,Movimientos!$A:$A,$B4,Movimientos!$D:$D,CONCATENATE("&lt;=",FA$3),Movimientos!$C:$C,"&gt;0")+SUMIFS(Movimientos!$C:$C,Movimientos!$A:$A,$B4,Movimientos!$D:$D,CONCATENATE("&lt;",FA$3),Movimientos!$C:$C,"&lt;0")</f>
        <v>0</v>
      </c>
      <c r="FB4" s="5">
        <f ca="1">SUMIFS(Movimientos!$C:$C,Movimientos!$A:$A,$B4,Movimientos!$D:$D,CONCATENATE("&lt;=",FB$3),Movimientos!$C:$C,"&gt;0")+SUMIFS(Movimientos!$C:$C,Movimientos!$A:$A,$B4,Movimientos!$D:$D,CONCATENATE("&lt;",FB$3),Movimientos!$C:$C,"&lt;0")</f>
        <v>0</v>
      </c>
      <c r="FC4" s="5">
        <f ca="1">SUMIFS(Movimientos!$C:$C,Movimientos!$A:$A,$B4,Movimientos!$D:$D,CONCATENATE("&lt;=",FC$3),Movimientos!$C:$C,"&gt;0")+SUMIFS(Movimientos!$C:$C,Movimientos!$A:$A,$B4,Movimientos!$D:$D,CONCATENATE("&lt;",FC$3),Movimientos!$C:$C,"&lt;0")</f>
        <v>0</v>
      </c>
      <c r="FD4" s="5">
        <f ca="1">SUMIFS(Movimientos!$C:$C,Movimientos!$A:$A,$B4,Movimientos!$D:$D,CONCATENATE("&lt;=",FD$3),Movimientos!$C:$C,"&gt;0")+SUMIFS(Movimientos!$C:$C,Movimientos!$A:$A,$B4,Movimientos!$D:$D,CONCATENATE("&lt;",FD$3),Movimientos!$C:$C,"&lt;0")</f>
        <v>0</v>
      </c>
      <c r="FE4" s="5">
        <f ca="1">SUMIFS(Movimientos!$C:$C,Movimientos!$A:$A,$B4,Movimientos!$D:$D,CONCATENATE("&lt;=",FE$3),Movimientos!$C:$C,"&gt;0")+SUMIFS(Movimientos!$C:$C,Movimientos!$A:$A,$B4,Movimientos!$D:$D,CONCATENATE("&lt;",FE$3),Movimientos!$C:$C,"&lt;0")</f>
        <v>0</v>
      </c>
      <c r="FF4" s="5">
        <f ca="1">SUMIFS(Movimientos!$C:$C,Movimientos!$A:$A,$B4,Movimientos!$D:$D,CONCATENATE("&lt;=",FF$3),Movimientos!$C:$C,"&gt;0")+SUMIFS(Movimientos!$C:$C,Movimientos!$A:$A,$B4,Movimientos!$D:$D,CONCATENATE("&lt;",FF$3),Movimientos!$C:$C,"&lt;0")</f>
        <v>0</v>
      </c>
      <c r="FG4" s="5">
        <f ca="1">SUMIFS(Movimientos!$C:$C,Movimientos!$A:$A,$B4,Movimientos!$D:$D,CONCATENATE("&lt;=",FG$3),Movimientos!$C:$C,"&gt;0")+SUMIFS(Movimientos!$C:$C,Movimientos!$A:$A,$B4,Movimientos!$D:$D,CONCATENATE("&lt;",FG$3),Movimientos!$C:$C,"&lt;0")</f>
        <v>0</v>
      </c>
      <c r="FH4" s="5">
        <f ca="1">SUMIFS(Movimientos!$C:$C,Movimientos!$A:$A,$B4,Movimientos!$D:$D,CONCATENATE("&lt;=",FH$3),Movimientos!$C:$C,"&gt;0")+SUMIFS(Movimientos!$C:$C,Movimientos!$A:$A,$B4,Movimientos!$D:$D,CONCATENATE("&lt;",FH$3),Movimientos!$C:$C,"&lt;0")</f>
        <v>0</v>
      </c>
      <c r="FI4" s="5">
        <f ca="1">SUMIFS(Movimientos!$C:$C,Movimientos!$A:$A,$B4,Movimientos!$D:$D,CONCATENATE("&lt;=",FI$3),Movimientos!$C:$C,"&gt;0")+SUMIFS(Movimientos!$C:$C,Movimientos!$A:$A,$B4,Movimientos!$D:$D,CONCATENATE("&lt;",FI$3),Movimientos!$C:$C,"&lt;0")</f>
        <v>0</v>
      </c>
      <c r="FJ4" s="5">
        <f ca="1">SUMIFS(Movimientos!$C:$C,Movimientos!$A:$A,$B4,Movimientos!$D:$D,CONCATENATE("&lt;=",FJ$3),Movimientos!$C:$C,"&gt;0")+SUMIFS(Movimientos!$C:$C,Movimientos!$A:$A,$B4,Movimientos!$D:$D,CONCATENATE("&lt;",FJ$3),Movimientos!$C:$C,"&lt;0")</f>
        <v>0</v>
      </c>
      <c r="FK4" s="5">
        <f ca="1">SUMIFS(Movimientos!$C:$C,Movimientos!$A:$A,$B4,Movimientos!$D:$D,CONCATENATE("&lt;=",FK$3),Movimientos!$C:$C,"&gt;0")+SUMIFS(Movimientos!$C:$C,Movimientos!$A:$A,$B4,Movimientos!$D:$D,CONCATENATE("&lt;",FK$3),Movimientos!$C:$C,"&lt;0")</f>
        <v>0</v>
      </c>
      <c r="FL4" s="5">
        <f ca="1">SUMIFS(Movimientos!$C:$C,Movimientos!$A:$A,$B4,Movimientos!$D:$D,CONCATENATE("&lt;=",FL$3),Movimientos!$C:$C,"&gt;0")+SUMIFS(Movimientos!$C:$C,Movimientos!$A:$A,$B4,Movimientos!$D:$D,CONCATENATE("&lt;",FL$3),Movimientos!$C:$C,"&lt;0")</f>
        <v>0</v>
      </c>
      <c r="FM4" s="5">
        <f ca="1">SUMIFS(Movimientos!$C:$C,Movimientos!$A:$A,$B4,Movimientos!$D:$D,CONCATENATE("&lt;=",FM$3),Movimientos!$C:$C,"&gt;0")+SUMIFS(Movimientos!$C:$C,Movimientos!$A:$A,$B4,Movimientos!$D:$D,CONCATENATE("&lt;",FM$3),Movimientos!$C:$C,"&lt;0")</f>
        <v>0</v>
      </c>
      <c r="FN4" s="5">
        <f ca="1">SUMIFS(Movimientos!$C:$C,Movimientos!$A:$A,$B4,Movimientos!$D:$D,CONCATENATE("&lt;=",FN$3),Movimientos!$C:$C,"&gt;0")+SUMIFS(Movimientos!$C:$C,Movimientos!$A:$A,$B4,Movimientos!$D:$D,CONCATENATE("&lt;",FN$3),Movimientos!$C:$C,"&lt;0")</f>
        <v>0</v>
      </c>
      <c r="FO4" s="5">
        <f ca="1">SUMIFS(Movimientos!$C:$C,Movimientos!$A:$A,$B4,Movimientos!$D:$D,CONCATENATE("&lt;=",FO$3),Movimientos!$C:$C,"&gt;0")+SUMIFS(Movimientos!$C:$C,Movimientos!$A:$A,$B4,Movimientos!$D:$D,CONCATENATE("&lt;",FO$3),Movimientos!$C:$C,"&lt;0")</f>
        <v>0</v>
      </c>
      <c r="FP4" s="5">
        <f ca="1">SUMIFS(Movimientos!$C:$C,Movimientos!$A:$A,$B4,Movimientos!$D:$D,CONCATENATE("&lt;=",FP$3),Movimientos!$C:$C,"&gt;0")+SUMIFS(Movimientos!$C:$C,Movimientos!$A:$A,$B4,Movimientos!$D:$D,CONCATENATE("&lt;",FP$3),Movimientos!$C:$C,"&lt;0")</f>
        <v>0</v>
      </c>
      <c r="FQ4" s="5">
        <f ca="1">SUMIFS(Movimientos!$C:$C,Movimientos!$A:$A,$B4,Movimientos!$D:$D,CONCATENATE("&lt;=",FQ$3),Movimientos!$C:$C,"&gt;0")+SUMIFS(Movimientos!$C:$C,Movimientos!$A:$A,$B4,Movimientos!$D:$D,CONCATENATE("&lt;",FQ$3),Movimientos!$C:$C,"&lt;0")</f>
        <v>0</v>
      </c>
      <c r="FR4" s="5">
        <f ca="1">SUMIFS(Movimientos!$C:$C,Movimientos!$A:$A,$B4,Movimientos!$D:$D,CONCATENATE("&lt;=",FR$3),Movimientos!$C:$C,"&gt;0")+SUMIFS(Movimientos!$C:$C,Movimientos!$A:$A,$B4,Movimientos!$D:$D,CONCATENATE("&lt;",FR$3),Movimientos!$C:$C,"&lt;0")</f>
        <v>0</v>
      </c>
      <c r="FS4" s="5">
        <f ca="1">SUMIFS(Movimientos!$C:$C,Movimientos!$A:$A,$B4,Movimientos!$D:$D,CONCATENATE("&lt;=",FS$3),Movimientos!$C:$C,"&gt;0")+SUMIFS(Movimientos!$C:$C,Movimientos!$A:$A,$B4,Movimientos!$D:$D,CONCATENATE("&lt;",FS$3),Movimientos!$C:$C,"&lt;0")</f>
        <v>0</v>
      </c>
      <c r="FT4" s="5">
        <f ca="1">SUMIFS(Movimientos!$C:$C,Movimientos!$A:$A,$B4,Movimientos!$D:$D,CONCATENATE("&lt;=",FT$3),Movimientos!$C:$C,"&gt;0")+SUMIFS(Movimientos!$C:$C,Movimientos!$A:$A,$B4,Movimientos!$D:$D,CONCATENATE("&lt;",FT$3),Movimientos!$C:$C,"&lt;0")</f>
        <v>0</v>
      </c>
      <c r="FU4" s="5">
        <f ca="1">SUMIFS(Movimientos!$C:$C,Movimientos!$A:$A,$B4,Movimientos!$D:$D,CONCATENATE("&lt;=",FU$3),Movimientos!$C:$C,"&gt;0")+SUMIFS(Movimientos!$C:$C,Movimientos!$A:$A,$B4,Movimientos!$D:$D,CONCATENATE("&lt;",FU$3),Movimientos!$C:$C,"&lt;0")</f>
        <v>0</v>
      </c>
      <c r="FV4" s="5">
        <f ca="1">SUMIFS(Movimientos!$C:$C,Movimientos!$A:$A,$B4,Movimientos!$D:$D,CONCATENATE("&lt;=",FV$3),Movimientos!$C:$C,"&gt;0")+SUMIFS(Movimientos!$C:$C,Movimientos!$A:$A,$B4,Movimientos!$D:$D,CONCATENATE("&lt;",FV$3),Movimientos!$C:$C,"&lt;0")</f>
        <v>0</v>
      </c>
      <c r="FW4" s="5">
        <f ca="1">SUMIFS(Movimientos!$C:$C,Movimientos!$A:$A,$B4,Movimientos!$D:$D,CONCATENATE("&lt;=",FW$3),Movimientos!$C:$C,"&gt;0")+SUMIFS(Movimientos!$C:$C,Movimientos!$A:$A,$B4,Movimientos!$D:$D,CONCATENATE("&lt;",FW$3),Movimientos!$C:$C,"&lt;0")</f>
        <v>0</v>
      </c>
      <c r="FX4" s="5">
        <f ca="1">SUMIFS(Movimientos!$C:$C,Movimientos!$A:$A,$B4,Movimientos!$D:$D,CONCATENATE("&lt;=",FX$3),Movimientos!$C:$C,"&gt;0")+SUMIFS(Movimientos!$C:$C,Movimientos!$A:$A,$B4,Movimientos!$D:$D,CONCATENATE("&lt;",FX$3),Movimientos!$C:$C,"&lt;0")</f>
        <v>0</v>
      </c>
      <c r="FY4" s="5">
        <f ca="1">SUMIFS(Movimientos!$C:$C,Movimientos!$A:$A,$B4,Movimientos!$D:$D,CONCATENATE("&lt;=",FY$3),Movimientos!$C:$C,"&gt;0")+SUMIFS(Movimientos!$C:$C,Movimientos!$A:$A,$B4,Movimientos!$D:$D,CONCATENATE("&lt;",FY$3),Movimientos!$C:$C,"&lt;0")</f>
        <v>0</v>
      </c>
      <c r="FZ4" s="5">
        <f ca="1">SUMIFS(Movimientos!$C:$C,Movimientos!$A:$A,$B4,Movimientos!$D:$D,CONCATENATE("&lt;=",FZ$3),Movimientos!$C:$C,"&gt;0")+SUMIFS(Movimientos!$C:$C,Movimientos!$A:$A,$B4,Movimientos!$D:$D,CONCATENATE("&lt;",FZ$3),Movimientos!$C:$C,"&lt;0")</f>
        <v>0</v>
      </c>
      <c r="GA4" s="5">
        <f ca="1">SUMIFS(Movimientos!$C:$C,Movimientos!$A:$A,$B4,Movimientos!$D:$D,CONCATENATE("&lt;=",GA$3),Movimientos!$C:$C,"&gt;0")+SUMIFS(Movimientos!$C:$C,Movimientos!$A:$A,$B4,Movimientos!$D:$D,CONCATENATE("&lt;",GA$3),Movimientos!$C:$C,"&lt;0")</f>
        <v>0</v>
      </c>
      <c r="GB4" s="5">
        <f ca="1">SUMIFS(Movimientos!$C:$C,Movimientos!$A:$A,$B4,Movimientos!$D:$D,CONCATENATE("&lt;=",GB$3),Movimientos!$C:$C,"&gt;0")+SUMIFS(Movimientos!$C:$C,Movimientos!$A:$A,$B4,Movimientos!$D:$D,CONCATENATE("&lt;",GB$3),Movimientos!$C:$C,"&lt;0")</f>
        <v>0</v>
      </c>
      <c r="GC4" s="5">
        <f ca="1">SUMIFS(Movimientos!$C:$C,Movimientos!$A:$A,$B4,Movimientos!$D:$D,CONCATENATE("&lt;=",GC$3),Movimientos!$C:$C,"&gt;0")+SUMIFS(Movimientos!$C:$C,Movimientos!$A:$A,$B4,Movimientos!$D:$D,CONCATENATE("&lt;",GC$3),Movimientos!$C:$C,"&lt;0")</f>
        <v>0</v>
      </c>
      <c r="GD4" s="5">
        <f ca="1">SUMIFS(Movimientos!$C:$C,Movimientos!$A:$A,$B4,Movimientos!$D:$D,CONCATENATE("&lt;=",GD$3),Movimientos!$C:$C,"&gt;0")+SUMIFS(Movimientos!$C:$C,Movimientos!$A:$A,$B4,Movimientos!$D:$D,CONCATENATE("&lt;",GD$3),Movimientos!$C:$C,"&lt;0")</f>
        <v>0</v>
      </c>
      <c r="GE4" s="5">
        <f ca="1">SUMIFS(Movimientos!$C:$C,Movimientos!$A:$A,$B4,Movimientos!$D:$D,CONCATENATE("&lt;=",GE$3),Movimientos!$C:$C,"&gt;0")+SUMIFS(Movimientos!$C:$C,Movimientos!$A:$A,$B4,Movimientos!$D:$D,CONCATENATE("&lt;",GE$3),Movimientos!$C:$C,"&lt;0")</f>
        <v>0</v>
      </c>
      <c r="GF4" s="5">
        <f ca="1">SUMIFS(Movimientos!$C:$C,Movimientos!$A:$A,$B4,Movimientos!$D:$D,CONCATENATE("&lt;=",GF$3),Movimientos!$C:$C,"&gt;0")+SUMIFS(Movimientos!$C:$C,Movimientos!$A:$A,$B4,Movimientos!$D:$D,CONCATENATE("&lt;",GF$3),Movimientos!$C:$C,"&lt;0")</f>
        <v>0</v>
      </c>
      <c r="GG4" s="5">
        <f ca="1">SUMIFS(Movimientos!$C:$C,Movimientos!$A:$A,$B4,Movimientos!$D:$D,CONCATENATE("&lt;=",GG$3),Movimientos!$C:$C,"&gt;0")+SUMIFS(Movimientos!$C:$C,Movimientos!$A:$A,$B4,Movimientos!$D:$D,CONCATENATE("&lt;",GG$3),Movimientos!$C:$C,"&lt;0")</f>
        <v>0</v>
      </c>
      <c r="GH4" s="5">
        <f ca="1">SUMIFS(Movimientos!$C:$C,Movimientos!$A:$A,$B4,Movimientos!$D:$D,CONCATENATE("&lt;=",GH$3),Movimientos!$C:$C,"&gt;0")+SUMIFS(Movimientos!$C:$C,Movimientos!$A:$A,$B4,Movimientos!$D:$D,CONCATENATE("&lt;",GH$3),Movimientos!$C:$C,"&lt;0")</f>
        <v>0</v>
      </c>
      <c r="GI4" s="5">
        <f ca="1">SUMIFS(Movimientos!$C:$C,Movimientos!$A:$A,$B4,Movimientos!$D:$D,CONCATENATE("&lt;=",GI$3),Movimientos!$C:$C,"&gt;0")+SUMIFS(Movimientos!$C:$C,Movimientos!$A:$A,$B4,Movimientos!$D:$D,CONCATENATE("&lt;",GI$3),Movimientos!$C:$C,"&lt;0")</f>
        <v>0</v>
      </c>
      <c r="GJ4" s="5">
        <f ca="1">SUMIFS(Movimientos!$C:$C,Movimientos!$A:$A,$B4,Movimientos!$D:$D,CONCATENATE("&lt;=",GJ$3),Movimientos!$C:$C,"&gt;0")+SUMIFS(Movimientos!$C:$C,Movimientos!$A:$A,$B4,Movimientos!$D:$D,CONCATENATE("&lt;",GJ$3),Movimientos!$C:$C,"&lt;0")</f>
        <v>0</v>
      </c>
      <c r="GK4" s="5">
        <f ca="1">SUMIFS(Movimientos!$C:$C,Movimientos!$A:$A,$B4,Movimientos!$D:$D,CONCATENATE("&lt;=",GK$3),Movimientos!$C:$C,"&gt;0")+SUMIFS(Movimientos!$C:$C,Movimientos!$A:$A,$B4,Movimientos!$D:$D,CONCATENATE("&lt;",GK$3),Movimientos!$C:$C,"&lt;0")</f>
        <v>0</v>
      </c>
      <c r="GL4" s="5">
        <f ca="1">SUMIFS(Movimientos!$C:$C,Movimientos!$A:$A,$B4,Movimientos!$D:$D,CONCATENATE("&lt;=",GL$3),Movimientos!$C:$C,"&gt;0")+SUMIFS(Movimientos!$C:$C,Movimientos!$A:$A,$B4,Movimientos!$D:$D,CONCATENATE("&lt;",GL$3),Movimientos!$C:$C,"&lt;0")</f>
        <v>0</v>
      </c>
      <c r="GM4" s="5">
        <f ca="1">SUMIFS(Movimientos!$C:$C,Movimientos!$A:$A,$B4,Movimientos!$D:$D,CONCATENATE("&lt;=",GM$3),Movimientos!$C:$C,"&gt;0")+SUMIFS(Movimientos!$C:$C,Movimientos!$A:$A,$B4,Movimientos!$D:$D,CONCATENATE("&lt;",GM$3),Movimientos!$C:$C,"&lt;0")</f>
        <v>0</v>
      </c>
      <c r="GN4" s="5">
        <f ca="1">SUMIFS(Movimientos!$C:$C,Movimientos!$A:$A,$B4,Movimientos!$D:$D,CONCATENATE("&lt;=",GN$3),Movimientos!$C:$C,"&gt;0")+SUMIFS(Movimientos!$C:$C,Movimientos!$A:$A,$B4,Movimientos!$D:$D,CONCATENATE("&lt;",GN$3),Movimientos!$C:$C,"&lt;0")</f>
        <v>0</v>
      </c>
      <c r="GO4" s="5">
        <f ca="1">SUMIFS(Movimientos!$C:$C,Movimientos!$A:$A,$B4,Movimientos!$D:$D,CONCATENATE("&lt;=",GO$3),Movimientos!$C:$C,"&gt;0")+SUMIFS(Movimientos!$C:$C,Movimientos!$A:$A,$B4,Movimientos!$D:$D,CONCATENATE("&lt;",GO$3),Movimientos!$C:$C,"&lt;0")</f>
        <v>0</v>
      </c>
      <c r="GP4" s="5">
        <f ca="1">SUMIFS(Movimientos!$C:$C,Movimientos!$A:$A,$B4,Movimientos!$D:$D,CONCATENATE("&lt;=",GP$3),Movimientos!$C:$C,"&gt;0")+SUMIFS(Movimientos!$C:$C,Movimientos!$A:$A,$B4,Movimientos!$D:$D,CONCATENATE("&lt;",GP$3),Movimientos!$C:$C,"&lt;0")</f>
        <v>0</v>
      </c>
      <c r="GQ4" s="5">
        <f ca="1">SUMIFS(Movimientos!$C:$C,Movimientos!$A:$A,$B4,Movimientos!$D:$D,CONCATENATE("&lt;=",GQ$3),Movimientos!$C:$C,"&gt;0")+SUMIFS(Movimientos!$C:$C,Movimientos!$A:$A,$B4,Movimientos!$D:$D,CONCATENATE("&lt;",GQ$3),Movimientos!$C:$C,"&lt;0")</f>
        <v>0</v>
      </c>
      <c r="GR4" s="5">
        <f ca="1">SUMIFS(Movimientos!$C:$C,Movimientos!$A:$A,$B4,Movimientos!$D:$D,CONCATENATE("&lt;=",GR$3),Movimientos!$C:$C,"&gt;0")+SUMIFS(Movimientos!$C:$C,Movimientos!$A:$A,$B4,Movimientos!$D:$D,CONCATENATE("&lt;",GR$3),Movimientos!$C:$C,"&lt;0")</f>
        <v>0</v>
      </c>
      <c r="GS4" s="5">
        <f ca="1">SUMIFS(Movimientos!$C:$C,Movimientos!$A:$A,$B4,Movimientos!$D:$D,CONCATENATE("&lt;=",GS$3),Movimientos!$C:$C,"&gt;0")+SUMIFS(Movimientos!$C:$C,Movimientos!$A:$A,$B4,Movimientos!$D:$D,CONCATENATE("&lt;",GS$3),Movimientos!$C:$C,"&lt;0")</f>
        <v>0</v>
      </c>
      <c r="GT4" s="5">
        <f ca="1">SUMIFS(Movimientos!$C:$C,Movimientos!$A:$A,$B4,Movimientos!$D:$D,CONCATENATE("&lt;=",GT$3),Movimientos!$C:$C,"&gt;0")+SUMIFS(Movimientos!$C:$C,Movimientos!$A:$A,$B4,Movimientos!$D:$D,CONCATENATE("&lt;",GT$3),Movimientos!$C:$C,"&lt;0")</f>
        <v>0</v>
      </c>
      <c r="GU4" s="5">
        <f ca="1">SUMIFS(Movimientos!$C:$C,Movimientos!$A:$A,$B4,Movimientos!$D:$D,CONCATENATE("&lt;=",GU$3),Movimientos!$C:$C,"&gt;0")+SUMIFS(Movimientos!$C:$C,Movimientos!$A:$A,$B4,Movimientos!$D:$D,CONCATENATE("&lt;",GU$3),Movimientos!$C:$C,"&lt;0")</f>
        <v>0</v>
      </c>
      <c r="GV4" s="5">
        <f ca="1">SUMIFS(Movimientos!$C:$C,Movimientos!$A:$A,$B4,Movimientos!$D:$D,CONCATENATE("&lt;=",GV$3),Movimientos!$C:$C,"&gt;0")+SUMIFS(Movimientos!$C:$C,Movimientos!$A:$A,$B4,Movimientos!$D:$D,CONCATENATE("&lt;",GV$3),Movimientos!$C:$C,"&lt;0")</f>
        <v>0</v>
      </c>
      <c r="GW4" s="5">
        <f ca="1">SUMIFS(Movimientos!$C:$C,Movimientos!$A:$A,$B4,Movimientos!$D:$D,CONCATENATE("&lt;=",GW$3),Movimientos!$C:$C,"&gt;0")+SUMIFS(Movimientos!$C:$C,Movimientos!$A:$A,$B4,Movimientos!$D:$D,CONCATENATE("&lt;",GW$3),Movimientos!$C:$C,"&lt;0")</f>
        <v>0</v>
      </c>
      <c r="GX4" s="5">
        <f ca="1">SUMIFS(Movimientos!$C:$C,Movimientos!$A:$A,$B4,Movimientos!$D:$D,CONCATENATE("&lt;=",GX$3),Movimientos!$C:$C,"&gt;0")+SUMIFS(Movimientos!$C:$C,Movimientos!$A:$A,$B4,Movimientos!$D:$D,CONCATENATE("&lt;",GX$3),Movimientos!$C:$C,"&lt;0")</f>
        <v>0</v>
      </c>
      <c r="GY4" s="5">
        <f ca="1">SUMIFS(Movimientos!$C:$C,Movimientos!$A:$A,$B4,Movimientos!$D:$D,CONCATENATE("&lt;=",GY$3),Movimientos!$C:$C,"&gt;0")+SUMIFS(Movimientos!$C:$C,Movimientos!$A:$A,$B4,Movimientos!$D:$D,CONCATENATE("&lt;",GY$3),Movimientos!$C:$C,"&lt;0")</f>
        <v>0</v>
      </c>
      <c r="GZ4" s="5">
        <f ca="1">SUMIFS(Movimientos!$C:$C,Movimientos!$A:$A,$B4,Movimientos!$D:$D,CONCATENATE("&lt;=",GZ$3),Movimientos!$C:$C,"&gt;0")+SUMIFS(Movimientos!$C:$C,Movimientos!$A:$A,$B4,Movimientos!$D:$D,CONCATENATE("&lt;",GZ$3),Movimientos!$C:$C,"&lt;0")</f>
        <v>0</v>
      </c>
      <c r="HA4" s="5">
        <f ca="1">SUMIFS(Movimientos!$C:$C,Movimientos!$A:$A,$B4,Movimientos!$D:$D,CONCATENATE("&lt;=",HA$3),Movimientos!$C:$C,"&gt;0")+SUMIFS(Movimientos!$C:$C,Movimientos!$A:$A,$B4,Movimientos!$D:$D,CONCATENATE("&lt;",HA$3),Movimientos!$C:$C,"&lt;0")</f>
        <v>0</v>
      </c>
      <c r="HB4" s="5">
        <f ca="1">SUMIFS(Movimientos!$C:$C,Movimientos!$A:$A,$B4,Movimientos!$D:$D,CONCATENATE("&lt;=",HB$3),Movimientos!$C:$C,"&gt;0")+SUMIFS(Movimientos!$C:$C,Movimientos!$A:$A,$B4,Movimientos!$D:$D,CONCATENATE("&lt;",HB$3),Movimientos!$C:$C,"&lt;0")</f>
        <v>0</v>
      </c>
      <c r="HC4" s="5">
        <f ca="1">SUMIFS(Movimientos!$C:$C,Movimientos!$A:$A,$B4,Movimientos!$D:$D,CONCATENATE("&lt;=",HC$3),Movimientos!$C:$C,"&gt;0")+SUMIFS(Movimientos!$C:$C,Movimientos!$A:$A,$B4,Movimientos!$D:$D,CONCATENATE("&lt;",HC$3),Movimientos!$C:$C,"&lt;0")</f>
        <v>0</v>
      </c>
      <c r="HD4" s="5">
        <f ca="1">SUMIFS(Movimientos!$C:$C,Movimientos!$A:$A,$B4,Movimientos!$D:$D,CONCATENATE("&lt;=",HD$3),Movimientos!$C:$C,"&gt;0")+SUMIFS(Movimientos!$C:$C,Movimientos!$A:$A,$B4,Movimientos!$D:$D,CONCATENATE("&lt;",HD$3),Movimientos!$C:$C,"&lt;0")</f>
        <v>0</v>
      </c>
      <c r="HE4" s="5">
        <f ca="1">SUMIFS(Movimientos!$C:$C,Movimientos!$A:$A,$B4,Movimientos!$D:$D,CONCATENATE("&lt;=",HE$3),Movimientos!$C:$C,"&gt;0")+SUMIFS(Movimientos!$C:$C,Movimientos!$A:$A,$B4,Movimientos!$D:$D,CONCATENATE("&lt;",HE$3),Movimientos!$C:$C,"&lt;0")</f>
        <v>0</v>
      </c>
      <c r="HF4" s="5">
        <f ca="1">SUMIFS(Movimientos!$C:$C,Movimientos!$A:$A,$B4,Movimientos!$D:$D,CONCATENATE("&lt;=",HF$3),Movimientos!$C:$C,"&gt;0")+SUMIFS(Movimientos!$C:$C,Movimientos!$A:$A,$B4,Movimientos!$D:$D,CONCATENATE("&lt;",HF$3),Movimientos!$C:$C,"&lt;0")</f>
        <v>0</v>
      </c>
      <c r="HG4" s="5">
        <f ca="1">SUMIFS(Movimientos!$C:$C,Movimientos!$A:$A,$B4,Movimientos!$D:$D,CONCATENATE("&lt;=",HG$3),Movimientos!$C:$C,"&gt;0")+SUMIFS(Movimientos!$C:$C,Movimientos!$A:$A,$B4,Movimientos!$D:$D,CONCATENATE("&lt;",HG$3),Movimientos!$C:$C,"&lt;0")</f>
        <v>0</v>
      </c>
      <c r="HH4" s="5">
        <f ca="1">SUMIFS(Movimientos!$C:$C,Movimientos!$A:$A,$B4,Movimientos!$D:$D,CONCATENATE("&lt;=",HH$3),Movimientos!$C:$C,"&gt;0")+SUMIFS(Movimientos!$C:$C,Movimientos!$A:$A,$B4,Movimientos!$D:$D,CONCATENATE("&lt;",HH$3),Movimientos!$C:$C,"&lt;0")</f>
        <v>0</v>
      </c>
      <c r="HI4" s="5">
        <f ca="1">SUMIFS(Movimientos!$C:$C,Movimientos!$A:$A,$B4,Movimientos!$D:$D,CONCATENATE("&lt;=",HI$3),Movimientos!$C:$C,"&gt;0")+SUMIFS(Movimientos!$C:$C,Movimientos!$A:$A,$B4,Movimientos!$D:$D,CONCATENATE("&lt;",HI$3),Movimientos!$C:$C,"&lt;0")</f>
        <v>0</v>
      </c>
      <c r="HJ4" s="5">
        <f ca="1">SUMIFS(Movimientos!$C:$C,Movimientos!$A:$A,$B4,Movimientos!$D:$D,CONCATENATE("&lt;=",HJ$3),Movimientos!$C:$C,"&gt;0")+SUMIFS(Movimientos!$C:$C,Movimientos!$A:$A,$B4,Movimientos!$D:$D,CONCATENATE("&lt;",HJ$3),Movimientos!$C:$C,"&lt;0")</f>
        <v>0</v>
      </c>
      <c r="HK4" s="5">
        <f ca="1">SUMIFS(Movimientos!$C:$C,Movimientos!$A:$A,$B4,Movimientos!$D:$D,CONCATENATE("&lt;=",HK$3),Movimientos!$C:$C,"&gt;0")+SUMIFS(Movimientos!$C:$C,Movimientos!$A:$A,$B4,Movimientos!$D:$D,CONCATENATE("&lt;",HK$3),Movimientos!$C:$C,"&lt;0")</f>
        <v>0</v>
      </c>
      <c r="HL4" s="5">
        <f ca="1">SUMIFS(Movimientos!$C:$C,Movimientos!$A:$A,$B4,Movimientos!$D:$D,CONCATENATE("&lt;=",HL$3),Movimientos!$C:$C,"&gt;0")+SUMIFS(Movimientos!$C:$C,Movimientos!$A:$A,$B4,Movimientos!$D:$D,CONCATENATE("&lt;",HL$3),Movimientos!$C:$C,"&lt;0")</f>
        <v>0</v>
      </c>
      <c r="HM4" s="5">
        <f ca="1">SUMIFS(Movimientos!$C:$C,Movimientos!$A:$A,$B4,Movimientos!$D:$D,CONCATENATE("&lt;=",HM$3),Movimientos!$C:$C,"&gt;0")+SUMIFS(Movimientos!$C:$C,Movimientos!$A:$A,$B4,Movimientos!$D:$D,CONCATENATE("&lt;",HM$3),Movimientos!$C:$C,"&lt;0")</f>
        <v>0</v>
      </c>
      <c r="HN4" s="5">
        <f ca="1">SUMIFS(Movimientos!$C:$C,Movimientos!$A:$A,$B4,Movimientos!$D:$D,CONCATENATE("&lt;=",HN$3),Movimientos!$C:$C,"&gt;0")+SUMIFS(Movimientos!$C:$C,Movimientos!$A:$A,$B4,Movimientos!$D:$D,CONCATENATE("&lt;",HN$3),Movimientos!$C:$C,"&lt;0")</f>
        <v>0</v>
      </c>
      <c r="HO4" s="5">
        <f ca="1">SUMIFS(Movimientos!$C:$C,Movimientos!$A:$A,$B4,Movimientos!$D:$D,CONCATENATE("&lt;=",HO$3),Movimientos!$C:$C,"&gt;0")+SUMIFS(Movimientos!$C:$C,Movimientos!$A:$A,$B4,Movimientos!$D:$D,CONCATENATE("&lt;",HO$3),Movimientos!$C:$C,"&lt;0")</f>
        <v>0</v>
      </c>
      <c r="HP4" s="5">
        <f ca="1">SUMIFS(Movimientos!$C:$C,Movimientos!$A:$A,$B4,Movimientos!$D:$D,CONCATENATE("&lt;=",HP$3),Movimientos!$C:$C,"&gt;0")+SUMIFS(Movimientos!$C:$C,Movimientos!$A:$A,$B4,Movimientos!$D:$D,CONCATENATE("&lt;",HP$3),Movimientos!$C:$C,"&lt;0")</f>
        <v>0</v>
      </c>
      <c r="HQ4" s="5">
        <f ca="1">SUMIFS(Movimientos!$C:$C,Movimientos!$A:$A,$B4,Movimientos!$D:$D,CONCATENATE("&lt;=",HQ$3),Movimientos!$C:$C,"&gt;0")+SUMIFS(Movimientos!$C:$C,Movimientos!$A:$A,$B4,Movimientos!$D:$D,CONCATENATE("&lt;",HQ$3),Movimientos!$C:$C,"&lt;0")</f>
        <v>0</v>
      </c>
      <c r="HR4" s="5">
        <f ca="1">SUMIFS(Movimientos!$C:$C,Movimientos!$A:$A,$B4,Movimientos!$D:$D,CONCATENATE("&lt;=",HR$3),Movimientos!$C:$C,"&gt;0")+SUMIFS(Movimientos!$C:$C,Movimientos!$A:$A,$B4,Movimientos!$D:$D,CONCATENATE("&lt;",HR$3),Movimientos!$C:$C,"&lt;0")</f>
        <v>0</v>
      </c>
      <c r="HS4" s="5">
        <f ca="1">SUMIFS(Movimientos!$C:$C,Movimientos!$A:$A,$B4,Movimientos!$D:$D,CONCATENATE("&lt;=",HS$3),Movimientos!$C:$C,"&gt;0")+SUMIFS(Movimientos!$C:$C,Movimientos!$A:$A,$B4,Movimientos!$D:$D,CONCATENATE("&lt;",HS$3),Movimientos!$C:$C,"&lt;0")</f>
        <v>0</v>
      </c>
      <c r="HT4" s="5">
        <f ca="1">SUMIFS(Movimientos!$C:$C,Movimientos!$A:$A,$B4,Movimientos!$D:$D,CONCATENATE("&lt;=",HT$3),Movimientos!$C:$C,"&gt;0")+SUMIFS(Movimientos!$C:$C,Movimientos!$A:$A,$B4,Movimientos!$D:$D,CONCATENATE("&lt;",HT$3),Movimientos!$C:$C,"&lt;0")</f>
        <v>0</v>
      </c>
      <c r="HU4" s="5">
        <f ca="1">SUMIFS(Movimientos!$C:$C,Movimientos!$A:$A,$B4,Movimientos!$D:$D,CONCATENATE("&lt;=",HU$3),Movimientos!$C:$C,"&gt;0")+SUMIFS(Movimientos!$C:$C,Movimientos!$A:$A,$B4,Movimientos!$D:$D,CONCATENATE("&lt;",HU$3),Movimientos!$C:$C,"&lt;0")</f>
        <v>0</v>
      </c>
      <c r="HV4" s="5">
        <f ca="1">SUMIFS(Movimientos!$C:$C,Movimientos!$A:$A,$B4,Movimientos!$D:$D,CONCATENATE("&lt;=",HV$3),Movimientos!$C:$C,"&gt;0")+SUMIFS(Movimientos!$C:$C,Movimientos!$A:$A,$B4,Movimientos!$D:$D,CONCATENATE("&lt;",HV$3),Movimientos!$C:$C,"&lt;0")</f>
        <v>0</v>
      </c>
      <c r="HW4" s="5">
        <f ca="1">SUMIFS(Movimientos!$C:$C,Movimientos!$A:$A,$B4,Movimientos!$D:$D,CONCATENATE("&lt;=",HW$3),Movimientos!$C:$C,"&gt;0")+SUMIFS(Movimientos!$C:$C,Movimientos!$A:$A,$B4,Movimientos!$D:$D,CONCATENATE("&lt;",HW$3),Movimientos!$C:$C,"&lt;0")</f>
        <v>0</v>
      </c>
      <c r="HX4" s="5">
        <f ca="1">SUMIFS(Movimientos!$C:$C,Movimientos!$A:$A,$B4,Movimientos!$D:$D,CONCATENATE("&lt;=",HX$3),Movimientos!$C:$C,"&gt;0")+SUMIFS(Movimientos!$C:$C,Movimientos!$A:$A,$B4,Movimientos!$D:$D,CONCATENATE("&lt;",HX$3),Movimientos!$C:$C,"&lt;0")</f>
        <v>0</v>
      </c>
      <c r="HY4" s="5">
        <f ca="1">SUMIFS(Movimientos!$C:$C,Movimientos!$A:$A,$B4,Movimientos!$D:$D,CONCATENATE("&lt;=",HY$3),Movimientos!$C:$C,"&gt;0")+SUMIFS(Movimientos!$C:$C,Movimientos!$A:$A,$B4,Movimientos!$D:$D,CONCATENATE("&lt;",HY$3),Movimientos!$C:$C,"&lt;0")</f>
        <v>0</v>
      </c>
      <c r="HZ4" s="5">
        <f ca="1">SUMIFS(Movimientos!$C:$C,Movimientos!$A:$A,$B4,Movimientos!$D:$D,CONCATENATE("&lt;=",HZ$3),Movimientos!$C:$C,"&gt;0")+SUMIFS(Movimientos!$C:$C,Movimientos!$A:$A,$B4,Movimientos!$D:$D,CONCATENATE("&lt;",HZ$3),Movimientos!$C:$C,"&lt;0")</f>
        <v>0</v>
      </c>
      <c r="IA4" s="5">
        <f ca="1">SUMIFS(Movimientos!$C:$C,Movimientos!$A:$A,$B4,Movimientos!$D:$D,CONCATENATE("&lt;=",IA$3),Movimientos!$C:$C,"&gt;0")+SUMIFS(Movimientos!$C:$C,Movimientos!$A:$A,$B4,Movimientos!$D:$D,CONCATENATE("&lt;",IA$3),Movimientos!$C:$C,"&lt;0")</f>
        <v>0</v>
      </c>
      <c r="IB4" s="5">
        <f ca="1">SUMIFS(Movimientos!$C:$C,Movimientos!$A:$A,$B4,Movimientos!$D:$D,CONCATENATE("&lt;=",IB$3),Movimientos!$C:$C,"&gt;0")+SUMIFS(Movimientos!$C:$C,Movimientos!$A:$A,$B4,Movimientos!$D:$D,CONCATENATE("&lt;",IB$3),Movimientos!$C:$C,"&lt;0")</f>
        <v>0</v>
      </c>
      <c r="IC4" s="5">
        <f ca="1">SUMIFS(Movimientos!$C:$C,Movimientos!$A:$A,$B4,Movimientos!$D:$D,CONCATENATE("&lt;=",IC$3),Movimientos!$C:$C,"&gt;0")+SUMIFS(Movimientos!$C:$C,Movimientos!$A:$A,$B4,Movimientos!$D:$D,CONCATENATE("&lt;",IC$3),Movimientos!$C:$C,"&lt;0")</f>
        <v>0</v>
      </c>
      <c r="ID4" s="5">
        <f ca="1">SUMIFS(Movimientos!$C:$C,Movimientos!$A:$A,$B4,Movimientos!$D:$D,CONCATENATE("&lt;=",ID$3),Movimientos!$C:$C,"&gt;0")+SUMIFS(Movimientos!$C:$C,Movimientos!$A:$A,$B4,Movimientos!$D:$D,CONCATENATE("&lt;",ID$3),Movimientos!$C:$C,"&lt;0")</f>
        <v>0</v>
      </c>
      <c r="IE4" s="5">
        <f ca="1">SUMIFS(Movimientos!$C:$C,Movimientos!$A:$A,$B4,Movimientos!$D:$D,CONCATENATE("&lt;=",IE$3),Movimientos!$C:$C,"&gt;0")+SUMIFS(Movimientos!$C:$C,Movimientos!$A:$A,$B4,Movimientos!$D:$D,CONCATENATE("&lt;",IE$3),Movimientos!$C:$C,"&lt;0")</f>
        <v>0</v>
      </c>
      <c r="IF4" s="5">
        <f ca="1">SUMIFS(Movimientos!$C:$C,Movimientos!$A:$A,$B4,Movimientos!$D:$D,CONCATENATE("&lt;=",IF$3),Movimientos!$C:$C,"&gt;0")+SUMIFS(Movimientos!$C:$C,Movimientos!$A:$A,$B4,Movimientos!$D:$D,CONCATENATE("&lt;",IF$3),Movimientos!$C:$C,"&lt;0")</f>
        <v>0</v>
      </c>
      <c r="IG4" s="5">
        <f ca="1">SUMIFS(Movimientos!$C:$C,Movimientos!$A:$A,$B4,Movimientos!$D:$D,CONCATENATE("&lt;=",IG$3),Movimientos!$C:$C,"&gt;0")+SUMIFS(Movimientos!$C:$C,Movimientos!$A:$A,$B4,Movimientos!$D:$D,CONCATENATE("&lt;",IG$3),Movimientos!$C:$C,"&lt;0")</f>
        <v>0</v>
      </c>
      <c r="IH4" s="5">
        <f ca="1">SUMIFS(Movimientos!$C:$C,Movimientos!$A:$A,$B4,Movimientos!$D:$D,CONCATENATE("&lt;=",IH$3),Movimientos!$C:$C,"&gt;0")+SUMIFS(Movimientos!$C:$C,Movimientos!$A:$A,$B4,Movimientos!$D:$D,CONCATENATE("&lt;",IH$3),Movimientos!$C:$C,"&lt;0")</f>
        <v>0</v>
      </c>
      <c r="II4" s="5">
        <f ca="1">SUMIFS(Movimientos!$C:$C,Movimientos!$A:$A,$B4,Movimientos!$D:$D,CONCATENATE("&lt;=",II$3),Movimientos!$C:$C,"&gt;0")+SUMIFS(Movimientos!$C:$C,Movimientos!$A:$A,$B4,Movimientos!$D:$D,CONCATENATE("&lt;",II$3),Movimientos!$C:$C,"&lt;0")</f>
        <v>0</v>
      </c>
      <c r="IJ4" s="5">
        <f ca="1">SUMIFS(Movimientos!$C:$C,Movimientos!$A:$A,$B4,Movimientos!$D:$D,CONCATENATE("&lt;=",IJ$3),Movimientos!$C:$C,"&gt;0")+SUMIFS(Movimientos!$C:$C,Movimientos!$A:$A,$B4,Movimientos!$D:$D,CONCATENATE("&lt;",IJ$3),Movimientos!$C:$C,"&lt;0")</f>
        <v>0</v>
      </c>
      <c r="IK4" s="5">
        <f ca="1">SUMIFS(Movimientos!$C:$C,Movimientos!$A:$A,$B4,Movimientos!$D:$D,CONCATENATE("&lt;=",IK$3),Movimientos!$C:$C,"&gt;0")+SUMIFS(Movimientos!$C:$C,Movimientos!$A:$A,$B4,Movimientos!$D:$D,CONCATENATE("&lt;",IK$3),Movimientos!$C:$C,"&lt;0")</f>
        <v>0</v>
      </c>
      <c r="IL4" s="5">
        <f ca="1">SUMIFS(Movimientos!$C:$C,Movimientos!$A:$A,$B4,Movimientos!$D:$D,CONCATENATE("&lt;=",IL$3),Movimientos!$C:$C,"&gt;0")+SUMIFS(Movimientos!$C:$C,Movimientos!$A:$A,$B4,Movimientos!$D:$D,CONCATENATE("&lt;",IL$3),Movimientos!$C:$C,"&lt;0")</f>
        <v>0</v>
      </c>
      <c r="IM4" s="5">
        <f ca="1">SUMIFS(Movimientos!$C:$C,Movimientos!$A:$A,$B4,Movimientos!$D:$D,CONCATENATE("&lt;=",IM$3),Movimientos!$C:$C,"&gt;0")+SUMIFS(Movimientos!$C:$C,Movimientos!$A:$A,$B4,Movimientos!$D:$D,CONCATENATE("&lt;",IM$3),Movimientos!$C:$C,"&lt;0")</f>
        <v>0</v>
      </c>
      <c r="IN4" s="5">
        <f ca="1">SUMIFS(Movimientos!$C:$C,Movimientos!$A:$A,$B4,Movimientos!$D:$D,CONCATENATE("&lt;=",IN$3),Movimientos!$C:$C,"&gt;0")+SUMIFS(Movimientos!$C:$C,Movimientos!$A:$A,$B4,Movimientos!$D:$D,CONCATENATE("&lt;",IN$3),Movimientos!$C:$C,"&lt;0")</f>
        <v>0</v>
      </c>
      <c r="IO4" s="5">
        <f ca="1">SUMIFS(Movimientos!$C:$C,Movimientos!$A:$A,$B4,Movimientos!$D:$D,CONCATENATE("&lt;=",IO$3),Movimientos!$C:$C,"&gt;0")+SUMIFS(Movimientos!$C:$C,Movimientos!$A:$A,$B4,Movimientos!$D:$D,CONCATENATE("&lt;",IO$3),Movimientos!$C:$C,"&lt;0")</f>
        <v>0</v>
      </c>
      <c r="IP4" s="5">
        <f ca="1">SUMIFS(Movimientos!$C:$C,Movimientos!$A:$A,$B4,Movimientos!$D:$D,CONCATENATE("&lt;=",IP$3),Movimientos!$C:$C,"&gt;0")+SUMIFS(Movimientos!$C:$C,Movimientos!$A:$A,$B4,Movimientos!$D:$D,CONCATENATE("&lt;",IP$3),Movimientos!$C:$C,"&lt;0")</f>
        <v>0</v>
      </c>
      <c r="IQ4" s="5">
        <f ca="1">SUMIFS(Movimientos!$C:$C,Movimientos!$A:$A,$B4,Movimientos!$D:$D,CONCATENATE("&lt;=",IQ$3),Movimientos!$C:$C,"&gt;0")+SUMIFS(Movimientos!$C:$C,Movimientos!$A:$A,$B4,Movimientos!$D:$D,CONCATENATE("&lt;",IQ$3),Movimientos!$C:$C,"&lt;0")</f>
        <v>0</v>
      </c>
      <c r="IR4" s="5">
        <f ca="1">SUMIFS(Movimientos!$C:$C,Movimientos!$A:$A,$B4,Movimientos!$D:$D,CONCATENATE("&lt;=",IR$3),Movimientos!$C:$C,"&gt;0")+SUMIFS(Movimientos!$C:$C,Movimientos!$A:$A,$B4,Movimientos!$D:$D,CONCATENATE("&lt;",IR$3),Movimientos!$C:$C,"&lt;0")</f>
        <v>0</v>
      </c>
      <c r="IS4" s="5">
        <f ca="1">SUMIFS(Movimientos!$C:$C,Movimientos!$A:$A,$B4,Movimientos!$D:$D,CONCATENATE("&lt;=",IS$3),Movimientos!$C:$C,"&gt;0")+SUMIFS(Movimientos!$C:$C,Movimientos!$A:$A,$B4,Movimientos!$D:$D,CONCATENATE("&lt;",IS$3),Movimientos!$C:$C,"&lt;0")</f>
        <v>0</v>
      </c>
      <c r="IT4" s="5">
        <f ca="1">SUMIFS(Movimientos!$C:$C,Movimientos!$A:$A,$B4,Movimientos!$D:$D,CONCATENATE("&lt;=",IT$3),Movimientos!$C:$C,"&gt;0")+SUMIFS(Movimientos!$C:$C,Movimientos!$A:$A,$B4,Movimientos!$D:$D,CONCATENATE("&lt;",IT$3),Movimientos!$C:$C,"&lt;0")</f>
        <v>0</v>
      </c>
      <c r="IU4" s="5">
        <f ca="1">SUMIFS(Movimientos!$C:$C,Movimientos!$A:$A,$B4,Movimientos!$D:$D,CONCATENATE("&lt;=",IU$3),Movimientos!$C:$C,"&gt;0")+SUMIFS(Movimientos!$C:$C,Movimientos!$A:$A,$B4,Movimientos!$D:$D,CONCATENATE("&lt;",IU$3),Movimientos!$C:$C,"&lt;0")</f>
        <v>0</v>
      </c>
      <c r="IV4" s="5">
        <f ca="1">SUMIFS(Movimientos!$C:$C,Movimientos!$A:$A,$B4,Movimientos!$D:$D,CONCATENATE("&lt;=",IV$3),Movimientos!$C:$C,"&gt;0")+SUMIFS(Movimientos!$C:$C,Movimientos!$A:$A,$B4,Movimientos!$D:$D,CONCATENATE("&lt;",IV$3),Movimientos!$C:$C,"&lt;0")</f>
        <v>0</v>
      </c>
      <c r="IW4" s="5">
        <f ca="1">SUMIFS(Movimientos!$C:$C,Movimientos!$A:$A,$B4,Movimientos!$D:$D,CONCATENATE("&lt;=",IW$3),Movimientos!$C:$C,"&gt;0")+SUMIFS(Movimientos!$C:$C,Movimientos!$A:$A,$B4,Movimientos!$D:$D,CONCATENATE("&lt;",IW$3),Movimientos!$C:$C,"&lt;0")</f>
        <v>0</v>
      </c>
      <c r="IX4" s="5">
        <f ca="1">SUMIFS(Movimientos!$C:$C,Movimientos!$A:$A,$B4,Movimientos!$D:$D,CONCATENATE("&lt;=",IX$3),Movimientos!$C:$C,"&gt;0")+SUMIFS(Movimientos!$C:$C,Movimientos!$A:$A,$B4,Movimientos!$D:$D,CONCATENATE("&lt;",IX$3),Movimientos!$C:$C,"&lt;0")</f>
        <v>0</v>
      </c>
      <c r="IY4" s="5">
        <f ca="1">SUMIFS(Movimientos!$C:$C,Movimientos!$A:$A,$B4,Movimientos!$D:$D,CONCATENATE("&lt;=",IY$3),Movimientos!$C:$C,"&gt;0")+SUMIFS(Movimientos!$C:$C,Movimientos!$A:$A,$B4,Movimientos!$D:$D,CONCATENATE("&lt;",IY$3),Movimientos!$C:$C,"&lt;0")</f>
        <v>0</v>
      </c>
      <c r="IZ4" s="5">
        <f ca="1">SUMIFS(Movimientos!$C:$C,Movimientos!$A:$A,$B4,Movimientos!$D:$D,CONCATENATE("&lt;=",IZ$3),Movimientos!$C:$C,"&gt;0")+SUMIFS(Movimientos!$C:$C,Movimientos!$A:$A,$B4,Movimientos!$D:$D,CONCATENATE("&lt;",IZ$3),Movimientos!$C:$C,"&lt;0")</f>
        <v>0</v>
      </c>
      <c r="JA4" s="5">
        <f ca="1">SUMIFS(Movimientos!$C:$C,Movimientos!$A:$A,$B4,Movimientos!$D:$D,CONCATENATE("&lt;=",JA$3),Movimientos!$C:$C,"&gt;0")+SUMIFS(Movimientos!$C:$C,Movimientos!$A:$A,$B4,Movimientos!$D:$D,CONCATENATE("&lt;",JA$3),Movimientos!$C:$C,"&lt;0")</f>
        <v>0</v>
      </c>
      <c r="JB4" s="5">
        <f ca="1">SUMIFS(Movimientos!$C:$C,Movimientos!$A:$A,$B4,Movimientos!$D:$D,CONCATENATE("&lt;=",JB$3),Movimientos!$C:$C,"&gt;0")+SUMIFS(Movimientos!$C:$C,Movimientos!$A:$A,$B4,Movimientos!$D:$D,CONCATENATE("&lt;",JB$3),Movimientos!$C:$C,"&lt;0")</f>
        <v>0</v>
      </c>
      <c r="JC4" s="5">
        <f ca="1">SUMIFS(Movimientos!$C:$C,Movimientos!$A:$A,$B4,Movimientos!$D:$D,CONCATENATE("&lt;=",JC$3),Movimientos!$C:$C,"&gt;0")+SUMIFS(Movimientos!$C:$C,Movimientos!$A:$A,$B4,Movimientos!$D:$D,CONCATENATE("&lt;",JC$3),Movimientos!$C:$C,"&lt;0")</f>
        <v>0</v>
      </c>
      <c r="JD4" s="5">
        <f ca="1">SUMIFS(Movimientos!$C:$C,Movimientos!$A:$A,$B4,Movimientos!$D:$D,CONCATENATE("&lt;=",JD$3),Movimientos!$C:$C,"&gt;0")+SUMIFS(Movimientos!$C:$C,Movimientos!$A:$A,$B4,Movimientos!$D:$D,CONCATENATE("&lt;",JD$3),Movimientos!$C:$C,"&lt;0")</f>
        <v>0</v>
      </c>
      <c r="JE4" s="5">
        <f ca="1">SUMIFS(Movimientos!$C:$C,Movimientos!$A:$A,$B4,Movimientos!$D:$D,CONCATENATE("&lt;=",JE$3),Movimientos!$C:$C,"&gt;0")+SUMIFS(Movimientos!$C:$C,Movimientos!$A:$A,$B4,Movimientos!$D:$D,CONCATENATE("&lt;",JE$3),Movimientos!$C:$C,"&lt;0")</f>
        <v>0</v>
      </c>
      <c r="JF4" s="5">
        <f ca="1">SUMIFS(Movimientos!$C:$C,Movimientos!$A:$A,$B4,Movimientos!$D:$D,CONCATENATE("&lt;=",JF$3),Movimientos!$C:$C,"&gt;0")+SUMIFS(Movimientos!$C:$C,Movimientos!$A:$A,$B4,Movimientos!$D:$D,CONCATENATE("&lt;",JF$3),Movimientos!$C:$C,"&lt;0")</f>
        <v>0</v>
      </c>
      <c r="JG4" s="5">
        <f ca="1">SUMIFS(Movimientos!$C:$C,Movimientos!$A:$A,$B4,Movimientos!$D:$D,CONCATENATE("&lt;=",JG$3),Movimientos!$C:$C,"&gt;0")+SUMIFS(Movimientos!$C:$C,Movimientos!$A:$A,$B4,Movimientos!$D:$D,CONCATENATE("&lt;",JG$3),Movimientos!$C:$C,"&lt;0")</f>
        <v>0</v>
      </c>
      <c r="JH4" s="5">
        <f ca="1">SUMIFS(Movimientos!$C:$C,Movimientos!$A:$A,$B4,Movimientos!$D:$D,CONCATENATE("&lt;=",JH$3),Movimientos!$C:$C,"&gt;0")+SUMIFS(Movimientos!$C:$C,Movimientos!$A:$A,$B4,Movimientos!$D:$D,CONCATENATE("&lt;",JH$3),Movimientos!$C:$C,"&lt;0")</f>
        <v>0</v>
      </c>
      <c r="JI4" s="5">
        <f ca="1">SUMIFS(Movimientos!$C:$C,Movimientos!$A:$A,$B4,Movimientos!$D:$D,CONCATENATE("&lt;=",JI$3),Movimientos!$C:$C,"&gt;0")+SUMIFS(Movimientos!$C:$C,Movimientos!$A:$A,$B4,Movimientos!$D:$D,CONCATENATE("&lt;",JI$3),Movimientos!$C:$C,"&lt;0")</f>
        <v>0</v>
      </c>
      <c r="JJ4" s="5">
        <f ca="1">SUMIFS(Movimientos!$C:$C,Movimientos!$A:$A,$B4,Movimientos!$D:$D,CONCATENATE("&lt;=",JJ$3),Movimientos!$C:$C,"&gt;0")+SUMIFS(Movimientos!$C:$C,Movimientos!$A:$A,$B4,Movimientos!$D:$D,CONCATENATE("&lt;",JJ$3),Movimientos!$C:$C,"&lt;0")</f>
        <v>0</v>
      </c>
      <c r="JK4" s="5">
        <f ca="1">SUMIFS(Movimientos!$C:$C,Movimientos!$A:$A,$B4,Movimientos!$D:$D,CONCATENATE("&lt;=",JK$3),Movimientos!$C:$C,"&gt;0")+SUMIFS(Movimientos!$C:$C,Movimientos!$A:$A,$B4,Movimientos!$D:$D,CONCATENATE("&lt;",JK$3),Movimientos!$C:$C,"&lt;0")</f>
        <v>0</v>
      </c>
      <c r="JL4" s="5">
        <f ca="1">SUMIFS(Movimientos!$C:$C,Movimientos!$A:$A,$B4,Movimientos!$D:$D,CONCATENATE("&lt;=",JL$3),Movimientos!$C:$C,"&gt;0")+SUMIFS(Movimientos!$C:$C,Movimientos!$A:$A,$B4,Movimientos!$D:$D,CONCATENATE("&lt;",JL$3),Movimientos!$C:$C,"&lt;0")</f>
        <v>0</v>
      </c>
      <c r="JM4" s="5">
        <f ca="1">SUMIFS(Movimientos!$C:$C,Movimientos!$A:$A,$B4,Movimientos!$D:$D,CONCATENATE("&lt;=",JM$3),Movimientos!$C:$C,"&gt;0")+SUMIFS(Movimientos!$C:$C,Movimientos!$A:$A,$B4,Movimientos!$D:$D,CONCATENATE("&lt;",JM$3),Movimientos!$C:$C,"&lt;0")</f>
        <v>0</v>
      </c>
      <c r="JN4" s="5">
        <f ca="1">SUMIFS(Movimientos!$C:$C,Movimientos!$A:$A,$B4,Movimientos!$D:$D,CONCATENATE("&lt;=",JN$3),Movimientos!$C:$C,"&gt;0")+SUMIFS(Movimientos!$C:$C,Movimientos!$A:$A,$B4,Movimientos!$D:$D,CONCATENATE("&lt;",JN$3),Movimientos!$C:$C,"&lt;0")</f>
        <v>0</v>
      </c>
      <c r="JO4" s="5">
        <f ca="1">SUMIFS(Movimientos!$C:$C,Movimientos!$A:$A,$B4,Movimientos!$D:$D,CONCATENATE("&lt;=",JO$3),Movimientos!$C:$C,"&gt;0")+SUMIFS(Movimientos!$C:$C,Movimientos!$A:$A,$B4,Movimientos!$D:$D,CONCATENATE("&lt;",JO$3),Movimientos!$C:$C,"&lt;0")</f>
        <v>0</v>
      </c>
      <c r="JP4" s="5">
        <f ca="1">SUMIFS(Movimientos!$C:$C,Movimientos!$A:$A,$B4,Movimientos!$D:$D,CONCATENATE("&lt;=",JP$3),Movimientos!$C:$C,"&gt;0")+SUMIFS(Movimientos!$C:$C,Movimientos!$A:$A,$B4,Movimientos!$D:$D,CONCATENATE("&lt;",JP$3),Movimientos!$C:$C,"&lt;0")</f>
        <v>0</v>
      </c>
      <c r="JQ4" s="5">
        <f ca="1">SUMIFS(Movimientos!$C:$C,Movimientos!$A:$A,$B4,Movimientos!$D:$D,CONCATENATE("&lt;=",JQ$3),Movimientos!$C:$C,"&gt;0")+SUMIFS(Movimientos!$C:$C,Movimientos!$A:$A,$B4,Movimientos!$D:$D,CONCATENATE("&lt;",JQ$3),Movimientos!$C:$C,"&lt;0")</f>
        <v>0</v>
      </c>
      <c r="JR4" s="5">
        <f ca="1">SUMIFS(Movimientos!$C:$C,Movimientos!$A:$A,$B4,Movimientos!$D:$D,CONCATENATE("&lt;=",JR$3),Movimientos!$C:$C,"&gt;0")+SUMIFS(Movimientos!$C:$C,Movimientos!$A:$A,$B4,Movimientos!$D:$D,CONCATENATE("&lt;",JR$3),Movimientos!$C:$C,"&lt;0")</f>
        <v>0</v>
      </c>
      <c r="JS4" s="5">
        <f ca="1">SUMIFS(Movimientos!$C:$C,Movimientos!$A:$A,$B4,Movimientos!$D:$D,CONCATENATE("&lt;=",JS$3),Movimientos!$C:$C,"&gt;0")+SUMIFS(Movimientos!$C:$C,Movimientos!$A:$A,$B4,Movimientos!$D:$D,CONCATENATE("&lt;",JS$3),Movimientos!$C:$C,"&lt;0")</f>
        <v>0</v>
      </c>
      <c r="JT4" s="5">
        <f ca="1">SUMIFS(Movimientos!$C:$C,Movimientos!$A:$A,$B4,Movimientos!$D:$D,CONCATENATE("&lt;=",JT$3),Movimientos!$C:$C,"&gt;0")+SUMIFS(Movimientos!$C:$C,Movimientos!$A:$A,$B4,Movimientos!$D:$D,CONCATENATE("&lt;",JT$3),Movimientos!$C:$C,"&lt;0")</f>
        <v>0</v>
      </c>
      <c r="JU4" s="5">
        <f ca="1">SUMIFS(Movimientos!$C:$C,Movimientos!$A:$A,$B4,Movimientos!$D:$D,CONCATENATE("&lt;=",JU$3),Movimientos!$C:$C,"&gt;0")+SUMIFS(Movimientos!$C:$C,Movimientos!$A:$A,$B4,Movimientos!$D:$D,CONCATENATE("&lt;",JU$3),Movimientos!$C:$C,"&lt;0")</f>
        <v>0</v>
      </c>
      <c r="JV4" s="5">
        <f ca="1">SUMIFS(Movimientos!$C:$C,Movimientos!$A:$A,$B4,Movimientos!$D:$D,CONCATENATE("&lt;=",JV$3),Movimientos!$C:$C,"&gt;0")+SUMIFS(Movimientos!$C:$C,Movimientos!$A:$A,$B4,Movimientos!$D:$D,CONCATENATE("&lt;",JV$3),Movimientos!$C:$C,"&lt;0")</f>
        <v>0</v>
      </c>
      <c r="JW4" s="5">
        <f ca="1">SUMIFS(Movimientos!$C:$C,Movimientos!$A:$A,$B4,Movimientos!$D:$D,CONCATENATE("&lt;=",JW$3),Movimientos!$C:$C,"&gt;0")+SUMIFS(Movimientos!$C:$C,Movimientos!$A:$A,$B4,Movimientos!$D:$D,CONCATENATE("&lt;",JW$3),Movimientos!$C:$C,"&lt;0")</f>
        <v>0</v>
      </c>
      <c r="JX4" s="5">
        <f ca="1">SUMIFS(Movimientos!$C:$C,Movimientos!$A:$A,$B4,Movimientos!$D:$D,CONCATENATE("&lt;=",JX$3),Movimientos!$C:$C,"&gt;0")+SUMIFS(Movimientos!$C:$C,Movimientos!$A:$A,$B4,Movimientos!$D:$D,CONCATENATE("&lt;",JX$3),Movimientos!$C:$C,"&lt;0")</f>
        <v>0</v>
      </c>
      <c r="JY4" s="5">
        <f ca="1">SUMIFS(Movimientos!$C:$C,Movimientos!$A:$A,$B4,Movimientos!$D:$D,CONCATENATE("&lt;=",JY$3),Movimientos!$C:$C,"&gt;0")+SUMIFS(Movimientos!$C:$C,Movimientos!$A:$A,$B4,Movimientos!$D:$D,CONCATENATE("&lt;",JY$3),Movimientos!$C:$C,"&lt;0")</f>
        <v>0</v>
      </c>
      <c r="JZ4" s="5">
        <f ca="1">SUMIFS(Movimientos!$C:$C,Movimientos!$A:$A,$B4,Movimientos!$D:$D,CONCATENATE("&lt;=",JZ$3),Movimientos!$C:$C,"&gt;0")+SUMIFS(Movimientos!$C:$C,Movimientos!$A:$A,$B4,Movimientos!$D:$D,CONCATENATE("&lt;",JZ$3),Movimientos!$C:$C,"&lt;0")</f>
        <v>0</v>
      </c>
      <c r="KA4" s="5">
        <f ca="1">SUMIFS(Movimientos!$C:$C,Movimientos!$A:$A,$B4,Movimientos!$D:$D,CONCATENATE("&lt;=",KA$3),Movimientos!$C:$C,"&gt;0")+SUMIFS(Movimientos!$C:$C,Movimientos!$A:$A,$B4,Movimientos!$D:$D,CONCATENATE("&lt;",KA$3),Movimientos!$C:$C,"&lt;0")</f>
        <v>0</v>
      </c>
      <c r="KB4" s="5">
        <f ca="1">SUMIFS(Movimientos!$C:$C,Movimientos!$A:$A,$B4,Movimientos!$D:$D,CONCATENATE("&lt;=",KB$3),Movimientos!$C:$C,"&gt;0")+SUMIFS(Movimientos!$C:$C,Movimientos!$A:$A,$B4,Movimientos!$D:$D,CONCATENATE("&lt;",KB$3),Movimientos!$C:$C,"&lt;0")</f>
        <v>0</v>
      </c>
      <c r="KC4" s="5">
        <f ca="1">SUMIFS(Movimientos!$C:$C,Movimientos!$A:$A,$B4,Movimientos!$D:$D,CONCATENATE("&lt;=",KC$3),Movimientos!$C:$C,"&gt;0")+SUMIFS(Movimientos!$C:$C,Movimientos!$A:$A,$B4,Movimientos!$D:$D,CONCATENATE("&lt;",KC$3),Movimientos!$C:$C,"&lt;0")</f>
        <v>0</v>
      </c>
      <c r="KD4" s="5">
        <f ca="1">SUMIFS(Movimientos!$C:$C,Movimientos!$A:$A,$B4,Movimientos!$D:$D,CONCATENATE("&lt;=",KD$3),Movimientos!$C:$C,"&gt;0")+SUMIFS(Movimientos!$C:$C,Movimientos!$A:$A,$B4,Movimientos!$D:$D,CONCATENATE("&lt;",KD$3),Movimientos!$C:$C,"&lt;0")</f>
        <v>0</v>
      </c>
      <c r="KE4" s="5">
        <f ca="1">SUMIFS(Movimientos!$C:$C,Movimientos!$A:$A,$B4,Movimientos!$D:$D,CONCATENATE("&lt;=",KE$3),Movimientos!$C:$C,"&gt;0")+SUMIFS(Movimientos!$C:$C,Movimientos!$A:$A,$B4,Movimientos!$D:$D,CONCATENATE("&lt;",KE$3),Movimientos!$C:$C,"&lt;0")</f>
        <v>0</v>
      </c>
      <c r="KF4" s="5">
        <f ca="1">SUMIFS(Movimientos!$C:$C,Movimientos!$A:$A,$B4,Movimientos!$D:$D,CONCATENATE("&lt;=",KF$3),Movimientos!$C:$C,"&gt;0")+SUMIFS(Movimientos!$C:$C,Movimientos!$A:$A,$B4,Movimientos!$D:$D,CONCATENATE("&lt;",KF$3),Movimientos!$C:$C,"&lt;0")</f>
        <v>0</v>
      </c>
      <c r="KG4" s="5">
        <f ca="1">SUMIFS(Movimientos!$C:$C,Movimientos!$A:$A,$B4,Movimientos!$D:$D,CONCATENATE("&lt;=",KG$3),Movimientos!$C:$C,"&gt;0")+SUMIFS(Movimientos!$C:$C,Movimientos!$A:$A,$B4,Movimientos!$D:$D,CONCATENATE("&lt;",KG$3),Movimientos!$C:$C,"&lt;0")</f>
        <v>0</v>
      </c>
      <c r="KH4" s="5">
        <f ca="1">SUMIFS(Movimientos!$C:$C,Movimientos!$A:$A,$B4,Movimientos!$D:$D,CONCATENATE("&lt;=",KH$3),Movimientos!$C:$C,"&gt;0")+SUMIFS(Movimientos!$C:$C,Movimientos!$A:$A,$B4,Movimientos!$D:$D,CONCATENATE("&lt;",KH$3),Movimientos!$C:$C,"&lt;0")</f>
        <v>0</v>
      </c>
      <c r="KI4" s="5">
        <f ca="1">SUMIFS(Movimientos!$C:$C,Movimientos!$A:$A,$B4,Movimientos!$D:$D,CONCATENATE("&lt;=",KI$3),Movimientos!$C:$C,"&gt;0")+SUMIFS(Movimientos!$C:$C,Movimientos!$A:$A,$B4,Movimientos!$D:$D,CONCATENATE("&lt;",KI$3),Movimientos!$C:$C,"&lt;0")</f>
        <v>0</v>
      </c>
      <c r="KJ4" s="5">
        <f ca="1">SUMIFS(Movimientos!$C:$C,Movimientos!$A:$A,$B4,Movimientos!$D:$D,CONCATENATE("&lt;=",KJ$3),Movimientos!$C:$C,"&gt;0")+SUMIFS(Movimientos!$C:$C,Movimientos!$A:$A,$B4,Movimientos!$D:$D,CONCATENATE("&lt;",KJ$3),Movimientos!$C:$C,"&lt;0")</f>
        <v>0</v>
      </c>
      <c r="KK4" s="5">
        <f ca="1">SUMIFS(Movimientos!$C:$C,Movimientos!$A:$A,$B4,Movimientos!$D:$D,CONCATENATE("&lt;=",KK$3),Movimientos!$C:$C,"&gt;0")+SUMIFS(Movimientos!$C:$C,Movimientos!$A:$A,$B4,Movimientos!$D:$D,CONCATENATE("&lt;",KK$3),Movimientos!$C:$C,"&lt;0")</f>
        <v>0</v>
      </c>
      <c r="KL4" s="5">
        <f ca="1">SUMIFS(Movimientos!$C:$C,Movimientos!$A:$A,$B4,Movimientos!$D:$D,CONCATENATE("&lt;=",KL$3),Movimientos!$C:$C,"&gt;0")+SUMIFS(Movimientos!$C:$C,Movimientos!$A:$A,$B4,Movimientos!$D:$D,CONCATENATE("&lt;",KL$3),Movimientos!$C:$C,"&lt;0")</f>
        <v>0</v>
      </c>
      <c r="KM4" s="5">
        <f ca="1">SUMIFS(Movimientos!$C:$C,Movimientos!$A:$A,$B4,Movimientos!$D:$D,CONCATENATE("&lt;=",KM$3),Movimientos!$C:$C,"&gt;0")+SUMIFS(Movimientos!$C:$C,Movimientos!$A:$A,$B4,Movimientos!$D:$D,CONCATENATE("&lt;",KM$3),Movimientos!$C:$C,"&lt;0")</f>
        <v>0</v>
      </c>
      <c r="KN4" s="5">
        <f ca="1">SUMIFS(Movimientos!$C:$C,Movimientos!$A:$A,$B4,Movimientos!$D:$D,CONCATENATE("&lt;=",KN$3),Movimientos!$C:$C,"&gt;0")+SUMIFS(Movimientos!$C:$C,Movimientos!$A:$A,$B4,Movimientos!$D:$D,CONCATENATE("&lt;",KN$3),Movimientos!$C:$C,"&lt;0")</f>
        <v>0</v>
      </c>
      <c r="KO4" s="5">
        <f ca="1">SUMIFS(Movimientos!$C:$C,Movimientos!$A:$A,$B4,Movimientos!$D:$D,CONCATENATE("&lt;=",KO$3),Movimientos!$C:$C,"&gt;0")+SUMIFS(Movimientos!$C:$C,Movimientos!$A:$A,$B4,Movimientos!$D:$D,CONCATENATE("&lt;",KO$3),Movimientos!$C:$C,"&lt;0")</f>
        <v>0</v>
      </c>
      <c r="KP4" s="5">
        <f ca="1">SUMIFS(Movimientos!$C:$C,Movimientos!$A:$A,$B4,Movimientos!$D:$D,CONCATENATE("&lt;=",KP$3),Movimientos!$C:$C,"&gt;0")+SUMIFS(Movimientos!$C:$C,Movimientos!$A:$A,$B4,Movimientos!$D:$D,CONCATENATE("&lt;",KP$3),Movimientos!$C:$C,"&lt;0")</f>
        <v>0</v>
      </c>
      <c r="KQ4" s="5">
        <f ca="1">SUMIFS(Movimientos!$C:$C,Movimientos!$A:$A,$B4,Movimientos!$D:$D,CONCATENATE("&lt;=",KQ$3),Movimientos!$C:$C,"&gt;0")+SUMIFS(Movimientos!$C:$C,Movimientos!$A:$A,$B4,Movimientos!$D:$D,CONCATENATE("&lt;",KQ$3),Movimientos!$C:$C,"&lt;0")</f>
        <v>0</v>
      </c>
      <c r="KR4" s="5">
        <f ca="1">SUMIFS(Movimientos!$C:$C,Movimientos!$A:$A,$B4,Movimientos!$D:$D,CONCATENATE("&lt;=",KR$3),Movimientos!$C:$C,"&gt;0")+SUMIFS(Movimientos!$C:$C,Movimientos!$A:$A,$B4,Movimientos!$D:$D,CONCATENATE("&lt;",KR$3),Movimientos!$C:$C,"&lt;0")</f>
        <v>0</v>
      </c>
      <c r="KS4" s="5">
        <f ca="1">SUMIFS(Movimientos!$C:$C,Movimientos!$A:$A,$B4,Movimientos!$D:$D,CONCATENATE("&lt;=",KS$3),Movimientos!$C:$C,"&gt;0")+SUMIFS(Movimientos!$C:$C,Movimientos!$A:$A,$B4,Movimientos!$D:$D,CONCATENATE("&lt;",KS$3),Movimientos!$C:$C,"&lt;0")</f>
        <v>0</v>
      </c>
      <c r="KT4" s="5">
        <f ca="1">SUMIFS(Movimientos!$C:$C,Movimientos!$A:$A,$B4,Movimientos!$D:$D,CONCATENATE("&lt;=",KT$3),Movimientos!$C:$C,"&gt;0")+SUMIFS(Movimientos!$C:$C,Movimientos!$A:$A,$B4,Movimientos!$D:$D,CONCATENATE("&lt;",KT$3),Movimientos!$C:$C,"&lt;0")</f>
        <v>0</v>
      </c>
      <c r="KU4" s="5">
        <f ca="1">SUMIFS(Movimientos!$C:$C,Movimientos!$A:$A,$B4,Movimientos!$D:$D,CONCATENATE("&lt;=",KU$3),Movimientos!$C:$C,"&gt;0")+SUMIFS(Movimientos!$C:$C,Movimientos!$A:$A,$B4,Movimientos!$D:$D,CONCATENATE("&lt;",KU$3),Movimientos!$C:$C,"&lt;0")</f>
        <v>0</v>
      </c>
      <c r="KV4" s="5">
        <f ca="1">SUMIFS(Movimientos!$C:$C,Movimientos!$A:$A,$B4,Movimientos!$D:$D,CONCATENATE("&lt;=",KV$3),Movimientos!$C:$C,"&gt;0")+SUMIFS(Movimientos!$C:$C,Movimientos!$A:$A,$B4,Movimientos!$D:$D,CONCATENATE("&lt;",KV$3),Movimientos!$C:$C,"&lt;0")</f>
        <v>0</v>
      </c>
      <c r="KW4" s="5">
        <f ca="1">SUMIFS(Movimientos!$C:$C,Movimientos!$A:$A,$B4,Movimientos!$D:$D,CONCATENATE("&lt;=",KW$3),Movimientos!$C:$C,"&gt;0")+SUMIFS(Movimientos!$C:$C,Movimientos!$A:$A,$B4,Movimientos!$D:$D,CONCATENATE("&lt;",KW$3),Movimientos!$C:$C,"&lt;0")</f>
        <v>0</v>
      </c>
      <c r="KX4" s="5">
        <f ca="1">SUMIFS(Movimientos!$C:$C,Movimientos!$A:$A,$B4,Movimientos!$D:$D,CONCATENATE("&lt;=",KX$3),Movimientos!$C:$C,"&gt;0")+SUMIFS(Movimientos!$C:$C,Movimientos!$A:$A,$B4,Movimientos!$D:$D,CONCATENATE("&lt;",KX$3),Movimientos!$C:$C,"&lt;0")</f>
        <v>0</v>
      </c>
      <c r="KY4" s="5">
        <f ca="1">SUMIFS(Movimientos!$C:$C,Movimientos!$A:$A,$B4,Movimientos!$D:$D,CONCATENATE("&lt;=",KY$3),Movimientos!$C:$C,"&gt;0")+SUMIFS(Movimientos!$C:$C,Movimientos!$A:$A,$B4,Movimientos!$D:$D,CONCATENATE("&lt;",KY$3),Movimientos!$C:$C,"&lt;0")</f>
        <v>0</v>
      </c>
      <c r="KZ4" s="5">
        <f ca="1">SUMIFS(Movimientos!$C:$C,Movimientos!$A:$A,$B4,Movimientos!$D:$D,CONCATENATE("&lt;=",KZ$3),Movimientos!$C:$C,"&gt;0")+SUMIFS(Movimientos!$C:$C,Movimientos!$A:$A,$B4,Movimientos!$D:$D,CONCATENATE("&lt;",KZ$3),Movimientos!$C:$C,"&lt;0")</f>
        <v>0</v>
      </c>
      <c r="LA4" s="5">
        <f ca="1">SUMIFS(Movimientos!$C:$C,Movimientos!$A:$A,$B4,Movimientos!$D:$D,CONCATENATE("&lt;=",LA$3),Movimientos!$C:$C,"&gt;0")+SUMIFS(Movimientos!$C:$C,Movimientos!$A:$A,$B4,Movimientos!$D:$D,CONCATENATE("&lt;",LA$3),Movimientos!$C:$C,"&lt;0")</f>
        <v>0</v>
      </c>
      <c r="LB4" s="5">
        <f ca="1">SUMIFS(Movimientos!$C:$C,Movimientos!$A:$A,$B4,Movimientos!$D:$D,CONCATENATE("&lt;=",LB$3),Movimientos!$C:$C,"&gt;0")+SUMIFS(Movimientos!$C:$C,Movimientos!$A:$A,$B4,Movimientos!$D:$D,CONCATENATE("&lt;",LB$3),Movimientos!$C:$C,"&lt;0")</f>
        <v>0</v>
      </c>
      <c r="LC4" s="5">
        <f ca="1">SUMIFS(Movimientos!$C:$C,Movimientos!$A:$A,$B4,Movimientos!$D:$D,CONCATENATE("&lt;=",LC$3),Movimientos!$C:$C,"&gt;0")+SUMIFS(Movimientos!$C:$C,Movimientos!$A:$A,$B4,Movimientos!$D:$D,CONCATENATE("&lt;",LC$3),Movimientos!$C:$C,"&lt;0")</f>
        <v>0</v>
      </c>
      <c r="LD4" s="5">
        <f ca="1">SUMIFS(Movimientos!$C:$C,Movimientos!$A:$A,$B4,Movimientos!$D:$D,CONCATENATE("&lt;=",LD$3),Movimientos!$C:$C,"&gt;0")+SUMIFS(Movimientos!$C:$C,Movimientos!$A:$A,$B4,Movimientos!$D:$D,CONCATENATE("&lt;",LD$3),Movimientos!$C:$C,"&lt;0")</f>
        <v>0</v>
      </c>
      <c r="LE4" s="5">
        <f ca="1">SUMIFS(Movimientos!$C:$C,Movimientos!$A:$A,$B4,Movimientos!$D:$D,CONCATENATE("&lt;=",LE$3),Movimientos!$C:$C,"&gt;0")+SUMIFS(Movimientos!$C:$C,Movimientos!$A:$A,$B4,Movimientos!$D:$D,CONCATENATE("&lt;",LE$3),Movimientos!$C:$C,"&lt;0")</f>
        <v>0</v>
      </c>
      <c r="LF4" s="5">
        <f ca="1">SUMIFS(Movimientos!$C:$C,Movimientos!$A:$A,$B4,Movimientos!$D:$D,CONCATENATE("&lt;=",LF$3),Movimientos!$C:$C,"&gt;0")+SUMIFS(Movimientos!$C:$C,Movimientos!$A:$A,$B4,Movimientos!$D:$D,CONCATENATE("&lt;",LF$3),Movimientos!$C:$C,"&lt;0")</f>
        <v>0</v>
      </c>
      <c r="LG4" s="5">
        <f ca="1">SUMIFS(Movimientos!$C:$C,Movimientos!$A:$A,$B4,Movimientos!$D:$D,CONCATENATE("&lt;=",LG$3),Movimientos!$C:$C,"&gt;0")+SUMIFS(Movimientos!$C:$C,Movimientos!$A:$A,$B4,Movimientos!$D:$D,CONCATENATE("&lt;",LG$3),Movimientos!$C:$C,"&lt;0")</f>
        <v>0</v>
      </c>
      <c r="LH4" s="5">
        <f ca="1">SUMIFS(Movimientos!$C:$C,Movimientos!$A:$A,$B4,Movimientos!$D:$D,CONCATENATE("&lt;=",LH$3),Movimientos!$C:$C,"&gt;0")+SUMIFS(Movimientos!$C:$C,Movimientos!$A:$A,$B4,Movimientos!$D:$D,CONCATENATE("&lt;",LH$3),Movimientos!$C:$C,"&lt;0")</f>
        <v>0</v>
      </c>
      <c r="LI4" s="5">
        <f ca="1">SUMIFS(Movimientos!$C:$C,Movimientos!$A:$A,$B4,Movimientos!$D:$D,CONCATENATE("&lt;=",LI$3),Movimientos!$C:$C,"&gt;0")+SUMIFS(Movimientos!$C:$C,Movimientos!$A:$A,$B4,Movimientos!$D:$D,CONCATENATE("&lt;",LI$3),Movimientos!$C:$C,"&lt;0")</f>
        <v>0</v>
      </c>
      <c r="LJ4" s="5">
        <f ca="1">SUMIFS(Movimientos!$C:$C,Movimientos!$A:$A,$B4,Movimientos!$D:$D,CONCATENATE("&lt;=",LJ$3),Movimientos!$C:$C,"&gt;0")+SUMIFS(Movimientos!$C:$C,Movimientos!$A:$A,$B4,Movimientos!$D:$D,CONCATENATE("&lt;",LJ$3),Movimientos!$C:$C,"&lt;0")</f>
        <v>0</v>
      </c>
      <c r="LK4" s="5">
        <f ca="1">SUMIFS(Movimientos!$C:$C,Movimientos!$A:$A,$B4,Movimientos!$D:$D,CONCATENATE("&lt;=",LK$3),Movimientos!$C:$C,"&gt;0")+SUMIFS(Movimientos!$C:$C,Movimientos!$A:$A,$B4,Movimientos!$D:$D,CONCATENATE("&lt;",LK$3),Movimientos!$C:$C,"&lt;0")</f>
        <v>0</v>
      </c>
      <c r="LL4" s="5">
        <f ca="1">SUMIFS(Movimientos!$C:$C,Movimientos!$A:$A,$B4,Movimientos!$D:$D,CONCATENATE("&lt;=",LL$3),Movimientos!$C:$C,"&gt;0")+SUMIFS(Movimientos!$C:$C,Movimientos!$A:$A,$B4,Movimientos!$D:$D,CONCATENATE("&lt;",LL$3),Movimientos!$C:$C,"&lt;0")</f>
        <v>0</v>
      </c>
      <c r="LM4" s="5">
        <f ca="1">SUMIFS(Movimientos!$C:$C,Movimientos!$A:$A,$B4,Movimientos!$D:$D,CONCATENATE("&lt;=",LM$3),Movimientos!$C:$C,"&gt;0")+SUMIFS(Movimientos!$C:$C,Movimientos!$A:$A,$B4,Movimientos!$D:$D,CONCATENATE("&lt;",LM$3),Movimientos!$C:$C,"&lt;0")</f>
        <v>0</v>
      </c>
      <c r="LN4" s="5">
        <f ca="1">SUMIFS(Movimientos!$C:$C,Movimientos!$A:$A,$B4,Movimientos!$D:$D,CONCATENATE("&lt;=",LN$3),Movimientos!$C:$C,"&gt;0")+SUMIFS(Movimientos!$C:$C,Movimientos!$A:$A,$B4,Movimientos!$D:$D,CONCATENATE("&lt;",LN$3),Movimientos!$C:$C,"&lt;0")</f>
        <v>0</v>
      </c>
      <c r="LO4" s="5">
        <f ca="1">SUMIFS(Movimientos!$C:$C,Movimientos!$A:$A,$B4,Movimientos!$D:$D,CONCATENATE("&lt;=",LO$3),Movimientos!$C:$C,"&gt;0")+SUMIFS(Movimientos!$C:$C,Movimientos!$A:$A,$B4,Movimientos!$D:$D,CONCATENATE("&lt;",LO$3),Movimientos!$C:$C,"&lt;0")</f>
        <v>0</v>
      </c>
      <c r="LP4" s="5">
        <f ca="1">SUMIFS(Movimientos!$C:$C,Movimientos!$A:$A,$B4,Movimientos!$D:$D,CONCATENATE("&lt;=",LP$3),Movimientos!$C:$C,"&gt;0")+SUMIFS(Movimientos!$C:$C,Movimientos!$A:$A,$B4,Movimientos!$D:$D,CONCATENATE("&lt;",LP$3),Movimientos!$C:$C,"&lt;0")</f>
        <v>0</v>
      </c>
      <c r="LQ4" s="5">
        <f ca="1">SUMIFS(Movimientos!$C:$C,Movimientos!$A:$A,$B4,Movimientos!$D:$D,CONCATENATE("&lt;=",LQ$3),Movimientos!$C:$C,"&gt;0")+SUMIFS(Movimientos!$C:$C,Movimientos!$A:$A,$B4,Movimientos!$D:$D,CONCATENATE("&lt;",LQ$3),Movimientos!$C:$C,"&lt;0")</f>
        <v>0</v>
      </c>
      <c r="LR4" s="5">
        <f ca="1">SUMIFS(Movimientos!$C:$C,Movimientos!$A:$A,$B4,Movimientos!$D:$D,CONCATENATE("&lt;=",LR$3),Movimientos!$C:$C,"&gt;0")+SUMIFS(Movimientos!$C:$C,Movimientos!$A:$A,$B4,Movimientos!$D:$D,CONCATENATE("&lt;",LR$3),Movimientos!$C:$C,"&lt;0")</f>
        <v>0</v>
      </c>
      <c r="LS4" s="5">
        <f ca="1">SUMIFS(Movimientos!$C:$C,Movimientos!$A:$A,$B4,Movimientos!$D:$D,CONCATENATE("&lt;=",LS$3),Movimientos!$C:$C,"&gt;0")+SUMIFS(Movimientos!$C:$C,Movimientos!$A:$A,$B4,Movimientos!$D:$D,CONCATENATE("&lt;",LS$3),Movimientos!$C:$C,"&lt;0")</f>
        <v>0</v>
      </c>
      <c r="LT4" s="5">
        <f ca="1">SUMIFS(Movimientos!$C:$C,Movimientos!$A:$A,$B4,Movimientos!$D:$D,CONCATENATE("&lt;=",LT$3),Movimientos!$C:$C,"&gt;0")+SUMIFS(Movimientos!$C:$C,Movimientos!$A:$A,$B4,Movimientos!$D:$D,CONCATENATE("&lt;",LT$3),Movimientos!$C:$C,"&lt;0")</f>
        <v>0</v>
      </c>
      <c r="LU4" s="5">
        <f ca="1">SUMIFS(Movimientos!$C:$C,Movimientos!$A:$A,$B4,Movimientos!$D:$D,CONCATENATE("&lt;=",LU$3),Movimientos!$C:$C,"&gt;0")+SUMIFS(Movimientos!$C:$C,Movimientos!$A:$A,$B4,Movimientos!$D:$D,CONCATENATE("&lt;",LU$3),Movimientos!$C:$C,"&lt;0")</f>
        <v>0</v>
      </c>
      <c r="LV4" s="5">
        <f ca="1">SUMIFS(Movimientos!$C:$C,Movimientos!$A:$A,$B4,Movimientos!$D:$D,CONCATENATE("&lt;=",LV$3),Movimientos!$C:$C,"&gt;0")+SUMIFS(Movimientos!$C:$C,Movimientos!$A:$A,$B4,Movimientos!$D:$D,CONCATENATE("&lt;",LV$3),Movimientos!$C:$C,"&lt;0")</f>
        <v>0</v>
      </c>
      <c r="LW4" s="5">
        <f ca="1">SUMIFS(Movimientos!$C:$C,Movimientos!$A:$A,$B4,Movimientos!$D:$D,CONCATENATE("&lt;=",LW$3),Movimientos!$C:$C,"&gt;0")+SUMIFS(Movimientos!$C:$C,Movimientos!$A:$A,$B4,Movimientos!$D:$D,CONCATENATE("&lt;",LW$3),Movimientos!$C:$C,"&lt;0")</f>
        <v>0</v>
      </c>
      <c r="LX4" s="5">
        <f ca="1">SUMIFS(Movimientos!$C:$C,Movimientos!$A:$A,$B4,Movimientos!$D:$D,CONCATENATE("&lt;=",LX$3),Movimientos!$C:$C,"&gt;0")+SUMIFS(Movimientos!$C:$C,Movimientos!$A:$A,$B4,Movimientos!$D:$D,CONCATENATE("&lt;",LX$3),Movimientos!$C:$C,"&lt;0")</f>
        <v>0</v>
      </c>
      <c r="LY4" s="5">
        <f ca="1">SUMIFS(Movimientos!$C:$C,Movimientos!$A:$A,$B4,Movimientos!$D:$D,CONCATENATE("&lt;=",LY$3),Movimientos!$C:$C,"&gt;0")+SUMIFS(Movimientos!$C:$C,Movimientos!$A:$A,$B4,Movimientos!$D:$D,CONCATENATE("&lt;",LY$3),Movimientos!$C:$C,"&lt;0")</f>
        <v>0</v>
      </c>
      <c r="LZ4" s="5">
        <f ca="1">SUMIFS(Movimientos!$C:$C,Movimientos!$A:$A,$B4,Movimientos!$D:$D,CONCATENATE("&lt;=",LZ$3),Movimientos!$C:$C,"&gt;0")+SUMIFS(Movimientos!$C:$C,Movimientos!$A:$A,$B4,Movimientos!$D:$D,CONCATENATE("&lt;",LZ$3),Movimientos!$C:$C,"&lt;0")</f>
        <v>0</v>
      </c>
      <c r="MA4" s="5">
        <f ca="1">SUMIFS(Movimientos!$C:$C,Movimientos!$A:$A,$B4,Movimientos!$D:$D,CONCATENATE("&lt;=",MA$3),Movimientos!$C:$C,"&gt;0")+SUMIFS(Movimientos!$C:$C,Movimientos!$A:$A,$B4,Movimientos!$D:$D,CONCATENATE("&lt;",MA$3),Movimientos!$C:$C,"&lt;0")</f>
        <v>0</v>
      </c>
      <c r="MB4" s="5">
        <f ca="1">SUMIFS(Movimientos!$C:$C,Movimientos!$A:$A,$B4,Movimientos!$D:$D,CONCATENATE("&lt;=",MB$3),Movimientos!$C:$C,"&gt;0")+SUMIFS(Movimientos!$C:$C,Movimientos!$A:$A,$B4,Movimientos!$D:$D,CONCATENATE("&lt;",MB$3),Movimientos!$C:$C,"&lt;0")</f>
        <v>0</v>
      </c>
      <c r="MC4" s="5">
        <f ca="1">SUMIFS(Movimientos!$C:$C,Movimientos!$A:$A,$B4,Movimientos!$D:$D,CONCATENATE("&lt;=",MC$3),Movimientos!$C:$C,"&gt;0")+SUMIFS(Movimientos!$C:$C,Movimientos!$A:$A,$B4,Movimientos!$D:$D,CONCATENATE("&lt;",MC$3),Movimientos!$C:$C,"&lt;0")</f>
        <v>0</v>
      </c>
      <c r="MD4" s="5">
        <f ca="1">SUMIFS(Movimientos!$C:$C,Movimientos!$A:$A,$B4,Movimientos!$D:$D,CONCATENATE("&lt;=",MD$3),Movimientos!$C:$C,"&gt;0")+SUMIFS(Movimientos!$C:$C,Movimientos!$A:$A,$B4,Movimientos!$D:$D,CONCATENATE("&lt;",MD$3),Movimientos!$C:$C,"&lt;0")</f>
        <v>0</v>
      </c>
      <c r="ME4" s="5">
        <f ca="1">SUMIFS(Movimientos!$C:$C,Movimientos!$A:$A,$B4,Movimientos!$D:$D,CONCATENATE("&lt;=",ME$3),Movimientos!$C:$C,"&gt;0")+SUMIFS(Movimientos!$C:$C,Movimientos!$A:$A,$B4,Movimientos!$D:$D,CONCATENATE("&lt;",ME$3),Movimientos!$C:$C,"&lt;0")</f>
        <v>0</v>
      </c>
      <c r="MF4" s="5">
        <f ca="1">SUMIFS(Movimientos!$C:$C,Movimientos!$A:$A,$B4,Movimientos!$D:$D,CONCATENATE("&lt;=",MF$3),Movimientos!$C:$C,"&gt;0")+SUMIFS(Movimientos!$C:$C,Movimientos!$A:$A,$B4,Movimientos!$D:$D,CONCATENATE("&lt;",MF$3),Movimientos!$C:$C,"&lt;0")</f>
        <v>0</v>
      </c>
      <c r="MG4" s="5">
        <f ca="1">SUMIFS(Movimientos!$C:$C,Movimientos!$A:$A,$B4,Movimientos!$D:$D,CONCATENATE("&lt;=",MG$3),Movimientos!$C:$C,"&gt;0")+SUMIFS(Movimientos!$C:$C,Movimientos!$A:$A,$B4,Movimientos!$D:$D,CONCATENATE("&lt;",MG$3),Movimientos!$C:$C,"&lt;0")</f>
        <v>0</v>
      </c>
      <c r="MH4" s="5">
        <f ca="1">SUMIFS(Movimientos!$C:$C,Movimientos!$A:$A,$B4,Movimientos!$D:$D,CONCATENATE("&lt;=",MH$3),Movimientos!$C:$C,"&gt;0")+SUMIFS(Movimientos!$C:$C,Movimientos!$A:$A,$B4,Movimientos!$D:$D,CONCATENATE("&lt;",MH$3),Movimientos!$C:$C,"&lt;0")</f>
        <v>0</v>
      </c>
      <c r="MI4" s="5">
        <f ca="1">SUMIFS(Movimientos!$C:$C,Movimientos!$A:$A,$B4,Movimientos!$D:$D,CONCATENATE("&lt;=",MI$3),Movimientos!$C:$C,"&gt;0")+SUMIFS(Movimientos!$C:$C,Movimientos!$A:$A,$B4,Movimientos!$D:$D,CONCATENATE("&lt;",MI$3),Movimientos!$C:$C,"&lt;0")</f>
        <v>0</v>
      </c>
      <c r="MJ4" s="5">
        <f ca="1">SUMIFS(Movimientos!$C:$C,Movimientos!$A:$A,$B4,Movimientos!$D:$D,CONCATENATE("&lt;=",MJ$3),Movimientos!$C:$C,"&gt;0")+SUMIFS(Movimientos!$C:$C,Movimientos!$A:$A,$B4,Movimientos!$D:$D,CONCATENATE("&lt;",MJ$3),Movimientos!$C:$C,"&lt;0")</f>
        <v>0</v>
      </c>
      <c r="MK4" s="5">
        <f ca="1">SUMIFS(Movimientos!$C:$C,Movimientos!$A:$A,$B4,Movimientos!$D:$D,CONCATENATE("&lt;=",MK$3),Movimientos!$C:$C,"&gt;0")+SUMIFS(Movimientos!$C:$C,Movimientos!$A:$A,$B4,Movimientos!$D:$D,CONCATENATE("&lt;",MK$3),Movimientos!$C:$C,"&lt;0")</f>
        <v>0</v>
      </c>
      <c r="ML4" s="5">
        <f ca="1">SUMIFS(Movimientos!$C:$C,Movimientos!$A:$A,$B4,Movimientos!$D:$D,CONCATENATE("&lt;=",ML$3),Movimientos!$C:$C,"&gt;0")+SUMIFS(Movimientos!$C:$C,Movimientos!$A:$A,$B4,Movimientos!$D:$D,CONCATENATE("&lt;",ML$3),Movimientos!$C:$C,"&lt;0")</f>
        <v>0</v>
      </c>
      <c r="MM4" s="5">
        <f ca="1">SUMIFS(Movimientos!$C:$C,Movimientos!$A:$A,$B4,Movimientos!$D:$D,CONCATENATE("&lt;=",MM$3),Movimientos!$C:$C,"&gt;0")+SUMIFS(Movimientos!$C:$C,Movimientos!$A:$A,$B4,Movimientos!$D:$D,CONCATENATE("&lt;",MM$3),Movimientos!$C:$C,"&lt;0")</f>
        <v>0</v>
      </c>
      <c r="MN4" s="5">
        <f ca="1">SUMIFS(Movimientos!$C:$C,Movimientos!$A:$A,$B4,Movimientos!$D:$D,CONCATENATE("&lt;=",MN$3),Movimientos!$C:$C,"&gt;0")+SUMIFS(Movimientos!$C:$C,Movimientos!$A:$A,$B4,Movimientos!$D:$D,CONCATENATE("&lt;",MN$3),Movimientos!$C:$C,"&lt;0")</f>
        <v>0</v>
      </c>
      <c r="MO4" s="5">
        <f ca="1">SUMIFS(Movimientos!$C:$C,Movimientos!$A:$A,$B4,Movimientos!$D:$D,CONCATENATE("&lt;=",MO$3),Movimientos!$C:$C,"&gt;0")+SUMIFS(Movimientos!$C:$C,Movimientos!$A:$A,$B4,Movimientos!$D:$D,CONCATENATE("&lt;",MO$3),Movimientos!$C:$C,"&lt;0")</f>
        <v>0</v>
      </c>
      <c r="MP4" s="5">
        <f ca="1">SUMIFS(Movimientos!$C:$C,Movimientos!$A:$A,$B4,Movimientos!$D:$D,CONCATENATE("&lt;=",MP$3),Movimientos!$C:$C,"&gt;0")+SUMIFS(Movimientos!$C:$C,Movimientos!$A:$A,$B4,Movimientos!$D:$D,CONCATENATE("&lt;",MP$3),Movimientos!$C:$C,"&lt;0")</f>
        <v>0</v>
      </c>
      <c r="MQ4" s="5">
        <f ca="1">SUMIFS(Movimientos!$C:$C,Movimientos!$A:$A,$B4,Movimientos!$D:$D,CONCATENATE("&lt;=",MQ$3),Movimientos!$C:$C,"&gt;0")+SUMIFS(Movimientos!$C:$C,Movimientos!$A:$A,$B4,Movimientos!$D:$D,CONCATENATE("&lt;",MQ$3),Movimientos!$C:$C,"&lt;0")</f>
        <v>0</v>
      </c>
      <c r="MR4" s="5">
        <f ca="1">SUMIFS(Movimientos!$C:$C,Movimientos!$A:$A,$B4,Movimientos!$D:$D,CONCATENATE("&lt;=",MR$3),Movimientos!$C:$C,"&gt;0")+SUMIFS(Movimientos!$C:$C,Movimientos!$A:$A,$B4,Movimientos!$D:$D,CONCATENATE("&lt;",MR$3),Movimientos!$C:$C,"&lt;0")</f>
        <v>0</v>
      </c>
      <c r="MS4" s="5">
        <f ca="1">SUMIFS(Movimientos!$C:$C,Movimientos!$A:$A,$B4,Movimientos!$D:$D,CONCATENATE("&lt;=",MS$3),Movimientos!$C:$C,"&gt;0")+SUMIFS(Movimientos!$C:$C,Movimientos!$A:$A,$B4,Movimientos!$D:$D,CONCATENATE("&lt;",MS$3),Movimientos!$C:$C,"&lt;0")</f>
        <v>0</v>
      </c>
      <c r="MT4" s="5">
        <f ca="1">SUMIFS(Movimientos!$C:$C,Movimientos!$A:$A,$B4,Movimientos!$D:$D,CONCATENATE("&lt;=",MT$3),Movimientos!$C:$C,"&gt;0")+SUMIFS(Movimientos!$C:$C,Movimientos!$A:$A,$B4,Movimientos!$D:$D,CONCATENATE("&lt;",MT$3),Movimientos!$C:$C,"&lt;0")</f>
        <v>0</v>
      </c>
      <c r="MU4" s="5">
        <f ca="1">SUMIFS(Movimientos!$C:$C,Movimientos!$A:$A,$B4,Movimientos!$D:$D,CONCATENATE("&lt;=",MU$3),Movimientos!$C:$C,"&gt;0")+SUMIFS(Movimientos!$C:$C,Movimientos!$A:$A,$B4,Movimientos!$D:$D,CONCATENATE("&lt;",MU$3),Movimientos!$C:$C,"&lt;0")</f>
        <v>0</v>
      </c>
      <c r="MV4" s="5">
        <f ca="1">SUMIFS(Movimientos!$C:$C,Movimientos!$A:$A,$B4,Movimientos!$D:$D,CONCATENATE("&lt;=",MV$3),Movimientos!$C:$C,"&gt;0")+SUMIFS(Movimientos!$C:$C,Movimientos!$A:$A,$B4,Movimientos!$D:$D,CONCATENATE("&lt;",MV$3),Movimientos!$C:$C,"&lt;0")</f>
        <v>0</v>
      </c>
      <c r="MW4" s="5">
        <f ca="1">SUMIFS(Movimientos!$C:$C,Movimientos!$A:$A,$B4,Movimientos!$D:$D,CONCATENATE("&lt;=",MW$3),Movimientos!$C:$C,"&gt;0")+SUMIFS(Movimientos!$C:$C,Movimientos!$A:$A,$B4,Movimientos!$D:$D,CONCATENATE("&lt;",MW$3),Movimientos!$C:$C,"&lt;0")</f>
        <v>0</v>
      </c>
      <c r="MX4" s="5">
        <f ca="1">SUMIFS(Movimientos!$C:$C,Movimientos!$A:$A,$B4,Movimientos!$D:$D,CONCATENATE("&lt;=",MX$3),Movimientos!$C:$C,"&gt;0")+SUMIFS(Movimientos!$C:$C,Movimientos!$A:$A,$B4,Movimientos!$D:$D,CONCATENATE("&lt;",MX$3),Movimientos!$C:$C,"&lt;0")</f>
        <v>0</v>
      </c>
      <c r="MY4" s="5">
        <f ca="1">SUMIFS(Movimientos!$C:$C,Movimientos!$A:$A,$B4,Movimientos!$D:$D,CONCATENATE("&lt;=",MY$3),Movimientos!$C:$C,"&gt;0")+SUMIFS(Movimientos!$C:$C,Movimientos!$A:$A,$B4,Movimientos!$D:$D,CONCATENATE("&lt;",MY$3),Movimientos!$C:$C,"&lt;0")</f>
        <v>0</v>
      </c>
      <c r="MZ4" s="5">
        <f ca="1">SUMIFS(Movimientos!$C:$C,Movimientos!$A:$A,$B4,Movimientos!$D:$D,CONCATENATE("&lt;=",MZ$3),Movimientos!$C:$C,"&gt;0")+SUMIFS(Movimientos!$C:$C,Movimientos!$A:$A,$B4,Movimientos!$D:$D,CONCATENATE("&lt;",MZ$3),Movimientos!$C:$C,"&lt;0")</f>
        <v>0</v>
      </c>
      <c r="NA4" s="5">
        <f ca="1">SUMIFS(Movimientos!$C:$C,Movimientos!$A:$A,$B4,Movimientos!$D:$D,CONCATENATE("&lt;=",NA$3),Movimientos!$C:$C,"&gt;0")+SUMIFS(Movimientos!$C:$C,Movimientos!$A:$A,$B4,Movimientos!$D:$D,CONCATENATE("&lt;",NA$3),Movimientos!$C:$C,"&lt;0")</f>
        <v>0</v>
      </c>
      <c r="NB4" s="5">
        <f ca="1">SUMIFS(Movimientos!$C:$C,Movimientos!$A:$A,$B4,Movimientos!$D:$D,CONCATENATE("&lt;=",NB$3),Movimientos!$C:$C,"&gt;0")+SUMIFS(Movimientos!$C:$C,Movimientos!$A:$A,$B4,Movimientos!$D:$D,CONCATENATE("&lt;",NB$3),Movimientos!$C:$C,"&lt;0")</f>
        <v>0</v>
      </c>
      <c r="NC4" s="5">
        <f ca="1">SUMIFS(Movimientos!$C:$C,Movimientos!$A:$A,$B4,Movimientos!$D:$D,CONCATENATE("&lt;=",NC$3),Movimientos!$C:$C,"&gt;0")+SUMIFS(Movimientos!$C:$C,Movimientos!$A:$A,$B4,Movimientos!$D:$D,CONCATENATE("&lt;",NC$3),Movimientos!$C:$C,"&lt;0")</f>
        <v>0</v>
      </c>
      <c r="ND4" s="5">
        <f ca="1">SUMIFS(Movimientos!$C:$C,Movimientos!$A:$A,$B4,Movimientos!$D:$D,CONCATENATE("&lt;=",ND$3),Movimientos!$C:$C,"&gt;0")+SUMIFS(Movimientos!$C:$C,Movimientos!$A:$A,$B4,Movimientos!$D:$D,CONCATENATE("&lt;",ND$3),Movimientos!$C:$C,"&lt;0")</f>
        <v>0</v>
      </c>
      <c r="NE4" s="5">
        <f ca="1">SUMIFS(Movimientos!$C:$C,Movimientos!$A:$A,$B4,Movimientos!$D:$D,CONCATENATE("&lt;=",NE$3),Movimientos!$C:$C,"&gt;0")+SUMIFS(Movimientos!$C:$C,Movimientos!$A:$A,$B4,Movimientos!$D:$D,CONCATENATE("&lt;",NE$3),Movimientos!$C:$C,"&lt;0")</f>
        <v>0</v>
      </c>
      <c r="NF4" s="5">
        <f ca="1">SUMIFS(Movimientos!$C:$C,Movimientos!$A:$A,$B4,Movimientos!$D:$D,CONCATENATE("&lt;=",NF$3),Movimientos!$C:$C,"&gt;0")+SUMIFS(Movimientos!$C:$C,Movimientos!$A:$A,$B4,Movimientos!$D:$D,CONCATENATE("&lt;",NF$3),Movimientos!$C:$C,"&lt;0")</f>
        <v>0</v>
      </c>
      <c r="NG4" s="5">
        <f ca="1">SUMIFS(Movimientos!$C:$C,Movimientos!$A:$A,$B4,Movimientos!$D:$D,CONCATENATE("&lt;=",NG$3),Movimientos!$C:$C,"&gt;0")+SUMIFS(Movimientos!$C:$C,Movimientos!$A:$A,$B4,Movimientos!$D:$D,CONCATENATE("&lt;",NG$3),Movimientos!$C:$C,"&lt;0")</f>
        <v>0</v>
      </c>
      <c r="NH4" s="5">
        <f ca="1">SUMIFS(Movimientos!$C:$C,Movimientos!$A:$A,$B4,Movimientos!$D:$D,CONCATENATE("&lt;=",NH$3),Movimientos!$C:$C,"&gt;0")+SUMIFS(Movimientos!$C:$C,Movimientos!$A:$A,$B4,Movimientos!$D:$D,CONCATENATE("&lt;",NH$3),Movimientos!$C:$C,"&lt;0")</f>
        <v>0</v>
      </c>
      <c r="NI4" s="5">
        <f ca="1">SUMIFS(Movimientos!$C:$C,Movimientos!$A:$A,$B4,Movimientos!$D:$D,CONCATENATE("&lt;=",NI$3),Movimientos!$C:$C,"&gt;0")+SUMIFS(Movimientos!$C:$C,Movimientos!$A:$A,$B4,Movimientos!$D:$D,CONCATENATE("&lt;",NI$3),Movimientos!$C:$C,"&lt;0")</f>
        <v>0</v>
      </c>
      <c r="NJ4" s="5">
        <f ca="1">SUMIFS(Movimientos!$C:$C,Movimientos!$A:$A,$B4,Movimientos!$D:$D,CONCATENATE("&lt;=",NJ$3),Movimientos!$C:$C,"&gt;0")+SUMIFS(Movimientos!$C:$C,Movimientos!$A:$A,$B4,Movimientos!$D:$D,CONCATENATE("&lt;",NJ$3),Movimientos!$C:$C,"&lt;0")</f>
        <v>0</v>
      </c>
      <c r="NK4" s="5">
        <f ca="1">SUMIFS(Movimientos!$C:$C,Movimientos!$A:$A,$B4,Movimientos!$D:$D,CONCATENATE("&lt;=",NK$3),Movimientos!$C:$C,"&gt;0")+SUMIFS(Movimientos!$C:$C,Movimientos!$A:$A,$B4,Movimientos!$D:$D,CONCATENATE("&lt;",NK$3),Movimientos!$C:$C,"&lt;0")</f>
        <v>0</v>
      </c>
      <c r="NL4" s="5">
        <f ca="1">SUMIFS(Movimientos!$C:$C,Movimientos!$A:$A,$B4,Movimientos!$D:$D,CONCATENATE("&lt;=",NL$3),Movimientos!$C:$C,"&gt;0")+SUMIFS(Movimientos!$C:$C,Movimientos!$A:$A,$B4,Movimientos!$D:$D,CONCATENATE("&lt;",NL$3),Movimientos!$C:$C,"&lt;0")</f>
        <v>0</v>
      </c>
      <c r="NM4" s="5">
        <f ca="1">SUMIFS(Movimientos!$C:$C,Movimientos!$A:$A,$B4,Movimientos!$D:$D,CONCATENATE("&lt;=",NM$3),Movimientos!$C:$C,"&gt;0")+SUMIFS(Movimientos!$C:$C,Movimientos!$A:$A,$B4,Movimientos!$D:$D,CONCATENATE("&lt;",NM$3),Movimientos!$C:$C,"&lt;0")</f>
        <v>0</v>
      </c>
      <c r="NN4" s="5">
        <f ca="1">SUMIFS(Movimientos!$C:$C,Movimientos!$A:$A,$B4,Movimientos!$D:$D,CONCATENATE("&lt;=",NN$3),Movimientos!$C:$C,"&gt;0")+SUMIFS(Movimientos!$C:$C,Movimientos!$A:$A,$B4,Movimientos!$D:$D,CONCATENATE("&lt;",NN$3),Movimientos!$C:$C,"&lt;0")</f>
        <v>0</v>
      </c>
      <c r="NO4" s="5">
        <f ca="1">SUMIFS(Movimientos!$C:$C,Movimientos!$A:$A,$B4,Movimientos!$D:$D,CONCATENATE("&lt;=",NO$3),Movimientos!$C:$C,"&gt;0")+SUMIFS(Movimientos!$C:$C,Movimientos!$A:$A,$B4,Movimientos!$D:$D,CONCATENATE("&lt;",NO$3),Movimientos!$C:$C,"&lt;0")</f>
        <v>0</v>
      </c>
      <c r="NP4" s="5">
        <f ca="1">SUMIFS(Movimientos!$C:$C,Movimientos!$A:$A,$B4,Movimientos!$D:$D,CONCATENATE("&lt;=",NP$3),Movimientos!$C:$C,"&gt;0")+SUMIFS(Movimientos!$C:$C,Movimientos!$A:$A,$B4,Movimientos!$D:$D,CONCATENATE("&lt;",NP$3),Movimientos!$C:$C,"&lt;0")</f>
        <v>0</v>
      </c>
      <c r="NQ4" s="5">
        <f ca="1">SUMIFS(Movimientos!$C:$C,Movimientos!$A:$A,$B4,Movimientos!$D:$D,CONCATENATE("&lt;=",NQ$3),Movimientos!$C:$C,"&gt;0")+SUMIFS(Movimientos!$C:$C,Movimientos!$A:$A,$B4,Movimientos!$D:$D,CONCATENATE("&lt;",NQ$3),Movimientos!$C:$C,"&lt;0")</f>
        <v>0</v>
      </c>
      <c r="NR4" s="5">
        <f ca="1">SUMIFS(Movimientos!$C:$C,Movimientos!$A:$A,$B4,Movimientos!$D:$D,CONCATENATE("&lt;=",NR$3),Movimientos!$C:$C,"&gt;0")+SUMIFS(Movimientos!$C:$C,Movimientos!$A:$A,$B4,Movimientos!$D:$D,CONCATENATE("&lt;",NR$3),Movimientos!$C:$C,"&lt;0")</f>
        <v>0</v>
      </c>
      <c r="NS4" s="5">
        <f ca="1">SUMIFS(Movimientos!$C:$C,Movimientos!$A:$A,$B4,Movimientos!$D:$D,CONCATENATE("&lt;=",NS$3),Movimientos!$C:$C,"&gt;0")+SUMIFS(Movimientos!$C:$C,Movimientos!$A:$A,$B4,Movimientos!$D:$D,CONCATENATE("&lt;",NS$3),Movimientos!$C:$C,"&lt;0")</f>
        <v>0</v>
      </c>
      <c r="NT4" s="5">
        <f ca="1">SUMIFS(Movimientos!$C:$C,Movimientos!$A:$A,$B4,Movimientos!$D:$D,CONCATENATE("&lt;=",NT$3),Movimientos!$C:$C,"&gt;0")+SUMIFS(Movimientos!$C:$C,Movimientos!$A:$A,$B4,Movimientos!$D:$D,CONCATENATE("&lt;",NT$3),Movimientos!$C:$C,"&lt;0")</f>
        <v>0</v>
      </c>
      <c r="NU4" s="5">
        <f ca="1">SUMIFS(Movimientos!$C:$C,Movimientos!$A:$A,$B4,Movimientos!$D:$D,CONCATENATE("&lt;=",NU$3),Movimientos!$C:$C,"&gt;0")+SUMIFS(Movimientos!$C:$C,Movimientos!$A:$A,$B4,Movimientos!$D:$D,CONCATENATE("&lt;",NU$3),Movimientos!$C:$C,"&lt;0")</f>
        <v>0</v>
      </c>
      <c r="NV4" s="5">
        <f ca="1">SUMIFS(Movimientos!$C:$C,Movimientos!$A:$A,$B4,Movimientos!$D:$D,CONCATENATE("&lt;=",NV$3),Movimientos!$C:$C,"&gt;0")+SUMIFS(Movimientos!$C:$C,Movimientos!$A:$A,$B4,Movimientos!$D:$D,CONCATENATE("&lt;",NV$3),Movimientos!$C:$C,"&lt;0")</f>
        <v>0</v>
      </c>
      <c r="NW4" s="5">
        <f ca="1">SUMIFS(Movimientos!$C:$C,Movimientos!$A:$A,$B4,Movimientos!$D:$D,CONCATENATE("&lt;=",NW$3),Movimientos!$C:$C,"&gt;0")+SUMIFS(Movimientos!$C:$C,Movimientos!$A:$A,$B4,Movimientos!$D:$D,CONCATENATE("&lt;",NW$3),Movimientos!$C:$C,"&lt;0")</f>
        <v>0</v>
      </c>
      <c r="NX4" s="5">
        <f ca="1">SUMIFS(Movimientos!$C:$C,Movimientos!$A:$A,$B4,Movimientos!$D:$D,CONCATENATE("&lt;=",NX$3),Movimientos!$C:$C,"&gt;0")+SUMIFS(Movimientos!$C:$C,Movimientos!$A:$A,$B4,Movimientos!$D:$D,CONCATENATE("&lt;",NX$3),Movimientos!$C:$C,"&lt;0")</f>
        <v>0</v>
      </c>
      <c r="NY4" s="5">
        <f ca="1">SUMIFS(Movimientos!$C:$C,Movimientos!$A:$A,$B4,Movimientos!$D:$D,CONCATENATE("&lt;=",NY$3),Movimientos!$C:$C,"&gt;0")+SUMIFS(Movimientos!$C:$C,Movimientos!$A:$A,$B4,Movimientos!$D:$D,CONCATENATE("&lt;",NY$3),Movimientos!$C:$C,"&lt;0")</f>
        <v>0</v>
      </c>
      <c r="NZ4" s="5">
        <f ca="1">SUMIFS(Movimientos!$C:$C,Movimientos!$A:$A,$B4,Movimientos!$D:$D,CONCATENATE("&lt;=",NZ$3),Movimientos!$C:$C,"&gt;0")+SUMIFS(Movimientos!$C:$C,Movimientos!$A:$A,$B4,Movimientos!$D:$D,CONCATENATE("&lt;",NZ$3),Movimientos!$C:$C,"&lt;0")</f>
        <v>0</v>
      </c>
      <c r="OA4" s="5">
        <f ca="1">SUMIFS(Movimientos!$C:$C,Movimientos!$A:$A,$B4,Movimientos!$D:$D,CONCATENATE("&lt;=",OA$3),Movimientos!$C:$C,"&gt;0")+SUMIFS(Movimientos!$C:$C,Movimientos!$A:$A,$B4,Movimientos!$D:$D,CONCATENATE("&lt;",OA$3),Movimientos!$C:$C,"&lt;0")</f>
        <v>0</v>
      </c>
      <c r="OB4" s="5">
        <f ca="1">SUMIFS(Movimientos!$C:$C,Movimientos!$A:$A,$B4,Movimientos!$D:$D,CONCATENATE("&lt;=",OB$3),Movimientos!$C:$C,"&gt;0")+SUMIFS(Movimientos!$C:$C,Movimientos!$A:$A,$B4,Movimientos!$D:$D,CONCATENATE("&lt;",OB$3),Movimientos!$C:$C,"&lt;0")</f>
        <v>0</v>
      </c>
      <c r="OC4" s="5">
        <f ca="1">SUMIFS(Movimientos!$C:$C,Movimientos!$A:$A,$B4,Movimientos!$D:$D,CONCATENATE("&lt;=",OC$3),Movimientos!$C:$C,"&gt;0")+SUMIFS(Movimientos!$C:$C,Movimientos!$A:$A,$B4,Movimientos!$D:$D,CONCATENATE("&lt;",OC$3),Movimientos!$C:$C,"&lt;0")</f>
        <v>0</v>
      </c>
      <c r="OD4" s="5">
        <f ca="1">SUMIFS(Movimientos!$C:$C,Movimientos!$A:$A,$B4,Movimientos!$D:$D,CONCATENATE("&lt;=",OD$3),Movimientos!$C:$C,"&gt;0")+SUMIFS(Movimientos!$C:$C,Movimientos!$A:$A,$B4,Movimientos!$D:$D,CONCATENATE("&lt;",OD$3),Movimientos!$C:$C,"&lt;0")</f>
        <v>0</v>
      </c>
      <c r="OE4" s="5">
        <f ca="1">SUMIFS(Movimientos!$C:$C,Movimientos!$A:$A,$B4,Movimientos!$D:$D,CONCATENATE("&lt;=",OE$3),Movimientos!$C:$C,"&gt;0")+SUMIFS(Movimientos!$C:$C,Movimientos!$A:$A,$B4,Movimientos!$D:$D,CONCATENATE("&lt;",OE$3),Movimientos!$C:$C,"&lt;0")</f>
        <v>0</v>
      </c>
      <c r="OF4" s="5">
        <f ca="1">SUMIFS(Movimientos!$C:$C,Movimientos!$A:$A,$B4,Movimientos!$D:$D,CONCATENATE("&lt;=",OF$3),Movimientos!$C:$C,"&gt;0")+SUMIFS(Movimientos!$C:$C,Movimientos!$A:$A,$B4,Movimientos!$D:$D,CONCATENATE("&lt;",OF$3),Movimientos!$C:$C,"&lt;0")</f>
        <v>0</v>
      </c>
      <c r="OG4" s="5">
        <f ca="1">SUMIFS(Movimientos!$C:$C,Movimientos!$A:$A,$B4,Movimientos!$D:$D,CONCATENATE("&lt;=",OG$3),Movimientos!$C:$C,"&gt;0")+SUMIFS(Movimientos!$C:$C,Movimientos!$A:$A,$B4,Movimientos!$D:$D,CONCATENATE("&lt;",OG$3),Movimientos!$C:$C,"&lt;0")</f>
        <v>0</v>
      </c>
      <c r="OH4" s="5">
        <f ca="1">SUMIFS(Movimientos!$C:$C,Movimientos!$A:$A,$B4,Movimientos!$D:$D,CONCATENATE("&lt;=",OH$3),Movimientos!$C:$C,"&gt;0")+SUMIFS(Movimientos!$C:$C,Movimientos!$A:$A,$B4,Movimientos!$D:$D,CONCATENATE("&lt;",OH$3),Movimientos!$C:$C,"&lt;0")</f>
        <v>0</v>
      </c>
      <c r="OI4" s="5">
        <f ca="1">SUMIFS(Movimientos!$C:$C,Movimientos!$A:$A,$B4,Movimientos!$D:$D,CONCATENATE("&lt;=",OI$3),Movimientos!$C:$C,"&gt;0")+SUMIFS(Movimientos!$C:$C,Movimientos!$A:$A,$B4,Movimientos!$D:$D,CONCATENATE("&lt;",OI$3),Movimientos!$C:$C,"&lt;0")</f>
        <v>0</v>
      </c>
      <c r="OJ4" s="5">
        <f ca="1">SUMIFS(Movimientos!$C:$C,Movimientos!$A:$A,$B4,Movimientos!$D:$D,CONCATENATE("&lt;=",OJ$3),Movimientos!$C:$C,"&gt;0")+SUMIFS(Movimientos!$C:$C,Movimientos!$A:$A,$B4,Movimientos!$D:$D,CONCATENATE("&lt;",OJ$3),Movimientos!$C:$C,"&lt;0")</f>
        <v>0</v>
      </c>
      <c r="OK4" s="5">
        <f ca="1">SUMIFS(Movimientos!$C:$C,Movimientos!$A:$A,$B4,Movimientos!$D:$D,CONCATENATE("&lt;=",OK$3),Movimientos!$C:$C,"&gt;0")+SUMIFS(Movimientos!$C:$C,Movimientos!$A:$A,$B4,Movimientos!$D:$D,CONCATENATE("&lt;",OK$3),Movimientos!$C:$C,"&lt;0")</f>
        <v>0</v>
      </c>
      <c r="OL4" s="5">
        <f ca="1">SUMIFS(Movimientos!$C:$C,Movimientos!$A:$A,$B4,Movimientos!$D:$D,CONCATENATE("&lt;=",OL$3),Movimientos!$C:$C,"&gt;0")+SUMIFS(Movimientos!$C:$C,Movimientos!$A:$A,$B4,Movimientos!$D:$D,CONCATENATE("&lt;",OL$3),Movimientos!$C:$C,"&lt;0")</f>
        <v>0</v>
      </c>
      <c r="OM4" s="5">
        <f ca="1">SUMIFS(Movimientos!$C:$C,Movimientos!$A:$A,$B4,Movimientos!$D:$D,CONCATENATE("&lt;=",OM$3),Movimientos!$C:$C,"&gt;0")+SUMIFS(Movimientos!$C:$C,Movimientos!$A:$A,$B4,Movimientos!$D:$D,CONCATENATE("&lt;",OM$3),Movimientos!$C:$C,"&lt;0")</f>
        <v>0</v>
      </c>
      <c r="ON4" s="5">
        <f ca="1">SUMIFS(Movimientos!$C:$C,Movimientos!$A:$A,$B4,Movimientos!$D:$D,CONCATENATE("&lt;=",ON$3),Movimientos!$C:$C,"&gt;0")+SUMIFS(Movimientos!$C:$C,Movimientos!$A:$A,$B4,Movimientos!$D:$D,CONCATENATE("&lt;",ON$3),Movimientos!$C:$C,"&lt;0")</f>
        <v>0</v>
      </c>
      <c r="OO4" s="5">
        <f ca="1">SUMIFS(Movimientos!$C:$C,Movimientos!$A:$A,$B4,Movimientos!$D:$D,CONCATENATE("&lt;=",OO$3),Movimientos!$C:$C,"&gt;0")+SUMIFS(Movimientos!$C:$C,Movimientos!$A:$A,$B4,Movimientos!$D:$D,CONCATENATE("&lt;",OO$3),Movimientos!$C:$C,"&lt;0")</f>
        <v>0</v>
      </c>
      <c r="OP4" s="5">
        <f ca="1">SUMIFS(Movimientos!$C:$C,Movimientos!$A:$A,$B4,Movimientos!$D:$D,CONCATENATE("&lt;=",OP$3),Movimientos!$C:$C,"&gt;0")+SUMIFS(Movimientos!$C:$C,Movimientos!$A:$A,$B4,Movimientos!$D:$D,CONCATENATE("&lt;",OP$3),Movimientos!$C:$C,"&lt;0")</f>
        <v>0</v>
      </c>
      <c r="OQ4" s="5">
        <f ca="1">SUMIFS(Movimientos!$C:$C,Movimientos!$A:$A,$B4,Movimientos!$D:$D,CONCATENATE("&lt;=",OQ$3),Movimientos!$C:$C,"&gt;0")+SUMIFS(Movimientos!$C:$C,Movimientos!$A:$A,$B4,Movimientos!$D:$D,CONCATENATE("&lt;",OQ$3),Movimientos!$C:$C,"&lt;0")</f>
        <v>0</v>
      </c>
      <c r="OR4" s="5">
        <f ca="1">SUMIFS(Movimientos!$C:$C,Movimientos!$A:$A,$B4,Movimientos!$D:$D,CONCATENATE("&lt;=",OR$3),Movimientos!$C:$C,"&gt;0")+SUMIFS(Movimientos!$C:$C,Movimientos!$A:$A,$B4,Movimientos!$D:$D,CONCATENATE("&lt;",OR$3),Movimientos!$C:$C,"&lt;0")</f>
        <v>0</v>
      </c>
      <c r="OS4" s="5">
        <f ca="1">SUMIFS(Movimientos!$C:$C,Movimientos!$A:$A,$B4,Movimientos!$D:$D,CONCATENATE("&lt;=",OS$3),Movimientos!$C:$C,"&gt;0")+SUMIFS(Movimientos!$C:$C,Movimientos!$A:$A,$B4,Movimientos!$D:$D,CONCATENATE("&lt;",OS$3),Movimientos!$C:$C,"&lt;0")</f>
        <v>0</v>
      </c>
      <c r="OT4" s="5">
        <f ca="1">SUMIFS(Movimientos!$C:$C,Movimientos!$A:$A,$B4,Movimientos!$D:$D,CONCATENATE("&lt;=",OT$3),Movimientos!$C:$C,"&gt;0")+SUMIFS(Movimientos!$C:$C,Movimientos!$A:$A,$B4,Movimientos!$D:$D,CONCATENATE("&lt;",OT$3),Movimientos!$C:$C,"&lt;0")</f>
        <v>0</v>
      </c>
      <c r="OU4" s="5">
        <f ca="1">SUMIFS(Movimientos!$C:$C,Movimientos!$A:$A,$B4,Movimientos!$D:$D,CONCATENATE("&lt;=",OU$3),Movimientos!$C:$C,"&gt;0")+SUMIFS(Movimientos!$C:$C,Movimientos!$A:$A,$B4,Movimientos!$D:$D,CONCATENATE("&lt;",OU$3),Movimientos!$C:$C,"&lt;0")</f>
        <v>0</v>
      </c>
      <c r="OV4" s="5">
        <f ca="1">SUMIFS(Movimientos!$C:$C,Movimientos!$A:$A,$B4,Movimientos!$D:$D,CONCATENATE("&lt;=",OV$3),Movimientos!$C:$C,"&gt;0")+SUMIFS(Movimientos!$C:$C,Movimientos!$A:$A,$B4,Movimientos!$D:$D,CONCATENATE("&lt;",OV$3),Movimientos!$C:$C,"&lt;0")</f>
        <v>0</v>
      </c>
      <c r="OW4" s="5">
        <f ca="1">SUMIFS(Movimientos!$C:$C,Movimientos!$A:$A,$B4,Movimientos!$D:$D,CONCATENATE("&lt;=",OW$3),Movimientos!$C:$C,"&gt;0")+SUMIFS(Movimientos!$C:$C,Movimientos!$A:$A,$B4,Movimientos!$D:$D,CONCATENATE("&lt;",OW$3),Movimientos!$C:$C,"&lt;0")</f>
        <v>0</v>
      </c>
      <c r="OX4" s="5">
        <f ca="1">SUMIFS(Movimientos!$C:$C,Movimientos!$A:$A,$B4,Movimientos!$D:$D,CONCATENATE("&lt;=",OX$3),Movimientos!$C:$C,"&gt;0")+SUMIFS(Movimientos!$C:$C,Movimientos!$A:$A,$B4,Movimientos!$D:$D,CONCATENATE("&lt;",OX$3),Movimientos!$C:$C,"&lt;0")</f>
        <v>0</v>
      </c>
      <c r="OY4" s="5">
        <f ca="1">SUMIFS(Movimientos!$C:$C,Movimientos!$A:$A,$B4,Movimientos!$D:$D,CONCATENATE("&lt;=",OY$3),Movimientos!$C:$C,"&gt;0")+SUMIFS(Movimientos!$C:$C,Movimientos!$A:$A,$B4,Movimientos!$D:$D,CONCATENATE("&lt;",OY$3),Movimientos!$C:$C,"&lt;0")</f>
        <v>0</v>
      </c>
      <c r="OZ4" s="5">
        <f ca="1">SUMIFS(Movimientos!$C:$C,Movimientos!$A:$A,$B4,Movimientos!$D:$D,CONCATENATE("&lt;=",OZ$3),Movimientos!$C:$C,"&gt;0")+SUMIFS(Movimientos!$C:$C,Movimientos!$A:$A,$B4,Movimientos!$D:$D,CONCATENATE("&lt;",OZ$3),Movimientos!$C:$C,"&lt;0")</f>
        <v>0</v>
      </c>
      <c r="PA4" s="5">
        <f ca="1">SUMIFS(Movimientos!$C:$C,Movimientos!$A:$A,$B4,Movimientos!$D:$D,CONCATENATE("&lt;=",PA$3),Movimientos!$C:$C,"&gt;0")+SUMIFS(Movimientos!$C:$C,Movimientos!$A:$A,$B4,Movimientos!$D:$D,CONCATENATE("&lt;",PA$3),Movimientos!$C:$C,"&lt;0")</f>
        <v>0</v>
      </c>
      <c r="PB4" s="5">
        <f ca="1">SUMIFS(Movimientos!$C:$C,Movimientos!$A:$A,$B4,Movimientos!$D:$D,CONCATENATE("&lt;=",PB$3),Movimientos!$C:$C,"&gt;0")+SUMIFS(Movimientos!$C:$C,Movimientos!$A:$A,$B4,Movimientos!$D:$D,CONCATENATE("&lt;",PB$3),Movimientos!$C:$C,"&lt;0")</f>
        <v>0</v>
      </c>
      <c r="PC4" s="5">
        <f ca="1">SUMIFS(Movimientos!$C:$C,Movimientos!$A:$A,$B4,Movimientos!$D:$D,CONCATENATE("&lt;=",PC$3),Movimientos!$C:$C,"&gt;0")+SUMIFS(Movimientos!$C:$C,Movimientos!$A:$A,$B4,Movimientos!$D:$D,CONCATENATE("&lt;",PC$3),Movimientos!$C:$C,"&lt;0")</f>
        <v>0</v>
      </c>
      <c r="PD4" s="5">
        <f ca="1">SUMIFS(Movimientos!$C:$C,Movimientos!$A:$A,$B4,Movimientos!$D:$D,CONCATENATE("&lt;=",PD$3),Movimientos!$C:$C,"&gt;0")+SUMIFS(Movimientos!$C:$C,Movimientos!$A:$A,$B4,Movimientos!$D:$D,CONCATENATE("&lt;",PD$3),Movimientos!$C:$C,"&lt;0")</f>
        <v>0</v>
      </c>
      <c r="PE4" s="5">
        <f ca="1">SUMIFS(Movimientos!$C:$C,Movimientos!$A:$A,$B4,Movimientos!$D:$D,CONCATENATE("&lt;=",PE$3),Movimientos!$C:$C,"&gt;0")+SUMIFS(Movimientos!$C:$C,Movimientos!$A:$A,$B4,Movimientos!$D:$D,CONCATENATE("&lt;",PE$3),Movimientos!$C:$C,"&lt;0")</f>
        <v>0</v>
      </c>
      <c r="PF4" s="5">
        <f ca="1">SUMIFS(Movimientos!$C:$C,Movimientos!$A:$A,$B4,Movimientos!$D:$D,CONCATENATE("&lt;=",PF$3),Movimientos!$C:$C,"&gt;0")+SUMIFS(Movimientos!$C:$C,Movimientos!$A:$A,$B4,Movimientos!$D:$D,CONCATENATE("&lt;",PF$3),Movimientos!$C:$C,"&lt;0")</f>
        <v>0</v>
      </c>
      <c r="PG4" s="5">
        <f ca="1">SUMIFS(Movimientos!$C:$C,Movimientos!$A:$A,$B4,Movimientos!$D:$D,CONCATENATE("&lt;=",PG$3),Movimientos!$C:$C,"&gt;0")+SUMIFS(Movimientos!$C:$C,Movimientos!$A:$A,$B4,Movimientos!$D:$D,CONCATENATE("&lt;",PG$3),Movimientos!$C:$C,"&lt;0")</f>
        <v>0</v>
      </c>
      <c r="PH4" s="5">
        <f ca="1">SUMIFS(Movimientos!$C:$C,Movimientos!$A:$A,$B4,Movimientos!$D:$D,CONCATENATE("&lt;=",PH$3),Movimientos!$C:$C,"&gt;0")+SUMIFS(Movimientos!$C:$C,Movimientos!$A:$A,$B4,Movimientos!$D:$D,CONCATENATE("&lt;",PH$3),Movimientos!$C:$C,"&lt;0")</f>
        <v>0</v>
      </c>
      <c r="PI4" s="5">
        <f ca="1">SUMIFS(Movimientos!$C:$C,Movimientos!$A:$A,$B4,Movimientos!$D:$D,CONCATENATE("&lt;=",PI$3),Movimientos!$C:$C,"&gt;0")+SUMIFS(Movimientos!$C:$C,Movimientos!$A:$A,$B4,Movimientos!$D:$D,CONCATENATE("&lt;",PI$3),Movimientos!$C:$C,"&lt;0")</f>
        <v>0</v>
      </c>
      <c r="PJ4" s="5">
        <f ca="1">SUMIFS(Movimientos!$C:$C,Movimientos!$A:$A,$B4,Movimientos!$D:$D,CONCATENATE("&lt;=",PJ$3),Movimientos!$C:$C,"&gt;0")+SUMIFS(Movimientos!$C:$C,Movimientos!$A:$A,$B4,Movimientos!$D:$D,CONCATENATE("&lt;",PJ$3),Movimientos!$C:$C,"&lt;0")</f>
        <v>0</v>
      </c>
      <c r="PK4" s="5">
        <f ca="1">SUMIFS(Movimientos!$C:$C,Movimientos!$A:$A,$B4,Movimientos!$D:$D,CONCATENATE("&lt;=",PK$3),Movimientos!$C:$C,"&gt;0")+SUMIFS(Movimientos!$C:$C,Movimientos!$A:$A,$B4,Movimientos!$D:$D,CONCATENATE("&lt;",PK$3),Movimientos!$C:$C,"&lt;0")</f>
        <v>0</v>
      </c>
      <c r="PL4" s="5">
        <f ca="1">SUMIFS(Movimientos!$C:$C,Movimientos!$A:$A,$B4,Movimientos!$D:$D,CONCATENATE("&lt;=",PL$3),Movimientos!$C:$C,"&gt;0")+SUMIFS(Movimientos!$C:$C,Movimientos!$A:$A,$B4,Movimientos!$D:$D,CONCATENATE("&lt;",PL$3),Movimientos!$C:$C,"&lt;0")</f>
        <v>0</v>
      </c>
      <c r="PM4" s="5">
        <f ca="1">SUMIFS(Movimientos!$C:$C,Movimientos!$A:$A,$B4,Movimientos!$D:$D,CONCATENATE("&lt;=",PM$3),Movimientos!$C:$C,"&gt;0")+SUMIFS(Movimientos!$C:$C,Movimientos!$A:$A,$B4,Movimientos!$D:$D,CONCATENATE("&lt;",PM$3),Movimientos!$C:$C,"&lt;0")</f>
        <v>0</v>
      </c>
      <c r="PN4" s="5">
        <f ca="1">SUMIFS(Movimientos!$C:$C,Movimientos!$A:$A,$B4,Movimientos!$D:$D,CONCATENATE("&lt;=",PN$3),Movimientos!$C:$C,"&gt;0")+SUMIFS(Movimientos!$C:$C,Movimientos!$A:$A,$B4,Movimientos!$D:$D,CONCATENATE("&lt;",PN$3),Movimientos!$C:$C,"&lt;0")</f>
        <v>0</v>
      </c>
      <c r="PO4" s="5">
        <f ca="1">SUMIFS(Movimientos!$C:$C,Movimientos!$A:$A,$B4,Movimientos!$D:$D,CONCATENATE("&lt;=",PO$3),Movimientos!$C:$C,"&gt;0")+SUMIFS(Movimientos!$C:$C,Movimientos!$A:$A,$B4,Movimientos!$D:$D,CONCATENATE("&lt;",PO$3),Movimientos!$C:$C,"&lt;0")</f>
        <v>0</v>
      </c>
      <c r="PP4" s="5">
        <f ca="1">SUMIFS(Movimientos!$C:$C,Movimientos!$A:$A,$B4,Movimientos!$D:$D,CONCATENATE("&lt;=",PP$3),Movimientos!$C:$C,"&gt;0")+SUMIFS(Movimientos!$C:$C,Movimientos!$A:$A,$B4,Movimientos!$D:$D,CONCATENATE("&lt;",PP$3),Movimientos!$C:$C,"&lt;0")</f>
        <v>0</v>
      </c>
      <c r="PQ4" s="5">
        <f ca="1">SUMIFS(Movimientos!$C:$C,Movimientos!$A:$A,$B4,Movimientos!$D:$D,CONCATENATE("&lt;=",PQ$3),Movimientos!$C:$C,"&gt;0")+SUMIFS(Movimientos!$C:$C,Movimientos!$A:$A,$B4,Movimientos!$D:$D,CONCATENATE("&lt;",PQ$3),Movimientos!$C:$C,"&lt;0")</f>
        <v>0</v>
      </c>
      <c r="PR4" s="5">
        <f ca="1">SUMIFS(Movimientos!$C:$C,Movimientos!$A:$A,$B4,Movimientos!$D:$D,CONCATENATE("&lt;=",PR$3),Movimientos!$C:$C,"&gt;0")+SUMIFS(Movimientos!$C:$C,Movimientos!$A:$A,$B4,Movimientos!$D:$D,CONCATENATE("&lt;",PR$3),Movimientos!$C:$C,"&lt;0")</f>
        <v>0</v>
      </c>
      <c r="PS4" s="5">
        <f ca="1">SUMIFS(Movimientos!$C:$C,Movimientos!$A:$A,$B4,Movimientos!$D:$D,CONCATENATE("&lt;=",PS$3),Movimientos!$C:$C,"&gt;0")+SUMIFS(Movimientos!$C:$C,Movimientos!$A:$A,$B4,Movimientos!$D:$D,CONCATENATE("&lt;",PS$3),Movimientos!$C:$C,"&lt;0")</f>
        <v>0</v>
      </c>
      <c r="PT4" s="5">
        <f ca="1">SUMIFS(Movimientos!$C:$C,Movimientos!$A:$A,$B4,Movimientos!$D:$D,CONCATENATE("&lt;=",PT$3),Movimientos!$C:$C,"&gt;0")+SUMIFS(Movimientos!$C:$C,Movimientos!$A:$A,$B4,Movimientos!$D:$D,CONCATENATE("&lt;",PT$3),Movimientos!$C:$C,"&lt;0")</f>
        <v>0</v>
      </c>
      <c r="PU4" s="5">
        <f ca="1">SUMIFS(Movimientos!$C:$C,Movimientos!$A:$A,$B4,Movimientos!$D:$D,CONCATENATE("&lt;=",PU$3),Movimientos!$C:$C,"&gt;0")+SUMIFS(Movimientos!$C:$C,Movimientos!$A:$A,$B4,Movimientos!$D:$D,CONCATENATE("&lt;",PU$3),Movimientos!$C:$C,"&lt;0")</f>
        <v>0</v>
      </c>
      <c r="PV4" s="5">
        <f ca="1">SUMIFS(Movimientos!$C:$C,Movimientos!$A:$A,$B4,Movimientos!$D:$D,CONCATENATE("&lt;=",PV$3),Movimientos!$C:$C,"&gt;0")+SUMIFS(Movimientos!$C:$C,Movimientos!$A:$A,$B4,Movimientos!$D:$D,CONCATENATE("&lt;",PV$3),Movimientos!$C:$C,"&lt;0")</f>
        <v>0</v>
      </c>
      <c r="PW4" s="5">
        <f ca="1">SUMIFS(Movimientos!$C:$C,Movimientos!$A:$A,$B4,Movimientos!$D:$D,CONCATENATE("&lt;=",PW$3),Movimientos!$C:$C,"&gt;0")+SUMIFS(Movimientos!$C:$C,Movimientos!$A:$A,$B4,Movimientos!$D:$D,CONCATENATE("&lt;",PW$3),Movimientos!$C:$C,"&lt;0")</f>
        <v>0</v>
      </c>
      <c r="PX4" s="5">
        <f ca="1">SUMIFS(Movimientos!$C:$C,Movimientos!$A:$A,$B4,Movimientos!$D:$D,CONCATENATE("&lt;=",PX$3),Movimientos!$C:$C,"&gt;0")+SUMIFS(Movimientos!$C:$C,Movimientos!$A:$A,$B4,Movimientos!$D:$D,CONCATENATE("&lt;",PX$3),Movimientos!$C:$C,"&lt;0")</f>
        <v>0</v>
      </c>
      <c r="PY4" s="5">
        <f ca="1">SUMIFS(Movimientos!$C:$C,Movimientos!$A:$A,$B4,Movimientos!$D:$D,CONCATENATE("&lt;=",PY$3),Movimientos!$C:$C,"&gt;0")+SUMIFS(Movimientos!$C:$C,Movimientos!$A:$A,$B4,Movimientos!$D:$D,CONCATENATE("&lt;",PY$3),Movimientos!$C:$C,"&lt;0")</f>
        <v>0</v>
      </c>
      <c r="PZ4" s="5">
        <f ca="1">SUMIFS(Movimientos!$C:$C,Movimientos!$A:$A,$B4,Movimientos!$D:$D,CONCATENATE("&lt;=",PZ$3),Movimientos!$C:$C,"&gt;0")+SUMIFS(Movimientos!$C:$C,Movimientos!$A:$A,$B4,Movimientos!$D:$D,CONCATENATE("&lt;",PZ$3),Movimientos!$C:$C,"&lt;0")</f>
        <v>0</v>
      </c>
      <c r="QA4" s="5">
        <f ca="1">SUMIFS(Movimientos!$C:$C,Movimientos!$A:$A,$B4,Movimientos!$D:$D,CONCATENATE("&lt;=",QA$3),Movimientos!$C:$C,"&gt;0")+SUMIFS(Movimientos!$C:$C,Movimientos!$A:$A,$B4,Movimientos!$D:$D,CONCATENATE("&lt;",QA$3),Movimientos!$C:$C,"&lt;0")</f>
        <v>0</v>
      </c>
      <c r="QB4" s="5">
        <f ca="1">SUMIFS(Movimientos!$C:$C,Movimientos!$A:$A,$B4,Movimientos!$D:$D,CONCATENATE("&lt;=",QB$3),Movimientos!$C:$C,"&gt;0")+SUMIFS(Movimientos!$C:$C,Movimientos!$A:$A,$B4,Movimientos!$D:$D,CONCATENATE("&lt;",QB$3),Movimientos!$C:$C,"&lt;0")</f>
        <v>0</v>
      </c>
      <c r="QC4" s="5">
        <f ca="1">SUMIFS(Movimientos!$C:$C,Movimientos!$A:$A,$B4,Movimientos!$D:$D,CONCATENATE("&lt;=",QC$3),Movimientos!$C:$C,"&gt;0")+SUMIFS(Movimientos!$C:$C,Movimientos!$A:$A,$B4,Movimientos!$D:$D,CONCATENATE("&lt;",QC$3),Movimientos!$C:$C,"&lt;0")</f>
        <v>0</v>
      </c>
      <c r="QD4" s="5">
        <f ca="1">SUMIFS(Movimientos!$C:$C,Movimientos!$A:$A,$B4,Movimientos!$D:$D,CONCATENATE("&lt;=",QD$3),Movimientos!$C:$C,"&gt;0")+SUMIFS(Movimientos!$C:$C,Movimientos!$A:$A,$B4,Movimientos!$D:$D,CONCATENATE("&lt;",QD$3),Movimientos!$C:$C,"&lt;0")</f>
        <v>0</v>
      </c>
      <c r="QE4" s="5">
        <f ca="1">SUMIFS(Movimientos!$C:$C,Movimientos!$A:$A,$B4,Movimientos!$D:$D,CONCATENATE("&lt;=",QE$3),Movimientos!$C:$C,"&gt;0")+SUMIFS(Movimientos!$C:$C,Movimientos!$A:$A,$B4,Movimientos!$D:$D,CONCATENATE("&lt;",QE$3),Movimientos!$C:$C,"&lt;0")</f>
        <v>0</v>
      </c>
      <c r="QF4" s="5">
        <f ca="1">SUMIFS(Movimientos!$C:$C,Movimientos!$A:$A,$B4,Movimientos!$D:$D,CONCATENATE("&lt;=",QF$3),Movimientos!$C:$C,"&gt;0")+SUMIFS(Movimientos!$C:$C,Movimientos!$A:$A,$B4,Movimientos!$D:$D,CONCATENATE("&lt;",QF$3),Movimientos!$C:$C,"&lt;0")</f>
        <v>0</v>
      </c>
      <c r="QG4" s="5">
        <f ca="1">SUMIFS(Movimientos!$C:$C,Movimientos!$A:$A,$B4,Movimientos!$D:$D,CONCATENATE("&lt;=",QG$3),Movimientos!$C:$C,"&gt;0")+SUMIFS(Movimientos!$C:$C,Movimientos!$A:$A,$B4,Movimientos!$D:$D,CONCATENATE("&lt;",QG$3),Movimientos!$C:$C,"&lt;0")</f>
        <v>0</v>
      </c>
      <c r="QH4" s="5">
        <f ca="1">SUMIFS(Movimientos!$C:$C,Movimientos!$A:$A,$B4,Movimientos!$D:$D,CONCATENATE("&lt;=",QH$3),Movimientos!$C:$C,"&gt;0")+SUMIFS(Movimientos!$C:$C,Movimientos!$A:$A,$B4,Movimientos!$D:$D,CONCATENATE("&lt;",QH$3),Movimientos!$C:$C,"&lt;0")</f>
        <v>0</v>
      </c>
      <c r="QI4" s="5">
        <f ca="1">SUMIFS(Movimientos!$C:$C,Movimientos!$A:$A,$B4,Movimientos!$D:$D,CONCATENATE("&lt;=",QI$3),Movimientos!$C:$C,"&gt;0")+SUMIFS(Movimientos!$C:$C,Movimientos!$A:$A,$B4,Movimientos!$D:$D,CONCATENATE("&lt;",QI$3),Movimientos!$C:$C,"&lt;0")</f>
        <v>0</v>
      </c>
      <c r="QJ4" s="5">
        <f ca="1">SUMIFS(Movimientos!$C:$C,Movimientos!$A:$A,$B4,Movimientos!$D:$D,CONCATENATE("&lt;=",QJ$3),Movimientos!$C:$C,"&gt;0")+SUMIFS(Movimientos!$C:$C,Movimientos!$A:$A,$B4,Movimientos!$D:$D,CONCATENATE("&lt;",QJ$3),Movimientos!$C:$C,"&lt;0")</f>
        <v>0</v>
      </c>
      <c r="QK4" s="5">
        <f ca="1">SUMIFS(Movimientos!$C:$C,Movimientos!$A:$A,$B4,Movimientos!$D:$D,CONCATENATE("&lt;=",QK$3),Movimientos!$C:$C,"&gt;0")+SUMIFS(Movimientos!$C:$C,Movimientos!$A:$A,$B4,Movimientos!$D:$D,CONCATENATE("&lt;",QK$3),Movimientos!$C:$C,"&lt;0")</f>
        <v>0</v>
      </c>
      <c r="QL4" s="5">
        <f ca="1">SUMIFS(Movimientos!$C:$C,Movimientos!$A:$A,$B4,Movimientos!$D:$D,CONCATENATE("&lt;=",QL$3),Movimientos!$C:$C,"&gt;0")+SUMIFS(Movimientos!$C:$C,Movimientos!$A:$A,$B4,Movimientos!$D:$D,CONCATENATE("&lt;",QL$3),Movimientos!$C:$C,"&lt;0")</f>
        <v>0</v>
      </c>
      <c r="QM4" s="5">
        <f ca="1">SUMIFS(Movimientos!$C:$C,Movimientos!$A:$A,$B4,Movimientos!$D:$D,CONCATENATE("&lt;=",QM$3),Movimientos!$C:$C,"&gt;0")+SUMIFS(Movimientos!$C:$C,Movimientos!$A:$A,$B4,Movimientos!$D:$D,CONCATENATE("&lt;",QM$3),Movimientos!$C:$C,"&lt;0")</f>
        <v>0</v>
      </c>
      <c r="QN4" s="5">
        <f ca="1">SUMIFS(Movimientos!$C:$C,Movimientos!$A:$A,$B4,Movimientos!$D:$D,CONCATENATE("&lt;=",QN$3),Movimientos!$C:$C,"&gt;0")+SUMIFS(Movimientos!$C:$C,Movimientos!$A:$A,$B4,Movimientos!$D:$D,CONCATENATE("&lt;",QN$3),Movimientos!$C:$C,"&lt;0")</f>
        <v>0</v>
      </c>
      <c r="QO4" s="5">
        <f ca="1">SUMIFS(Movimientos!$C:$C,Movimientos!$A:$A,$B4,Movimientos!$D:$D,CONCATENATE("&lt;=",QO$3),Movimientos!$C:$C,"&gt;0")+SUMIFS(Movimientos!$C:$C,Movimientos!$A:$A,$B4,Movimientos!$D:$D,CONCATENATE("&lt;",QO$3),Movimientos!$C:$C,"&lt;0")</f>
        <v>0</v>
      </c>
      <c r="QP4" s="5">
        <f ca="1">SUMIFS(Movimientos!$C:$C,Movimientos!$A:$A,$B4,Movimientos!$D:$D,CONCATENATE("&lt;=",QP$3),Movimientos!$C:$C,"&gt;0")+SUMIFS(Movimientos!$C:$C,Movimientos!$A:$A,$B4,Movimientos!$D:$D,CONCATENATE("&lt;",QP$3),Movimientos!$C:$C,"&lt;0")</f>
        <v>0</v>
      </c>
      <c r="QQ4" s="5">
        <f ca="1">SUMIFS(Movimientos!$C:$C,Movimientos!$A:$A,$B4,Movimientos!$D:$D,CONCATENATE("&lt;=",QQ$3),Movimientos!$C:$C,"&gt;0")+SUMIFS(Movimientos!$C:$C,Movimientos!$A:$A,$B4,Movimientos!$D:$D,CONCATENATE("&lt;",QQ$3),Movimientos!$C:$C,"&lt;0")</f>
        <v>0</v>
      </c>
      <c r="QR4" s="5">
        <f ca="1">SUMIFS(Movimientos!$C:$C,Movimientos!$A:$A,$B4,Movimientos!$D:$D,CONCATENATE("&lt;=",QR$3),Movimientos!$C:$C,"&gt;0")+SUMIFS(Movimientos!$C:$C,Movimientos!$A:$A,$B4,Movimientos!$D:$D,CONCATENATE("&lt;",QR$3),Movimientos!$C:$C,"&lt;0")</f>
        <v>0</v>
      </c>
      <c r="QS4" s="5">
        <f ca="1">SUMIFS(Movimientos!$C:$C,Movimientos!$A:$A,$B4,Movimientos!$D:$D,CONCATENATE("&lt;=",QS$3),Movimientos!$C:$C,"&gt;0")+SUMIFS(Movimientos!$C:$C,Movimientos!$A:$A,$B4,Movimientos!$D:$D,CONCATENATE("&lt;",QS$3),Movimientos!$C:$C,"&lt;0")</f>
        <v>0</v>
      </c>
      <c r="QT4" s="5">
        <f ca="1">SUMIFS(Movimientos!$C:$C,Movimientos!$A:$A,$B4,Movimientos!$D:$D,CONCATENATE("&lt;=",QT$3),Movimientos!$C:$C,"&gt;0")+SUMIFS(Movimientos!$C:$C,Movimientos!$A:$A,$B4,Movimientos!$D:$D,CONCATENATE("&lt;",QT$3),Movimientos!$C:$C,"&lt;0")</f>
        <v>0</v>
      </c>
      <c r="QU4" s="5">
        <f ca="1">SUMIFS(Movimientos!$C:$C,Movimientos!$A:$A,$B4,Movimientos!$D:$D,CONCATENATE("&lt;=",QU$3),Movimientos!$C:$C,"&gt;0")+SUMIFS(Movimientos!$C:$C,Movimientos!$A:$A,$B4,Movimientos!$D:$D,CONCATENATE("&lt;",QU$3),Movimientos!$C:$C,"&lt;0")</f>
        <v>0</v>
      </c>
      <c r="QV4" s="5">
        <f ca="1">SUMIFS(Movimientos!$C:$C,Movimientos!$A:$A,$B4,Movimientos!$D:$D,CONCATENATE("&lt;=",QV$3),Movimientos!$C:$C,"&gt;0")+SUMIFS(Movimientos!$C:$C,Movimientos!$A:$A,$B4,Movimientos!$D:$D,CONCATENATE("&lt;",QV$3),Movimientos!$C:$C,"&lt;0")</f>
        <v>0</v>
      </c>
      <c r="QW4" s="5">
        <f ca="1">SUMIFS(Movimientos!$C:$C,Movimientos!$A:$A,$B4,Movimientos!$D:$D,CONCATENATE("&lt;=",QW$3),Movimientos!$C:$C,"&gt;0")+SUMIFS(Movimientos!$C:$C,Movimientos!$A:$A,$B4,Movimientos!$D:$D,CONCATENATE("&lt;",QW$3),Movimientos!$C:$C,"&lt;0")</f>
        <v>0</v>
      </c>
      <c r="QX4" s="5">
        <f ca="1">SUMIFS(Movimientos!$C:$C,Movimientos!$A:$A,$B4,Movimientos!$D:$D,CONCATENATE("&lt;=",QX$3),Movimientos!$C:$C,"&gt;0")+SUMIFS(Movimientos!$C:$C,Movimientos!$A:$A,$B4,Movimientos!$D:$D,CONCATENATE("&lt;",QX$3),Movimientos!$C:$C,"&lt;0")</f>
        <v>0</v>
      </c>
      <c r="QY4" s="5">
        <f ca="1">SUMIFS(Movimientos!$C:$C,Movimientos!$A:$A,$B4,Movimientos!$D:$D,CONCATENATE("&lt;=",QY$3),Movimientos!$C:$C,"&gt;0")+SUMIFS(Movimientos!$C:$C,Movimientos!$A:$A,$B4,Movimientos!$D:$D,CONCATENATE("&lt;",QY$3),Movimientos!$C:$C,"&lt;0")</f>
        <v>0</v>
      </c>
      <c r="QZ4" s="5">
        <f ca="1">SUMIFS(Movimientos!$C:$C,Movimientos!$A:$A,$B4,Movimientos!$D:$D,CONCATENATE("&lt;=",QZ$3),Movimientos!$C:$C,"&gt;0")+SUMIFS(Movimientos!$C:$C,Movimientos!$A:$A,$B4,Movimientos!$D:$D,CONCATENATE("&lt;",QZ$3),Movimientos!$C:$C,"&lt;0")</f>
        <v>0</v>
      </c>
      <c r="RA4" s="5">
        <f ca="1">SUMIFS(Movimientos!$C:$C,Movimientos!$A:$A,$B4,Movimientos!$D:$D,CONCATENATE("&lt;=",RA$3),Movimientos!$C:$C,"&gt;0")+SUMIFS(Movimientos!$C:$C,Movimientos!$A:$A,$B4,Movimientos!$D:$D,CONCATENATE("&lt;",RA$3),Movimientos!$C:$C,"&lt;0")</f>
        <v>0</v>
      </c>
      <c r="RB4" s="5">
        <f ca="1">SUMIFS(Movimientos!$C:$C,Movimientos!$A:$A,$B4,Movimientos!$D:$D,CONCATENATE("&lt;=",RB$3),Movimientos!$C:$C,"&gt;0")+SUMIFS(Movimientos!$C:$C,Movimientos!$A:$A,$B4,Movimientos!$D:$D,CONCATENATE("&lt;",RB$3),Movimientos!$C:$C,"&lt;0")</f>
        <v>0</v>
      </c>
      <c r="RC4" s="5">
        <f ca="1">SUMIFS(Movimientos!$C:$C,Movimientos!$A:$A,$B4,Movimientos!$D:$D,CONCATENATE("&lt;=",RC$3),Movimientos!$C:$C,"&gt;0")+SUMIFS(Movimientos!$C:$C,Movimientos!$A:$A,$B4,Movimientos!$D:$D,CONCATENATE("&lt;",RC$3),Movimientos!$C:$C,"&lt;0")</f>
        <v>0</v>
      </c>
      <c r="RD4" s="5">
        <f ca="1">SUMIFS(Movimientos!$C:$C,Movimientos!$A:$A,$B4,Movimientos!$D:$D,CONCATENATE("&lt;=",RD$3),Movimientos!$C:$C,"&gt;0")+SUMIFS(Movimientos!$C:$C,Movimientos!$A:$A,$B4,Movimientos!$D:$D,CONCATENATE("&lt;",RD$3),Movimientos!$C:$C,"&lt;0")</f>
        <v>0</v>
      </c>
      <c r="RE4" s="5">
        <f ca="1">SUMIFS(Movimientos!$C:$C,Movimientos!$A:$A,$B4,Movimientos!$D:$D,CONCATENATE("&lt;=",RE$3),Movimientos!$C:$C,"&gt;0")+SUMIFS(Movimientos!$C:$C,Movimientos!$A:$A,$B4,Movimientos!$D:$D,CONCATENATE("&lt;",RE$3),Movimientos!$C:$C,"&lt;0")</f>
        <v>0</v>
      </c>
      <c r="RF4" s="5">
        <f ca="1">SUMIFS(Movimientos!$C:$C,Movimientos!$A:$A,$B4,Movimientos!$D:$D,CONCATENATE("&lt;=",RF$3),Movimientos!$C:$C,"&gt;0")+SUMIFS(Movimientos!$C:$C,Movimientos!$A:$A,$B4,Movimientos!$D:$D,CONCATENATE("&lt;",RF$3),Movimientos!$C:$C,"&lt;0")</f>
        <v>0</v>
      </c>
      <c r="RG4" s="5">
        <f ca="1">SUMIFS(Movimientos!$C:$C,Movimientos!$A:$A,$B4,Movimientos!$D:$D,CONCATENATE("&lt;=",RG$3),Movimientos!$C:$C,"&gt;0")+SUMIFS(Movimientos!$C:$C,Movimientos!$A:$A,$B4,Movimientos!$D:$D,CONCATENATE("&lt;",RG$3),Movimientos!$C:$C,"&lt;0")</f>
        <v>0</v>
      </c>
      <c r="RH4" s="5">
        <f ca="1">SUMIFS(Movimientos!$C:$C,Movimientos!$A:$A,$B4,Movimientos!$D:$D,CONCATENATE("&lt;=",RH$3),Movimientos!$C:$C,"&gt;0")+SUMIFS(Movimientos!$C:$C,Movimientos!$A:$A,$B4,Movimientos!$D:$D,CONCATENATE("&lt;",RH$3),Movimientos!$C:$C,"&lt;0")</f>
        <v>0</v>
      </c>
      <c r="RI4" s="5">
        <f ca="1">SUMIFS(Movimientos!$C:$C,Movimientos!$A:$A,$B4,Movimientos!$D:$D,CONCATENATE("&lt;=",RI$3),Movimientos!$C:$C,"&gt;0")+SUMIFS(Movimientos!$C:$C,Movimientos!$A:$A,$B4,Movimientos!$D:$D,CONCATENATE("&lt;",RI$3),Movimientos!$C:$C,"&lt;0")</f>
        <v>0</v>
      </c>
      <c r="RJ4" s="5">
        <f ca="1">SUMIFS(Movimientos!$C:$C,Movimientos!$A:$A,$B4,Movimientos!$D:$D,CONCATENATE("&lt;=",RJ$3),Movimientos!$C:$C,"&gt;0")+SUMIFS(Movimientos!$C:$C,Movimientos!$A:$A,$B4,Movimientos!$D:$D,CONCATENATE("&lt;",RJ$3),Movimientos!$C:$C,"&lt;0")</f>
        <v>0</v>
      </c>
      <c r="RK4" s="5">
        <f ca="1">SUMIFS(Movimientos!$C:$C,Movimientos!$A:$A,$B4,Movimientos!$D:$D,CONCATENATE("&lt;=",RK$3),Movimientos!$C:$C,"&gt;0")+SUMIFS(Movimientos!$C:$C,Movimientos!$A:$A,$B4,Movimientos!$D:$D,CONCATENATE("&lt;",RK$3),Movimientos!$C:$C,"&lt;0")</f>
        <v>0</v>
      </c>
      <c r="RL4" s="5">
        <f ca="1">SUMIFS(Movimientos!$C:$C,Movimientos!$A:$A,$B4,Movimientos!$D:$D,CONCATENATE("&lt;=",RL$3),Movimientos!$C:$C,"&gt;0")+SUMIFS(Movimientos!$C:$C,Movimientos!$A:$A,$B4,Movimientos!$D:$D,CONCATENATE("&lt;",RL$3),Movimientos!$C:$C,"&lt;0")</f>
        <v>0</v>
      </c>
      <c r="RM4" s="5">
        <f ca="1">SUMIFS(Movimientos!$C:$C,Movimientos!$A:$A,$B4,Movimientos!$D:$D,CONCATENATE("&lt;=",RM$3),Movimientos!$C:$C,"&gt;0")+SUMIFS(Movimientos!$C:$C,Movimientos!$A:$A,$B4,Movimientos!$D:$D,CONCATENATE("&lt;",RM$3),Movimientos!$C:$C,"&lt;0")</f>
        <v>0</v>
      </c>
      <c r="RN4" s="5">
        <f ca="1">SUMIFS(Movimientos!$C:$C,Movimientos!$A:$A,$B4,Movimientos!$D:$D,CONCATENATE("&lt;=",RN$3),Movimientos!$C:$C,"&gt;0")+SUMIFS(Movimientos!$C:$C,Movimientos!$A:$A,$B4,Movimientos!$D:$D,CONCATENATE("&lt;",RN$3),Movimientos!$C:$C,"&lt;0")</f>
        <v>0</v>
      </c>
      <c r="RO4" s="5">
        <f ca="1">SUMIFS(Movimientos!$C:$C,Movimientos!$A:$A,$B4,Movimientos!$D:$D,CONCATENATE("&lt;=",RO$3),Movimientos!$C:$C,"&gt;0")+SUMIFS(Movimientos!$C:$C,Movimientos!$A:$A,$B4,Movimientos!$D:$D,CONCATENATE("&lt;",RO$3),Movimientos!$C:$C,"&lt;0")</f>
        <v>0</v>
      </c>
      <c r="RP4" s="5">
        <f ca="1">SUMIFS(Movimientos!$C:$C,Movimientos!$A:$A,$B4,Movimientos!$D:$D,CONCATENATE("&lt;=",RP$3),Movimientos!$C:$C,"&gt;0")+SUMIFS(Movimientos!$C:$C,Movimientos!$A:$A,$B4,Movimientos!$D:$D,CONCATENATE("&lt;",RP$3),Movimientos!$C:$C,"&lt;0")</f>
        <v>0</v>
      </c>
      <c r="RQ4" s="5">
        <f ca="1">SUMIFS(Movimientos!$C:$C,Movimientos!$A:$A,$B4,Movimientos!$D:$D,CONCATENATE("&lt;=",RQ$3),Movimientos!$C:$C,"&gt;0")+SUMIFS(Movimientos!$C:$C,Movimientos!$A:$A,$B4,Movimientos!$D:$D,CONCATENATE("&lt;",RQ$3),Movimientos!$C:$C,"&lt;0")</f>
        <v>0</v>
      </c>
      <c r="RR4" s="5">
        <f ca="1">SUMIFS(Movimientos!$C:$C,Movimientos!$A:$A,$B4,Movimientos!$D:$D,CONCATENATE("&lt;=",RR$3),Movimientos!$C:$C,"&gt;0")+SUMIFS(Movimientos!$C:$C,Movimientos!$A:$A,$B4,Movimientos!$D:$D,CONCATENATE("&lt;",RR$3),Movimientos!$C:$C,"&lt;0")</f>
        <v>0</v>
      </c>
      <c r="RS4" s="5">
        <f ca="1">SUMIFS(Movimientos!$C:$C,Movimientos!$A:$A,$B4,Movimientos!$D:$D,CONCATENATE("&lt;=",RS$3),Movimientos!$C:$C,"&gt;0")+SUMIFS(Movimientos!$C:$C,Movimientos!$A:$A,$B4,Movimientos!$D:$D,CONCATENATE("&lt;",RS$3),Movimientos!$C:$C,"&lt;0")</f>
        <v>0</v>
      </c>
      <c r="RT4" s="5">
        <f ca="1">SUMIFS(Movimientos!$C:$C,Movimientos!$A:$A,$B4,Movimientos!$D:$D,CONCATENATE("&lt;=",RT$3),Movimientos!$C:$C,"&gt;0")+SUMIFS(Movimientos!$C:$C,Movimientos!$A:$A,$B4,Movimientos!$D:$D,CONCATENATE("&lt;",RT$3),Movimientos!$C:$C,"&lt;0")</f>
        <v>0</v>
      </c>
      <c r="RU4" s="5">
        <f ca="1">SUMIFS(Movimientos!$C:$C,Movimientos!$A:$A,$B4,Movimientos!$D:$D,CONCATENATE("&lt;=",RU$3),Movimientos!$C:$C,"&gt;0")+SUMIFS(Movimientos!$C:$C,Movimientos!$A:$A,$B4,Movimientos!$D:$D,CONCATENATE("&lt;",RU$3),Movimientos!$C:$C,"&lt;0")</f>
        <v>0</v>
      </c>
      <c r="RV4" s="5">
        <f ca="1">SUMIFS(Movimientos!$C:$C,Movimientos!$A:$A,$B4,Movimientos!$D:$D,CONCATENATE("&lt;=",RV$3),Movimientos!$C:$C,"&gt;0")+SUMIFS(Movimientos!$C:$C,Movimientos!$A:$A,$B4,Movimientos!$D:$D,CONCATENATE("&lt;",RV$3),Movimientos!$C:$C,"&lt;0")</f>
        <v>0</v>
      </c>
      <c r="RW4" s="5">
        <f ca="1">SUMIFS(Movimientos!$C:$C,Movimientos!$A:$A,$B4,Movimientos!$D:$D,CONCATENATE("&lt;=",RW$3),Movimientos!$C:$C,"&gt;0")+SUMIFS(Movimientos!$C:$C,Movimientos!$A:$A,$B4,Movimientos!$D:$D,CONCATENATE("&lt;",RW$3),Movimientos!$C:$C,"&lt;0")</f>
        <v>0</v>
      </c>
      <c r="RX4" s="5">
        <f ca="1">SUMIFS(Movimientos!$C:$C,Movimientos!$A:$A,$B4,Movimientos!$D:$D,CONCATENATE("&lt;=",RX$3),Movimientos!$C:$C,"&gt;0")+SUMIFS(Movimientos!$C:$C,Movimientos!$A:$A,$B4,Movimientos!$D:$D,CONCATENATE("&lt;",RX$3),Movimientos!$C:$C,"&lt;0")</f>
        <v>0</v>
      </c>
      <c r="RY4" s="5">
        <f ca="1">SUMIFS(Movimientos!$C:$C,Movimientos!$A:$A,$B4,Movimientos!$D:$D,CONCATENATE("&lt;=",RY$3),Movimientos!$C:$C,"&gt;0")+SUMIFS(Movimientos!$C:$C,Movimientos!$A:$A,$B4,Movimientos!$D:$D,CONCATENATE("&lt;",RY$3),Movimientos!$C:$C,"&lt;0")</f>
        <v>0</v>
      </c>
      <c r="RZ4" s="5">
        <f ca="1">SUMIFS(Movimientos!$C:$C,Movimientos!$A:$A,$B4,Movimientos!$D:$D,CONCATENATE("&lt;=",RZ$3),Movimientos!$C:$C,"&gt;0")+SUMIFS(Movimientos!$C:$C,Movimientos!$A:$A,$B4,Movimientos!$D:$D,CONCATENATE("&lt;",RZ$3),Movimientos!$C:$C,"&lt;0")</f>
        <v>0</v>
      </c>
      <c r="SA4" s="5">
        <f ca="1">SUMIFS(Movimientos!$C:$C,Movimientos!$A:$A,$B4,Movimientos!$D:$D,CONCATENATE("&lt;=",SA$3),Movimientos!$C:$C,"&gt;0")+SUMIFS(Movimientos!$C:$C,Movimientos!$A:$A,$B4,Movimientos!$D:$D,CONCATENATE("&lt;",SA$3),Movimientos!$C:$C,"&lt;0")</f>
        <v>0</v>
      </c>
      <c r="SB4" s="5">
        <f ca="1">SUMIFS(Movimientos!$C:$C,Movimientos!$A:$A,$B4,Movimientos!$D:$D,CONCATENATE("&lt;=",SB$3),Movimientos!$C:$C,"&gt;0")+SUMIFS(Movimientos!$C:$C,Movimientos!$A:$A,$B4,Movimientos!$D:$D,CONCATENATE("&lt;",SB$3),Movimientos!$C:$C,"&lt;0")</f>
        <v>0</v>
      </c>
      <c r="SC4" s="5">
        <f ca="1">SUMIFS(Movimientos!$C:$C,Movimientos!$A:$A,$B4,Movimientos!$D:$D,CONCATENATE("&lt;=",SC$3),Movimientos!$C:$C,"&gt;0")+SUMIFS(Movimientos!$C:$C,Movimientos!$A:$A,$B4,Movimientos!$D:$D,CONCATENATE("&lt;",SC$3),Movimientos!$C:$C,"&lt;0")</f>
        <v>0</v>
      </c>
      <c r="SD4" s="5">
        <f ca="1">SUMIFS(Movimientos!$C:$C,Movimientos!$A:$A,$B4,Movimientos!$D:$D,CONCATENATE("&lt;=",SD$3),Movimientos!$C:$C,"&gt;0")+SUMIFS(Movimientos!$C:$C,Movimientos!$A:$A,$B4,Movimientos!$D:$D,CONCATENATE("&lt;",SD$3),Movimientos!$C:$C,"&lt;0")</f>
        <v>0</v>
      </c>
      <c r="SE4" s="5">
        <f ca="1">SUMIFS(Movimientos!$C:$C,Movimientos!$A:$A,$B4,Movimientos!$D:$D,CONCATENATE("&lt;=",SE$3),Movimientos!$C:$C,"&gt;0")+SUMIFS(Movimientos!$C:$C,Movimientos!$A:$A,$B4,Movimientos!$D:$D,CONCATENATE("&lt;",SE$3),Movimientos!$C:$C,"&lt;0")</f>
        <v>0</v>
      </c>
      <c r="SF4" s="5">
        <f ca="1">SUMIFS(Movimientos!$C:$C,Movimientos!$A:$A,$B4,Movimientos!$D:$D,CONCATENATE("&lt;=",SF$3),Movimientos!$C:$C,"&gt;0")+SUMIFS(Movimientos!$C:$C,Movimientos!$A:$A,$B4,Movimientos!$D:$D,CONCATENATE("&lt;",SF$3),Movimientos!$C:$C,"&lt;0")</f>
        <v>0</v>
      </c>
      <c r="SG4" s="5">
        <f ca="1">SUMIFS(Movimientos!$C:$C,Movimientos!$A:$A,$B4,Movimientos!$D:$D,CONCATENATE("&lt;=",SG$3),Movimientos!$C:$C,"&gt;0")+SUMIFS(Movimientos!$C:$C,Movimientos!$A:$A,$B4,Movimientos!$D:$D,CONCATENATE("&lt;",SG$3),Movimientos!$C:$C,"&lt;0")</f>
        <v>0</v>
      </c>
      <c r="SH4" s="5">
        <f ca="1">SUMIFS(Movimientos!$C:$C,Movimientos!$A:$A,$B4,Movimientos!$D:$D,CONCATENATE("&lt;=",SH$3),Movimientos!$C:$C,"&gt;0")+SUMIFS(Movimientos!$C:$C,Movimientos!$A:$A,$B4,Movimientos!$D:$D,CONCATENATE("&lt;",SH$3),Movimientos!$C:$C,"&lt;0")</f>
        <v>0</v>
      </c>
      <c r="SI4" s="5">
        <f ca="1">SUMIFS(Movimientos!$C:$C,Movimientos!$A:$A,$B4,Movimientos!$D:$D,CONCATENATE("&lt;=",SI$3),Movimientos!$C:$C,"&gt;0")+SUMIFS(Movimientos!$C:$C,Movimientos!$A:$A,$B4,Movimientos!$D:$D,CONCATENATE("&lt;",SI$3),Movimientos!$C:$C,"&lt;0")</f>
        <v>0</v>
      </c>
      <c r="SJ4" s="5">
        <f ca="1">SUMIFS(Movimientos!$C:$C,Movimientos!$A:$A,$B4,Movimientos!$D:$D,CONCATENATE("&lt;=",SJ$3),Movimientos!$C:$C,"&gt;0")+SUMIFS(Movimientos!$C:$C,Movimientos!$A:$A,$B4,Movimientos!$D:$D,CONCATENATE("&lt;",SJ$3),Movimientos!$C:$C,"&lt;0")</f>
        <v>0</v>
      </c>
      <c r="SK4" s="5">
        <f ca="1">SUMIFS(Movimientos!$C:$C,Movimientos!$A:$A,$B4,Movimientos!$D:$D,CONCATENATE("&lt;=",SK$3),Movimientos!$C:$C,"&gt;0")+SUMIFS(Movimientos!$C:$C,Movimientos!$A:$A,$B4,Movimientos!$D:$D,CONCATENATE("&lt;",SK$3),Movimientos!$C:$C,"&lt;0")</f>
        <v>0</v>
      </c>
      <c r="SL4" s="5">
        <f ca="1">SUMIFS(Movimientos!$C:$C,Movimientos!$A:$A,$B4,Movimientos!$D:$D,CONCATENATE("&lt;=",SL$3),Movimientos!$C:$C,"&gt;0")+SUMIFS(Movimientos!$C:$C,Movimientos!$A:$A,$B4,Movimientos!$D:$D,CONCATENATE("&lt;",SL$3),Movimientos!$C:$C,"&lt;0")</f>
        <v>0</v>
      </c>
      <c r="SM4" s="5">
        <f ca="1">SUMIFS(Movimientos!$C:$C,Movimientos!$A:$A,$B4,Movimientos!$D:$D,CONCATENATE("&lt;=",SM$3),Movimientos!$C:$C,"&gt;0")+SUMIFS(Movimientos!$C:$C,Movimientos!$A:$A,$B4,Movimientos!$D:$D,CONCATENATE("&lt;",SM$3),Movimientos!$C:$C,"&lt;0")</f>
        <v>0</v>
      </c>
      <c r="SN4" s="5">
        <f ca="1">SUMIFS(Movimientos!$C:$C,Movimientos!$A:$A,$B4,Movimientos!$D:$D,CONCATENATE("&lt;=",SN$3),Movimientos!$C:$C,"&gt;0")+SUMIFS(Movimientos!$C:$C,Movimientos!$A:$A,$B4,Movimientos!$D:$D,CONCATENATE("&lt;",SN$3),Movimientos!$C:$C,"&lt;0")</f>
        <v>0</v>
      </c>
      <c r="SO4" s="5">
        <f ca="1">SUMIFS(Movimientos!$C:$C,Movimientos!$A:$A,$B4,Movimientos!$D:$D,CONCATENATE("&lt;=",SO$3),Movimientos!$C:$C,"&gt;0")+SUMIFS(Movimientos!$C:$C,Movimientos!$A:$A,$B4,Movimientos!$D:$D,CONCATENATE("&lt;",SO$3),Movimientos!$C:$C,"&lt;0")</f>
        <v>0</v>
      </c>
      <c r="SP4" s="5">
        <f ca="1">SUMIFS(Movimientos!$C:$C,Movimientos!$A:$A,$B4,Movimientos!$D:$D,CONCATENATE("&lt;=",SP$3),Movimientos!$C:$C,"&gt;0")+SUMIFS(Movimientos!$C:$C,Movimientos!$A:$A,$B4,Movimientos!$D:$D,CONCATENATE("&lt;",SP$3),Movimientos!$C:$C,"&lt;0")</f>
        <v>0</v>
      </c>
      <c r="SQ4" s="5">
        <f ca="1">SUMIFS(Movimientos!$C:$C,Movimientos!$A:$A,$B4,Movimientos!$D:$D,CONCATENATE("&lt;=",SQ$3),Movimientos!$C:$C,"&gt;0")+SUMIFS(Movimientos!$C:$C,Movimientos!$A:$A,$B4,Movimientos!$D:$D,CONCATENATE("&lt;",SQ$3),Movimientos!$C:$C,"&lt;0")</f>
        <v>0</v>
      </c>
      <c r="SR4" s="5">
        <f ca="1">SUMIFS(Movimientos!$C:$C,Movimientos!$A:$A,$B4,Movimientos!$D:$D,CONCATENATE("&lt;=",SR$3),Movimientos!$C:$C,"&gt;0")+SUMIFS(Movimientos!$C:$C,Movimientos!$A:$A,$B4,Movimientos!$D:$D,CONCATENATE("&lt;",SR$3),Movimientos!$C:$C,"&lt;0")</f>
        <v>0</v>
      </c>
      <c r="SS4" s="5">
        <f ca="1">SUMIFS(Movimientos!$C:$C,Movimientos!$A:$A,$B4,Movimientos!$D:$D,CONCATENATE("&lt;=",SS$3),Movimientos!$C:$C,"&gt;0")+SUMIFS(Movimientos!$C:$C,Movimientos!$A:$A,$B4,Movimientos!$D:$D,CONCATENATE("&lt;",SS$3),Movimientos!$C:$C,"&lt;0")</f>
        <v>0</v>
      </c>
      <c r="ST4" s="5">
        <f ca="1">SUMIFS(Movimientos!$C:$C,Movimientos!$A:$A,$B4,Movimientos!$D:$D,CONCATENATE("&lt;=",ST$3),Movimientos!$C:$C,"&gt;0")+SUMIFS(Movimientos!$C:$C,Movimientos!$A:$A,$B4,Movimientos!$D:$D,CONCATENATE("&lt;",ST$3),Movimientos!$C:$C,"&lt;0")</f>
        <v>0</v>
      </c>
      <c r="SU4" s="5">
        <f ca="1">SUMIFS(Movimientos!$C:$C,Movimientos!$A:$A,$B4,Movimientos!$D:$D,CONCATENATE("&lt;=",SU$3),Movimientos!$C:$C,"&gt;0")+SUMIFS(Movimientos!$C:$C,Movimientos!$A:$A,$B4,Movimientos!$D:$D,CONCATENATE("&lt;",SU$3),Movimientos!$C:$C,"&lt;0")</f>
        <v>0</v>
      </c>
      <c r="SV4" s="5">
        <f ca="1">SUMIFS(Movimientos!$C:$C,Movimientos!$A:$A,$B4,Movimientos!$D:$D,CONCATENATE("&lt;=",SV$3),Movimientos!$C:$C,"&gt;0")+SUMIFS(Movimientos!$C:$C,Movimientos!$A:$A,$B4,Movimientos!$D:$D,CONCATENATE("&lt;",SV$3),Movimientos!$C:$C,"&lt;0")</f>
        <v>0</v>
      </c>
      <c r="SW4" s="5">
        <f ca="1">SUMIFS(Movimientos!$C:$C,Movimientos!$A:$A,$B4,Movimientos!$D:$D,CONCATENATE("&lt;=",SW$3),Movimientos!$C:$C,"&gt;0")+SUMIFS(Movimientos!$C:$C,Movimientos!$A:$A,$B4,Movimientos!$D:$D,CONCATENATE("&lt;",SW$3),Movimientos!$C:$C,"&lt;0")</f>
        <v>0</v>
      </c>
      <c r="SX4" s="5">
        <f ca="1">SUMIFS(Movimientos!$C:$C,Movimientos!$A:$A,$B4,Movimientos!$D:$D,CONCATENATE("&lt;=",SX$3),Movimientos!$C:$C,"&gt;0")+SUMIFS(Movimientos!$C:$C,Movimientos!$A:$A,$B4,Movimientos!$D:$D,CONCATENATE("&lt;",SX$3),Movimientos!$C:$C,"&lt;0")</f>
        <v>0</v>
      </c>
      <c r="SY4" s="5">
        <f ca="1">SUMIFS(Movimientos!$C:$C,Movimientos!$A:$A,$B4,Movimientos!$D:$D,CONCATENATE("&lt;=",SY$3),Movimientos!$C:$C,"&gt;0")+SUMIFS(Movimientos!$C:$C,Movimientos!$A:$A,$B4,Movimientos!$D:$D,CONCATENATE("&lt;",SY$3),Movimientos!$C:$C,"&lt;0")</f>
        <v>0</v>
      </c>
      <c r="SZ4" s="5">
        <f ca="1">SUMIFS(Movimientos!$C:$C,Movimientos!$A:$A,$B4,Movimientos!$D:$D,CONCATENATE("&lt;=",SZ$3),Movimientos!$C:$C,"&gt;0")+SUMIFS(Movimientos!$C:$C,Movimientos!$A:$A,$B4,Movimientos!$D:$D,CONCATENATE("&lt;",SZ$3),Movimientos!$C:$C,"&lt;0")</f>
        <v>0</v>
      </c>
      <c r="TA4" s="5">
        <f ca="1">SUMIFS(Movimientos!$C:$C,Movimientos!$A:$A,$B4,Movimientos!$D:$D,CONCATENATE("&lt;=",TA$3),Movimientos!$C:$C,"&gt;0")+SUMIFS(Movimientos!$C:$C,Movimientos!$A:$A,$B4,Movimientos!$D:$D,CONCATENATE("&lt;",TA$3),Movimientos!$C:$C,"&lt;0")</f>
        <v>0</v>
      </c>
      <c r="TB4" s="5">
        <f ca="1">SUMIFS(Movimientos!$C:$C,Movimientos!$A:$A,$B4,Movimientos!$D:$D,CONCATENATE("&lt;=",TB$3),Movimientos!$C:$C,"&gt;0")+SUMIFS(Movimientos!$C:$C,Movimientos!$A:$A,$B4,Movimientos!$D:$D,CONCATENATE("&lt;",TB$3),Movimientos!$C:$C,"&lt;0")</f>
        <v>0</v>
      </c>
      <c r="TC4" s="5">
        <f ca="1">SUMIFS(Movimientos!$C:$C,Movimientos!$A:$A,$B4,Movimientos!$D:$D,CONCATENATE("&lt;=",TC$3),Movimientos!$C:$C,"&gt;0")+SUMIFS(Movimientos!$C:$C,Movimientos!$A:$A,$B4,Movimientos!$D:$D,CONCATENATE("&lt;",TC$3),Movimientos!$C:$C,"&lt;0")</f>
        <v>0</v>
      </c>
      <c r="TD4" s="5">
        <f ca="1">SUMIFS(Movimientos!$C:$C,Movimientos!$A:$A,$B4,Movimientos!$D:$D,CONCATENATE("&lt;=",TD$3),Movimientos!$C:$C,"&gt;0")+SUMIFS(Movimientos!$C:$C,Movimientos!$A:$A,$B4,Movimientos!$D:$D,CONCATENATE("&lt;",TD$3),Movimientos!$C:$C,"&lt;0")</f>
        <v>0</v>
      </c>
      <c r="TE4" s="5">
        <f ca="1">SUMIFS(Movimientos!$C:$C,Movimientos!$A:$A,$B4,Movimientos!$D:$D,CONCATENATE("&lt;=",TE$3),Movimientos!$C:$C,"&gt;0")+SUMIFS(Movimientos!$C:$C,Movimientos!$A:$A,$B4,Movimientos!$D:$D,CONCATENATE("&lt;",TE$3),Movimientos!$C:$C,"&lt;0")</f>
        <v>0</v>
      </c>
      <c r="TF4" s="5">
        <f ca="1">SUMIFS(Movimientos!$C:$C,Movimientos!$A:$A,$B4,Movimientos!$D:$D,CONCATENATE("&lt;=",TF$3),Movimientos!$C:$C,"&gt;0")+SUMIFS(Movimientos!$C:$C,Movimientos!$A:$A,$B4,Movimientos!$D:$D,CONCATENATE("&lt;",TF$3),Movimientos!$C:$C,"&lt;0")</f>
        <v>0</v>
      </c>
    </row>
    <row r="5" spans="1:526">
      <c r="A5" s="31" t="s">
        <v>48</v>
      </c>
      <c r="B5" s="4">
        <f>Cartera!B5</f>
        <v>0</v>
      </c>
      <c r="C5" s="4">
        <f>Cartera!C5</f>
        <v>0</v>
      </c>
      <c r="D5" s="5">
        <f ca="1">SUMIFS(Movimientos!$C:$C,Movimientos!$A:$A,$B5,Movimientos!$D:$D,CONCATENATE("&lt;=",D$3),Movimientos!$C:$C,"&gt;0")+SUMIFS(Movimientos!$C:$C,Movimientos!$A:$A,$B5,Movimientos!$D:$D,CONCATENATE("&lt;",D$3),Movimientos!$C:$C,"&lt;0")</f>
        <v>0</v>
      </c>
      <c r="E5" s="5">
        <f ca="1">SUMIFS(Movimientos!$C:$C,Movimientos!$A:$A,$B5,Movimientos!$D:$D,CONCATENATE("&lt;=",E$3),Movimientos!$C:$C,"&gt;0")+SUMIFS(Movimientos!$C:$C,Movimientos!$A:$A,$B5,Movimientos!$D:$D,CONCATENATE("&lt;",E$3),Movimientos!$C:$C,"&lt;0")</f>
        <v>0</v>
      </c>
      <c r="F5" s="5">
        <f ca="1">SUMIFS(Movimientos!$C:$C,Movimientos!$A:$A,$B5,Movimientos!$D:$D,CONCATENATE("&lt;=",F$3),Movimientos!$C:$C,"&gt;0")+SUMIFS(Movimientos!$C:$C,Movimientos!$A:$A,$B5,Movimientos!$D:$D,CONCATENATE("&lt;",F$3),Movimientos!$C:$C,"&lt;0")</f>
        <v>0</v>
      </c>
      <c r="G5" s="5">
        <f ca="1">SUMIFS(Movimientos!$C:$C,Movimientos!$A:$A,$B5,Movimientos!$D:$D,CONCATENATE("&lt;=",G$3),Movimientos!$C:$C,"&gt;0")+SUMIFS(Movimientos!$C:$C,Movimientos!$A:$A,$B5,Movimientos!$D:$D,CONCATENATE("&lt;",G$3),Movimientos!$C:$C,"&lt;0")</f>
        <v>0</v>
      </c>
      <c r="H5" s="5">
        <f ca="1">SUMIFS(Movimientos!$C:$C,Movimientos!$A:$A,$B5,Movimientos!$D:$D,CONCATENATE("&lt;=",H$3),Movimientos!$C:$C,"&gt;0")+SUMIFS(Movimientos!$C:$C,Movimientos!$A:$A,$B5,Movimientos!$D:$D,CONCATENATE("&lt;",H$3),Movimientos!$C:$C,"&lt;0")</f>
        <v>0</v>
      </c>
      <c r="I5" s="5">
        <f ca="1">SUMIFS(Movimientos!$C:$C,Movimientos!$A:$A,$B5,Movimientos!$D:$D,CONCATENATE("&lt;=",I$3),Movimientos!$C:$C,"&gt;0")+SUMIFS(Movimientos!$C:$C,Movimientos!$A:$A,$B5,Movimientos!$D:$D,CONCATENATE("&lt;",I$3),Movimientos!$C:$C,"&lt;0")</f>
        <v>0</v>
      </c>
      <c r="J5" s="5">
        <f ca="1">SUMIFS(Movimientos!$C:$C,Movimientos!$A:$A,$B5,Movimientos!$D:$D,CONCATENATE("&lt;=",J$3),Movimientos!$C:$C,"&gt;0")+SUMIFS(Movimientos!$C:$C,Movimientos!$A:$A,$B5,Movimientos!$D:$D,CONCATENATE("&lt;",J$3),Movimientos!$C:$C,"&lt;0")</f>
        <v>0</v>
      </c>
      <c r="K5" s="5">
        <f ca="1">SUMIFS(Movimientos!$C:$C,Movimientos!$A:$A,$B5,Movimientos!$D:$D,CONCATENATE("&lt;=",K$3),Movimientos!$C:$C,"&gt;0")+SUMIFS(Movimientos!$C:$C,Movimientos!$A:$A,$B5,Movimientos!$D:$D,CONCATENATE("&lt;",K$3),Movimientos!$C:$C,"&lt;0")</f>
        <v>0</v>
      </c>
      <c r="L5" s="5">
        <f ca="1">SUMIFS(Movimientos!$C:$C,Movimientos!$A:$A,$B5,Movimientos!$D:$D,CONCATENATE("&lt;=",L$3),Movimientos!$C:$C,"&gt;0")+SUMIFS(Movimientos!$C:$C,Movimientos!$A:$A,$B5,Movimientos!$D:$D,CONCATENATE("&lt;",L$3),Movimientos!$C:$C,"&lt;0")</f>
        <v>0</v>
      </c>
      <c r="M5" s="5">
        <f ca="1">SUMIFS(Movimientos!$C:$C,Movimientos!$A:$A,$B5,Movimientos!$D:$D,CONCATENATE("&lt;=",M$3),Movimientos!$C:$C,"&gt;0")+SUMIFS(Movimientos!$C:$C,Movimientos!$A:$A,$B5,Movimientos!$D:$D,CONCATENATE("&lt;",M$3),Movimientos!$C:$C,"&lt;0")</f>
        <v>0</v>
      </c>
      <c r="N5" s="5">
        <f ca="1">SUMIFS(Movimientos!$C:$C,Movimientos!$A:$A,$B5,Movimientos!$D:$D,CONCATENATE("&lt;=",N$3),Movimientos!$C:$C,"&gt;0")+SUMIFS(Movimientos!$C:$C,Movimientos!$A:$A,$B5,Movimientos!$D:$D,CONCATENATE("&lt;",N$3),Movimientos!$C:$C,"&lt;0")</f>
        <v>0</v>
      </c>
      <c r="O5" s="5">
        <f ca="1">SUMIFS(Movimientos!$C:$C,Movimientos!$A:$A,$B5,Movimientos!$D:$D,CONCATENATE("&lt;=",O$3),Movimientos!$C:$C,"&gt;0")+SUMIFS(Movimientos!$C:$C,Movimientos!$A:$A,$B5,Movimientos!$D:$D,CONCATENATE("&lt;",O$3),Movimientos!$C:$C,"&lt;0")</f>
        <v>0</v>
      </c>
      <c r="P5" s="5">
        <f ca="1">SUMIFS(Movimientos!$C:$C,Movimientos!$A:$A,$B5,Movimientos!$D:$D,CONCATENATE("&lt;=",P$3),Movimientos!$C:$C,"&gt;0")+SUMIFS(Movimientos!$C:$C,Movimientos!$A:$A,$B5,Movimientos!$D:$D,CONCATENATE("&lt;",P$3),Movimientos!$C:$C,"&lt;0")</f>
        <v>0</v>
      </c>
      <c r="Q5" s="5">
        <f ca="1">SUMIFS(Movimientos!$C:$C,Movimientos!$A:$A,$B5,Movimientos!$D:$D,CONCATENATE("&lt;=",Q$3),Movimientos!$C:$C,"&gt;0")+SUMIFS(Movimientos!$C:$C,Movimientos!$A:$A,$B5,Movimientos!$D:$D,CONCATENATE("&lt;",Q$3),Movimientos!$C:$C,"&lt;0")</f>
        <v>0</v>
      </c>
      <c r="R5" s="5">
        <f ca="1">SUMIFS(Movimientos!$C:$C,Movimientos!$A:$A,$B5,Movimientos!$D:$D,CONCATENATE("&lt;=",R$3),Movimientos!$C:$C,"&gt;0")+SUMIFS(Movimientos!$C:$C,Movimientos!$A:$A,$B5,Movimientos!$D:$D,CONCATENATE("&lt;",R$3),Movimientos!$C:$C,"&lt;0")</f>
        <v>0</v>
      </c>
      <c r="S5" s="5">
        <f ca="1">SUMIFS(Movimientos!$C:$C,Movimientos!$A:$A,$B5,Movimientos!$D:$D,CONCATENATE("&lt;=",S$3),Movimientos!$C:$C,"&gt;0")+SUMIFS(Movimientos!$C:$C,Movimientos!$A:$A,$B5,Movimientos!$D:$D,CONCATENATE("&lt;",S$3),Movimientos!$C:$C,"&lt;0")</f>
        <v>0</v>
      </c>
      <c r="T5" s="5">
        <f ca="1">SUMIFS(Movimientos!$C:$C,Movimientos!$A:$A,$B5,Movimientos!$D:$D,CONCATENATE("&lt;=",T$3),Movimientos!$C:$C,"&gt;0")+SUMIFS(Movimientos!$C:$C,Movimientos!$A:$A,$B5,Movimientos!$D:$D,CONCATENATE("&lt;",T$3),Movimientos!$C:$C,"&lt;0")</f>
        <v>0</v>
      </c>
      <c r="U5" s="5">
        <f ca="1">SUMIFS(Movimientos!$C:$C,Movimientos!$A:$A,$B5,Movimientos!$D:$D,CONCATENATE("&lt;=",U$3),Movimientos!$C:$C,"&gt;0")+SUMIFS(Movimientos!$C:$C,Movimientos!$A:$A,$B5,Movimientos!$D:$D,CONCATENATE("&lt;",U$3),Movimientos!$C:$C,"&lt;0")</f>
        <v>0</v>
      </c>
      <c r="V5" s="5">
        <f ca="1">SUMIFS(Movimientos!$C:$C,Movimientos!$A:$A,$B5,Movimientos!$D:$D,CONCATENATE("&lt;=",V$3),Movimientos!$C:$C,"&gt;0")+SUMIFS(Movimientos!$C:$C,Movimientos!$A:$A,$B5,Movimientos!$D:$D,CONCATENATE("&lt;",V$3),Movimientos!$C:$C,"&lt;0")</f>
        <v>0</v>
      </c>
      <c r="W5" s="5">
        <f ca="1">SUMIFS(Movimientos!$C:$C,Movimientos!$A:$A,$B5,Movimientos!$D:$D,CONCATENATE("&lt;=",W$3),Movimientos!$C:$C,"&gt;0")+SUMIFS(Movimientos!$C:$C,Movimientos!$A:$A,$B5,Movimientos!$D:$D,CONCATENATE("&lt;",W$3),Movimientos!$C:$C,"&lt;0")</f>
        <v>0</v>
      </c>
      <c r="X5" s="5">
        <f ca="1">SUMIFS(Movimientos!$C:$C,Movimientos!$A:$A,$B5,Movimientos!$D:$D,CONCATENATE("&lt;=",X$3),Movimientos!$C:$C,"&gt;0")+SUMIFS(Movimientos!$C:$C,Movimientos!$A:$A,$B5,Movimientos!$D:$D,CONCATENATE("&lt;",X$3),Movimientos!$C:$C,"&lt;0")</f>
        <v>0</v>
      </c>
      <c r="Y5" s="5">
        <f ca="1">SUMIFS(Movimientos!$C:$C,Movimientos!$A:$A,$B5,Movimientos!$D:$D,CONCATENATE("&lt;=",Y$3),Movimientos!$C:$C,"&gt;0")+SUMIFS(Movimientos!$C:$C,Movimientos!$A:$A,$B5,Movimientos!$D:$D,CONCATENATE("&lt;",Y$3),Movimientos!$C:$C,"&lt;0")</f>
        <v>0</v>
      </c>
      <c r="Z5" s="5">
        <f ca="1">SUMIFS(Movimientos!$C:$C,Movimientos!$A:$A,$B5,Movimientos!$D:$D,CONCATENATE("&lt;=",Z$3),Movimientos!$C:$C,"&gt;0")+SUMIFS(Movimientos!$C:$C,Movimientos!$A:$A,$B5,Movimientos!$D:$D,CONCATENATE("&lt;",Z$3),Movimientos!$C:$C,"&lt;0")</f>
        <v>0</v>
      </c>
      <c r="AA5" s="5">
        <f ca="1">SUMIFS(Movimientos!$C:$C,Movimientos!$A:$A,$B5,Movimientos!$D:$D,CONCATENATE("&lt;=",AA$3),Movimientos!$C:$C,"&gt;0")+SUMIFS(Movimientos!$C:$C,Movimientos!$A:$A,$B5,Movimientos!$D:$D,CONCATENATE("&lt;",AA$3),Movimientos!$C:$C,"&lt;0")</f>
        <v>0</v>
      </c>
      <c r="AB5" s="5">
        <f ca="1">SUMIFS(Movimientos!$C:$C,Movimientos!$A:$A,$B5,Movimientos!$D:$D,CONCATENATE("&lt;=",AB$3),Movimientos!$C:$C,"&gt;0")+SUMIFS(Movimientos!$C:$C,Movimientos!$A:$A,$B5,Movimientos!$D:$D,CONCATENATE("&lt;",AB$3),Movimientos!$C:$C,"&lt;0")</f>
        <v>0</v>
      </c>
      <c r="AC5" s="5">
        <f ca="1">SUMIFS(Movimientos!$C:$C,Movimientos!$A:$A,$B5,Movimientos!$D:$D,CONCATENATE("&lt;=",AC$3),Movimientos!$C:$C,"&gt;0")+SUMIFS(Movimientos!$C:$C,Movimientos!$A:$A,$B5,Movimientos!$D:$D,CONCATENATE("&lt;",AC$3),Movimientos!$C:$C,"&lt;0")</f>
        <v>0</v>
      </c>
      <c r="AD5" s="5">
        <f ca="1">SUMIFS(Movimientos!$C:$C,Movimientos!$A:$A,$B5,Movimientos!$D:$D,CONCATENATE("&lt;=",AD$3),Movimientos!$C:$C,"&gt;0")+SUMIFS(Movimientos!$C:$C,Movimientos!$A:$A,$B5,Movimientos!$D:$D,CONCATENATE("&lt;",AD$3),Movimientos!$C:$C,"&lt;0")</f>
        <v>0</v>
      </c>
      <c r="AE5" s="5">
        <f ca="1">SUMIFS(Movimientos!$C:$C,Movimientos!$A:$A,$B5,Movimientos!$D:$D,CONCATENATE("&lt;=",AE$3),Movimientos!$C:$C,"&gt;0")+SUMIFS(Movimientos!$C:$C,Movimientos!$A:$A,$B5,Movimientos!$D:$D,CONCATENATE("&lt;",AE$3),Movimientos!$C:$C,"&lt;0")</f>
        <v>0</v>
      </c>
      <c r="AF5" s="5">
        <f ca="1">SUMIFS(Movimientos!$C:$C,Movimientos!$A:$A,$B5,Movimientos!$D:$D,CONCATENATE("&lt;=",AF$3),Movimientos!$C:$C,"&gt;0")+SUMIFS(Movimientos!$C:$C,Movimientos!$A:$A,$B5,Movimientos!$D:$D,CONCATENATE("&lt;",AF$3),Movimientos!$C:$C,"&lt;0")</f>
        <v>0</v>
      </c>
      <c r="AG5" s="5">
        <f ca="1">SUMIFS(Movimientos!$C:$C,Movimientos!$A:$A,$B5,Movimientos!$D:$D,CONCATENATE("&lt;=",AG$3),Movimientos!$C:$C,"&gt;0")+SUMIFS(Movimientos!$C:$C,Movimientos!$A:$A,$B5,Movimientos!$D:$D,CONCATENATE("&lt;",AG$3),Movimientos!$C:$C,"&lt;0")</f>
        <v>0</v>
      </c>
      <c r="AH5" s="5">
        <f ca="1">SUMIFS(Movimientos!$C:$C,Movimientos!$A:$A,$B5,Movimientos!$D:$D,CONCATENATE("&lt;=",AH$3),Movimientos!$C:$C,"&gt;0")+SUMIFS(Movimientos!$C:$C,Movimientos!$A:$A,$B5,Movimientos!$D:$D,CONCATENATE("&lt;",AH$3),Movimientos!$C:$C,"&lt;0")</f>
        <v>0</v>
      </c>
      <c r="AI5" s="5">
        <f ca="1">SUMIFS(Movimientos!$C:$C,Movimientos!$A:$A,$B5,Movimientos!$D:$D,CONCATENATE("&lt;=",AI$3),Movimientos!$C:$C,"&gt;0")+SUMIFS(Movimientos!$C:$C,Movimientos!$A:$A,$B5,Movimientos!$D:$D,CONCATENATE("&lt;",AI$3),Movimientos!$C:$C,"&lt;0")</f>
        <v>0</v>
      </c>
      <c r="AJ5" s="5">
        <f ca="1">SUMIFS(Movimientos!$C:$C,Movimientos!$A:$A,$B5,Movimientos!$D:$D,CONCATENATE("&lt;=",AJ$3),Movimientos!$C:$C,"&gt;0")+SUMIFS(Movimientos!$C:$C,Movimientos!$A:$A,$B5,Movimientos!$D:$D,CONCATENATE("&lt;",AJ$3),Movimientos!$C:$C,"&lt;0")</f>
        <v>0</v>
      </c>
      <c r="AK5" s="5">
        <f ca="1">SUMIFS(Movimientos!$C:$C,Movimientos!$A:$A,$B5,Movimientos!$D:$D,CONCATENATE("&lt;=",AK$3),Movimientos!$C:$C,"&gt;0")+SUMIFS(Movimientos!$C:$C,Movimientos!$A:$A,$B5,Movimientos!$D:$D,CONCATENATE("&lt;",AK$3),Movimientos!$C:$C,"&lt;0")</f>
        <v>0</v>
      </c>
      <c r="AL5" s="5">
        <f ca="1">SUMIFS(Movimientos!$C:$C,Movimientos!$A:$A,$B5,Movimientos!$D:$D,CONCATENATE("&lt;=",AL$3),Movimientos!$C:$C,"&gt;0")+SUMIFS(Movimientos!$C:$C,Movimientos!$A:$A,$B5,Movimientos!$D:$D,CONCATENATE("&lt;",AL$3),Movimientos!$C:$C,"&lt;0")</f>
        <v>0</v>
      </c>
      <c r="AM5" s="5">
        <f ca="1">SUMIFS(Movimientos!$C:$C,Movimientos!$A:$A,$B5,Movimientos!$D:$D,CONCATENATE("&lt;=",AM$3),Movimientos!$C:$C,"&gt;0")+SUMIFS(Movimientos!$C:$C,Movimientos!$A:$A,$B5,Movimientos!$D:$D,CONCATENATE("&lt;",AM$3),Movimientos!$C:$C,"&lt;0")</f>
        <v>0</v>
      </c>
      <c r="AN5" s="5">
        <f ca="1">SUMIFS(Movimientos!$C:$C,Movimientos!$A:$A,$B5,Movimientos!$D:$D,CONCATENATE("&lt;=",AN$3),Movimientos!$C:$C,"&gt;0")+SUMIFS(Movimientos!$C:$C,Movimientos!$A:$A,$B5,Movimientos!$D:$D,CONCATENATE("&lt;",AN$3),Movimientos!$C:$C,"&lt;0")</f>
        <v>0</v>
      </c>
      <c r="AO5" s="5">
        <f ca="1">SUMIFS(Movimientos!$C:$C,Movimientos!$A:$A,$B5,Movimientos!$D:$D,CONCATENATE("&lt;=",AO$3),Movimientos!$C:$C,"&gt;0")+SUMIFS(Movimientos!$C:$C,Movimientos!$A:$A,$B5,Movimientos!$D:$D,CONCATENATE("&lt;",AO$3),Movimientos!$C:$C,"&lt;0")</f>
        <v>0</v>
      </c>
      <c r="AP5" s="5">
        <f ca="1">SUMIFS(Movimientos!$C:$C,Movimientos!$A:$A,$B5,Movimientos!$D:$D,CONCATENATE("&lt;=",AP$3),Movimientos!$C:$C,"&gt;0")+SUMIFS(Movimientos!$C:$C,Movimientos!$A:$A,$B5,Movimientos!$D:$D,CONCATENATE("&lt;",AP$3),Movimientos!$C:$C,"&lt;0")</f>
        <v>0</v>
      </c>
      <c r="AQ5" s="5">
        <f ca="1">SUMIFS(Movimientos!$C:$C,Movimientos!$A:$A,$B5,Movimientos!$D:$D,CONCATENATE("&lt;=",AQ$3),Movimientos!$C:$C,"&gt;0")+SUMIFS(Movimientos!$C:$C,Movimientos!$A:$A,$B5,Movimientos!$D:$D,CONCATENATE("&lt;",AQ$3),Movimientos!$C:$C,"&lt;0")</f>
        <v>0</v>
      </c>
      <c r="AR5" s="5">
        <f ca="1">SUMIFS(Movimientos!$C:$C,Movimientos!$A:$A,$B5,Movimientos!$D:$D,CONCATENATE("&lt;=",AR$3),Movimientos!$C:$C,"&gt;0")+SUMIFS(Movimientos!$C:$C,Movimientos!$A:$A,$B5,Movimientos!$D:$D,CONCATENATE("&lt;",AR$3),Movimientos!$C:$C,"&lt;0")</f>
        <v>0</v>
      </c>
      <c r="AS5" s="5">
        <f ca="1">SUMIFS(Movimientos!$C:$C,Movimientos!$A:$A,$B5,Movimientos!$D:$D,CONCATENATE("&lt;=",AS$3),Movimientos!$C:$C,"&gt;0")+SUMIFS(Movimientos!$C:$C,Movimientos!$A:$A,$B5,Movimientos!$D:$D,CONCATENATE("&lt;",AS$3),Movimientos!$C:$C,"&lt;0")</f>
        <v>0</v>
      </c>
      <c r="AT5" s="5">
        <f ca="1">SUMIFS(Movimientos!$C:$C,Movimientos!$A:$A,$B5,Movimientos!$D:$D,CONCATENATE("&lt;=",AT$3),Movimientos!$C:$C,"&gt;0")+SUMIFS(Movimientos!$C:$C,Movimientos!$A:$A,$B5,Movimientos!$D:$D,CONCATENATE("&lt;",AT$3),Movimientos!$C:$C,"&lt;0")</f>
        <v>0</v>
      </c>
      <c r="AU5" s="5">
        <f ca="1">SUMIFS(Movimientos!$C:$C,Movimientos!$A:$A,$B5,Movimientos!$D:$D,CONCATENATE("&lt;=",AU$3),Movimientos!$C:$C,"&gt;0")+SUMIFS(Movimientos!$C:$C,Movimientos!$A:$A,$B5,Movimientos!$D:$D,CONCATENATE("&lt;",AU$3),Movimientos!$C:$C,"&lt;0")</f>
        <v>0</v>
      </c>
      <c r="AV5" s="5">
        <f ca="1">SUMIFS(Movimientos!$C:$C,Movimientos!$A:$A,$B5,Movimientos!$D:$D,CONCATENATE("&lt;=",AV$3),Movimientos!$C:$C,"&gt;0")+SUMIFS(Movimientos!$C:$C,Movimientos!$A:$A,$B5,Movimientos!$D:$D,CONCATENATE("&lt;",AV$3),Movimientos!$C:$C,"&lt;0")</f>
        <v>0</v>
      </c>
      <c r="AW5" s="5">
        <f ca="1">SUMIFS(Movimientos!$C:$C,Movimientos!$A:$A,$B5,Movimientos!$D:$D,CONCATENATE("&lt;=",AW$3),Movimientos!$C:$C,"&gt;0")+SUMIFS(Movimientos!$C:$C,Movimientos!$A:$A,$B5,Movimientos!$D:$D,CONCATENATE("&lt;",AW$3),Movimientos!$C:$C,"&lt;0")</f>
        <v>0</v>
      </c>
      <c r="AX5" s="5">
        <f ca="1">SUMIFS(Movimientos!$C:$C,Movimientos!$A:$A,$B5,Movimientos!$D:$D,CONCATENATE("&lt;=",AX$3),Movimientos!$C:$C,"&gt;0")+SUMIFS(Movimientos!$C:$C,Movimientos!$A:$A,$B5,Movimientos!$D:$D,CONCATENATE("&lt;",AX$3),Movimientos!$C:$C,"&lt;0")</f>
        <v>0</v>
      </c>
      <c r="AY5" s="5">
        <f ca="1">SUMIFS(Movimientos!$C:$C,Movimientos!$A:$A,$B5,Movimientos!$D:$D,CONCATENATE("&lt;=",AY$3),Movimientos!$C:$C,"&gt;0")+SUMIFS(Movimientos!$C:$C,Movimientos!$A:$A,$B5,Movimientos!$D:$D,CONCATENATE("&lt;",AY$3),Movimientos!$C:$C,"&lt;0")</f>
        <v>0</v>
      </c>
      <c r="AZ5" s="5">
        <f ca="1">SUMIFS(Movimientos!$C:$C,Movimientos!$A:$A,$B5,Movimientos!$D:$D,CONCATENATE("&lt;=",AZ$3),Movimientos!$C:$C,"&gt;0")+SUMIFS(Movimientos!$C:$C,Movimientos!$A:$A,$B5,Movimientos!$D:$D,CONCATENATE("&lt;",AZ$3),Movimientos!$C:$C,"&lt;0")</f>
        <v>0</v>
      </c>
      <c r="BA5" s="5">
        <f ca="1">SUMIFS(Movimientos!$C:$C,Movimientos!$A:$A,$B5,Movimientos!$D:$D,CONCATENATE("&lt;=",BA$3),Movimientos!$C:$C,"&gt;0")+SUMIFS(Movimientos!$C:$C,Movimientos!$A:$A,$B5,Movimientos!$D:$D,CONCATENATE("&lt;",BA$3),Movimientos!$C:$C,"&lt;0")</f>
        <v>0</v>
      </c>
      <c r="BB5" s="5">
        <f ca="1">SUMIFS(Movimientos!$C:$C,Movimientos!$A:$A,$B5,Movimientos!$D:$D,CONCATENATE("&lt;=",BB$3),Movimientos!$C:$C,"&gt;0")+SUMIFS(Movimientos!$C:$C,Movimientos!$A:$A,$B5,Movimientos!$D:$D,CONCATENATE("&lt;",BB$3),Movimientos!$C:$C,"&lt;0")</f>
        <v>0</v>
      </c>
      <c r="BC5" s="5">
        <f ca="1">SUMIFS(Movimientos!$C:$C,Movimientos!$A:$A,$B5,Movimientos!$D:$D,CONCATENATE("&lt;=",BC$3),Movimientos!$C:$C,"&gt;0")+SUMIFS(Movimientos!$C:$C,Movimientos!$A:$A,$B5,Movimientos!$D:$D,CONCATENATE("&lt;",BC$3),Movimientos!$C:$C,"&lt;0")</f>
        <v>0</v>
      </c>
      <c r="BD5" s="5">
        <f ca="1">SUMIFS(Movimientos!$C:$C,Movimientos!$A:$A,$B5,Movimientos!$D:$D,CONCATENATE("&lt;=",BD$3),Movimientos!$C:$C,"&gt;0")+SUMIFS(Movimientos!$C:$C,Movimientos!$A:$A,$B5,Movimientos!$D:$D,CONCATENATE("&lt;",BD$3),Movimientos!$C:$C,"&lt;0")</f>
        <v>0</v>
      </c>
      <c r="BE5" s="5">
        <f ca="1">SUMIFS(Movimientos!$C:$C,Movimientos!$A:$A,$B5,Movimientos!$D:$D,CONCATENATE("&lt;=",BE$3),Movimientos!$C:$C,"&gt;0")+SUMIFS(Movimientos!$C:$C,Movimientos!$A:$A,$B5,Movimientos!$D:$D,CONCATENATE("&lt;",BE$3),Movimientos!$C:$C,"&lt;0")</f>
        <v>0</v>
      </c>
      <c r="BF5" s="5">
        <f ca="1">SUMIFS(Movimientos!$C:$C,Movimientos!$A:$A,$B5,Movimientos!$D:$D,CONCATENATE("&lt;=",BF$3),Movimientos!$C:$C,"&gt;0")+SUMIFS(Movimientos!$C:$C,Movimientos!$A:$A,$B5,Movimientos!$D:$D,CONCATENATE("&lt;",BF$3),Movimientos!$C:$C,"&lt;0")</f>
        <v>0</v>
      </c>
      <c r="BG5" s="5">
        <f ca="1">SUMIFS(Movimientos!$C:$C,Movimientos!$A:$A,$B5,Movimientos!$D:$D,CONCATENATE("&lt;=",BG$3),Movimientos!$C:$C,"&gt;0")+SUMIFS(Movimientos!$C:$C,Movimientos!$A:$A,$B5,Movimientos!$D:$D,CONCATENATE("&lt;",BG$3),Movimientos!$C:$C,"&lt;0")</f>
        <v>0</v>
      </c>
      <c r="BH5" s="5">
        <f ca="1">SUMIFS(Movimientos!$C:$C,Movimientos!$A:$A,$B5,Movimientos!$D:$D,CONCATENATE("&lt;=",BH$3),Movimientos!$C:$C,"&gt;0")+SUMIFS(Movimientos!$C:$C,Movimientos!$A:$A,$B5,Movimientos!$D:$D,CONCATENATE("&lt;",BH$3),Movimientos!$C:$C,"&lt;0")</f>
        <v>0</v>
      </c>
      <c r="BI5" s="5">
        <f ca="1">SUMIFS(Movimientos!$C:$C,Movimientos!$A:$A,$B5,Movimientos!$D:$D,CONCATENATE("&lt;=",BI$3),Movimientos!$C:$C,"&gt;0")+SUMIFS(Movimientos!$C:$C,Movimientos!$A:$A,$B5,Movimientos!$D:$D,CONCATENATE("&lt;",BI$3),Movimientos!$C:$C,"&lt;0")</f>
        <v>0</v>
      </c>
      <c r="BJ5" s="5">
        <f ca="1">SUMIFS(Movimientos!$C:$C,Movimientos!$A:$A,$B5,Movimientos!$D:$D,CONCATENATE("&lt;=",BJ$3),Movimientos!$C:$C,"&gt;0")+SUMIFS(Movimientos!$C:$C,Movimientos!$A:$A,$B5,Movimientos!$D:$D,CONCATENATE("&lt;",BJ$3),Movimientos!$C:$C,"&lt;0")</f>
        <v>0</v>
      </c>
      <c r="BK5" s="5">
        <f ca="1">SUMIFS(Movimientos!$C:$C,Movimientos!$A:$A,$B5,Movimientos!$D:$D,CONCATENATE("&lt;=",BK$3),Movimientos!$C:$C,"&gt;0")+SUMIFS(Movimientos!$C:$C,Movimientos!$A:$A,$B5,Movimientos!$D:$D,CONCATENATE("&lt;",BK$3),Movimientos!$C:$C,"&lt;0")</f>
        <v>0</v>
      </c>
      <c r="BL5" s="5">
        <f ca="1">SUMIFS(Movimientos!$C:$C,Movimientos!$A:$A,$B5,Movimientos!$D:$D,CONCATENATE("&lt;=",BL$3),Movimientos!$C:$C,"&gt;0")+SUMIFS(Movimientos!$C:$C,Movimientos!$A:$A,$B5,Movimientos!$D:$D,CONCATENATE("&lt;",BL$3),Movimientos!$C:$C,"&lt;0")</f>
        <v>0</v>
      </c>
      <c r="BM5" s="5">
        <f ca="1">SUMIFS(Movimientos!$C:$C,Movimientos!$A:$A,$B5,Movimientos!$D:$D,CONCATENATE("&lt;=",BM$3),Movimientos!$C:$C,"&gt;0")+SUMIFS(Movimientos!$C:$C,Movimientos!$A:$A,$B5,Movimientos!$D:$D,CONCATENATE("&lt;",BM$3),Movimientos!$C:$C,"&lt;0")</f>
        <v>0</v>
      </c>
      <c r="BN5" s="5">
        <f ca="1">SUMIFS(Movimientos!$C:$C,Movimientos!$A:$A,$B5,Movimientos!$D:$D,CONCATENATE("&lt;=",BN$3),Movimientos!$C:$C,"&gt;0")+SUMIFS(Movimientos!$C:$C,Movimientos!$A:$A,$B5,Movimientos!$D:$D,CONCATENATE("&lt;",BN$3),Movimientos!$C:$C,"&lt;0")</f>
        <v>0</v>
      </c>
      <c r="BO5" s="5">
        <f ca="1">SUMIFS(Movimientos!$C:$C,Movimientos!$A:$A,$B5,Movimientos!$D:$D,CONCATENATE("&lt;=",BO$3),Movimientos!$C:$C,"&gt;0")+SUMIFS(Movimientos!$C:$C,Movimientos!$A:$A,$B5,Movimientos!$D:$D,CONCATENATE("&lt;",BO$3),Movimientos!$C:$C,"&lt;0")</f>
        <v>0</v>
      </c>
      <c r="BP5" s="5">
        <f ca="1">SUMIFS(Movimientos!$C:$C,Movimientos!$A:$A,$B5,Movimientos!$D:$D,CONCATENATE("&lt;=",BP$3),Movimientos!$C:$C,"&gt;0")+SUMIFS(Movimientos!$C:$C,Movimientos!$A:$A,$B5,Movimientos!$D:$D,CONCATENATE("&lt;",BP$3),Movimientos!$C:$C,"&lt;0")</f>
        <v>0</v>
      </c>
      <c r="BQ5" s="5">
        <f ca="1">SUMIFS(Movimientos!$C:$C,Movimientos!$A:$A,$B5,Movimientos!$D:$D,CONCATENATE("&lt;=",BQ$3),Movimientos!$C:$C,"&gt;0")+SUMIFS(Movimientos!$C:$C,Movimientos!$A:$A,$B5,Movimientos!$D:$D,CONCATENATE("&lt;",BQ$3),Movimientos!$C:$C,"&lt;0")</f>
        <v>0</v>
      </c>
      <c r="BR5" s="5">
        <f ca="1">SUMIFS(Movimientos!$C:$C,Movimientos!$A:$A,$B5,Movimientos!$D:$D,CONCATENATE("&lt;=",BR$3),Movimientos!$C:$C,"&gt;0")+SUMIFS(Movimientos!$C:$C,Movimientos!$A:$A,$B5,Movimientos!$D:$D,CONCATENATE("&lt;",BR$3),Movimientos!$C:$C,"&lt;0")</f>
        <v>0</v>
      </c>
      <c r="BS5" s="5">
        <f ca="1">SUMIFS(Movimientos!$C:$C,Movimientos!$A:$A,$B5,Movimientos!$D:$D,CONCATENATE("&lt;=",BS$3),Movimientos!$C:$C,"&gt;0")+SUMIFS(Movimientos!$C:$C,Movimientos!$A:$A,$B5,Movimientos!$D:$D,CONCATENATE("&lt;",BS$3),Movimientos!$C:$C,"&lt;0")</f>
        <v>0</v>
      </c>
      <c r="BT5" s="5">
        <f ca="1">SUMIFS(Movimientos!$C:$C,Movimientos!$A:$A,$B5,Movimientos!$D:$D,CONCATENATE("&lt;=",BT$3),Movimientos!$C:$C,"&gt;0")+SUMIFS(Movimientos!$C:$C,Movimientos!$A:$A,$B5,Movimientos!$D:$D,CONCATENATE("&lt;",BT$3),Movimientos!$C:$C,"&lt;0")</f>
        <v>0</v>
      </c>
      <c r="BU5" s="5">
        <f ca="1">SUMIFS(Movimientos!$C:$C,Movimientos!$A:$A,$B5,Movimientos!$D:$D,CONCATENATE("&lt;=",BU$3),Movimientos!$C:$C,"&gt;0")+SUMIFS(Movimientos!$C:$C,Movimientos!$A:$A,$B5,Movimientos!$D:$D,CONCATENATE("&lt;",BU$3),Movimientos!$C:$C,"&lt;0")</f>
        <v>0</v>
      </c>
      <c r="BV5" s="5">
        <f ca="1">SUMIFS(Movimientos!$C:$C,Movimientos!$A:$A,$B5,Movimientos!$D:$D,CONCATENATE("&lt;=",BV$3),Movimientos!$C:$C,"&gt;0")+SUMIFS(Movimientos!$C:$C,Movimientos!$A:$A,$B5,Movimientos!$D:$D,CONCATENATE("&lt;",BV$3),Movimientos!$C:$C,"&lt;0")</f>
        <v>0</v>
      </c>
      <c r="BW5" s="5">
        <f ca="1">SUMIFS(Movimientos!$C:$C,Movimientos!$A:$A,$B5,Movimientos!$D:$D,CONCATENATE("&lt;=",BW$3),Movimientos!$C:$C,"&gt;0")+SUMIFS(Movimientos!$C:$C,Movimientos!$A:$A,$B5,Movimientos!$D:$D,CONCATENATE("&lt;",BW$3),Movimientos!$C:$C,"&lt;0")</f>
        <v>0</v>
      </c>
      <c r="BX5" s="5">
        <f ca="1">SUMIFS(Movimientos!$C:$C,Movimientos!$A:$A,$B5,Movimientos!$D:$D,CONCATENATE("&lt;=",BX$3),Movimientos!$C:$C,"&gt;0")+SUMIFS(Movimientos!$C:$C,Movimientos!$A:$A,$B5,Movimientos!$D:$D,CONCATENATE("&lt;",BX$3),Movimientos!$C:$C,"&lt;0")</f>
        <v>0</v>
      </c>
      <c r="BY5" s="5">
        <f ca="1">SUMIFS(Movimientos!$C:$C,Movimientos!$A:$A,$B5,Movimientos!$D:$D,CONCATENATE("&lt;=",BY$3),Movimientos!$C:$C,"&gt;0")+SUMIFS(Movimientos!$C:$C,Movimientos!$A:$A,$B5,Movimientos!$D:$D,CONCATENATE("&lt;",BY$3),Movimientos!$C:$C,"&lt;0")</f>
        <v>0</v>
      </c>
      <c r="BZ5" s="5">
        <f ca="1">SUMIFS(Movimientos!$C:$C,Movimientos!$A:$A,$B5,Movimientos!$D:$D,CONCATENATE("&lt;=",BZ$3),Movimientos!$C:$C,"&gt;0")+SUMIFS(Movimientos!$C:$C,Movimientos!$A:$A,$B5,Movimientos!$D:$D,CONCATENATE("&lt;",BZ$3),Movimientos!$C:$C,"&lt;0")</f>
        <v>0</v>
      </c>
      <c r="CA5" s="5">
        <f ca="1">SUMIFS(Movimientos!$C:$C,Movimientos!$A:$A,$B5,Movimientos!$D:$D,CONCATENATE("&lt;=",CA$3),Movimientos!$C:$C,"&gt;0")+SUMIFS(Movimientos!$C:$C,Movimientos!$A:$A,$B5,Movimientos!$D:$D,CONCATENATE("&lt;",CA$3),Movimientos!$C:$C,"&lt;0")</f>
        <v>0</v>
      </c>
      <c r="CB5" s="5">
        <f ca="1">SUMIFS(Movimientos!$C:$C,Movimientos!$A:$A,$B5,Movimientos!$D:$D,CONCATENATE("&lt;=",CB$3),Movimientos!$C:$C,"&gt;0")+SUMIFS(Movimientos!$C:$C,Movimientos!$A:$A,$B5,Movimientos!$D:$D,CONCATENATE("&lt;",CB$3),Movimientos!$C:$C,"&lt;0")</f>
        <v>0</v>
      </c>
      <c r="CC5" s="5">
        <f ca="1">SUMIFS(Movimientos!$C:$C,Movimientos!$A:$A,$B5,Movimientos!$D:$D,CONCATENATE("&lt;=",CC$3),Movimientos!$C:$C,"&gt;0")+SUMIFS(Movimientos!$C:$C,Movimientos!$A:$A,$B5,Movimientos!$D:$D,CONCATENATE("&lt;",CC$3),Movimientos!$C:$C,"&lt;0")</f>
        <v>0</v>
      </c>
      <c r="CD5" s="5">
        <f ca="1">SUMIFS(Movimientos!$C:$C,Movimientos!$A:$A,$B5,Movimientos!$D:$D,CONCATENATE("&lt;=",CD$3),Movimientos!$C:$C,"&gt;0")+SUMIFS(Movimientos!$C:$C,Movimientos!$A:$A,$B5,Movimientos!$D:$D,CONCATENATE("&lt;",CD$3),Movimientos!$C:$C,"&lt;0")</f>
        <v>0</v>
      </c>
      <c r="CE5" s="5">
        <f ca="1">SUMIFS(Movimientos!$C:$C,Movimientos!$A:$A,$B5,Movimientos!$D:$D,CONCATENATE("&lt;=",CE$3),Movimientos!$C:$C,"&gt;0")+SUMIFS(Movimientos!$C:$C,Movimientos!$A:$A,$B5,Movimientos!$D:$D,CONCATENATE("&lt;",CE$3),Movimientos!$C:$C,"&lt;0")</f>
        <v>0</v>
      </c>
      <c r="CF5" s="5">
        <f ca="1">SUMIFS(Movimientos!$C:$C,Movimientos!$A:$A,$B5,Movimientos!$D:$D,CONCATENATE("&lt;=",CF$3),Movimientos!$C:$C,"&gt;0")+SUMIFS(Movimientos!$C:$C,Movimientos!$A:$A,$B5,Movimientos!$D:$D,CONCATENATE("&lt;",CF$3),Movimientos!$C:$C,"&lt;0")</f>
        <v>0</v>
      </c>
      <c r="CG5" s="5">
        <f ca="1">SUMIFS(Movimientos!$C:$C,Movimientos!$A:$A,$B5,Movimientos!$D:$D,CONCATENATE("&lt;=",CG$3),Movimientos!$C:$C,"&gt;0")+SUMIFS(Movimientos!$C:$C,Movimientos!$A:$A,$B5,Movimientos!$D:$D,CONCATENATE("&lt;",CG$3),Movimientos!$C:$C,"&lt;0")</f>
        <v>0</v>
      </c>
      <c r="CH5" s="5">
        <f ca="1">SUMIFS(Movimientos!$C:$C,Movimientos!$A:$A,$B5,Movimientos!$D:$D,CONCATENATE("&lt;=",CH$3),Movimientos!$C:$C,"&gt;0")+SUMIFS(Movimientos!$C:$C,Movimientos!$A:$A,$B5,Movimientos!$D:$D,CONCATENATE("&lt;",CH$3),Movimientos!$C:$C,"&lt;0")</f>
        <v>0</v>
      </c>
      <c r="CI5" s="5">
        <f ca="1">SUMIFS(Movimientos!$C:$C,Movimientos!$A:$A,$B5,Movimientos!$D:$D,CONCATENATE("&lt;=",CI$3),Movimientos!$C:$C,"&gt;0")+SUMIFS(Movimientos!$C:$C,Movimientos!$A:$A,$B5,Movimientos!$D:$D,CONCATENATE("&lt;",CI$3),Movimientos!$C:$C,"&lt;0")</f>
        <v>0</v>
      </c>
      <c r="CJ5" s="5">
        <f ca="1">SUMIFS(Movimientos!$C:$C,Movimientos!$A:$A,$B5,Movimientos!$D:$D,CONCATENATE("&lt;=",CJ$3),Movimientos!$C:$C,"&gt;0")+SUMIFS(Movimientos!$C:$C,Movimientos!$A:$A,$B5,Movimientos!$D:$D,CONCATENATE("&lt;",CJ$3),Movimientos!$C:$C,"&lt;0")</f>
        <v>0</v>
      </c>
      <c r="CK5" s="5">
        <f ca="1">SUMIFS(Movimientos!$C:$C,Movimientos!$A:$A,$B5,Movimientos!$D:$D,CONCATENATE("&lt;=",CK$3),Movimientos!$C:$C,"&gt;0")+SUMIFS(Movimientos!$C:$C,Movimientos!$A:$A,$B5,Movimientos!$D:$D,CONCATENATE("&lt;",CK$3),Movimientos!$C:$C,"&lt;0")</f>
        <v>0</v>
      </c>
      <c r="CL5" s="5">
        <f ca="1">SUMIFS(Movimientos!$C:$C,Movimientos!$A:$A,$B5,Movimientos!$D:$D,CONCATENATE("&lt;=",CL$3),Movimientos!$C:$C,"&gt;0")+SUMIFS(Movimientos!$C:$C,Movimientos!$A:$A,$B5,Movimientos!$D:$D,CONCATENATE("&lt;",CL$3),Movimientos!$C:$C,"&lt;0")</f>
        <v>0</v>
      </c>
      <c r="CM5" s="5">
        <f ca="1">SUMIFS(Movimientos!$C:$C,Movimientos!$A:$A,$B5,Movimientos!$D:$D,CONCATENATE("&lt;=",CM$3),Movimientos!$C:$C,"&gt;0")+SUMIFS(Movimientos!$C:$C,Movimientos!$A:$A,$B5,Movimientos!$D:$D,CONCATENATE("&lt;",CM$3),Movimientos!$C:$C,"&lt;0")</f>
        <v>0</v>
      </c>
      <c r="CN5" s="5">
        <f ca="1">SUMIFS(Movimientos!$C:$C,Movimientos!$A:$A,$B5,Movimientos!$D:$D,CONCATENATE("&lt;=",CN$3),Movimientos!$C:$C,"&gt;0")+SUMIFS(Movimientos!$C:$C,Movimientos!$A:$A,$B5,Movimientos!$D:$D,CONCATENATE("&lt;",CN$3),Movimientos!$C:$C,"&lt;0")</f>
        <v>0</v>
      </c>
      <c r="CO5" s="5">
        <f ca="1">SUMIFS(Movimientos!$C:$C,Movimientos!$A:$A,$B5,Movimientos!$D:$D,CONCATENATE("&lt;=",CO$3),Movimientos!$C:$C,"&gt;0")+SUMIFS(Movimientos!$C:$C,Movimientos!$A:$A,$B5,Movimientos!$D:$D,CONCATENATE("&lt;",CO$3),Movimientos!$C:$C,"&lt;0")</f>
        <v>0</v>
      </c>
      <c r="CP5" s="5">
        <f ca="1">SUMIFS(Movimientos!$C:$C,Movimientos!$A:$A,$B5,Movimientos!$D:$D,CONCATENATE("&lt;=",CP$3),Movimientos!$C:$C,"&gt;0")+SUMIFS(Movimientos!$C:$C,Movimientos!$A:$A,$B5,Movimientos!$D:$D,CONCATENATE("&lt;",CP$3),Movimientos!$C:$C,"&lt;0")</f>
        <v>0</v>
      </c>
      <c r="CQ5" s="5">
        <f ca="1">SUMIFS(Movimientos!$C:$C,Movimientos!$A:$A,$B5,Movimientos!$D:$D,CONCATENATE("&lt;=",CQ$3),Movimientos!$C:$C,"&gt;0")+SUMIFS(Movimientos!$C:$C,Movimientos!$A:$A,$B5,Movimientos!$D:$D,CONCATENATE("&lt;",CQ$3),Movimientos!$C:$C,"&lt;0")</f>
        <v>0</v>
      </c>
      <c r="CR5" s="5">
        <f ca="1">SUMIFS(Movimientos!$C:$C,Movimientos!$A:$A,$B5,Movimientos!$D:$D,CONCATENATE("&lt;=",CR$3),Movimientos!$C:$C,"&gt;0")+SUMIFS(Movimientos!$C:$C,Movimientos!$A:$A,$B5,Movimientos!$D:$D,CONCATENATE("&lt;",CR$3),Movimientos!$C:$C,"&lt;0")</f>
        <v>0</v>
      </c>
      <c r="CS5" s="5">
        <f ca="1">SUMIFS(Movimientos!$C:$C,Movimientos!$A:$A,$B5,Movimientos!$D:$D,CONCATENATE("&lt;=",CS$3),Movimientos!$C:$C,"&gt;0")+SUMIFS(Movimientos!$C:$C,Movimientos!$A:$A,$B5,Movimientos!$D:$D,CONCATENATE("&lt;",CS$3),Movimientos!$C:$C,"&lt;0")</f>
        <v>0</v>
      </c>
      <c r="CT5" s="5">
        <f ca="1">SUMIFS(Movimientos!$C:$C,Movimientos!$A:$A,$B5,Movimientos!$D:$D,CONCATENATE("&lt;=",CT$3),Movimientos!$C:$C,"&gt;0")+SUMIFS(Movimientos!$C:$C,Movimientos!$A:$A,$B5,Movimientos!$D:$D,CONCATENATE("&lt;",CT$3),Movimientos!$C:$C,"&lt;0")</f>
        <v>0</v>
      </c>
      <c r="CU5" s="5">
        <f ca="1">SUMIFS(Movimientos!$C:$C,Movimientos!$A:$A,$B5,Movimientos!$D:$D,CONCATENATE("&lt;=",CU$3),Movimientos!$C:$C,"&gt;0")+SUMIFS(Movimientos!$C:$C,Movimientos!$A:$A,$B5,Movimientos!$D:$D,CONCATENATE("&lt;",CU$3),Movimientos!$C:$C,"&lt;0")</f>
        <v>0</v>
      </c>
      <c r="CV5" s="5">
        <f ca="1">SUMIFS(Movimientos!$C:$C,Movimientos!$A:$A,$B5,Movimientos!$D:$D,CONCATENATE("&lt;=",CV$3),Movimientos!$C:$C,"&gt;0")+SUMIFS(Movimientos!$C:$C,Movimientos!$A:$A,$B5,Movimientos!$D:$D,CONCATENATE("&lt;",CV$3),Movimientos!$C:$C,"&lt;0")</f>
        <v>0</v>
      </c>
      <c r="CW5" s="5">
        <f ca="1">SUMIFS(Movimientos!$C:$C,Movimientos!$A:$A,$B5,Movimientos!$D:$D,CONCATENATE("&lt;=",CW$3),Movimientos!$C:$C,"&gt;0")+SUMIFS(Movimientos!$C:$C,Movimientos!$A:$A,$B5,Movimientos!$D:$D,CONCATENATE("&lt;",CW$3),Movimientos!$C:$C,"&lt;0")</f>
        <v>0</v>
      </c>
      <c r="CX5" s="5">
        <f ca="1">SUMIFS(Movimientos!$C:$C,Movimientos!$A:$A,$B5,Movimientos!$D:$D,CONCATENATE("&lt;=",CX$3),Movimientos!$C:$C,"&gt;0")+SUMIFS(Movimientos!$C:$C,Movimientos!$A:$A,$B5,Movimientos!$D:$D,CONCATENATE("&lt;",CX$3),Movimientos!$C:$C,"&lt;0")</f>
        <v>0</v>
      </c>
      <c r="CY5" s="5">
        <f ca="1">SUMIFS(Movimientos!$C:$C,Movimientos!$A:$A,$B5,Movimientos!$D:$D,CONCATENATE("&lt;=",CY$3),Movimientos!$C:$C,"&gt;0")+SUMIFS(Movimientos!$C:$C,Movimientos!$A:$A,$B5,Movimientos!$D:$D,CONCATENATE("&lt;",CY$3),Movimientos!$C:$C,"&lt;0")</f>
        <v>0</v>
      </c>
      <c r="CZ5" s="5">
        <f ca="1">SUMIFS(Movimientos!$C:$C,Movimientos!$A:$A,$B5,Movimientos!$D:$D,CONCATENATE("&lt;=",CZ$3),Movimientos!$C:$C,"&gt;0")+SUMIFS(Movimientos!$C:$C,Movimientos!$A:$A,$B5,Movimientos!$D:$D,CONCATENATE("&lt;",CZ$3),Movimientos!$C:$C,"&lt;0")</f>
        <v>0</v>
      </c>
      <c r="DA5" s="5">
        <f ca="1">SUMIFS(Movimientos!$C:$C,Movimientos!$A:$A,$B5,Movimientos!$D:$D,CONCATENATE("&lt;=",DA$3),Movimientos!$C:$C,"&gt;0")+SUMIFS(Movimientos!$C:$C,Movimientos!$A:$A,$B5,Movimientos!$D:$D,CONCATENATE("&lt;",DA$3),Movimientos!$C:$C,"&lt;0")</f>
        <v>0</v>
      </c>
      <c r="DB5" s="5">
        <f ca="1">SUMIFS(Movimientos!$C:$C,Movimientos!$A:$A,$B5,Movimientos!$D:$D,CONCATENATE("&lt;=",DB$3),Movimientos!$C:$C,"&gt;0")+SUMIFS(Movimientos!$C:$C,Movimientos!$A:$A,$B5,Movimientos!$D:$D,CONCATENATE("&lt;",DB$3),Movimientos!$C:$C,"&lt;0")</f>
        <v>0</v>
      </c>
      <c r="DC5" s="5">
        <f ca="1">SUMIFS(Movimientos!$C:$C,Movimientos!$A:$A,$B5,Movimientos!$D:$D,CONCATENATE("&lt;=",DC$3),Movimientos!$C:$C,"&gt;0")+SUMIFS(Movimientos!$C:$C,Movimientos!$A:$A,$B5,Movimientos!$D:$D,CONCATENATE("&lt;",DC$3),Movimientos!$C:$C,"&lt;0")</f>
        <v>0</v>
      </c>
      <c r="DD5" s="5">
        <f ca="1">SUMIFS(Movimientos!$C:$C,Movimientos!$A:$A,$B5,Movimientos!$D:$D,CONCATENATE("&lt;=",DD$3),Movimientos!$C:$C,"&gt;0")+SUMIFS(Movimientos!$C:$C,Movimientos!$A:$A,$B5,Movimientos!$D:$D,CONCATENATE("&lt;",DD$3),Movimientos!$C:$C,"&lt;0")</f>
        <v>0</v>
      </c>
      <c r="DE5" s="5">
        <f ca="1">SUMIFS(Movimientos!$C:$C,Movimientos!$A:$A,$B5,Movimientos!$D:$D,CONCATENATE("&lt;=",DE$3),Movimientos!$C:$C,"&gt;0")+SUMIFS(Movimientos!$C:$C,Movimientos!$A:$A,$B5,Movimientos!$D:$D,CONCATENATE("&lt;",DE$3),Movimientos!$C:$C,"&lt;0")</f>
        <v>0</v>
      </c>
      <c r="DF5" s="5">
        <f ca="1">SUMIFS(Movimientos!$C:$C,Movimientos!$A:$A,$B5,Movimientos!$D:$D,CONCATENATE("&lt;=",DF$3),Movimientos!$C:$C,"&gt;0")+SUMIFS(Movimientos!$C:$C,Movimientos!$A:$A,$B5,Movimientos!$D:$D,CONCATENATE("&lt;",DF$3),Movimientos!$C:$C,"&lt;0")</f>
        <v>0</v>
      </c>
      <c r="DG5" s="5">
        <f ca="1">SUMIFS(Movimientos!$C:$C,Movimientos!$A:$A,$B5,Movimientos!$D:$D,CONCATENATE("&lt;=",DG$3),Movimientos!$C:$C,"&gt;0")+SUMIFS(Movimientos!$C:$C,Movimientos!$A:$A,$B5,Movimientos!$D:$D,CONCATENATE("&lt;",DG$3),Movimientos!$C:$C,"&lt;0")</f>
        <v>0</v>
      </c>
      <c r="DH5" s="5">
        <f ca="1">SUMIFS(Movimientos!$C:$C,Movimientos!$A:$A,$B5,Movimientos!$D:$D,CONCATENATE("&lt;=",DH$3),Movimientos!$C:$C,"&gt;0")+SUMIFS(Movimientos!$C:$C,Movimientos!$A:$A,$B5,Movimientos!$D:$D,CONCATENATE("&lt;",DH$3),Movimientos!$C:$C,"&lt;0")</f>
        <v>0</v>
      </c>
      <c r="DI5" s="5">
        <f ca="1">SUMIFS(Movimientos!$C:$C,Movimientos!$A:$A,$B5,Movimientos!$D:$D,CONCATENATE("&lt;=",DI$3),Movimientos!$C:$C,"&gt;0")+SUMIFS(Movimientos!$C:$C,Movimientos!$A:$A,$B5,Movimientos!$D:$D,CONCATENATE("&lt;",DI$3),Movimientos!$C:$C,"&lt;0")</f>
        <v>0</v>
      </c>
      <c r="DJ5" s="5">
        <f ca="1">SUMIFS(Movimientos!$C:$C,Movimientos!$A:$A,$B5,Movimientos!$D:$D,CONCATENATE("&lt;=",DJ$3),Movimientos!$C:$C,"&gt;0")+SUMIFS(Movimientos!$C:$C,Movimientos!$A:$A,$B5,Movimientos!$D:$D,CONCATENATE("&lt;",DJ$3),Movimientos!$C:$C,"&lt;0")</f>
        <v>0</v>
      </c>
      <c r="DK5" s="5">
        <f ca="1">SUMIFS(Movimientos!$C:$C,Movimientos!$A:$A,$B5,Movimientos!$D:$D,CONCATENATE("&lt;=",DK$3),Movimientos!$C:$C,"&gt;0")+SUMIFS(Movimientos!$C:$C,Movimientos!$A:$A,$B5,Movimientos!$D:$D,CONCATENATE("&lt;",DK$3),Movimientos!$C:$C,"&lt;0")</f>
        <v>0</v>
      </c>
      <c r="DL5" s="5">
        <f ca="1">SUMIFS(Movimientos!$C:$C,Movimientos!$A:$A,$B5,Movimientos!$D:$D,CONCATENATE("&lt;=",DL$3),Movimientos!$C:$C,"&gt;0")+SUMIFS(Movimientos!$C:$C,Movimientos!$A:$A,$B5,Movimientos!$D:$D,CONCATENATE("&lt;",DL$3),Movimientos!$C:$C,"&lt;0")</f>
        <v>0</v>
      </c>
      <c r="DM5" s="5">
        <f ca="1">SUMIFS(Movimientos!$C:$C,Movimientos!$A:$A,$B5,Movimientos!$D:$D,CONCATENATE("&lt;=",DM$3),Movimientos!$C:$C,"&gt;0")+SUMIFS(Movimientos!$C:$C,Movimientos!$A:$A,$B5,Movimientos!$D:$D,CONCATENATE("&lt;",DM$3),Movimientos!$C:$C,"&lt;0")</f>
        <v>0</v>
      </c>
      <c r="DN5" s="5">
        <f ca="1">SUMIFS(Movimientos!$C:$C,Movimientos!$A:$A,$B5,Movimientos!$D:$D,CONCATENATE("&lt;=",DN$3),Movimientos!$C:$C,"&gt;0")+SUMIFS(Movimientos!$C:$C,Movimientos!$A:$A,$B5,Movimientos!$D:$D,CONCATENATE("&lt;",DN$3),Movimientos!$C:$C,"&lt;0")</f>
        <v>0</v>
      </c>
      <c r="DO5" s="5">
        <f ca="1">SUMIFS(Movimientos!$C:$C,Movimientos!$A:$A,$B5,Movimientos!$D:$D,CONCATENATE("&lt;=",DO$3),Movimientos!$C:$C,"&gt;0")+SUMIFS(Movimientos!$C:$C,Movimientos!$A:$A,$B5,Movimientos!$D:$D,CONCATENATE("&lt;",DO$3),Movimientos!$C:$C,"&lt;0")</f>
        <v>0</v>
      </c>
      <c r="DP5" s="5">
        <f ca="1">SUMIFS(Movimientos!$C:$C,Movimientos!$A:$A,$B5,Movimientos!$D:$D,CONCATENATE("&lt;=",DP$3),Movimientos!$C:$C,"&gt;0")+SUMIFS(Movimientos!$C:$C,Movimientos!$A:$A,$B5,Movimientos!$D:$D,CONCATENATE("&lt;",DP$3),Movimientos!$C:$C,"&lt;0")</f>
        <v>0</v>
      </c>
      <c r="DQ5" s="5">
        <f ca="1">SUMIFS(Movimientos!$C:$C,Movimientos!$A:$A,$B5,Movimientos!$D:$D,CONCATENATE("&lt;=",DQ$3),Movimientos!$C:$C,"&gt;0")+SUMIFS(Movimientos!$C:$C,Movimientos!$A:$A,$B5,Movimientos!$D:$D,CONCATENATE("&lt;",DQ$3),Movimientos!$C:$C,"&lt;0")</f>
        <v>0</v>
      </c>
      <c r="DR5" s="5">
        <f ca="1">SUMIFS(Movimientos!$C:$C,Movimientos!$A:$A,$B5,Movimientos!$D:$D,CONCATENATE("&lt;=",DR$3),Movimientos!$C:$C,"&gt;0")+SUMIFS(Movimientos!$C:$C,Movimientos!$A:$A,$B5,Movimientos!$D:$D,CONCATENATE("&lt;",DR$3),Movimientos!$C:$C,"&lt;0")</f>
        <v>0</v>
      </c>
      <c r="DS5" s="5">
        <f ca="1">SUMIFS(Movimientos!$C:$C,Movimientos!$A:$A,$B5,Movimientos!$D:$D,CONCATENATE("&lt;=",DS$3),Movimientos!$C:$C,"&gt;0")+SUMIFS(Movimientos!$C:$C,Movimientos!$A:$A,$B5,Movimientos!$D:$D,CONCATENATE("&lt;",DS$3),Movimientos!$C:$C,"&lt;0")</f>
        <v>0</v>
      </c>
      <c r="DT5" s="5">
        <f ca="1">SUMIFS(Movimientos!$C:$C,Movimientos!$A:$A,$B5,Movimientos!$D:$D,CONCATENATE("&lt;=",DT$3),Movimientos!$C:$C,"&gt;0")+SUMIFS(Movimientos!$C:$C,Movimientos!$A:$A,$B5,Movimientos!$D:$D,CONCATENATE("&lt;",DT$3),Movimientos!$C:$C,"&lt;0")</f>
        <v>0</v>
      </c>
      <c r="DU5" s="5">
        <f ca="1">SUMIFS(Movimientos!$C:$C,Movimientos!$A:$A,$B5,Movimientos!$D:$D,CONCATENATE("&lt;=",DU$3),Movimientos!$C:$C,"&gt;0")+SUMIFS(Movimientos!$C:$C,Movimientos!$A:$A,$B5,Movimientos!$D:$D,CONCATENATE("&lt;",DU$3),Movimientos!$C:$C,"&lt;0")</f>
        <v>0</v>
      </c>
      <c r="DV5" s="5">
        <f ca="1">SUMIFS(Movimientos!$C:$C,Movimientos!$A:$A,$B5,Movimientos!$D:$D,CONCATENATE("&lt;=",DV$3),Movimientos!$C:$C,"&gt;0")+SUMIFS(Movimientos!$C:$C,Movimientos!$A:$A,$B5,Movimientos!$D:$D,CONCATENATE("&lt;",DV$3),Movimientos!$C:$C,"&lt;0")</f>
        <v>0</v>
      </c>
      <c r="DW5" s="5">
        <f ca="1">SUMIFS(Movimientos!$C:$C,Movimientos!$A:$A,$B5,Movimientos!$D:$D,CONCATENATE("&lt;=",DW$3),Movimientos!$C:$C,"&gt;0")+SUMIFS(Movimientos!$C:$C,Movimientos!$A:$A,$B5,Movimientos!$D:$D,CONCATENATE("&lt;",DW$3),Movimientos!$C:$C,"&lt;0")</f>
        <v>0</v>
      </c>
      <c r="DX5" s="5">
        <f ca="1">SUMIFS(Movimientos!$C:$C,Movimientos!$A:$A,$B5,Movimientos!$D:$D,CONCATENATE("&lt;=",DX$3),Movimientos!$C:$C,"&gt;0")+SUMIFS(Movimientos!$C:$C,Movimientos!$A:$A,$B5,Movimientos!$D:$D,CONCATENATE("&lt;",DX$3),Movimientos!$C:$C,"&lt;0")</f>
        <v>0</v>
      </c>
      <c r="DY5" s="5">
        <f ca="1">SUMIFS(Movimientos!$C:$C,Movimientos!$A:$A,$B5,Movimientos!$D:$D,CONCATENATE("&lt;=",DY$3),Movimientos!$C:$C,"&gt;0")+SUMIFS(Movimientos!$C:$C,Movimientos!$A:$A,$B5,Movimientos!$D:$D,CONCATENATE("&lt;",DY$3),Movimientos!$C:$C,"&lt;0")</f>
        <v>0</v>
      </c>
      <c r="DZ5" s="5">
        <f ca="1">SUMIFS(Movimientos!$C:$C,Movimientos!$A:$A,$B5,Movimientos!$D:$D,CONCATENATE("&lt;=",DZ$3),Movimientos!$C:$C,"&gt;0")+SUMIFS(Movimientos!$C:$C,Movimientos!$A:$A,$B5,Movimientos!$D:$D,CONCATENATE("&lt;",DZ$3),Movimientos!$C:$C,"&lt;0")</f>
        <v>0</v>
      </c>
      <c r="EA5" s="5">
        <f ca="1">SUMIFS(Movimientos!$C:$C,Movimientos!$A:$A,$B5,Movimientos!$D:$D,CONCATENATE("&lt;=",EA$3),Movimientos!$C:$C,"&gt;0")+SUMIFS(Movimientos!$C:$C,Movimientos!$A:$A,$B5,Movimientos!$D:$D,CONCATENATE("&lt;",EA$3),Movimientos!$C:$C,"&lt;0")</f>
        <v>0</v>
      </c>
      <c r="EB5" s="5">
        <f ca="1">SUMIFS(Movimientos!$C:$C,Movimientos!$A:$A,$B5,Movimientos!$D:$D,CONCATENATE("&lt;=",EB$3),Movimientos!$C:$C,"&gt;0")+SUMIFS(Movimientos!$C:$C,Movimientos!$A:$A,$B5,Movimientos!$D:$D,CONCATENATE("&lt;",EB$3),Movimientos!$C:$C,"&lt;0")</f>
        <v>0</v>
      </c>
      <c r="EC5" s="5">
        <f ca="1">SUMIFS(Movimientos!$C:$C,Movimientos!$A:$A,$B5,Movimientos!$D:$D,CONCATENATE("&lt;=",EC$3),Movimientos!$C:$C,"&gt;0")+SUMIFS(Movimientos!$C:$C,Movimientos!$A:$A,$B5,Movimientos!$D:$D,CONCATENATE("&lt;",EC$3),Movimientos!$C:$C,"&lt;0")</f>
        <v>0</v>
      </c>
      <c r="ED5" s="5">
        <f ca="1">SUMIFS(Movimientos!$C:$C,Movimientos!$A:$A,$B5,Movimientos!$D:$D,CONCATENATE("&lt;=",ED$3),Movimientos!$C:$C,"&gt;0")+SUMIFS(Movimientos!$C:$C,Movimientos!$A:$A,$B5,Movimientos!$D:$D,CONCATENATE("&lt;",ED$3),Movimientos!$C:$C,"&lt;0")</f>
        <v>0</v>
      </c>
      <c r="EE5" s="5">
        <f ca="1">SUMIFS(Movimientos!$C:$C,Movimientos!$A:$A,$B5,Movimientos!$D:$D,CONCATENATE("&lt;=",EE$3),Movimientos!$C:$C,"&gt;0")+SUMIFS(Movimientos!$C:$C,Movimientos!$A:$A,$B5,Movimientos!$D:$D,CONCATENATE("&lt;",EE$3),Movimientos!$C:$C,"&lt;0")</f>
        <v>0</v>
      </c>
      <c r="EF5" s="5">
        <f ca="1">SUMIFS(Movimientos!$C:$C,Movimientos!$A:$A,$B5,Movimientos!$D:$D,CONCATENATE("&lt;=",EF$3),Movimientos!$C:$C,"&gt;0")+SUMIFS(Movimientos!$C:$C,Movimientos!$A:$A,$B5,Movimientos!$D:$D,CONCATENATE("&lt;",EF$3),Movimientos!$C:$C,"&lt;0")</f>
        <v>0</v>
      </c>
      <c r="EG5" s="5">
        <f ca="1">SUMIFS(Movimientos!$C:$C,Movimientos!$A:$A,$B5,Movimientos!$D:$D,CONCATENATE("&lt;=",EG$3),Movimientos!$C:$C,"&gt;0")+SUMIFS(Movimientos!$C:$C,Movimientos!$A:$A,$B5,Movimientos!$D:$D,CONCATENATE("&lt;",EG$3),Movimientos!$C:$C,"&lt;0")</f>
        <v>0</v>
      </c>
      <c r="EH5" s="5">
        <f ca="1">SUMIFS(Movimientos!$C:$C,Movimientos!$A:$A,$B5,Movimientos!$D:$D,CONCATENATE("&lt;=",EH$3),Movimientos!$C:$C,"&gt;0")+SUMIFS(Movimientos!$C:$C,Movimientos!$A:$A,$B5,Movimientos!$D:$D,CONCATENATE("&lt;",EH$3),Movimientos!$C:$C,"&lt;0")</f>
        <v>0</v>
      </c>
      <c r="EI5" s="5">
        <f ca="1">SUMIFS(Movimientos!$C:$C,Movimientos!$A:$A,$B5,Movimientos!$D:$D,CONCATENATE("&lt;=",EI$3),Movimientos!$C:$C,"&gt;0")+SUMIFS(Movimientos!$C:$C,Movimientos!$A:$A,$B5,Movimientos!$D:$D,CONCATENATE("&lt;",EI$3),Movimientos!$C:$C,"&lt;0")</f>
        <v>0</v>
      </c>
      <c r="EJ5" s="5">
        <f ca="1">SUMIFS(Movimientos!$C:$C,Movimientos!$A:$A,$B5,Movimientos!$D:$D,CONCATENATE("&lt;=",EJ$3),Movimientos!$C:$C,"&gt;0")+SUMIFS(Movimientos!$C:$C,Movimientos!$A:$A,$B5,Movimientos!$D:$D,CONCATENATE("&lt;",EJ$3),Movimientos!$C:$C,"&lt;0")</f>
        <v>0</v>
      </c>
      <c r="EK5" s="5">
        <f ca="1">SUMIFS(Movimientos!$C:$C,Movimientos!$A:$A,$B5,Movimientos!$D:$D,CONCATENATE("&lt;=",EK$3),Movimientos!$C:$C,"&gt;0")+SUMIFS(Movimientos!$C:$C,Movimientos!$A:$A,$B5,Movimientos!$D:$D,CONCATENATE("&lt;",EK$3),Movimientos!$C:$C,"&lt;0")</f>
        <v>0</v>
      </c>
      <c r="EL5" s="5">
        <f ca="1">SUMIFS(Movimientos!$C:$C,Movimientos!$A:$A,$B5,Movimientos!$D:$D,CONCATENATE("&lt;=",EL$3),Movimientos!$C:$C,"&gt;0")+SUMIFS(Movimientos!$C:$C,Movimientos!$A:$A,$B5,Movimientos!$D:$D,CONCATENATE("&lt;",EL$3),Movimientos!$C:$C,"&lt;0")</f>
        <v>0</v>
      </c>
      <c r="EM5" s="5">
        <f ca="1">SUMIFS(Movimientos!$C:$C,Movimientos!$A:$A,$B5,Movimientos!$D:$D,CONCATENATE("&lt;=",EM$3),Movimientos!$C:$C,"&gt;0")+SUMIFS(Movimientos!$C:$C,Movimientos!$A:$A,$B5,Movimientos!$D:$D,CONCATENATE("&lt;",EM$3),Movimientos!$C:$C,"&lt;0")</f>
        <v>0</v>
      </c>
      <c r="EN5" s="5">
        <f ca="1">SUMIFS(Movimientos!$C:$C,Movimientos!$A:$A,$B5,Movimientos!$D:$D,CONCATENATE("&lt;=",EN$3),Movimientos!$C:$C,"&gt;0")+SUMIFS(Movimientos!$C:$C,Movimientos!$A:$A,$B5,Movimientos!$D:$D,CONCATENATE("&lt;",EN$3),Movimientos!$C:$C,"&lt;0")</f>
        <v>0</v>
      </c>
      <c r="EO5" s="5">
        <f ca="1">SUMIFS(Movimientos!$C:$C,Movimientos!$A:$A,$B5,Movimientos!$D:$D,CONCATENATE("&lt;=",EO$3),Movimientos!$C:$C,"&gt;0")+SUMIFS(Movimientos!$C:$C,Movimientos!$A:$A,$B5,Movimientos!$D:$D,CONCATENATE("&lt;",EO$3),Movimientos!$C:$C,"&lt;0")</f>
        <v>0</v>
      </c>
      <c r="EP5" s="5">
        <f ca="1">SUMIFS(Movimientos!$C:$C,Movimientos!$A:$A,$B5,Movimientos!$D:$D,CONCATENATE("&lt;=",EP$3),Movimientos!$C:$C,"&gt;0")+SUMIFS(Movimientos!$C:$C,Movimientos!$A:$A,$B5,Movimientos!$D:$D,CONCATENATE("&lt;",EP$3),Movimientos!$C:$C,"&lt;0")</f>
        <v>0</v>
      </c>
      <c r="EQ5" s="5">
        <f ca="1">SUMIFS(Movimientos!$C:$C,Movimientos!$A:$A,$B5,Movimientos!$D:$D,CONCATENATE("&lt;=",EQ$3),Movimientos!$C:$C,"&gt;0")+SUMIFS(Movimientos!$C:$C,Movimientos!$A:$A,$B5,Movimientos!$D:$D,CONCATENATE("&lt;",EQ$3),Movimientos!$C:$C,"&lt;0")</f>
        <v>0</v>
      </c>
      <c r="ER5" s="5">
        <f ca="1">SUMIFS(Movimientos!$C:$C,Movimientos!$A:$A,$B5,Movimientos!$D:$D,CONCATENATE("&lt;=",ER$3),Movimientos!$C:$C,"&gt;0")+SUMIFS(Movimientos!$C:$C,Movimientos!$A:$A,$B5,Movimientos!$D:$D,CONCATENATE("&lt;",ER$3),Movimientos!$C:$C,"&lt;0")</f>
        <v>0</v>
      </c>
      <c r="ES5" s="5">
        <f ca="1">SUMIFS(Movimientos!$C:$C,Movimientos!$A:$A,$B5,Movimientos!$D:$D,CONCATENATE("&lt;=",ES$3),Movimientos!$C:$C,"&gt;0")+SUMIFS(Movimientos!$C:$C,Movimientos!$A:$A,$B5,Movimientos!$D:$D,CONCATENATE("&lt;",ES$3),Movimientos!$C:$C,"&lt;0")</f>
        <v>0</v>
      </c>
      <c r="ET5" s="5">
        <f ca="1">SUMIFS(Movimientos!$C:$C,Movimientos!$A:$A,$B5,Movimientos!$D:$D,CONCATENATE("&lt;=",ET$3),Movimientos!$C:$C,"&gt;0")+SUMIFS(Movimientos!$C:$C,Movimientos!$A:$A,$B5,Movimientos!$D:$D,CONCATENATE("&lt;",ET$3),Movimientos!$C:$C,"&lt;0")</f>
        <v>0</v>
      </c>
      <c r="EU5" s="5">
        <f ca="1">SUMIFS(Movimientos!$C:$C,Movimientos!$A:$A,$B5,Movimientos!$D:$D,CONCATENATE("&lt;=",EU$3),Movimientos!$C:$C,"&gt;0")+SUMIFS(Movimientos!$C:$C,Movimientos!$A:$A,$B5,Movimientos!$D:$D,CONCATENATE("&lt;",EU$3),Movimientos!$C:$C,"&lt;0")</f>
        <v>0</v>
      </c>
      <c r="EV5" s="5">
        <f ca="1">SUMIFS(Movimientos!$C:$C,Movimientos!$A:$A,$B5,Movimientos!$D:$D,CONCATENATE("&lt;=",EV$3),Movimientos!$C:$C,"&gt;0")+SUMIFS(Movimientos!$C:$C,Movimientos!$A:$A,$B5,Movimientos!$D:$D,CONCATENATE("&lt;",EV$3),Movimientos!$C:$C,"&lt;0")</f>
        <v>0</v>
      </c>
      <c r="EW5" s="5">
        <f ca="1">SUMIFS(Movimientos!$C:$C,Movimientos!$A:$A,$B5,Movimientos!$D:$D,CONCATENATE("&lt;=",EW$3),Movimientos!$C:$C,"&gt;0")+SUMIFS(Movimientos!$C:$C,Movimientos!$A:$A,$B5,Movimientos!$D:$D,CONCATENATE("&lt;",EW$3),Movimientos!$C:$C,"&lt;0")</f>
        <v>0</v>
      </c>
      <c r="EX5" s="5">
        <f ca="1">SUMIFS(Movimientos!$C:$C,Movimientos!$A:$A,$B5,Movimientos!$D:$D,CONCATENATE("&lt;=",EX$3),Movimientos!$C:$C,"&gt;0")+SUMIFS(Movimientos!$C:$C,Movimientos!$A:$A,$B5,Movimientos!$D:$D,CONCATENATE("&lt;",EX$3),Movimientos!$C:$C,"&lt;0")</f>
        <v>0</v>
      </c>
      <c r="EY5" s="5">
        <f ca="1">SUMIFS(Movimientos!$C:$C,Movimientos!$A:$A,$B5,Movimientos!$D:$D,CONCATENATE("&lt;=",EY$3),Movimientos!$C:$C,"&gt;0")+SUMIFS(Movimientos!$C:$C,Movimientos!$A:$A,$B5,Movimientos!$D:$D,CONCATENATE("&lt;",EY$3),Movimientos!$C:$C,"&lt;0")</f>
        <v>0</v>
      </c>
      <c r="EZ5" s="5">
        <f ca="1">SUMIFS(Movimientos!$C:$C,Movimientos!$A:$A,$B5,Movimientos!$D:$D,CONCATENATE("&lt;=",EZ$3),Movimientos!$C:$C,"&gt;0")+SUMIFS(Movimientos!$C:$C,Movimientos!$A:$A,$B5,Movimientos!$D:$D,CONCATENATE("&lt;",EZ$3),Movimientos!$C:$C,"&lt;0")</f>
        <v>0</v>
      </c>
      <c r="FA5" s="5">
        <f ca="1">SUMIFS(Movimientos!$C:$C,Movimientos!$A:$A,$B5,Movimientos!$D:$D,CONCATENATE("&lt;=",FA$3),Movimientos!$C:$C,"&gt;0")+SUMIFS(Movimientos!$C:$C,Movimientos!$A:$A,$B5,Movimientos!$D:$D,CONCATENATE("&lt;",FA$3),Movimientos!$C:$C,"&lt;0")</f>
        <v>0</v>
      </c>
      <c r="FB5" s="5">
        <f ca="1">SUMIFS(Movimientos!$C:$C,Movimientos!$A:$A,$B5,Movimientos!$D:$D,CONCATENATE("&lt;=",FB$3),Movimientos!$C:$C,"&gt;0")+SUMIFS(Movimientos!$C:$C,Movimientos!$A:$A,$B5,Movimientos!$D:$D,CONCATENATE("&lt;",FB$3),Movimientos!$C:$C,"&lt;0")</f>
        <v>0</v>
      </c>
      <c r="FC5" s="5">
        <f ca="1">SUMIFS(Movimientos!$C:$C,Movimientos!$A:$A,$B5,Movimientos!$D:$D,CONCATENATE("&lt;=",FC$3),Movimientos!$C:$C,"&gt;0")+SUMIFS(Movimientos!$C:$C,Movimientos!$A:$A,$B5,Movimientos!$D:$D,CONCATENATE("&lt;",FC$3),Movimientos!$C:$C,"&lt;0")</f>
        <v>0</v>
      </c>
      <c r="FD5" s="5">
        <f ca="1">SUMIFS(Movimientos!$C:$C,Movimientos!$A:$A,$B5,Movimientos!$D:$D,CONCATENATE("&lt;=",FD$3),Movimientos!$C:$C,"&gt;0")+SUMIFS(Movimientos!$C:$C,Movimientos!$A:$A,$B5,Movimientos!$D:$D,CONCATENATE("&lt;",FD$3),Movimientos!$C:$C,"&lt;0")</f>
        <v>0</v>
      </c>
      <c r="FE5" s="5">
        <f ca="1">SUMIFS(Movimientos!$C:$C,Movimientos!$A:$A,$B5,Movimientos!$D:$D,CONCATENATE("&lt;=",FE$3),Movimientos!$C:$C,"&gt;0")+SUMIFS(Movimientos!$C:$C,Movimientos!$A:$A,$B5,Movimientos!$D:$D,CONCATENATE("&lt;",FE$3),Movimientos!$C:$C,"&lt;0")</f>
        <v>0</v>
      </c>
      <c r="FF5" s="5">
        <f ca="1">SUMIFS(Movimientos!$C:$C,Movimientos!$A:$A,$B5,Movimientos!$D:$D,CONCATENATE("&lt;=",FF$3),Movimientos!$C:$C,"&gt;0")+SUMIFS(Movimientos!$C:$C,Movimientos!$A:$A,$B5,Movimientos!$D:$D,CONCATENATE("&lt;",FF$3),Movimientos!$C:$C,"&lt;0")</f>
        <v>0</v>
      </c>
      <c r="FG5" s="5">
        <f ca="1">SUMIFS(Movimientos!$C:$C,Movimientos!$A:$A,$B5,Movimientos!$D:$D,CONCATENATE("&lt;=",FG$3),Movimientos!$C:$C,"&gt;0")+SUMIFS(Movimientos!$C:$C,Movimientos!$A:$A,$B5,Movimientos!$D:$D,CONCATENATE("&lt;",FG$3),Movimientos!$C:$C,"&lt;0")</f>
        <v>0</v>
      </c>
      <c r="FH5" s="5">
        <f ca="1">SUMIFS(Movimientos!$C:$C,Movimientos!$A:$A,$B5,Movimientos!$D:$D,CONCATENATE("&lt;=",FH$3),Movimientos!$C:$C,"&gt;0")+SUMIFS(Movimientos!$C:$C,Movimientos!$A:$A,$B5,Movimientos!$D:$D,CONCATENATE("&lt;",FH$3),Movimientos!$C:$C,"&lt;0")</f>
        <v>0</v>
      </c>
      <c r="FI5" s="5">
        <f ca="1">SUMIFS(Movimientos!$C:$C,Movimientos!$A:$A,$B5,Movimientos!$D:$D,CONCATENATE("&lt;=",FI$3),Movimientos!$C:$C,"&gt;0")+SUMIFS(Movimientos!$C:$C,Movimientos!$A:$A,$B5,Movimientos!$D:$D,CONCATENATE("&lt;",FI$3),Movimientos!$C:$C,"&lt;0")</f>
        <v>0</v>
      </c>
      <c r="FJ5" s="5">
        <f ca="1">SUMIFS(Movimientos!$C:$C,Movimientos!$A:$A,$B5,Movimientos!$D:$D,CONCATENATE("&lt;=",FJ$3),Movimientos!$C:$C,"&gt;0")+SUMIFS(Movimientos!$C:$C,Movimientos!$A:$A,$B5,Movimientos!$D:$D,CONCATENATE("&lt;",FJ$3),Movimientos!$C:$C,"&lt;0")</f>
        <v>0</v>
      </c>
      <c r="FK5" s="5">
        <f ca="1">SUMIFS(Movimientos!$C:$C,Movimientos!$A:$A,$B5,Movimientos!$D:$D,CONCATENATE("&lt;=",FK$3),Movimientos!$C:$C,"&gt;0")+SUMIFS(Movimientos!$C:$C,Movimientos!$A:$A,$B5,Movimientos!$D:$D,CONCATENATE("&lt;",FK$3),Movimientos!$C:$C,"&lt;0")</f>
        <v>0</v>
      </c>
      <c r="FL5" s="5">
        <f ca="1">SUMIFS(Movimientos!$C:$C,Movimientos!$A:$A,$B5,Movimientos!$D:$D,CONCATENATE("&lt;=",FL$3),Movimientos!$C:$C,"&gt;0")+SUMIFS(Movimientos!$C:$C,Movimientos!$A:$A,$B5,Movimientos!$D:$D,CONCATENATE("&lt;",FL$3),Movimientos!$C:$C,"&lt;0")</f>
        <v>0</v>
      </c>
      <c r="FM5" s="5">
        <f ca="1">SUMIFS(Movimientos!$C:$C,Movimientos!$A:$A,$B5,Movimientos!$D:$D,CONCATENATE("&lt;=",FM$3),Movimientos!$C:$C,"&gt;0")+SUMIFS(Movimientos!$C:$C,Movimientos!$A:$A,$B5,Movimientos!$D:$D,CONCATENATE("&lt;",FM$3),Movimientos!$C:$C,"&lt;0")</f>
        <v>0</v>
      </c>
      <c r="FN5" s="5">
        <f ca="1">SUMIFS(Movimientos!$C:$C,Movimientos!$A:$A,$B5,Movimientos!$D:$D,CONCATENATE("&lt;=",FN$3),Movimientos!$C:$C,"&gt;0")+SUMIFS(Movimientos!$C:$C,Movimientos!$A:$A,$B5,Movimientos!$D:$D,CONCATENATE("&lt;",FN$3),Movimientos!$C:$C,"&lt;0")</f>
        <v>0</v>
      </c>
      <c r="FO5" s="5">
        <f ca="1">SUMIFS(Movimientos!$C:$C,Movimientos!$A:$A,$B5,Movimientos!$D:$D,CONCATENATE("&lt;=",FO$3),Movimientos!$C:$C,"&gt;0")+SUMIFS(Movimientos!$C:$C,Movimientos!$A:$A,$B5,Movimientos!$D:$D,CONCATENATE("&lt;",FO$3),Movimientos!$C:$C,"&lt;0")</f>
        <v>0</v>
      </c>
      <c r="FP5" s="5">
        <f ca="1">SUMIFS(Movimientos!$C:$C,Movimientos!$A:$A,$B5,Movimientos!$D:$D,CONCATENATE("&lt;=",FP$3),Movimientos!$C:$C,"&gt;0")+SUMIFS(Movimientos!$C:$C,Movimientos!$A:$A,$B5,Movimientos!$D:$D,CONCATENATE("&lt;",FP$3),Movimientos!$C:$C,"&lt;0")</f>
        <v>0</v>
      </c>
      <c r="FQ5" s="5">
        <f ca="1">SUMIFS(Movimientos!$C:$C,Movimientos!$A:$A,$B5,Movimientos!$D:$D,CONCATENATE("&lt;=",FQ$3),Movimientos!$C:$C,"&gt;0")+SUMIFS(Movimientos!$C:$C,Movimientos!$A:$A,$B5,Movimientos!$D:$D,CONCATENATE("&lt;",FQ$3),Movimientos!$C:$C,"&lt;0")</f>
        <v>0</v>
      </c>
      <c r="FR5" s="5">
        <f ca="1">SUMIFS(Movimientos!$C:$C,Movimientos!$A:$A,$B5,Movimientos!$D:$D,CONCATENATE("&lt;=",FR$3),Movimientos!$C:$C,"&gt;0")+SUMIFS(Movimientos!$C:$C,Movimientos!$A:$A,$B5,Movimientos!$D:$D,CONCATENATE("&lt;",FR$3),Movimientos!$C:$C,"&lt;0")</f>
        <v>0</v>
      </c>
      <c r="FS5" s="5">
        <f ca="1">SUMIFS(Movimientos!$C:$C,Movimientos!$A:$A,$B5,Movimientos!$D:$D,CONCATENATE("&lt;=",FS$3),Movimientos!$C:$C,"&gt;0")+SUMIFS(Movimientos!$C:$C,Movimientos!$A:$A,$B5,Movimientos!$D:$D,CONCATENATE("&lt;",FS$3),Movimientos!$C:$C,"&lt;0")</f>
        <v>0</v>
      </c>
      <c r="FT5" s="5">
        <f ca="1">SUMIFS(Movimientos!$C:$C,Movimientos!$A:$A,$B5,Movimientos!$D:$D,CONCATENATE("&lt;=",FT$3),Movimientos!$C:$C,"&gt;0")+SUMIFS(Movimientos!$C:$C,Movimientos!$A:$A,$B5,Movimientos!$D:$D,CONCATENATE("&lt;",FT$3),Movimientos!$C:$C,"&lt;0")</f>
        <v>0</v>
      </c>
      <c r="FU5" s="5">
        <f ca="1">SUMIFS(Movimientos!$C:$C,Movimientos!$A:$A,$B5,Movimientos!$D:$D,CONCATENATE("&lt;=",FU$3),Movimientos!$C:$C,"&gt;0")+SUMIFS(Movimientos!$C:$C,Movimientos!$A:$A,$B5,Movimientos!$D:$D,CONCATENATE("&lt;",FU$3),Movimientos!$C:$C,"&lt;0")</f>
        <v>0</v>
      </c>
      <c r="FV5" s="5">
        <f ca="1">SUMIFS(Movimientos!$C:$C,Movimientos!$A:$A,$B5,Movimientos!$D:$D,CONCATENATE("&lt;=",FV$3),Movimientos!$C:$C,"&gt;0")+SUMIFS(Movimientos!$C:$C,Movimientos!$A:$A,$B5,Movimientos!$D:$D,CONCATENATE("&lt;",FV$3),Movimientos!$C:$C,"&lt;0")</f>
        <v>0</v>
      </c>
      <c r="FW5" s="5">
        <f ca="1">SUMIFS(Movimientos!$C:$C,Movimientos!$A:$A,$B5,Movimientos!$D:$D,CONCATENATE("&lt;=",FW$3),Movimientos!$C:$C,"&gt;0")+SUMIFS(Movimientos!$C:$C,Movimientos!$A:$A,$B5,Movimientos!$D:$D,CONCATENATE("&lt;",FW$3),Movimientos!$C:$C,"&lt;0")</f>
        <v>0</v>
      </c>
      <c r="FX5" s="5">
        <f ca="1">SUMIFS(Movimientos!$C:$C,Movimientos!$A:$A,$B5,Movimientos!$D:$D,CONCATENATE("&lt;=",FX$3),Movimientos!$C:$C,"&gt;0")+SUMIFS(Movimientos!$C:$C,Movimientos!$A:$A,$B5,Movimientos!$D:$D,CONCATENATE("&lt;",FX$3),Movimientos!$C:$C,"&lt;0")</f>
        <v>0</v>
      </c>
      <c r="FY5" s="5">
        <f ca="1">SUMIFS(Movimientos!$C:$C,Movimientos!$A:$A,$B5,Movimientos!$D:$D,CONCATENATE("&lt;=",FY$3),Movimientos!$C:$C,"&gt;0")+SUMIFS(Movimientos!$C:$C,Movimientos!$A:$A,$B5,Movimientos!$D:$D,CONCATENATE("&lt;",FY$3),Movimientos!$C:$C,"&lt;0")</f>
        <v>0</v>
      </c>
      <c r="FZ5" s="5">
        <f ca="1">SUMIFS(Movimientos!$C:$C,Movimientos!$A:$A,$B5,Movimientos!$D:$D,CONCATENATE("&lt;=",FZ$3),Movimientos!$C:$C,"&gt;0")+SUMIFS(Movimientos!$C:$C,Movimientos!$A:$A,$B5,Movimientos!$D:$D,CONCATENATE("&lt;",FZ$3),Movimientos!$C:$C,"&lt;0")</f>
        <v>0</v>
      </c>
      <c r="GA5" s="5">
        <f ca="1">SUMIFS(Movimientos!$C:$C,Movimientos!$A:$A,$B5,Movimientos!$D:$D,CONCATENATE("&lt;=",GA$3),Movimientos!$C:$C,"&gt;0")+SUMIFS(Movimientos!$C:$C,Movimientos!$A:$A,$B5,Movimientos!$D:$D,CONCATENATE("&lt;",GA$3),Movimientos!$C:$C,"&lt;0")</f>
        <v>0</v>
      </c>
      <c r="GB5" s="5">
        <f ca="1">SUMIFS(Movimientos!$C:$C,Movimientos!$A:$A,$B5,Movimientos!$D:$D,CONCATENATE("&lt;=",GB$3),Movimientos!$C:$C,"&gt;0")+SUMIFS(Movimientos!$C:$C,Movimientos!$A:$A,$B5,Movimientos!$D:$D,CONCATENATE("&lt;",GB$3),Movimientos!$C:$C,"&lt;0")</f>
        <v>0</v>
      </c>
      <c r="GC5" s="5">
        <f ca="1">SUMIFS(Movimientos!$C:$C,Movimientos!$A:$A,$B5,Movimientos!$D:$D,CONCATENATE("&lt;=",GC$3),Movimientos!$C:$C,"&gt;0")+SUMIFS(Movimientos!$C:$C,Movimientos!$A:$A,$B5,Movimientos!$D:$D,CONCATENATE("&lt;",GC$3),Movimientos!$C:$C,"&lt;0")</f>
        <v>0</v>
      </c>
      <c r="GD5" s="5">
        <f ca="1">SUMIFS(Movimientos!$C:$C,Movimientos!$A:$A,$B5,Movimientos!$D:$D,CONCATENATE("&lt;=",GD$3),Movimientos!$C:$C,"&gt;0")+SUMIFS(Movimientos!$C:$C,Movimientos!$A:$A,$B5,Movimientos!$D:$D,CONCATENATE("&lt;",GD$3),Movimientos!$C:$C,"&lt;0")</f>
        <v>0</v>
      </c>
      <c r="GE5" s="5">
        <f ca="1">SUMIFS(Movimientos!$C:$C,Movimientos!$A:$A,$B5,Movimientos!$D:$D,CONCATENATE("&lt;=",GE$3),Movimientos!$C:$C,"&gt;0")+SUMIFS(Movimientos!$C:$C,Movimientos!$A:$A,$B5,Movimientos!$D:$D,CONCATENATE("&lt;",GE$3),Movimientos!$C:$C,"&lt;0")</f>
        <v>0</v>
      </c>
      <c r="GF5" s="5">
        <f ca="1">SUMIFS(Movimientos!$C:$C,Movimientos!$A:$A,$B5,Movimientos!$D:$D,CONCATENATE("&lt;=",GF$3),Movimientos!$C:$C,"&gt;0")+SUMIFS(Movimientos!$C:$C,Movimientos!$A:$A,$B5,Movimientos!$D:$D,CONCATENATE("&lt;",GF$3),Movimientos!$C:$C,"&lt;0")</f>
        <v>0</v>
      </c>
      <c r="GG5" s="5">
        <f ca="1">SUMIFS(Movimientos!$C:$C,Movimientos!$A:$A,$B5,Movimientos!$D:$D,CONCATENATE("&lt;=",GG$3),Movimientos!$C:$C,"&gt;0")+SUMIFS(Movimientos!$C:$C,Movimientos!$A:$A,$B5,Movimientos!$D:$D,CONCATENATE("&lt;",GG$3),Movimientos!$C:$C,"&lt;0")</f>
        <v>0</v>
      </c>
      <c r="GH5" s="5">
        <f ca="1">SUMIFS(Movimientos!$C:$C,Movimientos!$A:$A,$B5,Movimientos!$D:$D,CONCATENATE("&lt;=",GH$3),Movimientos!$C:$C,"&gt;0")+SUMIFS(Movimientos!$C:$C,Movimientos!$A:$A,$B5,Movimientos!$D:$D,CONCATENATE("&lt;",GH$3),Movimientos!$C:$C,"&lt;0")</f>
        <v>0</v>
      </c>
      <c r="GI5" s="5">
        <f ca="1">SUMIFS(Movimientos!$C:$C,Movimientos!$A:$A,$B5,Movimientos!$D:$D,CONCATENATE("&lt;=",GI$3),Movimientos!$C:$C,"&gt;0")+SUMIFS(Movimientos!$C:$C,Movimientos!$A:$A,$B5,Movimientos!$D:$D,CONCATENATE("&lt;",GI$3),Movimientos!$C:$C,"&lt;0")</f>
        <v>0</v>
      </c>
      <c r="GJ5" s="5">
        <f ca="1">SUMIFS(Movimientos!$C:$C,Movimientos!$A:$A,$B5,Movimientos!$D:$D,CONCATENATE("&lt;=",GJ$3),Movimientos!$C:$C,"&gt;0")+SUMIFS(Movimientos!$C:$C,Movimientos!$A:$A,$B5,Movimientos!$D:$D,CONCATENATE("&lt;",GJ$3),Movimientos!$C:$C,"&lt;0")</f>
        <v>0</v>
      </c>
      <c r="GK5" s="5">
        <f ca="1">SUMIFS(Movimientos!$C:$C,Movimientos!$A:$A,$B5,Movimientos!$D:$D,CONCATENATE("&lt;=",GK$3),Movimientos!$C:$C,"&gt;0")+SUMIFS(Movimientos!$C:$C,Movimientos!$A:$A,$B5,Movimientos!$D:$D,CONCATENATE("&lt;",GK$3),Movimientos!$C:$C,"&lt;0")</f>
        <v>0</v>
      </c>
      <c r="GL5" s="5">
        <f ca="1">SUMIFS(Movimientos!$C:$C,Movimientos!$A:$A,$B5,Movimientos!$D:$D,CONCATENATE("&lt;=",GL$3),Movimientos!$C:$C,"&gt;0")+SUMIFS(Movimientos!$C:$C,Movimientos!$A:$A,$B5,Movimientos!$D:$D,CONCATENATE("&lt;",GL$3),Movimientos!$C:$C,"&lt;0")</f>
        <v>0</v>
      </c>
      <c r="GM5" s="5">
        <f ca="1">SUMIFS(Movimientos!$C:$C,Movimientos!$A:$A,$B5,Movimientos!$D:$D,CONCATENATE("&lt;=",GM$3),Movimientos!$C:$C,"&gt;0")+SUMIFS(Movimientos!$C:$C,Movimientos!$A:$A,$B5,Movimientos!$D:$D,CONCATENATE("&lt;",GM$3),Movimientos!$C:$C,"&lt;0")</f>
        <v>0</v>
      </c>
      <c r="GN5" s="5">
        <f ca="1">SUMIFS(Movimientos!$C:$C,Movimientos!$A:$A,$B5,Movimientos!$D:$D,CONCATENATE("&lt;=",GN$3),Movimientos!$C:$C,"&gt;0")+SUMIFS(Movimientos!$C:$C,Movimientos!$A:$A,$B5,Movimientos!$D:$D,CONCATENATE("&lt;",GN$3),Movimientos!$C:$C,"&lt;0")</f>
        <v>0</v>
      </c>
      <c r="GO5" s="5">
        <f ca="1">SUMIFS(Movimientos!$C:$C,Movimientos!$A:$A,$B5,Movimientos!$D:$D,CONCATENATE("&lt;=",GO$3),Movimientos!$C:$C,"&gt;0")+SUMIFS(Movimientos!$C:$C,Movimientos!$A:$A,$B5,Movimientos!$D:$D,CONCATENATE("&lt;",GO$3),Movimientos!$C:$C,"&lt;0")</f>
        <v>0</v>
      </c>
      <c r="GP5" s="5">
        <f ca="1">SUMIFS(Movimientos!$C:$C,Movimientos!$A:$A,$B5,Movimientos!$D:$D,CONCATENATE("&lt;=",GP$3),Movimientos!$C:$C,"&gt;0")+SUMIFS(Movimientos!$C:$C,Movimientos!$A:$A,$B5,Movimientos!$D:$D,CONCATENATE("&lt;",GP$3),Movimientos!$C:$C,"&lt;0")</f>
        <v>0</v>
      </c>
      <c r="GQ5" s="5">
        <f ca="1">SUMIFS(Movimientos!$C:$C,Movimientos!$A:$A,$B5,Movimientos!$D:$D,CONCATENATE("&lt;=",GQ$3),Movimientos!$C:$C,"&gt;0")+SUMIFS(Movimientos!$C:$C,Movimientos!$A:$A,$B5,Movimientos!$D:$D,CONCATENATE("&lt;",GQ$3),Movimientos!$C:$C,"&lt;0")</f>
        <v>0</v>
      </c>
      <c r="GR5" s="5">
        <f ca="1">SUMIFS(Movimientos!$C:$C,Movimientos!$A:$A,$B5,Movimientos!$D:$D,CONCATENATE("&lt;=",GR$3),Movimientos!$C:$C,"&gt;0")+SUMIFS(Movimientos!$C:$C,Movimientos!$A:$A,$B5,Movimientos!$D:$D,CONCATENATE("&lt;",GR$3),Movimientos!$C:$C,"&lt;0")</f>
        <v>0</v>
      </c>
      <c r="GS5" s="5">
        <f ca="1">SUMIFS(Movimientos!$C:$C,Movimientos!$A:$A,$B5,Movimientos!$D:$D,CONCATENATE("&lt;=",GS$3),Movimientos!$C:$C,"&gt;0")+SUMIFS(Movimientos!$C:$C,Movimientos!$A:$A,$B5,Movimientos!$D:$D,CONCATENATE("&lt;",GS$3),Movimientos!$C:$C,"&lt;0")</f>
        <v>0</v>
      </c>
      <c r="GT5" s="5">
        <f ca="1">SUMIFS(Movimientos!$C:$C,Movimientos!$A:$A,$B5,Movimientos!$D:$D,CONCATENATE("&lt;=",GT$3),Movimientos!$C:$C,"&gt;0")+SUMIFS(Movimientos!$C:$C,Movimientos!$A:$A,$B5,Movimientos!$D:$D,CONCATENATE("&lt;",GT$3),Movimientos!$C:$C,"&lt;0")</f>
        <v>0</v>
      </c>
      <c r="GU5" s="5">
        <f ca="1">SUMIFS(Movimientos!$C:$C,Movimientos!$A:$A,$B5,Movimientos!$D:$D,CONCATENATE("&lt;=",GU$3),Movimientos!$C:$C,"&gt;0")+SUMIFS(Movimientos!$C:$C,Movimientos!$A:$A,$B5,Movimientos!$D:$D,CONCATENATE("&lt;",GU$3),Movimientos!$C:$C,"&lt;0")</f>
        <v>0</v>
      </c>
      <c r="GV5" s="5">
        <f ca="1">SUMIFS(Movimientos!$C:$C,Movimientos!$A:$A,$B5,Movimientos!$D:$D,CONCATENATE("&lt;=",GV$3),Movimientos!$C:$C,"&gt;0")+SUMIFS(Movimientos!$C:$C,Movimientos!$A:$A,$B5,Movimientos!$D:$D,CONCATENATE("&lt;",GV$3),Movimientos!$C:$C,"&lt;0")</f>
        <v>0</v>
      </c>
      <c r="GW5" s="5">
        <f ca="1">SUMIFS(Movimientos!$C:$C,Movimientos!$A:$A,$B5,Movimientos!$D:$D,CONCATENATE("&lt;=",GW$3),Movimientos!$C:$C,"&gt;0")+SUMIFS(Movimientos!$C:$C,Movimientos!$A:$A,$B5,Movimientos!$D:$D,CONCATENATE("&lt;",GW$3),Movimientos!$C:$C,"&lt;0")</f>
        <v>0</v>
      </c>
      <c r="GX5" s="5">
        <f ca="1">SUMIFS(Movimientos!$C:$C,Movimientos!$A:$A,$B5,Movimientos!$D:$D,CONCATENATE("&lt;=",GX$3),Movimientos!$C:$C,"&gt;0")+SUMIFS(Movimientos!$C:$C,Movimientos!$A:$A,$B5,Movimientos!$D:$D,CONCATENATE("&lt;",GX$3),Movimientos!$C:$C,"&lt;0")</f>
        <v>0</v>
      </c>
      <c r="GY5" s="5">
        <f ca="1">SUMIFS(Movimientos!$C:$C,Movimientos!$A:$A,$B5,Movimientos!$D:$D,CONCATENATE("&lt;=",GY$3),Movimientos!$C:$C,"&gt;0")+SUMIFS(Movimientos!$C:$C,Movimientos!$A:$A,$B5,Movimientos!$D:$D,CONCATENATE("&lt;",GY$3),Movimientos!$C:$C,"&lt;0")</f>
        <v>0</v>
      </c>
      <c r="GZ5" s="5">
        <f ca="1">SUMIFS(Movimientos!$C:$C,Movimientos!$A:$A,$B5,Movimientos!$D:$D,CONCATENATE("&lt;=",GZ$3),Movimientos!$C:$C,"&gt;0")+SUMIFS(Movimientos!$C:$C,Movimientos!$A:$A,$B5,Movimientos!$D:$D,CONCATENATE("&lt;",GZ$3),Movimientos!$C:$C,"&lt;0")</f>
        <v>0</v>
      </c>
      <c r="HA5" s="5">
        <f ca="1">SUMIFS(Movimientos!$C:$C,Movimientos!$A:$A,$B5,Movimientos!$D:$D,CONCATENATE("&lt;=",HA$3),Movimientos!$C:$C,"&gt;0")+SUMIFS(Movimientos!$C:$C,Movimientos!$A:$A,$B5,Movimientos!$D:$D,CONCATENATE("&lt;",HA$3),Movimientos!$C:$C,"&lt;0")</f>
        <v>0</v>
      </c>
      <c r="HB5" s="5">
        <f ca="1">SUMIFS(Movimientos!$C:$C,Movimientos!$A:$A,$B5,Movimientos!$D:$D,CONCATENATE("&lt;=",HB$3),Movimientos!$C:$C,"&gt;0")+SUMIFS(Movimientos!$C:$C,Movimientos!$A:$A,$B5,Movimientos!$D:$D,CONCATENATE("&lt;",HB$3),Movimientos!$C:$C,"&lt;0")</f>
        <v>0</v>
      </c>
      <c r="HC5" s="5">
        <f ca="1">SUMIFS(Movimientos!$C:$C,Movimientos!$A:$A,$B5,Movimientos!$D:$D,CONCATENATE("&lt;=",HC$3),Movimientos!$C:$C,"&gt;0")+SUMIFS(Movimientos!$C:$C,Movimientos!$A:$A,$B5,Movimientos!$D:$D,CONCATENATE("&lt;",HC$3),Movimientos!$C:$C,"&lt;0")</f>
        <v>0</v>
      </c>
      <c r="HD5" s="5">
        <f ca="1">SUMIFS(Movimientos!$C:$C,Movimientos!$A:$A,$B5,Movimientos!$D:$D,CONCATENATE("&lt;=",HD$3),Movimientos!$C:$C,"&gt;0")+SUMIFS(Movimientos!$C:$C,Movimientos!$A:$A,$B5,Movimientos!$D:$D,CONCATENATE("&lt;",HD$3),Movimientos!$C:$C,"&lt;0")</f>
        <v>0</v>
      </c>
      <c r="HE5" s="5">
        <f ca="1">SUMIFS(Movimientos!$C:$C,Movimientos!$A:$A,$B5,Movimientos!$D:$D,CONCATENATE("&lt;=",HE$3),Movimientos!$C:$C,"&gt;0")+SUMIFS(Movimientos!$C:$C,Movimientos!$A:$A,$B5,Movimientos!$D:$D,CONCATENATE("&lt;",HE$3),Movimientos!$C:$C,"&lt;0")</f>
        <v>0</v>
      </c>
      <c r="HF5" s="5">
        <f ca="1">SUMIFS(Movimientos!$C:$C,Movimientos!$A:$A,$B5,Movimientos!$D:$D,CONCATENATE("&lt;=",HF$3),Movimientos!$C:$C,"&gt;0")+SUMIFS(Movimientos!$C:$C,Movimientos!$A:$A,$B5,Movimientos!$D:$D,CONCATENATE("&lt;",HF$3),Movimientos!$C:$C,"&lt;0")</f>
        <v>0</v>
      </c>
      <c r="HG5" s="5">
        <f ca="1">SUMIFS(Movimientos!$C:$C,Movimientos!$A:$A,$B5,Movimientos!$D:$D,CONCATENATE("&lt;=",HG$3),Movimientos!$C:$C,"&gt;0")+SUMIFS(Movimientos!$C:$C,Movimientos!$A:$A,$B5,Movimientos!$D:$D,CONCATENATE("&lt;",HG$3),Movimientos!$C:$C,"&lt;0")</f>
        <v>0</v>
      </c>
      <c r="HH5" s="5">
        <f ca="1">SUMIFS(Movimientos!$C:$C,Movimientos!$A:$A,$B5,Movimientos!$D:$D,CONCATENATE("&lt;=",HH$3),Movimientos!$C:$C,"&gt;0")+SUMIFS(Movimientos!$C:$C,Movimientos!$A:$A,$B5,Movimientos!$D:$D,CONCATENATE("&lt;",HH$3),Movimientos!$C:$C,"&lt;0")</f>
        <v>0</v>
      </c>
      <c r="HI5" s="5">
        <f ca="1">SUMIFS(Movimientos!$C:$C,Movimientos!$A:$A,$B5,Movimientos!$D:$D,CONCATENATE("&lt;=",HI$3),Movimientos!$C:$C,"&gt;0")+SUMIFS(Movimientos!$C:$C,Movimientos!$A:$A,$B5,Movimientos!$D:$D,CONCATENATE("&lt;",HI$3),Movimientos!$C:$C,"&lt;0")</f>
        <v>0</v>
      </c>
      <c r="HJ5" s="5">
        <f ca="1">SUMIFS(Movimientos!$C:$C,Movimientos!$A:$A,$B5,Movimientos!$D:$D,CONCATENATE("&lt;=",HJ$3),Movimientos!$C:$C,"&gt;0")+SUMIFS(Movimientos!$C:$C,Movimientos!$A:$A,$B5,Movimientos!$D:$D,CONCATENATE("&lt;",HJ$3),Movimientos!$C:$C,"&lt;0")</f>
        <v>0</v>
      </c>
      <c r="HK5" s="5">
        <f ca="1">SUMIFS(Movimientos!$C:$C,Movimientos!$A:$A,$B5,Movimientos!$D:$D,CONCATENATE("&lt;=",HK$3),Movimientos!$C:$C,"&gt;0")+SUMIFS(Movimientos!$C:$C,Movimientos!$A:$A,$B5,Movimientos!$D:$D,CONCATENATE("&lt;",HK$3),Movimientos!$C:$C,"&lt;0")</f>
        <v>0</v>
      </c>
      <c r="HL5" s="5">
        <f ca="1">SUMIFS(Movimientos!$C:$C,Movimientos!$A:$A,$B5,Movimientos!$D:$D,CONCATENATE("&lt;=",HL$3),Movimientos!$C:$C,"&gt;0")+SUMIFS(Movimientos!$C:$C,Movimientos!$A:$A,$B5,Movimientos!$D:$D,CONCATENATE("&lt;",HL$3),Movimientos!$C:$C,"&lt;0")</f>
        <v>0</v>
      </c>
      <c r="HM5" s="5">
        <f ca="1">SUMIFS(Movimientos!$C:$C,Movimientos!$A:$A,$B5,Movimientos!$D:$D,CONCATENATE("&lt;=",HM$3),Movimientos!$C:$C,"&gt;0")+SUMIFS(Movimientos!$C:$C,Movimientos!$A:$A,$B5,Movimientos!$D:$D,CONCATENATE("&lt;",HM$3),Movimientos!$C:$C,"&lt;0")</f>
        <v>0</v>
      </c>
      <c r="HN5" s="5">
        <f ca="1">SUMIFS(Movimientos!$C:$C,Movimientos!$A:$A,$B5,Movimientos!$D:$D,CONCATENATE("&lt;=",HN$3),Movimientos!$C:$C,"&gt;0")+SUMIFS(Movimientos!$C:$C,Movimientos!$A:$A,$B5,Movimientos!$D:$D,CONCATENATE("&lt;",HN$3),Movimientos!$C:$C,"&lt;0")</f>
        <v>0</v>
      </c>
      <c r="HO5" s="5">
        <f ca="1">SUMIFS(Movimientos!$C:$C,Movimientos!$A:$A,$B5,Movimientos!$D:$D,CONCATENATE("&lt;=",HO$3),Movimientos!$C:$C,"&gt;0")+SUMIFS(Movimientos!$C:$C,Movimientos!$A:$A,$B5,Movimientos!$D:$D,CONCATENATE("&lt;",HO$3),Movimientos!$C:$C,"&lt;0")</f>
        <v>0</v>
      </c>
      <c r="HP5" s="5">
        <f ca="1">SUMIFS(Movimientos!$C:$C,Movimientos!$A:$A,$B5,Movimientos!$D:$D,CONCATENATE("&lt;=",HP$3),Movimientos!$C:$C,"&gt;0")+SUMIFS(Movimientos!$C:$C,Movimientos!$A:$A,$B5,Movimientos!$D:$D,CONCATENATE("&lt;",HP$3),Movimientos!$C:$C,"&lt;0")</f>
        <v>0</v>
      </c>
      <c r="HQ5" s="5">
        <f ca="1">SUMIFS(Movimientos!$C:$C,Movimientos!$A:$A,$B5,Movimientos!$D:$D,CONCATENATE("&lt;=",HQ$3),Movimientos!$C:$C,"&gt;0")+SUMIFS(Movimientos!$C:$C,Movimientos!$A:$A,$B5,Movimientos!$D:$D,CONCATENATE("&lt;",HQ$3),Movimientos!$C:$C,"&lt;0")</f>
        <v>0</v>
      </c>
      <c r="HR5" s="5">
        <f ca="1">SUMIFS(Movimientos!$C:$C,Movimientos!$A:$A,$B5,Movimientos!$D:$D,CONCATENATE("&lt;=",HR$3),Movimientos!$C:$C,"&gt;0")+SUMIFS(Movimientos!$C:$C,Movimientos!$A:$A,$B5,Movimientos!$D:$D,CONCATENATE("&lt;",HR$3),Movimientos!$C:$C,"&lt;0")</f>
        <v>0</v>
      </c>
      <c r="HS5" s="5">
        <f ca="1">SUMIFS(Movimientos!$C:$C,Movimientos!$A:$A,$B5,Movimientos!$D:$D,CONCATENATE("&lt;=",HS$3),Movimientos!$C:$C,"&gt;0")+SUMIFS(Movimientos!$C:$C,Movimientos!$A:$A,$B5,Movimientos!$D:$D,CONCATENATE("&lt;",HS$3),Movimientos!$C:$C,"&lt;0")</f>
        <v>0</v>
      </c>
      <c r="HT5" s="5">
        <f ca="1">SUMIFS(Movimientos!$C:$C,Movimientos!$A:$A,$B5,Movimientos!$D:$D,CONCATENATE("&lt;=",HT$3),Movimientos!$C:$C,"&gt;0")+SUMIFS(Movimientos!$C:$C,Movimientos!$A:$A,$B5,Movimientos!$D:$D,CONCATENATE("&lt;",HT$3),Movimientos!$C:$C,"&lt;0")</f>
        <v>0</v>
      </c>
      <c r="HU5" s="5">
        <f ca="1">SUMIFS(Movimientos!$C:$C,Movimientos!$A:$A,$B5,Movimientos!$D:$D,CONCATENATE("&lt;=",HU$3),Movimientos!$C:$C,"&gt;0")+SUMIFS(Movimientos!$C:$C,Movimientos!$A:$A,$B5,Movimientos!$D:$D,CONCATENATE("&lt;",HU$3),Movimientos!$C:$C,"&lt;0")</f>
        <v>0</v>
      </c>
      <c r="HV5" s="5">
        <f ca="1">SUMIFS(Movimientos!$C:$C,Movimientos!$A:$A,$B5,Movimientos!$D:$D,CONCATENATE("&lt;=",HV$3),Movimientos!$C:$C,"&gt;0")+SUMIFS(Movimientos!$C:$C,Movimientos!$A:$A,$B5,Movimientos!$D:$D,CONCATENATE("&lt;",HV$3),Movimientos!$C:$C,"&lt;0")</f>
        <v>0</v>
      </c>
      <c r="HW5" s="5">
        <f ca="1">SUMIFS(Movimientos!$C:$C,Movimientos!$A:$A,$B5,Movimientos!$D:$D,CONCATENATE("&lt;=",HW$3),Movimientos!$C:$C,"&gt;0")+SUMIFS(Movimientos!$C:$C,Movimientos!$A:$A,$B5,Movimientos!$D:$D,CONCATENATE("&lt;",HW$3),Movimientos!$C:$C,"&lt;0")</f>
        <v>0</v>
      </c>
      <c r="HX5" s="5">
        <f ca="1">SUMIFS(Movimientos!$C:$C,Movimientos!$A:$A,$B5,Movimientos!$D:$D,CONCATENATE("&lt;=",HX$3),Movimientos!$C:$C,"&gt;0")+SUMIFS(Movimientos!$C:$C,Movimientos!$A:$A,$B5,Movimientos!$D:$D,CONCATENATE("&lt;",HX$3),Movimientos!$C:$C,"&lt;0")</f>
        <v>0</v>
      </c>
      <c r="HY5" s="5">
        <f ca="1">SUMIFS(Movimientos!$C:$C,Movimientos!$A:$A,$B5,Movimientos!$D:$D,CONCATENATE("&lt;=",HY$3),Movimientos!$C:$C,"&gt;0")+SUMIFS(Movimientos!$C:$C,Movimientos!$A:$A,$B5,Movimientos!$D:$D,CONCATENATE("&lt;",HY$3),Movimientos!$C:$C,"&lt;0")</f>
        <v>0</v>
      </c>
      <c r="HZ5" s="5">
        <f ca="1">SUMIFS(Movimientos!$C:$C,Movimientos!$A:$A,$B5,Movimientos!$D:$D,CONCATENATE("&lt;=",HZ$3),Movimientos!$C:$C,"&gt;0")+SUMIFS(Movimientos!$C:$C,Movimientos!$A:$A,$B5,Movimientos!$D:$D,CONCATENATE("&lt;",HZ$3),Movimientos!$C:$C,"&lt;0")</f>
        <v>0</v>
      </c>
      <c r="IA5" s="5">
        <f ca="1">SUMIFS(Movimientos!$C:$C,Movimientos!$A:$A,$B5,Movimientos!$D:$D,CONCATENATE("&lt;=",IA$3),Movimientos!$C:$C,"&gt;0")+SUMIFS(Movimientos!$C:$C,Movimientos!$A:$A,$B5,Movimientos!$D:$D,CONCATENATE("&lt;",IA$3),Movimientos!$C:$C,"&lt;0")</f>
        <v>0</v>
      </c>
      <c r="IB5" s="5">
        <f ca="1">SUMIFS(Movimientos!$C:$C,Movimientos!$A:$A,$B5,Movimientos!$D:$D,CONCATENATE("&lt;=",IB$3),Movimientos!$C:$C,"&gt;0")+SUMIFS(Movimientos!$C:$C,Movimientos!$A:$A,$B5,Movimientos!$D:$D,CONCATENATE("&lt;",IB$3),Movimientos!$C:$C,"&lt;0")</f>
        <v>0</v>
      </c>
      <c r="IC5" s="5">
        <f ca="1">SUMIFS(Movimientos!$C:$C,Movimientos!$A:$A,$B5,Movimientos!$D:$D,CONCATENATE("&lt;=",IC$3),Movimientos!$C:$C,"&gt;0")+SUMIFS(Movimientos!$C:$C,Movimientos!$A:$A,$B5,Movimientos!$D:$D,CONCATENATE("&lt;",IC$3),Movimientos!$C:$C,"&lt;0")</f>
        <v>0</v>
      </c>
      <c r="ID5" s="5">
        <f ca="1">SUMIFS(Movimientos!$C:$C,Movimientos!$A:$A,$B5,Movimientos!$D:$D,CONCATENATE("&lt;=",ID$3),Movimientos!$C:$C,"&gt;0")+SUMIFS(Movimientos!$C:$C,Movimientos!$A:$A,$B5,Movimientos!$D:$D,CONCATENATE("&lt;",ID$3),Movimientos!$C:$C,"&lt;0")</f>
        <v>0</v>
      </c>
      <c r="IE5" s="5">
        <f ca="1">SUMIFS(Movimientos!$C:$C,Movimientos!$A:$A,$B5,Movimientos!$D:$D,CONCATENATE("&lt;=",IE$3),Movimientos!$C:$C,"&gt;0")+SUMIFS(Movimientos!$C:$C,Movimientos!$A:$A,$B5,Movimientos!$D:$D,CONCATENATE("&lt;",IE$3),Movimientos!$C:$C,"&lt;0")</f>
        <v>0</v>
      </c>
      <c r="IF5" s="5">
        <f ca="1">SUMIFS(Movimientos!$C:$C,Movimientos!$A:$A,$B5,Movimientos!$D:$D,CONCATENATE("&lt;=",IF$3),Movimientos!$C:$C,"&gt;0")+SUMIFS(Movimientos!$C:$C,Movimientos!$A:$A,$B5,Movimientos!$D:$D,CONCATENATE("&lt;",IF$3),Movimientos!$C:$C,"&lt;0")</f>
        <v>0</v>
      </c>
      <c r="IG5" s="5">
        <f ca="1">SUMIFS(Movimientos!$C:$C,Movimientos!$A:$A,$B5,Movimientos!$D:$D,CONCATENATE("&lt;=",IG$3),Movimientos!$C:$C,"&gt;0")+SUMIFS(Movimientos!$C:$C,Movimientos!$A:$A,$B5,Movimientos!$D:$D,CONCATENATE("&lt;",IG$3),Movimientos!$C:$C,"&lt;0")</f>
        <v>0</v>
      </c>
      <c r="IH5" s="5">
        <f ca="1">SUMIFS(Movimientos!$C:$C,Movimientos!$A:$A,$B5,Movimientos!$D:$D,CONCATENATE("&lt;=",IH$3),Movimientos!$C:$C,"&gt;0")+SUMIFS(Movimientos!$C:$C,Movimientos!$A:$A,$B5,Movimientos!$D:$D,CONCATENATE("&lt;",IH$3),Movimientos!$C:$C,"&lt;0")</f>
        <v>0</v>
      </c>
      <c r="II5" s="5">
        <f ca="1">SUMIFS(Movimientos!$C:$C,Movimientos!$A:$A,$B5,Movimientos!$D:$D,CONCATENATE("&lt;=",II$3),Movimientos!$C:$C,"&gt;0")+SUMIFS(Movimientos!$C:$C,Movimientos!$A:$A,$B5,Movimientos!$D:$D,CONCATENATE("&lt;",II$3),Movimientos!$C:$C,"&lt;0")</f>
        <v>0</v>
      </c>
      <c r="IJ5" s="5">
        <f ca="1">SUMIFS(Movimientos!$C:$C,Movimientos!$A:$A,$B5,Movimientos!$D:$D,CONCATENATE("&lt;=",IJ$3),Movimientos!$C:$C,"&gt;0")+SUMIFS(Movimientos!$C:$C,Movimientos!$A:$A,$B5,Movimientos!$D:$D,CONCATENATE("&lt;",IJ$3),Movimientos!$C:$C,"&lt;0")</f>
        <v>0</v>
      </c>
      <c r="IK5" s="5">
        <f ca="1">SUMIFS(Movimientos!$C:$C,Movimientos!$A:$A,$B5,Movimientos!$D:$D,CONCATENATE("&lt;=",IK$3),Movimientos!$C:$C,"&gt;0")+SUMIFS(Movimientos!$C:$C,Movimientos!$A:$A,$B5,Movimientos!$D:$D,CONCATENATE("&lt;",IK$3),Movimientos!$C:$C,"&lt;0")</f>
        <v>0</v>
      </c>
      <c r="IL5" s="5">
        <f ca="1">SUMIFS(Movimientos!$C:$C,Movimientos!$A:$A,$B5,Movimientos!$D:$D,CONCATENATE("&lt;=",IL$3),Movimientos!$C:$C,"&gt;0")+SUMIFS(Movimientos!$C:$C,Movimientos!$A:$A,$B5,Movimientos!$D:$D,CONCATENATE("&lt;",IL$3),Movimientos!$C:$C,"&lt;0")</f>
        <v>0</v>
      </c>
      <c r="IM5" s="5">
        <f ca="1">SUMIFS(Movimientos!$C:$C,Movimientos!$A:$A,$B5,Movimientos!$D:$D,CONCATENATE("&lt;=",IM$3),Movimientos!$C:$C,"&gt;0")+SUMIFS(Movimientos!$C:$C,Movimientos!$A:$A,$B5,Movimientos!$D:$D,CONCATENATE("&lt;",IM$3),Movimientos!$C:$C,"&lt;0")</f>
        <v>0</v>
      </c>
      <c r="IN5" s="5">
        <f ca="1">SUMIFS(Movimientos!$C:$C,Movimientos!$A:$A,$B5,Movimientos!$D:$D,CONCATENATE("&lt;=",IN$3),Movimientos!$C:$C,"&gt;0")+SUMIFS(Movimientos!$C:$C,Movimientos!$A:$A,$B5,Movimientos!$D:$D,CONCATENATE("&lt;",IN$3),Movimientos!$C:$C,"&lt;0")</f>
        <v>0</v>
      </c>
      <c r="IO5" s="5">
        <f ca="1">SUMIFS(Movimientos!$C:$C,Movimientos!$A:$A,$B5,Movimientos!$D:$D,CONCATENATE("&lt;=",IO$3),Movimientos!$C:$C,"&gt;0")+SUMIFS(Movimientos!$C:$C,Movimientos!$A:$A,$B5,Movimientos!$D:$D,CONCATENATE("&lt;",IO$3),Movimientos!$C:$C,"&lt;0")</f>
        <v>0</v>
      </c>
      <c r="IP5" s="5">
        <f ca="1">SUMIFS(Movimientos!$C:$C,Movimientos!$A:$A,$B5,Movimientos!$D:$D,CONCATENATE("&lt;=",IP$3),Movimientos!$C:$C,"&gt;0")+SUMIFS(Movimientos!$C:$C,Movimientos!$A:$A,$B5,Movimientos!$D:$D,CONCATENATE("&lt;",IP$3),Movimientos!$C:$C,"&lt;0")</f>
        <v>0</v>
      </c>
      <c r="IQ5" s="5">
        <f ca="1">SUMIFS(Movimientos!$C:$C,Movimientos!$A:$A,$B5,Movimientos!$D:$D,CONCATENATE("&lt;=",IQ$3),Movimientos!$C:$C,"&gt;0")+SUMIFS(Movimientos!$C:$C,Movimientos!$A:$A,$B5,Movimientos!$D:$D,CONCATENATE("&lt;",IQ$3),Movimientos!$C:$C,"&lt;0")</f>
        <v>0</v>
      </c>
      <c r="IR5" s="5">
        <f ca="1">SUMIFS(Movimientos!$C:$C,Movimientos!$A:$A,$B5,Movimientos!$D:$D,CONCATENATE("&lt;=",IR$3),Movimientos!$C:$C,"&gt;0")+SUMIFS(Movimientos!$C:$C,Movimientos!$A:$A,$B5,Movimientos!$D:$D,CONCATENATE("&lt;",IR$3),Movimientos!$C:$C,"&lt;0")</f>
        <v>0</v>
      </c>
      <c r="IS5" s="5">
        <f ca="1">SUMIFS(Movimientos!$C:$C,Movimientos!$A:$A,$B5,Movimientos!$D:$D,CONCATENATE("&lt;=",IS$3),Movimientos!$C:$C,"&gt;0")+SUMIFS(Movimientos!$C:$C,Movimientos!$A:$A,$B5,Movimientos!$D:$D,CONCATENATE("&lt;",IS$3),Movimientos!$C:$C,"&lt;0")</f>
        <v>0</v>
      </c>
      <c r="IT5" s="5">
        <f ca="1">SUMIFS(Movimientos!$C:$C,Movimientos!$A:$A,$B5,Movimientos!$D:$D,CONCATENATE("&lt;=",IT$3),Movimientos!$C:$C,"&gt;0")+SUMIFS(Movimientos!$C:$C,Movimientos!$A:$A,$B5,Movimientos!$D:$D,CONCATENATE("&lt;",IT$3),Movimientos!$C:$C,"&lt;0")</f>
        <v>0</v>
      </c>
      <c r="IU5" s="5">
        <f ca="1">SUMIFS(Movimientos!$C:$C,Movimientos!$A:$A,$B5,Movimientos!$D:$D,CONCATENATE("&lt;=",IU$3),Movimientos!$C:$C,"&gt;0")+SUMIFS(Movimientos!$C:$C,Movimientos!$A:$A,$B5,Movimientos!$D:$D,CONCATENATE("&lt;",IU$3),Movimientos!$C:$C,"&lt;0")</f>
        <v>0</v>
      </c>
      <c r="IV5" s="5">
        <f ca="1">SUMIFS(Movimientos!$C:$C,Movimientos!$A:$A,$B5,Movimientos!$D:$D,CONCATENATE("&lt;=",IV$3),Movimientos!$C:$C,"&gt;0")+SUMIFS(Movimientos!$C:$C,Movimientos!$A:$A,$B5,Movimientos!$D:$D,CONCATENATE("&lt;",IV$3),Movimientos!$C:$C,"&lt;0")</f>
        <v>0</v>
      </c>
      <c r="IW5" s="5">
        <f ca="1">SUMIFS(Movimientos!$C:$C,Movimientos!$A:$A,$B5,Movimientos!$D:$D,CONCATENATE("&lt;=",IW$3),Movimientos!$C:$C,"&gt;0")+SUMIFS(Movimientos!$C:$C,Movimientos!$A:$A,$B5,Movimientos!$D:$D,CONCATENATE("&lt;",IW$3),Movimientos!$C:$C,"&lt;0")</f>
        <v>0</v>
      </c>
      <c r="IX5" s="5">
        <f ca="1">SUMIFS(Movimientos!$C:$C,Movimientos!$A:$A,$B5,Movimientos!$D:$D,CONCATENATE("&lt;=",IX$3),Movimientos!$C:$C,"&gt;0")+SUMIFS(Movimientos!$C:$C,Movimientos!$A:$A,$B5,Movimientos!$D:$D,CONCATENATE("&lt;",IX$3),Movimientos!$C:$C,"&lt;0")</f>
        <v>0</v>
      </c>
      <c r="IY5" s="5">
        <f ca="1">SUMIFS(Movimientos!$C:$C,Movimientos!$A:$A,$B5,Movimientos!$D:$D,CONCATENATE("&lt;=",IY$3),Movimientos!$C:$C,"&gt;0")+SUMIFS(Movimientos!$C:$C,Movimientos!$A:$A,$B5,Movimientos!$D:$D,CONCATENATE("&lt;",IY$3),Movimientos!$C:$C,"&lt;0")</f>
        <v>0</v>
      </c>
      <c r="IZ5" s="5">
        <f ca="1">SUMIFS(Movimientos!$C:$C,Movimientos!$A:$A,$B5,Movimientos!$D:$D,CONCATENATE("&lt;=",IZ$3),Movimientos!$C:$C,"&gt;0")+SUMIFS(Movimientos!$C:$C,Movimientos!$A:$A,$B5,Movimientos!$D:$D,CONCATENATE("&lt;",IZ$3),Movimientos!$C:$C,"&lt;0")</f>
        <v>0</v>
      </c>
      <c r="JA5" s="5">
        <f ca="1">SUMIFS(Movimientos!$C:$C,Movimientos!$A:$A,$B5,Movimientos!$D:$D,CONCATENATE("&lt;=",JA$3),Movimientos!$C:$C,"&gt;0")+SUMIFS(Movimientos!$C:$C,Movimientos!$A:$A,$B5,Movimientos!$D:$D,CONCATENATE("&lt;",JA$3),Movimientos!$C:$C,"&lt;0")</f>
        <v>0</v>
      </c>
      <c r="JB5" s="5">
        <f ca="1">SUMIFS(Movimientos!$C:$C,Movimientos!$A:$A,$B5,Movimientos!$D:$D,CONCATENATE("&lt;=",JB$3),Movimientos!$C:$C,"&gt;0")+SUMIFS(Movimientos!$C:$C,Movimientos!$A:$A,$B5,Movimientos!$D:$D,CONCATENATE("&lt;",JB$3),Movimientos!$C:$C,"&lt;0")</f>
        <v>0</v>
      </c>
      <c r="JC5" s="5">
        <f ca="1">SUMIFS(Movimientos!$C:$C,Movimientos!$A:$A,$B5,Movimientos!$D:$D,CONCATENATE("&lt;=",JC$3),Movimientos!$C:$C,"&gt;0")+SUMIFS(Movimientos!$C:$C,Movimientos!$A:$A,$B5,Movimientos!$D:$D,CONCATENATE("&lt;",JC$3),Movimientos!$C:$C,"&lt;0")</f>
        <v>0</v>
      </c>
      <c r="JD5" s="5">
        <f ca="1">SUMIFS(Movimientos!$C:$C,Movimientos!$A:$A,$B5,Movimientos!$D:$D,CONCATENATE("&lt;=",JD$3),Movimientos!$C:$C,"&gt;0")+SUMIFS(Movimientos!$C:$C,Movimientos!$A:$A,$B5,Movimientos!$D:$D,CONCATENATE("&lt;",JD$3),Movimientos!$C:$C,"&lt;0")</f>
        <v>0</v>
      </c>
      <c r="JE5" s="5">
        <f ca="1">SUMIFS(Movimientos!$C:$C,Movimientos!$A:$A,$B5,Movimientos!$D:$D,CONCATENATE("&lt;=",JE$3),Movimientos!$C:$C,"&gt;0")+SUMIFS(Movimientos!$C:$C,Movimientos!$A:$A,$B5,Movimientos!$D:$D,CONCATENATE("&lt;",JE$3),Movimientos!$C:$C,"&lt;0")</f>
        <v>0</v>
      </c>
      <c r="JF5" s="5">
        <f ca="1">SUMIFS(Movimientos!$C:$C,Movimientos!$A:$A,$B5,Movimientos!$D:$D,CONCATENATE("&lt;=",JF$3),Movimientos!$C:$C,"&gt;0")+SUMIFS(Movimientos!$C:$C,Movimientos!$A:$A,$B5,Movimientos!$D:$D,CONCATENATE("&lt;",JF$3),Movimientos!$C:$C,"&lt;0")</f>
        <v>0</v>
      </c>
      <c r="JG5" s="5">
        <f ca="1">SUMIFS(Movimientos!$C:$C,Movimientos!$A:$A,$B5,Movimientos!$D:$D,CONCATENATE("&lt;=",JG$3),Movimientos!$C:$C,"&gt;0")+SUMIFS(Movimientos!$C:$C,Movimientos!$A:$A,$B5,Movimientos!$D:$D,CONCATENATE("&lt;",JG$3),Movimientos!$C:$C,"&lt;0")</f>
        <v>0</v>
      </c>
      <c r="JH5" s="5">
        <f ca="1">SUMIFS(Movimientos!$C:$C,Movimientos!$A:$A,$B5,Movimientos!$D:$D,CONCATENATE("&lt;=",JH$3),Movimientos!$C:$C,"&gt;0")+SUMIFS(Movimientos!$C:$C,Movimientos!$A:$A,$B5,Movimientos!$D:$D,CONCATENATE("&lt;",JH$3),Movimientos!$C:$C,"&lt;0")</f>
        <v>0</v>
      </c>
      <c r="JI5" s="5">
        <f ca="1">SUMIFS(Movimientos!$C:$C,Movimientos!$A:$A,$B5,Movimientos!$D:$D,CONCATENATE("&lt;=",JI$3),Movimientos!$C:$C,"&gt;0")+SUMIFS(Movimientos!$C:$C,Movimientos!$A:$A,$B5,Movimientos!$D:$D,CONCATENATE("&lt;",JI$3),Movimientos!$C:$C,"&lt;0")</f>
        <v>0</v>
      </c>
      <c r="JJ5" s="5">
        <f ca="1">SUMIFS(Movimientos!$C:$C,Movimientos!$A:$A,$B5,Movimientos!$D:$D,CONCATENATE("&lt;=",JJ$3),Movimientos!$C:$C,"&gt;0")+SUMIFS(Movimientos!$C:$C,Movimientos!$A:$A,$B5,Movimientos!$D:$D,CONCATENATE("&lt;",JJ$3),Movimientos!$C:$C,"&lt;0")</f>
        <v>0</v>
      </c>
      <c r="JK5" s="5">
        <f ca="1">SUMIFS(Movimientos!$C:$C,Movimientos!$A:$A,$B5,Movimientos!$D:$D,CONCATENATE("&lt;=",JK$3),Movimientos!$C:$C,"&gt;0")+SUMIFS(Movimientos!$C:$C,Movimientos!$A:$A,$B5,Movimientos!$D:$D,CONCATENATE("&lt;",JK$3),Movimientos!$C:$C,"&lt;0")</f>
        <v>0</v>
      </c>
      <c r="JL5" s="5">
        <f ca="1">SUMIFS(Movimientos!$C:$C,Movimientos!$A:$A,$B5,Movimientos!$D:$D,CONCATENATE("&lt;=",JL$3),Movimientos!$C:$C,"&gt;0")+SUMIFS(Movimientos!$C:$C,Movimientos!$A:$A,$B5,Movimientos!$D:$D,CONCATENATE("&lt;",JL$3),Movimientos!$C:$C,"&lt;0")</f>
        <v>0</v>
      </c>
      <c r="JM5" s="5">
        <f ca="1">SUMIFS(Movimientos!$C:$C,Movimientos!$A:$A,$B5,Movimientos!$D:$D,CONCATENATE("&lt;=",JM$3),Movimientos!$C:$C,"&gt;0")+SUMIFS(Movimientos!$C:$C,Movimientos!$A:$A,$B5,Movimientos!$D:$D,CONCATENATE("&lt;",JM$3),Movimientos!$C:$C,"&lt;0")</f>
        <v>0</v>
      </c>
      <c r="JN5" s="5">
        <f ca="1">SUMIFS(Movimientos!$C:$C,Movimientos!$A:$A,$B5,Movimientos!$D:$D,CONCATENATE("&lt;=",JN$3),Movimientos!$C:$C,"&gt;0")+SUMIFS(Movimientos!$C:$C,Movimientos!$A:$A,$B5,Movimientos!$D:$D,CONCATENATE("&lt;",JN$3),Movimientos!$C:$C,"&lt;0")</f>
        <v>0</v>
      </c>
      <c r="JO5" s="5">
        <f ca="1">SUMIFS(Movimientos!$C:$C,Movimientos!$A:$A,$B5,Movimientos!$D:$D,CONCATENATE("&lt;=",JO$3),Movimientos!$C:$C,"&gt;0")+SUMIFS(Movimientos!$C:$C,Movimientos!$A:$A,$B5,Movimientos!$D:$D,CONCATENATE("&lt;",JO$3),Movimientos!$C:$C,"&lt;0")</f>
        <v>0</v>
      </c>
      <c r="JP5" s="5">
        <f ca="1">SUMIFS(Movimientos!$C:$C,Movimientos!$A:$A,$B5,Movimientos!$D:$D,CONCATENATE("&lt;=",JP$3),Movimientos!$C:$C,"&gt;0")+SUMIFS(Movimientos!$C:$C,Movimientos!$A:$A,$B5,Movimientos!$D:$D,CONCATENATE("&lt;",JP$3),Movimientos!$C:$C,"&lt;0")</f>
        <v>0</v>
      </c>
      <c r="JQ5" s="5">
        <f ca="1">SUMIFS(Movimientos!$C:$C,Movimientos!$A:$A,$B5,Movimientos!$D:$D,CONCATENATE("&lt;=",JQ$3),Movimientos!$C:$C,"&gt;0")+SUMIFS(Movimientos!$C:$C,Movimientos!$A:$A,$B5,Movimientos!$D:$D,CONCATENATE("&lt;",JQ$3),Movimientos!$C:$C,"&lt;0")</f>
        <v>0</v>
      </c>
      <c r="JR5" s="5">
        <f ca="1">SUMIFS(Movimientos!$C:$C,Movimientos!$A:$A,$B5,Movimientos!$D:$D,CONCATENATE("&lt;=",JR$3),Movimientos!$C:$C,"&gt;0")+SUMIFS(Movimientos!$C:$C,Movimientos!$A:$A,$B5,Movimientos!$D:$D,CONCATENATE("&lt;",JR$3),Movimientos!$C:$C,"&lt;0")</f>
        <v>0</v>
      </c>
      <c r="JS5" s="5">
        <f ca="1">SUMIFS(Movimientos!$C:$C,Movimientos!$A:$A,$B5,Movimientos!$D:$D,CONCATENATE("&lt;=",JS$3),Movimientos!$C:$C,"&gt;0")+SUMIFS(Movimientos!$C:$C,Movimientos!$A:$A,$B5,Movimientos!$D:$D,CONCATENATE("&lt;",JS$3),Movimientos!$C:$C,"&lt;0")</f>
        <v>0</v>
      </c>
      <c r="JT5" s="5">
        <f ca="1">SUMIFS(Movimientos!$C:$C,Movimientos!$A:$A,$B5,Movimientos!$D:$D,CONCATENATE("&lt;=",JT$3),Movimientos!$C:$C,"&gt;0")+SUMIFS(Movimientos!$C:$C,Movimientos!$A:$A,$B5,Movimientos!$D:$D,CONCATENATE("&lt;",JT$3),Movimientos!$C:$C,"&lt;0")</f>
        <v>0</v>
      </c>
      <c r="JU5" s="5">
        <f ca="1">SUMIFS(Movimientos!$C:$C,Movimientos!$A:$A,$B5,Movimientos!$D:$D,CONCATENATE("&lt;=",JU$3),Movimientos!$C:$C,"&gt;0")+SUMIFS(Movimientos!$C:$C,Movimientos!$A:$A,$B5,Movimientos!$D:$D,CONCATENATE("&lt;",JU$3),Movimientos!$C:$C,"&lt;0")</f>
        <v>0</v>
      </c>
      <c r="JV5" s="5">
        <f ca="1">SUMIFS(Movimientos!$C:$C,Movimientos!$A:$A,$B5,Movimientos!$D:$D,CONCATENATE("&lt;=",JV$3),Movimientos!$C:$C,"&gt;0")+SUMIFS(Movimientos!$C:$C,Movimientos!$A:$A,$B5,Movimientos!$D:$D,CONCATENATE("&lt;",JV$3),Movimientos!$C:$C,"&lt;0")</f>
        <v>0</v>
      </c>
      <c r="JW5" s="5">
        <f ca="1">SUMIFS(Movimientos!$C:$C,Movimientos!$A:$A,$B5,Movimientos!$D:$D,CONCATENATE("&lt;=",JW$3),Movimientos!$C:$C,"&gt;0")+SUMIFS(Movimientos!$C:$C,Movimientos!$A:$A,$B5,Movimientos!$D:$D,CONCATENATE("&lt;",JW$3),Movimientos!$C:$C,"&lt;0")</f>
        <v>0</v>
      </c>
      <c r="JX5" s="5">
        <f ca="1">SUMIFS(Movimientos!$C:$C,Movimientos!$A:$A,$B5,Movimientos!$D:$D,CONCATENATE("&lt;=",JX$3),Movimientos!$C:$C,"&gt;0")+SUMIFS(Movimientos!$C:$C,Movimientos!$A:$A,$B5,Movimientos!$D:$D,CONCATENATE("&lt;",JX$3),Movimientos!$C:$C,"&lt;0")</f>
        <v>0</v>
      </c>
      <c r="JY5" s="5">
        <f ca="1">SUMIFS(Movimientos!$C:$C,Movimientos!$A:$A,$B5,Movimientos!$D:$D,CONCATENATE("&lt;=",JY$3),Movimientos!$C:$C,"&gt;0")+SUMIFS(Movimientos!$C:$C,Movimientos!$A:$A,$B5,Movimientos!$D:$D,CONCATENATE("&lt;",JY$3),Movimientos!$C:$C,"&lt;0")</f>
        <v>0</v>
      </c>
      <c r="JZ5" s="5">
        <f ca="1">SUMIFS(Movimientos!$C:$C,Movimientos!$A:$A,$B5,Movimientos!$D:$D,CONCATENATE("&lt;=",JZ$3),Movimientos!$C:$C,"&gt;0")+SUMIFS(Movimientos!$C:$C,Movimientos!$A:$A,$B5,Movimientos!$D:$D,CONCATENATE("&lt;",JZ$3),Movimientos!$C:$C,"&lt;0")</f>
        <v>0</v>
      </c>
      <c r="KA5" s="5">
        <f ca="1">SUMIFS(Movimientos!$C:$C,Movimientos!$A:$A,$B5,Movimientos!$D:$D,CONCATENATE("&lt;=",KA$3),Movimientos!$C:$C,"&gt;0")+SUMIFS(Movimientos!$C:$C,Movimientos!$A:$A,$B5,Movimientos!$D:$D,CONCATENATE("&lt;",KA$3),Movimientos!$C:$C,"&lt;0")</f>
        <v>0</v>
      </c>
      <c r="KB5" s="5">
        <f ca="1">SUMIFS(Movimientos!$C:$C,Movimientos!$A:$A,$B5,Movimientos!$D:$D,CONCATENATE("&lt;=",KB$3),Movimientos!$C:$C,"&gt;0")+SUMIFS(Movimientos!$C:$C,Movimientos!$A:$A,$B5,Movimientos!$D:$D,CONCATENATE("&lt;",KB$3),Movimientos!$C:$C,"&lt;0")</f>
        <v>0</v>
      </c>
      <c r="KC5" s="5">
        <f ca="1">SUMIFS(Movimientos!$C:$C,Movimientos!$A:$A,$B5,Movimientos!$D:$D,CONCATENATE("&lt;=",KC$3),Movimientos!$C:$C,"&gt;0")+SUMIFS(Movimientos!$C:$C,Movimientos!$A:$A,$B5,Movimientos!$D:$D,CONCATENATE("&lt;",KC$3),Movimientos!$C:$C,"&lt;0")</f>
        <v>0</v>
      </c>
      <c r="KD5" s="5">
        <f ca="1">SUMIFS(Movimientos!$C:$C,Movimientos!$A:$A,$B5,Movimientos!$D:$D,CONCATENATE("&lt;=",KD$3),Movimientos!$C:$C,"&gt;0")+SUMIFS(Movimientos!$C:$C,Movimientos!$A:$A,$B5,Movimientos!$D:$D,CONCATENATE("&lt;",KD$3),Movimientos!$C:$C,"&lt;0")</f>
        <v>0</v>
      </c>
      <c r="KE5" s="5">
        <f ca="1">SUMIFS(Movimientos!$C:$C,Movimientos!$A:$A,$B5,Movimientos!$D:$D,CONCATENATE("&lt;=",KE$3),Movimientos!$C:$C,"&gt;0")+SUMIFS(Movimientos!$C:$C,Movimientos!$A:$A,$B5,Movimientos!$D:$D,CONCATENATE("&lt;",KE$3),Movimientos!$C:$C,"&lt;0")</f>
        <v>0</v>
      </c>
      <c r="KF5" s="5">
        <f ca="1">SUMIFS(Movimientos!$C:$C,Movimientos!$A:$A,$B5,Movimientos!$D:$D,CONCATENATE("&lt;=",KF$3),Movimientos!$C:$C,"&gt;0")+SUMIFS(Movimientos!$C:$C,Movimientos!$A:$A,$B5,Movimientos!$D:$D,CONCATENATE("&lt;",KF$3),Movimientos!$C:$C,"&lt;0")</f>
        <v>0</v>
      </c>
      <c r="KG5" s="5">
        <f ca="1">SUMIFS(Movimientos!$C:$C,Movimientos!$A:$A,$B5,Movimientos!$D:$D,CONCATENATE("&lt;=",KG$3),Movimientos!$C:$C,"&gt;0")+SUMIFS(Movimientos!$C:$C,Movimientos!$A:$A,$B5,Movimientos!$D:$D,CONCATENATE("&lt;",KG$3),Movimientos!$C:$C,"&lt;0")</f>
        <v>0</v>
      </c>
      <c r="KH5" s="5">
        <f ca="1">SUMIFS(Movimientos!$C:$C,Movimientos!$A:$A,$B5,Movimientos!$D:$D,CONCATENATE("&lt;=",KH$3),Movimientos!$C:$C,"&gt;0")+SUMIFS(Movimientos!$C:$C,Movimientos!$A:$A,$B5,Movimientos!$D:$D,CONCATENATE("&lt;",KH$3),Movimientos!$C:$C,"&lt;0")</f>
        <v>0</v>
      </c>
      <c r="KI5" s="5">
        <f ca="1">SUMIFS(Movimientos!$C:$C,Movimientos!$A:$A,$B5,Movimientos!$D:$D,CONCATENATE("&lt;=",KI$3),Movimientos!$C:$C,"&gt;0")+SUMIFS(Movimientos!$C:$C,Movimientos!$A:$A,$B5,Movimientos!$D:$D,CONCATENATE("&lt;",KI$3),Movimientos!$C:$C,"&lt;0")</f>
        <v>0</v>
      </c>
      <c r="KJ5" s="5">
        <f ca="1">SUMIFS(Movimientos!$C:$C,Movimientos!$A:$A,$B5,Movimientos!$D:$D,CONCATENATE("&lt;=",KJ$3),Movimientos!$C:$C,"&gt;0")+SUMIFS(Movimientos!$C:$C,Movimientos!$A:$A,$B5,Movimientos!$D:$D,CONCATENATE("&lt;",KJ$3),Movimientos!$C:$C,"&lt;0")</f>
        <v>0</v>
      </c>
      <c r="KK5" s="5">
        <f ca="1">SUMIFS(Movimientos!$C:$C,Movimientos!$A:$A,$B5,Movimientos!$D:$D,CONCATENATE("&lt;=",KK$3),Movimientos!$C:$C,"&gt;0")+SUMIFS(Movimientos!$C:$C,Movimientos!$A:$A,$B5,Movimientos!$D:$D,CONCATENATE("&lt;",KK$3),Movimientos!$C:$C,"&lt;0")</f>
        <v>0</v>
      </c>
      <c r="KL5" s="5">
        <f ca="1">SUMIFS(Movimientos!$C:$C,Movimientos!$A:$A,$B5,Movimientos!$D:$D,CONCATENATE("&lt;=",KL$3),Movimientos!$C:$C,"&gt;0")+SUMIFS(Movimientos!$C:$C,Movimientos!$A:$A,$B5,Movimientos!$D:$D,CONCATENATE("&lt;",KL$3),Movimientos!$C:$C,"&lt;0")</f>
        <v>0</v>
      </c>
      <c r="KM5" s="5">
        <f ca="1">SUMIFS(Movimientos!$C:$C,Movimientos!$A:$A,$B5,Movimientos!$D:$D,CONCATENATE("&lt;=",KM$3),Movimientos!$C:$C,"&gt;0")+SUMIFS(Movimientos!$C:$C,Movimientos!$A:$A,$B5,Movimientos!$D:$D,CONCATENATE("&lt;",KM$3),Movimientos!$C:$C,"&lt;0")</f>
        <v>0</v>
      </c>
      <c r="KN5" s="5">
        <f ca="1">SUMIFS(Movimientos!$C:$C,Movimientos!$A:$A,$B5,Movimientos!$D:$D,CONCATENATE("&lt;=",KN$3),Movimientos!$C:$C,"&gt;0")+SUMIFS(Movimientos!$C:$C,Movimientos!$A:$A,$B5,Movimientos!$D:$D,CONCATENATE("&lt;",KN$3),Movimientos!$C:$C,"&lt;0")</f>
        <v>0</v>
      </c>
      <c r="KO5" s="5">
        <f ca="1">SUMIFS(Movimientos!$C:$C,Movimientos!$A:$A,$B5,Movimientos!$D:$D,CONCATENATE("&lt;=",KO$3),Movimientos!$C:$C,"&gt;0")+SUMIFS(Movimientos!$C:$C,Movimientos!$A:$A,$B5,Movimientos!$D:$D,CONCATENATE("&lt;",KO$3),Movimientos!$C:$C,"&lt;0")</f>
        <v>0</v>
      </c>
      <c r="KP5" s="5">
        <f ca="1">SUMIFS(Movimientos!$C:$C,Movimientos!$A:$A,$B5,Movimientos!$D:$D,CONCATENATE("&lt;=",KP$3),Movimientos!$C:$C,"&gt;0")+SUMIFS(Movimientos!$C:$C,Movimientos!$A:$A,$B5,Movimientos!$D:$D,CONCATENATE("&lt;",KP$3),Movimientos!$C:$C,"&lt;0")</f>
        <v>0</v>
      </c>
      <c r="KQ5" s="5">
        <f ca="1">SUMIFS(Movimientos!$C:$C,Movimientos!$A:$A,$B5,Movimientos!$D:$D,CONCATENATE("&lt;=",KQ$3),Movimientos!$C:$C,"&gt;0")+SUMIFS(Movimientos!$C:$C,Movimientos!$A:$A,$B5,Movimientos!$D:$D,CONCATENATE("&lt;",KQ$3),Movimientos!$C:$C,"&lt;0")</f>
        <v>0</v>
      </c>
      <c r="KR5" s="5">
        <f ca="1">SUMIFS(Movimientos!$C:$C,Movimientos!$A:$A,$B5,Movimientos!$D:$D,CONCATENATE("&lt;=",KR$3),Movimientos!$C:$C,"&gt;0")+SUMIFS(Movimientos!$C:$C,Movimientos!$A:$A,$B5,Movimientos!$D:$D,CONCATENATE("&lt;",KR$3),Movimientos!$C:$C,"&lt;0")</f>
        <v>0</v>
      </c>
      <c r="KS5" s="5">
        <f ca="1">SUMIFS(Movimientos!$C:$C,Movimientos!$A:$A,$B5,Movimientos!$D:$D,CONCATENATE("&lt;=",KS$3),Movimientos!$C:$C,"&gt;0")+SUMIFS(Movimientos!$C:$C,Movimientos!$A:$A,$B5,Movimientos!$D:$D,CONCATENATE("&lt;",KS$3),Movimientos!$C:$C,"&lt;0")</f>
        <v>0</v>
      </c>
      <c r="KT5" s="5">
        <f ca="1">SUMIFS(Movimientos!$C:$C,Movimientos!$A:$A,$B5,Movimientos!$D:$D,CONCATENATE("&lt;=",KT$3),Movimientos!$C:$C,"&gt;0")+SUMIFS(Movimientos!$C:$C,Movimientos!$A:$A,$B5,Movimientos!$D:$D,CONCATENATE("&lt;",KT$3),Movimientos!$C:$C,"&lt;0")</f>
        <v>0</v>
      </c>
      <c r="KU5" s="5">
        <f ca="1">SUMIFS(Movimientos!$C:$C,Movimientos!$A:$A,$B5,Movimientos!$D:$D,CONCATENATE("&lt;=",KU$3),Movimientos!$C:$C,"&gt;0")+SUMIFS(Movimientos!$C:$C,Movimientos!$A:$A,$B5,Movimientos!$D:$D,CONCATENATE("&lt;",KU$3),Movimientos!$C:$C,"&lt;0")</f>
        <v>0</v>
      </c>
      <c r="KV5" s="5">
        <f ca="1">SUMIFS(Movimientos!$C:$C,Movimientos!$A:$A,$B5,Movimientos!$D:$D,CONCATENATE("&lt;=",KV$3),Movimientos!$C:$C,"&gt;0")+SUMIFS(Movimientos!$C:$C,Movimientos!$A:$A,$B5,Movimientos!$D:$D,CONCATENATE("&lt;",KV$3),Movimientos!$C:$C,"&lt;0")</f>
        <v>0</v>
      </c>
      <c r="KW5" s="5">
        <f ca="1">SUMIFS(Movimientos!$C:$C,Movimientos!$A:$A,$B5,Movimientos!$D:$D,CONCATENATE("&lt;=",KW$3),Movimientos!$C:$C,"&gt;0")+SUMIFS(Movimientos!$C:$C,Movimientos!$A:$A,$B5,Movimientos!$D:$D,CONCATENATE("&lt;",KW$3),Movimientos!$C:$C,"&lt;0")</f>
        <v>0</v>
      </c>
      <c r="KX5" s="5">
        <f ca="1">SUMIFS(Movimientos!$C:$C,Movimientos!$A:$A,$B5,Movimientos!$D:$D,CONCATENATE("&lt;=",KX$3),Movimientos!$C:$C,"&gt;0")+SUMIFS(Movimientos!$C:$C,Movimientos!$A:$A,$B5,Movimientos!$D:$D,CONCATENATE("&lt;",KX$3),Movimientos!$C:$C,"&lt;0")</f>
        <v>0</v>
      </c>
      <c r="KY5" s="5">
        <f ca="1">SUMIFS(Movimientos!$C:$C,Movimientos!$A:$A,$B5,Movimientos!$D:$D,CONCATENATE("&lt;=",KY$3),Movimientos!$C:$C,"&gt;0")+SUMIFS(Movimientos!$C:$C,Movimientos!$A:$A,$B5,Movimientos!$D:$D,CONCATENATE("&lt;",KY$3),Movimientos!$C:$C,"&lt;0")</f>
        <v>0</v>
      </c>
      <c r="KZ5" s="5">
        <f ca="1">SUMIFS(Movimientos!$C:$C,Movimientos!$A:$A,$B5,Movimientos!$D:$D,CONCATENATE("&lt;=",KZ$3),Movimientos!$C:$C,"&gt;0")+SUMIFS(Movimientos!$C:$C,Movimientos!$A:$A,$B5,Movimientos!$D:$D,CONCATENATE("&lt;",KZ$3),Movimientos!$C:$C,"&lt;0")</f>
        <v>0</v>
      </c>
      <c r="LA5" s="5">
        <f ca="1">SUMIFS(Movimientos!$C:$C,Movimientos!$A:$A,$B5,Movimientos!$D:$D,CONCATENATE("&lt;=",LA$3),Movimientos!$C:$C,"&gt;0")+SUMIFS(Movimientos!$C:$C,Movimientos!$A:$A,$B5,Movimientos!$D:$D,CONCATENATE("&lt;",LA$3),Movimientos!$C:$C,"&lt;0")</f>
        <v>0</v>
      </c>
      <c r="LB5" s="5">
        <f ca="1">SUMIFS(Movimientos!$C:$C,Movimientos!$A:$A,$B5,Movimientos!$D:$D,CONCATENATE("&lt;=",LB$3),Movimientos!$C:$C,"&gt;0")+SUMIFS(Movimientos!$C:$C,Movimientos!$A:$A,$B5,Movimientos!$D:$D,CONCATENATE("&lt;",LB$3),Movimientos!$C:$C,"&lt;0")</f>
        <v>0</v>
      </c>
      <c r="LC5" s="5">
        <f ca="1">SUMIFS(Movimientos!$C:$C,Movimientos!$A:$A,$B5,Movimientos!$D:$D,CONCATENATE("&lt;=",LC$3),Movimientos!$C:$C,"&gt;0")+SUMIFS(Movimientos!$C:$C,Movimientos!$A:$A,$B5,Movimientos!$D:$D,CONCATENATE("&lt;",LC$3),Movimientos!$C:$C,"&lt;0")</f>
        <v>0</v>
      </c>
      <c r="LD5" s="5">
        <f ca="1">SUMIFS(Movimientos!$C:$C,Movimientos!$A:$A,$B5,Movimientos!$D:$D,CONCATENATE("&lt;=",LD$3),Movimientos!$C:$C,"&gt;0")+SUMIFS(Movimientos!$C:$C,Movimientos!$A:$A,$B5,Movimientos!$D:$D,CONCATENATE("&lt;",LD$3),Movimientos!$C:$C,"&lt;0")</f>
        <v>0</v>
      </c>
      <c r="LE5" s="5">
        <f ca="1">SUMIFS(Movimientos!$C:$C,Movimientos!$A:$A,$B5,Movimientos!$D:$D,CONCATENATE("&lt;=",LE$3),Movimientos!$C:$C,"&gt;0")+SUMIFS(Movimientos!$C:$C,Movimientos!$A:$A,$B5,Movimientos!$D:$D,CONCATENATE("&lt;",LE$3),Movimientos!$C:$C,"&lt;0")</f>
        <v>0</v>
      </c>
      <c r="LF5" s="5">
        <f ca="1">SUMIFS(Movimientos!$C:$C,Movimientos!$A:$A,$B5,Movimientos!$D:$D,CONCATENATE("&lt;=",LF$3),Movimientos!$C:$C,"&gt;0")+SUMIFS(Movimientos!$C:$C,Movimientos!$A:$A,$B5,Movimientos!$D:$D,CONCATENATE("&lt;",LF$3),Movimientos!$C:$C,"&lt;0")</f>
        <v>0</v>
      </c>
      <c r="LG5" s="5">
        <f ca="1">SUMIFS(Movimientos!$C:$C,Movimientos!$A:$A,$B5,Movimientos!$D:$D,CONCATENATE("&lt;=",LG$3),Movimientos!$C:$C,"&gt;0")+SUMIFS(Movimientos!$C:$C,Movimientos!$A:$A,$B5,Movimientos!$D:$D,CONCATENATE("&lt;",LG$3),Movimientos!$C:$C,"&lt;0")</f>
        <v>0</v>
      </c>
      <c r="LH5" s="5">
        <f ca="1">SUMIFS(Movimientos!$C:$C,Movimientos!$A:$A,$B5,Movimientos!$D:$D,CONCATENATE("&lt;=",LH$3),Movimientos!$C:$C,"&gt;0")+SUMIFS(Movimientos!$C:$C,Movimientos!$A:$A,$B5,Movimientos!$D:$D,CONCATENATE("&lt;",LH$3),Movimientos!$C:$C,"&lt;0")</f>
        <v>0</v>
      </c>
      <c r="LI5" s="5">
        <f ca="1">SUMIFS(Movimientos!$C:$C,Movimientos!$A:$A,$B5,Movimientos!$D:$D,CONCATENATE("&lt;=",LI$3),Movimientos!$C:$C,"&gt;0")+SUMIFS(Movimientos!$C:$C,Movimientos!$A:$A,$B5,Movimientos!$D:$D,CONCATENATE("&lt;",LI$3),Movimientos!$C:$C,"&lt;0")</f>
        <v>0</v>
      </c>
      <c r="LJ5" s="5">
        <f ca="1">SUMIFS(Movimientos!$C:$C,Movimientos!$A:$A,$B5,Movimientos!$D:$D,CONCATENATE("&lt;=",LJ$3),Movimientos!$C:$C,"&gt;0")+SUMIFS(Movimientos!$C:$C,Movimientos!$A:$A,$B5,Movimientos!$D:$D,CONCATENATE("&lt;",LJ$3),Movimientos!$C:$C,"&lt;0")</f>
        <v>0</v>
      </c>
      <c r="LK5" s="5">
        <f ca="1">SUMIFS(Movimientos!$C:$C,Movimientos!$A:$A,$B5,Movimientos!$D:$D,CONCATENATE("&lt;=",LK$3),Movimientos!$C:$C,"&gt;0")+SUMIFS(Movimientos!$C:$C,Movimientos!$A:$A,$B5,Movimientos!$D:$D,CONCATENATE("&lt;",LK$3),Movimientos!$C:$C,"&lt;0")</f>
        <v>0</v>
      </c>
      <c r="LL5" s="5">
        <f ca="1">SUMIFS(Movimientos!$C:$C,Movimientos!$A:$A,$B5,Movimientos!$D:$D,CONCATENATE("&lt;=",LL$3),Movimientos!$C:$C,"&gt;0")+SUMIFS(Movimientos!$C:$C,Movimientos!$A:$A,$B5,Movimientos!$D:$D,CONCATENATE("&lt;",LL$3),Movimientos!$C:$C,"&lt;0")</f>
        <v>0</v>
      </c>
      <c r="LM5" s="5">
        <f ca="1">SUMIFS(Movimientos!$C:$C,Movimientos!$A:$A,$B5,Movimientos!$D:$D,CONCATENATE("&lt;=",LM$3),Movimientos!$C:$C,"&gt;0")+SUMIFS(Movimientos!$C:$C,Movimientos!$A:$A,$B5,Movimientos!$D:$D,CONCATENATE("&lt;",LM$3),Movimientos!$C:$C,"&lt;0")</f>
        <v>0</v>
      </c>
      <c r="LN5" s="5">
        <f ca="1">SUMIFS(Movimientos!$C:$C,Movimientos!$A:$A,$B5,Movimientos!$D:$D,CONCATENATE("&lt;=",LN$3),Movimientos!$C:$C,"&gt;0")+SUMIFS(Movimientos!$C:$C,Movimientos!$A:$A,$B5,Movimientos!$D:$D,CONCATENATE("&lt;",LN$3),Movimientos!$C:$C,"&lt;0")</f>
        <v>0</v>
      </c>
      <c r="LO5" s="5">
        <f ca="1">SUMIFS(Movimientos!$C:$C,Movimientos!$A:$A,$B5,Movimientos!$D:$D,CONCATENATE("&lt;=",LO$3),Movimientos!$C:$C,"&gt;0")+SUMIFS(Movimientos!$C:$C,Movimientos!$A:$A,$B5,Movimientos!$D:$D,CONCATENATE("&lt;",LO$3),Movimientos!$C:$C,"&lt;0")</f>
        <v>0</v>
      </c>
      <c r="LP5" s="5">
        <f ca="1">SUMIFS(Movimientos!$C:$C,Movimientos!$A:$A,$B5,Movimientos!$D:$D,CONCATENATE("&lt;=",LP$3),Movimientos!$C:$C,"&gt;0")+SUMIFS(Movimientos!$C:$C,Movimientos!$A:$A,$B5,Movimientos!$D:$D,CONCATENATE("&lt;",LP$3),Movimientos!$C:$C,"&lt;0")</f>
        <v>0</v>
      </c>
      <c r="LQ5" s="5">
        <f ca="1">SUMIFS(Movimientos!$C:$C,Movimientos!$A:$A,$B5,Movimientos!$D:$D,CONCATENATE("&lt;=",LQ$3),Movimientos!$C:$C,"&gt;0")+SUMIFS(Movimientos!$C:$C,Movimientos!$A:$A,$B5,Movimientos!$D:$D,CONCATENATE("&lt;",LQ$3),Movimientos!$C:$C,"&lt;0")</f>
        <v>0</v>
      </c>
      <c r="LR5" s="5">
        <f ca="1">SUMIFS(Movimientos!$C:$C,Movimientos!$A:$A,$B5,Movimientos!$D:$D,CONCATENATE("&lt;=",LR$3),Movimientos!$C:$C,"&gt;0")+SUMIFS(Movimientos!$C:$C,Movimientos!$A:$A,$B5,Movimientos!$D:$D,CONCATENATE("&lt;",LR$3),Movimientos!$C:$C,"&lt;0")</f>
        <v>0</v>
      </c>
      <c r="LS5" s="5">
        <f ca="1">SUMIFS(Movimientos!$C:$C,Movimientos!$A:$A,$B5,Movimientos!$D:$D,CONCATENATE("&lt;=",LS$3),Movimientos!$C:$C,"&gt;0")+SUMIFS(Movimientos!$C:$C,Movimientos!$A:$A,$B5,Movimientos!$D:$D,CONCATENATE("&lt;",LS$3),Movimientos!$C:$C,"&lt;0")</f>
        <v>0</v>
      </c>
      <c r="LT5" s="5">
        <f ca="1">SUMIFS(Movimientos!$C:$C,Movimientos!$A:$A,$B5,Movimientos!$D:$D,CONCATENATE("&lt;=",LT$3),Movimientos!$C:$C,"&gt;0")+SUMIFS(Movimientos!$C:$C,Movimientos!$A:$A,$B5,Movimientos!$D:$D,CONCATENATE("&lt;",LT$3),Movimientos!$C:$C,"&lt;0")</f>
        <v>0</v>
      </c>
      <c r="LU5" s="5">
        <f ca="1">SUMIFS(Movimientos!$C:$C,Movimientos!$A:$A,$B5,Movimientos!$D:$D,CONCATENATE("&lt;=",LU$3),Movimientos!$C:$C,"&gt;0")+SUMIFS(Movimientos!$C:$C,Movimientos!$A:$A,$B5,Movimientos!$D:$D,CONCATENATE("&lt;",LU$3),Movimientos!$C:$C,"&lt;0")</f>
        <v>0</v>
      </c>
      <c r="LV5" s="5">
        <f ca="1">SUMIFS(Movimientos!$C:$C,Movimientos!$A:$A,$B5,Movimientos!$D:$D,CONCATENATE("&lt;=",LV$3),Movimientos!$C:$C,"&gt;0")+SUMIFS(Movimientos!$C:$C,Movimientos!$A:$A,$B5,Movimientos!$D:$D,CONCATENATE("&lt;",LV$3),Movimientos!$C:$C,"&lt;0")</f>
        <v>0</v>
      </c>
      <c r="LW5" s="5">
        <f ca="1">SUMIFS(Movimientos!$C:$C,Movimientos!$A:$A,$B5,Movimientos!$D:$D,CONCATENATE("&lt;=",LW$3),Movimientos!$C:$C,"&gt;0")+SUMIFS(Movimientos!$C:$C,Movimientos!$A:$A,$B5,Movimientos!$D:$D,CONCATENATE("&lt;",LW$3),Movimientos!$C:$C,"&lt;0")</f>
        <v>0</v>
      </c>
      <c r="LX5" s="5">
        <f ca="1">SUMIFS(Movimientos!$C:$C,Movimientos!$A:$A,$B5,Movimientos!$D:$D,CONCATENATE("&lt;=",LX$3),Movimientos!$C:$C,"&gt;0")+SUMIFS(Movimientos!$C:$C,Movimientos!$A:$A,$B5,Movimientos!$D:$D,CONCATENATE("&lt;",LX$3),Movimientos!$C:$C,"&lt;0")</f>
        <v>0</v>
      </c>
      <c r="LY5" s="5">
        <f ca="1">SUMIFS(Movimientos!$C:$C,Movimientos!$A:$A,$B5,Movimientos!$D:$D,CONCATENATE("&lt;=",LY$3),Movimientos!$C:$C,"&gt;0")+SUMIFS(Movimientos!$C:$C,Movimientos!$A:$A,$B5,Movimientos!$D:$D,CONCATENATE("&lt;",LY$3),Movimientos!$C:$C,"&lt;0")</f>
        <v>0</v>
      </c>
      <c r="LZ5" s="5">
        <f ca="1">SUMIFS(Movimientos!$C:$C,Movimientos!$A:$A,$B5,Movimientos!$D:$D,CONCATENATE("&lt;=",LZ$3),Movimientos!$C:$C,"&gt;0")+SUMIFS(Movimientos!$C:$C,Movimientos!$A:$A,$B5,Movimientos!$D:$D,CONCATENATE("&lt;",LZ$3),Movimientos!$C:$C,"&lt;0")</f>
        <v>0</v>
      </c>
      <c r="MA5" s="5">
        <f ca="1">SUMIFS(Movimientos!$C:$C,Movimientos!$A:$A,$B5,Movimientos!$D:$D,CONCATENATE("&lt;=",MA$3),Movimientos!$C:$C,"&gt;0")+SUMIFS(Movimientos!$C:$C,Movimientos!$A:$A,$B5,Movimientos!$D:$D,CONCATENATE("&lt;",MA$3),Movimientos!$C:$C,"&lt;0")</f>
        <v>0</v>
      </c>
      <c r="MB5" s="5">
        <f ca="1">SUMIFS(Movimientos!$C:$C,Movimientos!$A:$A,$B5,Movimientos!$D:$D,CONCATENATE("&lt;=",MB$3),Movimientos!$C:$C,"&gt;0")+SUMIFS(Movimientos!$C:$C,Movimientos!$A:$A,$B5,Movimientos!$D:$D,CONCATENATE("&lt;",MB$3),Movimientos!$C:$C,"&lt;0")</f>
        <v>0</v>
      </c>
      <c r="MC5" s="5">
        <f ca="1">SUMIFS(Movimientos!$C:$C,Movimientos!$A:$A,$B5,Movimientos!$D:$D,CONCATENATE("&lt;=",MC$3),Movimientos!$C:$C,"&gt;0")+SUMIFS(Movimientos!$C:$C,Movimientos!$A:$A,$B5,Movimientos!$D:$D,CONCATENATE("&lt;",MC$3),Movimientos!$C:$C,"&lt;0")</f>
        <v>0</v>
      </c>
      <c r="MD5" s="5">
        <f ca="1">SUMIFS(Movimientos!$C:$C,Movimientos!$A:$A,$B5,Movimientos!$D:$D,CONCATENATE("&lt;=",MD$3),Movimientos!$C:$C,"&gt;0")+SUMIFS(Movimientos!$C:$C,Movimientos!$A:$A,$B5,Movimientos!$D:$D,CONCATENATE("&lt;",MD$3),Movimientos!$C:$C,"&lt;0")</f>
        <v>0</v>
      </c>
      <c r="ME5" s="5">
        <f ca="1">SUMIFS(Movimientos!$C:$C,Movimientos!$A:$A,$B5,Movimientos!$D:$D,CONCATENATE("&lt;=",ME$3),Movimientos!$C:$C,"&gt;0")+SUMIFS(Movimientos!$C:$C,Movimientos!$A:$A,$B5,Movimientos!$D:$D,CONCATENATE("&lt;",ME$3),Movimientos!$C:$C,"&lt;0")</f>
        <v>0</v>
      </c>
      <c r="MF5" s="5">
        <f ca="1">SUMIFS(Movimientos!$C:$C,Movimientos!$A:$A,$B5,Movimientos!$D:$D,CONCATENATE("&lt;=",MF$3),Movimientos!$C:$C,"&gt;0")+SUMIFS(Movimientos!$C:$C,Movimientos!$A:$A,$B5,Movimientos!$D:$D,CONCATENATE("&lt;",MF$3),Movimientos!$C:$C,"&lt;0")</f>
        <v>0</v>
      </c>
      <c r="MG5" s="5">
        <f ca="1">SUMIFS(Movimientos!$C:$C,Movimientos!$A:$A,$B5,Movimientos!$D:$D,CONCATENATE("&lt;=",MG$3),Movimientos!$C:$C,"&gt;0")+SUMIFS(Movimientos!$C:$C,Movimientos!$A:$A,$B5,Movimientos!$D:$D,CONCATENATE("&lt;",MG$3),Movimientos!$C:$C,"&lt;0")</f>
        <v>0</v>
      </c>
      <c r="MH5" s="5">
        <f ca="1">SUMIFS(Movimientos!$C:$C,Movimientos!$A:$A,$B5,Movimientos!$D:$D,CONCATENATE("&lt;=",MH$3),Movimientos!$C:$C,"&gt;0")+SUMIFS(Movimientos!$C:$C,Movimientos!$A:$A,$B5,Movimientos!$D:$D,CONCATENATE("&lt;",MH$3),Movimientos!$C:$C,"&lt;0")</f>
        <v>0</v>
      </c>
      <c r="MI5" s="5">
        <f ca="1">SUMIFS(Movimientos!$C:$C,Movimientos!$A:$A,$B5,Movimientos!$D:$D,CONCATENATE("&lt;=",MI$3),Movimientos!$C:$C,"&gt;0")+SUMIFS(Movimientos!$C:$C,Movimientos!$A:$A,$B5,Movimientos!$D:$D,CONCATENATE("&lt;",MI$3),Movimientos!$C:$C,"&lt;0")</f>
        <v>0</v>
      </c>
      <c r="MJ5" s="5">
        <f ca="1">SUMIFS(Movimientos!$C:$C,Movimientos!$A:$A,$B5,Movimientos!$D:$D,CONCATENATE("&lt;=",MJ$3),Movimientos!$C:$C,"&gt;0")+SUMIFS(Movimientos!$C:$C,Movimientos!$A:$A,$B5,Movimientos!$D:$D,CONCATENATE("&lt;",MJ$3),Movimientos!$C:$C,"&lt;0")</f>
        <v>0</v>
      </c>
      <c r="MK5" s="5">
        <f ca="1">SUMIFS(Movimientos!$C:$C,Movimientos!$A:$A,$B5,Movimientos!$D:$D,CONCATENATE("&lt;=",MK$3),Movimientos!$C:$C,"&gt;0")+SUMIFS(Movimientos!$C:$C,Movimientos!$A:$A,$B5,Movimientos!$D:$D,CONCATENATE("&lt;",MK$3),Movimientos!$C:$C,"&lt;0")</f>
        <v>0</v>
      </c>
      <c r="ML5" s="5">
        <f ca="1">SUMIFS(Movimientos!$C:$C,Movimientos!$A:$A,$B5,Movimientos!$D:$D,CONCATENATE("&lt;=",ML$3),Movimientos!$C:$C,"&gt;0")+SUMIFS(Movimientos!$C:$C,Movimientos!$A:$A,$B5,Movimientos!$D:$D,CONCATENATE("&lt;",ML$3),Movimientos!$C:$C,"&lt;0")</f>
        <v>0</v>
      </c>
      <c r="MM5" s="5">
        <f ca="1">SUMIFS(Movimientos!$C:$C,Movimientos!$A:$A,$B5,Movimientos!$D:$D,CONCATENATE("&lt;=",MM$3),Movimientos!$C:$C,"&gt;0")+SUMIFS(Movimientos!$C:$C,Movimientos!$A:$A,$B5,Movimientos!$D:$D,CONCATENATE("&lt;",MM$3),Movimientos!$C:$C,"&lt;0")</f>
        <v>0</v>
      </c>
      <c r="MN5" s="5">
        <f ca="1">SUMIFS(Movimientos!$C:$C,Movimientos!$A:$A,$B5,Movimientos!$D:$D,CONCATENATE("&lt;=",MN$3),Movimientos!$C:$C,"&gt;0")+SUMIFS(Movimientos!$C:$C,Movimientos!$A:$A,$B5,Movimientos!$D:$D,CONCATENATE("&lt;",MN$3),Movimientos!$C:$C,"&lt;0")</f>
        <v>0</v>
      </c>
      <c r="MO5" s="5">
        <f ca="1">SUMIFS(Movimientos!$C:$C,Movimientos!$A:$A,$B5,Movimientos!$D:$D,CONCATENATE("&lt;=",MO$3),Movimientos!$C:$C,"&gt;0")+SUMIFS(Movimientos!$C:$C,Movimientos!$A:$A,$B5,Movimientos!$D:$D,CONCATENATE("&lt;",MO$3),Movimientos!$C:$C,"&lt;0")</f>
        <v>0</v>
      </c>
      <c r="MP5" s="5">
        <f ca="1">SUMIFS(Movimientos!$C:$C,Movimientos!$A:$A,$B5,Movimientos!$D:$D,CONCATENATE("&lt;=",MP$3),Movimientos!$C:$C,"&gt;0")+SUMIFS(Movimientos!$C:$C,Movimientos!$A:$A,$B5,Movimientos!$D:$D,CONCATENATE("&lt;",MP$3),Movimientos!$C:$C,"&lt;0")</f>
        <v>0</v>
      </c>
      <c r="MQ5" s="5">
        <f ca="1">SUMIFS(Movimientos!$C:$C,Movimientos!$A:$A,$B5,Movimientos!$D:$D,CONCATENATE("&lt;=",MQ$3),Movimientos!$C:$C,"&gt;0")+SUMIFS(Movimientos!$C:$C,Movimientos!$A:$A,$B5,Movimientos!$D:$D,CONCATENATE("&lt;",MQ$3),Movimientos!$C:$C,"&lt;0")</f>
        <v>0</v>
      </c>
      <c r="MR5" s="5">
        <f ca="1">SUMIFS(Movimientos!$C:$C,Movimientos!$A:$A,$B5,Movimientos!$D:$D,CONCATENATE("&lt;=",MR$3),Movimientos!$C:$C,"&gt;0")+SUMIFS(Movimientos!$C:$C,Movimientos!$A:$A,$B5,Movimientos!$D:$D,CONCATENATE("&lt;",MR$3),Movimientos!$C:$C,"&lt;0")</f>
        <v>0</v>
      </c>
      <c r="MS5" s="5">
        <f ca="1">SUMIFS(Movimientos!$C:$C,Movimientos!$A:$A,$B5,Movimientos!$D:$D,CONCATENATE("&lt;=",MS$3),Movimientos!$C:$C,"&gt;0")+SUMIFS(Movimientos!$C:$C,Movimientos!$A:$A,$B5,Movimientos!$D:$D,CONCATENATE("&lt;",MS$3),Movimientos!$C:$C,"&lt;0")</f>
        <v>0</v>
      </c>
      <c r="MT5" s="5">
        <f ca="1">SUMIFS(Movimientos!$C:$C,Movimientos!$A:$A,$B5,Movimientos!$D:$D,CONCATENATE("&lt;=",MT$3),Movimientos!$C:$C,"&gt;0")+SUMIFS(Movimientos!$C:$C,Movimientos!$A:$A,$B5,Movimientos!$D:$D,CONCATENATE("&lt;",MT$3),Movimientos!$C:$C,"&lt;0")</f>
        <v>0</v>
      </c>
      <c r="MU5" s="5">
        <f ca="1">SUMIFS(Movimientos!$C:$C,Movimientos!$A:$A,$B5,Movimientos!$D:$D,CONCATENATE("&lt;=",MU$3),Movimientos!$C:$C,"&gt;0")+SUMIFS(Movimientos!$C:$C,Movimientos!$A:$A,$B5,Movimientos!$D:$D,CONCATENATE("&lt;",MU$3),Movimientos!$C:$C,"&lt;0")</f>
        <v>0</v>
      </c>
      <c r="MV5" s="5">
        <f ca="1">SUMIFS(Movimientos!$C:$C,Movimientos!$A:$A,$B5,Movimientos!$D:$D,CONCATENATE("&lt;=",MV$3),Movimientos!$C:$C,"&gt;0")+SUMIFS(Movimientos!$C:$C,Movimientos!$A:$A,$B5,Movimientos!$D:$D,CONCATENATE("&lt;",MV$3),Movimientos!$C:$C,"&lt;0")</f>
        <v>0</v>
      </c>
      <c r="MW5" s="5">
        <f ca="1">SUMIFS(Movimientos!$C:$C,Movimientos!$A:$A,$B5,Movimientos!$D:$D,CONCATENATE("&lt;=",MW$3),Movimientos!$C:$C,"&gt;0")+SUMIFS(Movimientos!$C:$C,Movimientos!$A:$A,$B5,Movimientos!$D:$D,CONCATENATE("&lt;",MW$3),Movimientos!$C:$C,"&lt;0")</f>
        <v>0</v>
      </c>
      <c r="MX5" s="5">
        <f ca="1">SUMIFS(Movimientos!$C:$C,Movimientos!$A:$A,$B5,Movimientos!$D:$D,CONCATENATE("&lt;=",MX$3),Movimientos!$C:$C,"&gt;0")+SUMIFS(Movimientos!$C:$C,Movimientos!$A:$A,$B5,Movimientos!$D:$D,CONCATENATE("&lt;",MX$3),Movimientos!$C:$C,"&lt;0")</f>
        <v>0</v>
      </c>
      <c r="MY5" s="5">
        <f ca="1">SUMIFS(Movimientos!$C:$C,Movimientos!$A:$A,$B5,Movimientos!$D:$D,CONCATENATE("&lt;=",MY$3),Movimientos!$C:$C,"&gt;0")+SUMIFS(Movimientos!$C:$C,Movimientos!$A:$A,$B5,Movimientos!$D:$D,CONCATENATE("&lt;",MY$3),Movimientos!$C:$C,"&lt;0")</f>
        <v>0</v>
      </c>
      <c r="MZ5" s="5">
        <f ca="1">SUMIFS(Movimientos!$C:$C,Movimientos!$A:$A,$B5,Movimientos!$D:$D,CONCATENATE("&lt;=",MZ$3),Movimientos!$C:$C,"&gt;0")+SUMIFS(Movimientos!$C:$C,Movimientos!$A:$A,$B5,Movimientos!$D:$D,CONCATENATE("&lt;",MZ$3),Movimientos!$C:$C,"&lt;0")</f>
        <v>0</v>
      </c>
      <c r="NA5" s="5">
        <f ca="1">SUMIFS(Movimientos!$C:$C,Movimientos!$A:$A,$B5,Movimientos!$D:$D,CONCATENATE("&lt;=",NA$3),Movimientos!$C:$C,"&gt;0")+SUMIFS(Movimientos!$C:$C,Movimientos!$A:$A,$B5,Movimientos!$D:$D,CONCATENATE("&lt;",NA$3),Movimientos!$C:$C,"&lt;0")</f>
        <v>0</v>
      </c>
      <c r="NB5" s="5">
        <f ca="1">SUMIFS(Movimientos!$C:$C,Movimientos!$A:$A,$B5,Movimientos!$D:$D,CONCATENATE("&lt;=",NB$3),Movimientos!$C:$C,"&gt;0")+SUMIFS(Movimientos!$C:$C,Movimientos!$A:$A,$B5,Movimientos!$D:$D,CONCATENATE("&lt;",NB$3),Movimientos!$C:$C,"&lt;0")</f>
        <v>0</v>
      </c>
      <c r="NC5" s="5">
        <f ca="1">SUMIFS(Movimientos!$C:$C,Movimientos!$A:$A,$B5,Movimientos!$D:$D,CONCATENATE("&lt;=",NC$3),Movimientos!$C:$C,"&gt;0")+SUMIFS(Movimientos!$C:$C,Movimientos!$A:$A,$B5,Movimientos!$D:$D,CONCATENATE("&lt;",NC$3),Movimientos!$C:$C,"&lt;0")</f>
        <v>0</v>
      </c>
      <c r="ND5" s="5">
        <f ca="1">SUMIFS(Movimientos!$C:$C,Movimientos!$A:$A,$B5,Movimientos!$D:$D,CONCATENATE("&lt;=",ND$3),Movimientos!$C:$C,"&gt;0")+SUMIFS(Movimientos!$C:$C,Movimientos!$A:$A,$B5,Movimientos!$D:$D,CONCATENATE("&lt;",ND$3),Movimientos!$C:$C,"&lt;0")</f>
        <v>0</v>
      </c>
      <c r="NE5" s="5">
        <f ca="1">SUMIFS(Movimientos!$C:$C,Movimientos!$A:$A,$B5,Movimientos!$D:$D,CONCATENATE("&lt;=",NE$3),Movimientos!$C:$C,"&gt;0")+SUMIFS(Movimientos!$C:$C,Movimientos!$A:$A,$B5,Movimientos!$D:$D,CONCATENATE("&lt;",NE$3),Movimientos!$C:$C,"&lt;0")</f>
        <v>0</v>
      </c>
      <c r="NF5" s="5">
        <f ca="1">SUMIFS(Movimientos!$C:$C,Movimientos!$A:$A,$B5,Movimientos!$D:$D,CONCATENATE("&lt;=",NF$3),Movimientos!$C:$C,"&gt;0")+SUMIFS(Movimientos!$C:$C,Movimientos!$A:$A,$B5,Movimientos!$D:$D,CONCATENATE("&lt;",NF$3),Movimientos!$C:$C,"&lt;0")</f>
        <v>0</v>
      </c>
      <c r="NG5" s="5">
        <f ca="1">SUMIFS(Movimientos!$C:$C,Movimientos!$A:$A,$B5,Movimientos!$D:$D,CONCATENATE("&lt;=",NG$3),Movimientos!$C:$C,"&gt;0")+SUMIFS(Movimientos!$C:$C,Movimientos!$A:$A,$B5,Movimientos!$D:$D,CONCATENATE("&lt;",NG$3),Movimientos!$C:$C,"&lt;0")</f>
        <v>0</v>
      </c>
      <c r="NH5" s="5">
        <f ca="1">SUMIFS(Movimientos!$C:$C,Movimientos!$A:$A,$B5,Movimientos!$D:$D,CONCATENATE("&lt;=",NH$3),Movimientos!$C:$C,"&gt;0")+SUMIFS(Movimientos!$C:$C,Movimientos!$A:$A,$B5,Movimientos!$D:$D,CONCATENATE("&lt;",NH$3),Movimientos!$C:$C,"&lt;0")</f>
        <v>0</v>
      </c>
      <c r="NI5" s="5">
        <f ca="1">SUMIFS(Movimientos!$C:$C,Movimientos!$A:$A,$B5,Movimientos!$D:$D,CONCATENATE("&lt;=",NI$3),Movimientos!$C:$C,"&gt;0")+SUMIFS(Movimientos!$C:$C,Movimientos!$A:$A,$B5,Movimientos!$D:$D,CONCATENATE("&lt;",NI$3),Movimientos!$C:$C,"&lt;0")</f>
        <v>0</v>
      </c>
      <c r="NJ5" s="5">
        <f ca="1">SUMIFS(Movimientos!$C:$C,Movimientos!$A:$A,$B5,Movimientos!$D:$D,CONCATENATE("&lt;=",NJ$3),Movimientos!$C:$C,"&gt;0")+SUMIFS(Movimientos!$C:$C,Movimientos!$A:$A,$B5,Movimientos!$D:$D,CONCATENATE("&lt;",NJ$3),Movimientos!$C:$C,"&lt;0")</f>
        <v>0</v>
      </c>
      <c r="NK5" s="5">
        <f ca="1">SUMIFS(Movimientos!$C:$C,Movimientos!$A:$A,$B5,Movimientos!$D:$D,CONCATENATE("&lt;=",NK$3),Movimientos!$C:$C,"&gt;0")+SUMIFS(Movimientos!$C:$C,Movimientos!$A:$A,$B5,Movimientos!$D:$D,CONCATENATE("&lt;",NK$3),Movimientos!$C:$C,"&lt;0")</f>
        <v>0</v>
      </c>
      <c r="NL5" s="5">
        <f ca="1">SUMIFS(Movimientos!$C:$C,Movimientos!$A:$A,$B5,Movimientos!$D:$D,CONCATENATE("&lt;=",NL$3),Movimientos!$C:$C,"&gt;0")+SUMIFS(Movimientos!$C:$C,Movimientos!$A:$A,$B5,Movimientos!$D:$D,CONCATENATE("&lt;",NL$3),Movimientos!$C:$C,"&lt;0")</f>
        <v>0</v>
      </c>
      <c r="NM5" s="5">
        <f ca="1">SUMIFS(Movimientos!$C:$C,Movimientos!$A:$A,$B5,Movimientos!$D:$D,CONCATENATE("&lt;=",NM$3),Movimientos!$C:$C,"&gt;0")+SUMIFS(Movimientos!$C:$C,Movimientos!$A:$A,$B5,Movimientos!$D:$D,CONCATENATE("&lt;",NM$3),Movimientos!$C:$C,"&lt;0")</f>
        <v>0</v>
      </c>
      <c r="NN5" s="5">
        <f ca="1">SUMIFS(Movimientos!$C:$C,Movimientos!$A:$A,$B5,Movimientos!$D:$D,CONCATENATE("&lt;=",NN$3),Movimientos!$C:$C,"&gt;0")+SUMIFS(Movimientos!$C:$C,Movimientos!$A:$A,$B5,Movimientos!$D:$D,CONCATENATE("&lt;",NN$3),Movimientos!$C:$C,"&lt;0")</f>
        <v>0</v>
      </c>
      <c r="NO5" s="5">
        <f ca="1">SUMIFS(Movimientos!$C:$C,Movimientos!$A:$A,$B5,Movimientos!$D:$D,CONCATENATE("&lt;=",NO$3),Movimientos!$C:$C,"&gt;0")+SUMIFS(Movimientos!$C:$C,Movimientos!$A:$A,$B5,Movimientos!$D:$D,CONCATENATE("&lt;",NO$3),Movimientos!$C:$C,"&lt;0")</f>
        <v>0</v>
      </c>
      <c r="NP5" s="5">
        <f ca="1">SUMIFS(Movimientos!$C:$C,Movimientos!$A:$A,$B5,Movimientos!$D:$D,CONCATENATE("&lt;=",NP$3),Movimientos!$C:$C,"&gt;0")+SUMIFS(Movimientos!$C:$C,Movimientos!$A:$A,$B5,Movimientos!$D:$D,CONCATENATE("&lt;",NP$3),Movimientos!$C:$C,"&lt;0")</f>
        <v>0</v>
      </c>
      <c r="NQ5" s="5">
        <f ca="1">SUMIFS(Movimientos!$C:$C,Movimientos!$A:$A,$B5,Movimientos!$D:$D,CONCATENATE("&lt;=",NQ$3),Movimientos!$C:$C,"&gt;0")+SUMIFS(Movimientos!$C:$C,Movimientos!$A:$A,$B5,Movimientos!$D:$D,CONCATENATE("&lt;",NQ$3),Movimientos!$C:$C,"&lt;0")</f>
        <v>0</v>
      </c>
      <c r="NR5" s="5">
        <f ca="1">SUMIFS(Movimientos!$C:$C,Movimientos!$A:$A,$B5,Movimientos!$D:$D,CONCATENATE("&lt;=",NR$3),Movimientos!$C:$C,"&gt;0")+SUMIFS(Movimientos!$C:$C,Movimientos!$A:$A,$B5,Movimientos!$D:$D,CONCATENATE("&lt;",NR$3),Movimientos!$C:$C,"&lt;0")</f>
        <v>0</v>
      </c>
      <c r="NS5" s="5">
        <f ca="1">SUMIFS(Movimientos!$C:$C,Movimientos!$A:$A,$B5,Movimientos!$D:$D,CONCATENATE("&lt;=",NS$3),Movimientos!$C:$C,"&gt;0")+SUMIFS(Movimientos!$C:$C,Movimientos!$A:$A,$B5,Movimientos!$D:$D,CONCATENATE("&lt;",NS$3),Movimientos!$C:$C,"&lt;0")</f>
        <v>0</v>
      </c>
      <c r="NT5" s="5">
        <f ca="1">SUMIFS(Movimientos!$C:$C,Movimientos!$A:$A,$B5,Movimientos!$D:$D,CONCATENATE("&lt;=",NT$3),Movimientos!$C:$C,"&gt;0")+SUMIFS(Movimientos!$C:$C,Movimientos!$A:$A,$B5,Movimientos!$D:$D,CONCATENATE("&lt;",NT$3),Movimientos!$C:$C,"&lt;0")</f>
        <v>0</v>
      </c>
      <c r="NU5" s="5">
        <f ca="1">SUMIFS(Movimientos!$C:$C,Movimientos!$A:$A,$B5,Movimientos!$D:$D,CONCATENATE("&lt;=",NU$3),Movimientos!$C:$C,"&gt;0")+SUMIFS(Movimientos!$C:$C,Movimientos!$A:$A,$B5,Movimientos!$D:$D,CONCATENATE("&lt;",NU$3),Movimientos!$C:$C,"&lt;0")</f>
        <v>0</v>
      </c>
      <c r="NV5" s="5">
        <f ca="1">SUMIFS(Movimientos!$C:$C,Movimientos!$A:$A,$B5,Movimientos!$D:$D,CONCATENATE("&lt;=",NV$3),Movimientos!$C:$C,"&gt;0")+SUMIFS(Movimientos!$C:$C,Movimientos!$A:$A,$B5,Movimientos!$D:$D,CONCATENATE("&lt;",NV$3),Movimientos!$C:$C,"&lt;0")</f>
        <v>0</v>
      </c>
      <c r="NW5" s="5">
        <f ca="1">SUMIFS(Movimientos!$C:$C,Movimientos!$A:$A,$B5,Movimientos!$D:$D,CONCATENATE("&lt;=",NW$3),Movimientos!$C:$C,"&gt;0")+SUMIFS(Movimientos!$C:$C,Movimientos!$A:$A,$B5,Movimientos!$D:$D,CONCATENATE("&lt;",NW$3),Movimientos!$C:$C,"&lt;0")</f>
        <v>0</v>
      </c>
      <c r="NX5" s="5">
        <f ca="1">SUMIFS(Movimientos!$C:$C,Movimientos!$A:$A,$B5,Movimientos!$D:$D,CONCATENATE("&lt;=",NX$3),Movimientos!$C:$C,"&gt;0")+SUMIFS(Movimientos!$C:$C,Movimientos!$A:$A,$B5,Movimientos!$D:$D,CONCATENATE("&lt;",NX$3),Movimientos!$C:$C,"&lt;0")</f>
        <v>0</v>
      </c>
      <c r="NY5" s="5">
        <f ca="1">SUMIFS(Movimientos!$C:$C,Movimientos!$A:$A,$B5,Movimientos!$D:$D,CONCATENATE("&lt;=",NY$3),Movimientos!$C:$C,"&gt;0")+SUMIFS(Movimientos!$C:$C,Movimientos!$A:$A,$B5,Movimientos!$D:$D,CONCATENATE("&lt;",NY$3),Movimientos!$C:$C,"&lt;0")</f>
        <v>0</v>
      </c>
      <c r="NZ5" s="5">
        <f ca="1">SUMIFS(Movimientos!$C:$C,Movimientos!$A:$A,$B5,Movimientos!$D:$D,CONCATENATE("&lt;=",NZ$3),Movimientos!$C:$C,"&gt;0")+SUMIFS(Movimientos!$C:$C,Movimientos!$A:$A,$B5,Movimientos!$D:$D,CONCATENATE("&lt;",NZ$3),Movimientos!$C:$C,"&lt;0")</f>
        <v>0</v>
      </c>
      <c r="OA5" s="5">
        <f ca="1">SUMIFS(Movimientos!$C:$C,Movimientos!$A:$A,$B5,Movimientos!$D:$D,CONCATENATE("&lt;=",OA$3),Movimientos!$C:$C,"&gt;0")+SUMIFS(Movimientos!$C:$C,Movimientos!$A:$A,$B5,Movimientos!$D:$D,CONCATENATE("&lt;",OA$3),Movimientos!$C:$C,"&lt;0")</f>
        <v>0</v>
      </c>
      <c r="OB5" s="5">
        <f ca="1">SUMIFS(Movimientos!$C:$C,Movimientos!$A:$A,$B5,Movimientos!$D:$D,CONCATENATE("&lt;=",OB$3),Movimientos!$C:$C,"&gt;0")+SUMIFS(Movimientos!$C:$C,Movimientos!$A:$A,$B5,Movimientos!$D:$D,CONCATENATE("&lt;",OB$3),Movimientos!$C:$C,"&lt;0")</f>
        <v>0</v>
      </c>
      <c r="OC5" s="5">
        <f ca="1">SUMIFS(Movimientos!$C:$C,Movimientos!$A:$A,$B5,Movimientos!$D:$D,CONCATENATE("&lt;=",OC$3),Movimientos!$C:$C,"&gt;0")+SUMIFS(Movimientos!$C:$C,Movimientos!$A:$A,$B5,Movimientos!$D:$D,CONCATENATE("&lt;",OC$3),Movimientos!$C:$C,"&lt;0")</f>
        <v>0</v>
      </c>
      <c r="OD5" s="5">
        <f ca="1">SUMIFS(Movimientos!$C:$C,Movimientos!$A:$A,$B5,Movimientos!$D:$D,CONCATENATE("&lt;=",OD$3),Movimientos!$C:$C,"&gt;0")+SUMIFS(Movimientos!$C:$C,Movimientos!$A:$A,$B5,Movimientos!$D:$D,CONCATENATE("&lt;",OD$3),Movimientos!$C:$C,"&lt;0")</f>
        <v>0</v>
      </c>
      <c r="OE5" s="5">
        <f ca="1">SUMIFS(Movimientos!$C:$C,Movimientos!$A:$A,$B5,Movimientos!$D:$D,CONCATENATE("&lt;=",OE$3),Movimientos!$C:$C,"&gt;0")+SUMIFS(Movimientos!$C:$C,Movimientos!$A:$A,$B5,Movimientos!$D:$D,CONCATENATE("&lt;",OE$3),Movimientos!$C:$C,"&lt;0")</f>
        <v>0</v>
      </c>
      <c r="OF5" s="5">
        <f ca="1">SUMIFS(Movimientos!$C:$C,Movimientos!$A:$A,$B5,Movimientos!$D:$D,CONCATENATE("&lt;=",OF$3),Movimientos!$C:$C,"&gt;0")+SUMIFS(Movimientos!$C:$C,Movimientos!$A:$A,$B5,Movimientos!$D:$D,CONCATENATE("&lt;",OF$3),Movimientos!$C:$C,"&lt;0")</f>
        <v>0</v>
      </c>
      <c r="OG5" s="5">
        <f ca="1">SUMIFS(Movimientos!$C:$C,Movimientos!$A:$A,$B5,Movimientos!$D:$D,CONCATENATE("&lt;=",OG$3),Movimientos!$C:$C,"&gt;0")+SUMIFS(Movimientos!$C:$C,Movimientos!$A:$A,$B5,Movimientos!$D:$D,CONCATENATE("&lt;",OG$3),Movimientos!$C:$C,"&lt;0")</f>
        <v>0</v>
      </c>
      <c r="OH5" s="5">
        <f ca="1">SUMIFS(Movimientos!$C:$C,Movimientos!$A:$A,$B5,Movimientos!$D:$D,CONCATENATE("&lt;=",OH$3),Movimientos!$C:$C,"&gt;0")+SUMIFS(Movimientos!$C:$C,Movimientos!$A:$A,$B5,Movimientos!$D:$D,CONCATENATE("&lt;",OH$3),Movimientos!$C:$C,"&lt;0")</f>
        <v>0</v>
      </c>
      <c r="OI5" s="5">
        <f ca="1">SUMIFS(Movimientos!$C:$C,Movimientos!$A:$A,$B5,Movimientos!$D:$D,CONCATENATE("&lt;=",OI$3),Movimientos!$C:$C,"&gt;0")+SUMIFS(Movimientos!$C:$C,Movimientos!$A:$A,$B5,Movimientos!$D:$D,CONCATENATE("&lt;",OI$3),Movimientos!$C:$C,"&lt;0")</f>
        <v>0</v>
      </c>
      <c r="OJ5" s="5">
        <f ca="1">SUMIFS(Movimientos!$C:$C,Movimientos!$A:$A,$B5,Movimientos!$D:$D,CONCATENATE("&lt;=",OJ$3),Movimientos!$C:$C,"&gt;0")+SUMIFS(Movimientos!$C:$C,Movimientos!$A:$A,$B5,Movimientos!$D:$D,CONCATENATE("&lt;",OJ$3),Movimientos!$C:$C,"&lt;0")</f>
        <v>0</v>
      </c>
      <c r="OK5" s="5">
        <f ca="1">SUMIFS(Movimientos!$C:$C,Movimientos!$A:$A,$B5,Movimientos!$D:$D,CONCATENATE("&lt;=",OK$3),Movimientos!$C:$C,"&gt;0")+SUMIFS(Movimientos!$C:$C,Movimientos!$A:$A,$B5,Movimientos!$D:$D,CONCATENATE("&lt;",OK$3),Movimientos!$C:$C,"&lt;0")</f>
        <v>0</v>
      </c>
      <c r="OL5" s="5">
        <f ca="1">SUMIFS(Movimientos!$C:$C,Movimientos!$A:$A,$B5,Movimientos!$D:$D,CONCATENATE("&lt;=",OL$3),Movimientos!$C:$C,"&gt;0")+SUMIFS(Movimientos!$C:$C,Movimientos!$A:$A,$B5,Movimientos!$D:$D,CONCATENATE("&lt;",OL$3),Movimientos!$C:$C,"&lt;0")</f>
        <v>0</v>
      </c>
      <c r="OM5" s="5">
        <f ca="1">SUMIFS(Movimientos!$C:$C,Movimientos!$A:$A,$B5,Movimientos!$D:$D,CONCATENATE("&lt;=",OM$3),Movimientos!$C:$C,"&gt;0")+SUMIFS(Movimientos!$C:$C,Movimientos!$A:$A,$B5,Movimientos!$D:$D,CONCATENATE("&lt;",OM$3),Movimientos!$C:$C,"&lt;0")</f>
        <v>0</v>
      </c>
      <c r="ON5" s="5">
        <f ca="1">SUMIFS(Movimientos!$C:$C,Movimientos!$A:$A,$B5,Movimientos!$D:$D,CONCATENATE("&lt;=",ON$3),Movimientos!$C:$C,"&gt;0")+SUMIFS(Movimientos!$C:$C,Movimientos!$A:$A,$B5,Movimientos!$D:$D,CONCATENATE("&lt;",ON$3),Movimientos!$C:$C,"&lt;0")</f>
        <v>0</v>
      </c>
      <c r="OO5" s="5">
        <f ca="1">SUMIFS(Movimientos!$C:$C,Movimientos!$A:$A,$B5,Movimientos!$D:$D,CONCATENATE("&lt;=",OO$3),Movimientos!$C:$C,"&gt;0")+SUMIFS(Movimientos!$C:$C,Movimientos!$A:$A,$B5,Movimientos!$D:$D,CONCATENATE("&lt;",OO$3),Movimientos!$C:$C,"&lt;0")</f>
        <v>0</v>
      </c>
      <c r="OP5" s="5">
        <f ca="1">SUMIFS(Movimientos!$C:$C,Movimientos!$A:$A,$B5,Movimientos!$D:$D,CONCATENATE("&lt;=",OP$3),Movimientos!$C:$C,"&gt;0")+SUMIFS(Movimientos!$C:$C,Movimientos!$A:$A,$B5,Movimientos!$D:$D,CONCATENATE("&lt;",OP$3),Movimientos!$C:$C,"&lt;0")</f>
        <v>0</v>
      </c>
      <c r="OQ5" s="5">
        <f ca="1">SUMIFS(Movimientos!$C:$C,Movimientos!$A:$A,$B5,Movimientos!$D:$D,CONCATENATE("&lt;=",OQ$3),Movimientos!$C:$C,"&gt;0")+SUMIFS(Movimientos!$C:$C,Movimientos!$A:$A,$B5,Movimientos!$D:$D,CONCATENATE("&lt;",OQ$3),Movimientos!$C:$C,"&lt;0")</f>
        <v>0</v>
      </c>
      <c r="OR5" s="5">
        <f ca="1">SUMIFS(Movimientos!$C:$C,Movimientos!$A:$A,$B5,Movimientos!$D:$D,CONCATENATE("&lt;=",OR$3),Movimientos!$C:$C,"&gt;0")+SUMIFS(Movimientos!$C:$C,Movimientos!$A:$A,$B5,Movimientos!$D:$D,CONCATENATE("&lt;",OR$3),Movimientos!$C:$C,"&lt;0")</f>
        <v>0</v>
      </c>
      <c r="OS5" s="5">
        <f ca="1">SUMIFS(Movimientos!$C:$C,Movimientos!$A:$A,$B5,Movimientos!$D:$D,CONCATENATE("&lt;=",OS$3),Movimientos!$C:$C,"&gt;0")+SUMIFS(Movimientos!$C:$C,Movimientos!$A:$A,$B5,Movimientos!$D:$D,CONCATENATE("&lt;",OS$3),Movimientos!$C:$C,"&lt;0")</f>
        <v>0</v>
      </c>
      <c r="OT5" s="5">
        <f ca="1">SUMIFS(Movimientos!$C:$C,Movimientos!$A:$A,$B5,Movimientos!$D:$D,CONCATENATE("&lt;=",OT$3),Movimientos!$C:$C,"&gt;0")+SUMIFS(Movimientos!$C:$C,Movimientos!$A:$A,$B5,Movimientos!$D:$D,CONCATENATE("&lt;",OT$3),Movimientos!$C:$C,"&lt;0")</f>
        <v>0</v>
      </c>
      <c r="OU5" s="5">
        <f ca="1">SUMIFS(Movimientos!$C:$C,Movimientos!$A:$A,$B5,Movimientos!$D:$D,CONCATENATE("&lt;=",OU$3),Movimientos!$C:$C,"&gt;0")+SUMIFS(Movimientos!$C:$C,Movimientos!$A:$A,$B5,Movimientos!$D:$D,CONCATENATE("&lt;",OU$3),Movimientos!$C:$C,"&lt;0")</f>
        <v>0</v>
      </c>
      <c r="OV5" s="5">
        <f ca="1">SUMIFS(Movimientos!$C:$C,Movimientos!$A:$A,$B5,Movimientos!$D:$D,CONCATENATE("&lt;=",OV$3),Movimientos!$C:$C,"&gt;0")+SUMIFS(Movimientos!$C:$C,Movimientos!$A:$A,$B5,Movimientos!$D:$D,CONCATENATE("&lt;",OV$3),Movimientos!$C:$C,"&lt;0")</f>
        <v>0</v>
      </c>
      <c r="OW5" s="5">
        <f ca="1">SUMIFS(Movimientos!$C:$C,Movimientos!$A:$A,$B5,Movimientos!$D:$D,CONCATENATE("&lt;=",OW$3),Movimientos!$C:$C,"&gt;0")+SUMIFS(Movimientos!$C:$C,Movimientos!$A:$A,$B5,Movimientos!$D:$D,CONCATENATE("&lt;",OW$3),Movimientos!$C:$C,"&lt;0")</f>
        <v>0</v>
      </c>
      <c r="OX5" s="5">
        <f ca="1">SUMIFS(Movimientos!$C:$C,Movimientos!$A:$A,$B5,Movimientos!$D:$D,CONCATENATE("&lt;=",OX$3),Movimientos!$C:$C,"&gt;0")+SUMIFS(Movimientos!$C:$C,Movimientos!$A:$A,$B5,Movimientos!$D:$D,CONCATENATE("&lt;",OX$3),Movimientos!$C:$C,"&lt;0")</f>
        <v>0</v>
      </c>
      <c r="OY5" s="5">
        <f ca="1">SUMIFS(Movimientos!$C:$C,Movimientos!$A:$A,$B5,Movimientos!$D:$D,CONCATENATE("&lt;=",OY$3),Movimientos!$C:$C,"&gt;0")+SUMIFS(Movimientos!$C:$C,Movimientos!$A:$A,$B5,Movimientos!$D:$D,CONCATENATE("&lt;",OY$3),Movimientos!$C:$C,"&lt;0")</f>
        <v>0</v>
      </c>
      <c r="OZ5" s="5">
        <f ca="1">SUMIFS(Movimientos!$C:$C,Movimientos!$A:$A,$B5,Movimientos!$D:$D,CONCATENATE("&lt;=",OZ$3),Movimientos!$C:$C,"&gt;0")+SUMIFS(Movimientos!$C:$C,Movimientos!$A:$A,$B5,Movimientos!$D:$D,CONCATENATE("&lt;",OZ$3),Movimientos!$C:$C,"&lt;0")</f>
        <v>0</v>
      </c>
      <c r="PA5" s="5">
        <f ca="1">SUMIFS(Movimientos!$C:$C,Movimientos!$A:$A,$B5,Movimientos!$D:$D,CONCATENATE("&lt;=",PA$3),Movimientos!$C:$C,"&gt;0")+SUMIFS(Movimientos!$C:$C,Movimientos!$A:$A,$B5,Movimientos!$D:$D,CONCATENATE("&lt;",PA$3),Movimientos!$C:$C,"&lt;0")</f>
        <v>0</v>
      </c>
      <c r="PB5" s="5">
        <f ca="1">SUMIFS(Movimientos!$C:$C,Movimientos!$A:$A,$B5,Movimientos!$D:$D,CONCATENATE("&lt;=",PB$3),Movimientos!$C:$C,"&gt;0")+SUMIFS(Movimientos!$C:$C,Movimientos!$A:$A,$B5,Movimientos!$D:$D,CONCATENATE("&lt;",PB$3),Movimientos!$C:$C,"&lt;0")</f>
        <v>0</v>
      </c>
      <c r="PC5" s="5">
        <f ca="1">SUMIFS(Movimientos!$C:$C,Movimientos!$A:$A,$B5,Movimientos!$D:$D,CONCATENATE("&lt;=",PC$3),Movimientos!$C:$C,"&gt;0")+SUMIFS(Movimientos!$C:$C,Movimientos!$A:$A,$B5,Movimientos!$D:$D,CONCATENATE("&lt;",PC$3),Movimientos!$C:$C,"&lt;0")</f>
        <v>0</v>
      </c>
      <c r="PD5" s="5">
        <f ca="1">SUMIFS(Movimientos!$C:$C,Movimientos!$A:$A,$B5,Movimientos!$D:$D,CONCATENATE("&lt;=",PD$3),Movimientos!$C:$C,"&gt;0")+SUMIFS(Movimientos!$C:$C,Movimientos!$A:$A,$B5,Movimientos!$D:$D,CONCATENATE("&lt;",PD$3),Movimientos!$C:$C,"&lt;0")</f>
        <v>0</v>
      </c>
      <c r="PE5" s="5">
        <f ca="1">SUMIFS(Movimientos!$C:$C,Movimientos!$A:$A,$B5,Movimientos!$D:$D,CONCATENATE("&lt;=",PE$3),Movimientos!$C:$C,"&gt;0")+SUMIFS(Movimientos!$C:$C,Movimientos!$A:$A,$B5,Movimientos!$D:$D,CONCATENATE("&lt;",PE$3),Movimientos!$C:$C,"&lt;0")</f>
        <v>0</v>
      </c>
      <c r="PF5" s="5">
        <f ca="1">SUMIFS(Movimientos!$C:$C,Movimientos!$A:$A,$B5,Movimientos!$D:$D,CONCATENATE("&lt;=",PF$3),Movimientos!$C:$C,"&gt;0")+SUMIFS(Movimientos!$C:$C,Movimientos!$A:$A,$B5,Movimientos!$D:$D,CONCATENATE("&lt;",PF$3),Movimientos!$C:$C,"&lt;0")</f>
        <v>0</v>
      </c>
      <c r="PG5" s="5">
        <f ca="1">SUMIFS(Movimientos!$C:$C,Movimientos!$A:$A,$B5,Movimientos!$D:$D,CONCATENATE("&lt;=",PG$3),Movimientos!$C:$C,"&gt;0")+SUMIFS(Movimientos!$C:$C,Movimientos!$A:$A,$B5,Movimientos!$D:$D,CONCATENATE("&lt;",PG$3),Movimientos!$C:$C,"&lt;0")</f>
        <v>0</v>
      </c>
      <c r="PH5" s="5">
        <f ca="1">SUMIFS(Movimientos!$C:$C,Movimientos!$A:$A,$B5,Movimientos!$D:$D,CONCATENATE("&lt;=",PH$3),Movimientos!$C:$C,"&gt;0")+SUMIFS(Movimientos!$C:$C,Movimientos!$A:$A,$B5,Movimientos!$D:$D,CONCATENATE("&lt;",PH$3),Movimientos!$C:$C,"&lt;0")</f>
        <v>0</v>
      </c>
      <c r="PI5" s="5">
        <f ca="1">SUMIFS(Movimientos!$C:$C,Movimientos!$A:$A,$B5,Movimientos!$D:$D,CONCATENATE("&lt;=",PI$3),Movimientos!$C:$C,"&gt;0")+SUMIFS(Movimientos!$C:$C,Movimientos!$A:$A,$B5,Movimientos!$D:$D,CONCATENATE("&lt;",PI$3),Movimientos!$C:$C,"&lt;0")</f>
        <v>0</v>
      </c>
      <c r="PJ5" s="5">
        <f ca="1">SUMIFS(Movimientos!$C:$C,Movimientos!$A:$A,$B5,Movimientos!$D:$D,CONCATENATE("&lt;=",PJ$3),Movimientos!$C:$C,"&gt;0")+SUMIFS(Movimientos!$C:$C,Movimientos!$A:$A,$B5,Movimientos!$D:$D,CONCATENATE("&lt;",PJ$3),Movimientos!$C:$C,"&lt;0")</f>
        <v>0</v>
      </c>
      <c r="PK5" s="5">
        <f ca="1">SUMIFS(Movimientos!$C:$C,Movimientos!$A:$A,$B5,Movimientos!$D:$D,CONCATENATE("&lt;=",PK$3),Movimientos!$C:$C,"&gt;0")+SUMIFS(Movimientos!$C:$C,Movimientos!$A:$A,$B5,Movimientos!$D:$D,CONCATENATE("&lt;",PK$3),Movimientos!$C:$C,"&lt;0")</f>
        <v>0</v>
      </c>
      <c r="PL5" s="5">
        <f ca="1">SUMIFS(Movimientos!$C:$C,Movimientos!$A:$A,$B5,Movimientos!$D:$D,CONCATENATE("&lt;=",PL$3),Movimientos!$C:$C,"&gt;0")+SUMIFS(Movimientos!$C:$C,Movimientos!$A:$A,$B5,Movimientos!$D:$D,CONCATENATE("&lt;",PL$3),Movimientos!$C:$C,"&lt;0")</f>
        <v>0</v>
      </c>
      <c r="PM5" s="5">
        <f ca="1">SUMIFS(Movimientos!$C:$C,Movimientos!$A:$A,$B5,Movimientos!$D:$D,CONCATENATE("&lt;=",PM$3),Movimientos!$C:$C,"&gt;0")+SUMIFS(Movimientos!$C:$C,Movimientos!$A:$A,$B5,Movimientos!$D:$D,CONCATENATE("&lt;",PM$3),Movimientos!$C:$C,"&lt;0")</f>
        <v>0</v>
      </c>
      <c r="PN5" s="5">
        <f ca="1">SUMIFS(Movimientos!$C:$C,Movimientos!$A:$A,$B5,Movimientos!$D:$D,CONCATENATE("&lt;=",PN$3),Movimientos!$C:$C,"&gt;0")+SUMIFS(Movimientos!$C:$C,Movimientos!$A:$A,$B5,Movimientos!$D:$D,CONCATENATE("&lt;",PN$3),Movimientos!$C:$C,"&lt;0")</f>
        <v>0</v>
      </c>
      <c r="PO5" s="5">
        <f ca="1">SUMIFS(Movimientos!$C:$C,Movimientos!$A:$A,$B5,Movimientos!$D:$D,CONCATENATE("&lt;=",PO$3),Movimientos!$C:$C,"&gt;0")+SUMIFS(Movimientos!$C:$C,Movimientos!$A:$A,$B5,Movimientos!$D:$D,CONCATENATE("&lt;",PO$3),Movimientos!$C:$C,"&lt;0")</f>
        <v>0</v>
      </c>
      <c r="PP5" s="5">
        <f ca="1">SUMIFS(Movimientos!$C:$C,Movimientos!$A:$A,$B5,Movimientos!$D:$D,CONCATENATE("&lt;=",PP$3),Movimientos!$C:$C,"&gt;0")+SUMIFS(Movimientos!$C:$C,Movimientos!$A:$A,$B5,Movimientos!$D:$D,CONCATENATE("&lt;",PP$3),Movimientos!$C:$C,"&lt;0")</f>
        <v>0</v>
      </c>
      <c r="PQ5" s="5">
        <f ca="1">SUMIFS(Movimientos!$C:$C,Movimientos!$A:$A,$B5,Movimientos!$D:$D,CONCATENATE("&lt;=",PQ$3),Movimientos!$C:$C,"&gt;0")+SUMIFS(Movimientos!$C:$C,Movimientos!$A:$A,$B5,Movimientos!$D:$D,CONCATENATE("&lt;",PQ$3),Movimientos!$C:$C,"&lt;0")</f>
        <v>0</v>
      </c>
      <c r="PR5" s="5">
        <f ca="1">SUMIFS(Movimientos!$C:$C,Movimientos!$A:$A,$B5,Movimientos!$D:$D,CONCATENATE("&lt;=",PR$3),Movimientos!$C:$C,"&gt;0")+SUMIFS(Movimientos!$C:$C,Movimientos!$A:$A,$B5,Movimientos!$D:$D,CONCATENATE("&lt;",PR$3),Movimientos!$C:$C,"&lt;0")</f>
        <v>0</v>
      </c>
      <c r="PS5" s="5">
        <f ca="1">SUMIFS(Movimientos!$C:$C,Movimientos!$A:$A,$B5,Movimientos!$D:$D,CONCATENATE("&lt;=",PS$3),Movimientos!$C:$C,"&gt;0")+SUMIFS(Movimientos!$C:$C,Movimientos!$A:$A,$B5,Movimientos!$D:$D,CONCATENATE("&lt;",PS$3),Movimientos!$C:$C,"&lt;0")</f>
        <v>0</v>
      </c>
      <c r="PT5" s="5">
        <f ca="1">SUMIFS(Movimientos!$C:$C,Movimientos!$A:$A,$B5,Movimientos!$D:$D,CONCATENATE("&lt;=",PT$3),Movimientos!$C:$C,"&gt;0")+SUMIFS(Movimientos!$C:$C,Movimientos!$A:$A,$B5,Movimientos!$D:$D,CONCATENATE("&lt;",PT$3),Movimientos!$C:$C,"&lt;0")</f>
        <v>0</v>
      </c>
      <c r="PU5" s="5">
        <f ca="1">SUMIFS(Movimientos!$C:$C,Movimientos!$A:$A,$B5,Movimientos!$D:$D,CONCATENATE("&lt;=",PU$3),Movimientos!$C:$C,"&gt;0")+SUMIFS(Movimientos!$C:$C,Movimientos!$A:$A,$B5,Movimientos!$D:$D,CONCATENATE("&lt;",PU$3),Movimientos!$C:$C,"&lt;0")</f>
        <v>0</v>
      </c>
      <c r="PV5" s="5">
        <f ca="1">SUMIFS(Movimientos!$C:$C,Movimientos!$A:$A,$B5,Movimientos!$D:$D,CONCATENATE("&lt;=",PV$3),Movimientos!$C:$C,"&gt;0")+SUMIFS(Movimientos!$C:$C,Movimientos!$A:$A,$B5,Movimientos!$D:$D,CONCATENATE("&lt;",PV$3),Movimientos!$C:$C,"&lt;0")</f>
        <v>0</v>
      </c>
      <c r="PW5" s="5">
        <f ca="1">SUMIFS(Movimientos!$C:$C,Movimientos!$A:$A,$B5,Movimientos!$D:$D,CONCATENATE("&lt;=",PW$3),Movimientos!$C:$C,"&gt;0")+SUMIFS(Movimientos!$C:$C,Movimientos!$A:$A,$B5,Movimientos!$D:$D,CONCATENATE("&lt;",PW$3),Movimientos!$C:$C,"&lt;0")</f>
        <v>0</v>
      </c>
      <c r="PX5" s="5">
        <f ca="1">SUMIFS(Movimientos!$C:$C,Movimientos!$A:$A,$B5,Movimientos!$D:$D,CONCATENATE("&lt;=",PX$3),Movimientos!$C:$C,"&gt;0")+SUMIFS(Movimientos!$C:$C,Movimientos!$A:$A,$B5,Movimientos!$D:$D,CONCATENATE("&lt;",PX$3),Movimientos!$C:$C,"&lt;0")</f>
        <v>0</v>
      </c>
      <c r="PY5" s="5">
        <f ca="1">SUMIFS(Movimientos!$C:$C,Movimientos!$A:$A,$B5,Movimientos!$D:$D,CONCATENATE("&lt;=",PY$3),Movimientos!$C:$C,"&gt;0")+SUMIFS(Movimientos!$C:$C,Movimientos!$A:$A,$B5,Movimientos!$D:$D,CONCATENATE("&lt;",PY$3),Movimientos!$C:$C,"&lt;0")</f>
        <v>0</v>
      </c>
      <c r="PZ5" s="5">
        <f ca="1">SUMIFS(Movimientos!$C:$C,Movimientos!$A:$A,$B5,Movimientos!$D:$D,CONCATENATE("&lt;=",PZ$3),Movimientos!$C:$C,"&gt;0")+SUMIFS(Movimientos!$C:$C,Movimientos!$A:$A,$B5,Movimientos!$D:$D,CONCATENATE("&lt;",PZ$3),Movimientos!$C:$C,"&lt;0")</f>
        <v>0</v>
      </c>
      <c r="QA5" s="5">
        <f ca="1">SUMIFS(Movimientos!$C:$C,Movimientos!$A:$A,$B5,Movimientos!$D:$D,CONCATENATE("&lt;=",QA$3),Movimientos!$C:$C,"&gt;0")+SUMIFS(Movimientos!$C:$C,Movimientos!$A:$A,$B5,Movimientos!$D:$D,CONCATENATE("&lt;",QA$3),Movimientos!$C:$C,"&lt;0")</f>
        <v>0</v>
      </c>
      <c r="QB5" s="5">
        <f ca="1">SUMIFS(Movimientos!$C:$C,Movimientos!$A:$A,$B5,Movimientos!$D:$D,CONCATENATE("&lt;=",QB$3),Movimientos!$C:$C,"&gt;0")+SUMIFS(Movimientos!$C:$C,Movimientos!$A:$A,$B5,Movimientos!$D:$D,CONCATENATE("&lt;",QB$3),Movimientos!$C:$C,"&lt;0")</f>
        <v>0</v>
      </c>
      <c r="QC5" s="5">
        <f ca="1">SUMIFS(Movimientos!$C:$C,Movimientos!$A:$A,$B5,Movimientos!$D:$D,CONCATENATE("&lt;=",QC$3),Movimientos!$C:$C,"&gt;0")+SUMIFS(Movimientos!$C:$C,Movimientos!$A:$A,$B5,Movimientos!$D:$D,CONCATENATE("&lt;",QC$3),Movimientos!$C:$C,"&lt;0")</f>
        <v>0</v>
      </c>
      <c r="QD5" s="5">
        <f ca="1">SUMIFS(Movimientos!$C:$C,Movimientos!$A:$A,$B5,Movimientos!$D:$D,CONCATENATE("&lt;=",QD$3),Movimientos!$C:$C,"&gt;0")+SUMIFS(Movimientos!$C:$C,Movimientos!$A:$A,$B5,Movimientos!$D:$D,CONCATENATE("&lt;",QD$3),Movimientos!$C:$C,"&lt;0")</f>
        <v>0</v>
      </c>
      <c r="QE5" s="5">
        <f ca="1">SUMIFS(Movimientos!$C:$C,Movimientos!$A:$A,$B5,Movimientos!$D:$D,CONCATENATE("&lt;=",QE$3),Movimientos!$C:$C,"&gt;0")+SUMIFS(Movimientos!$C:$C,Movimientos!$A:$A,$B5,Movimientos!$D:$D,CONCATENATE("&lt;",QE$3),Movimientos!$C:$C,"&lt;0")</f>
        <v>0</v>
      </c>
      <c r="QF5" s="5">
        <f ca="1">SUMIFS(Movimientos!$C:$C,Movimientos!$A:$A,$B5,Movimientos!$D:$D,CONCATENATE("&lt;=",QF$3),Movimientos!$C:$C,"&gt;0")+SUMIFS(Movimientos!$C:$C,Movimientos!$A:$A,$B5,Movimientos!$D:$D,CONCATENATE("&lt;",QF$3),Movimientos!$C:$C,"&lt;0")</f>
        <v>0</v>
      </c>
      <c r="QG5" s="5">
        <f ca="1">SUMIFS(Movimientos!$C:$C,Movimientos!$A:$A,$B5,Movimientos!$D:$D,CONCATENATE("&lt;=",QG$3),Movimientos!$C:$C,"&gt;0")+SUMIFS(Movimientos!$C:$C,Movimientos!$A:$A,$B5,Movimientos!$D:$D,CONCATENATE("&lt;",QG$3),Movimientos!$C:$C,"&lt;0")</f>
        <v>0</v>
      </c>
      <c r="QH5" s="5">
        <f ca="1">SUMIFS(Movimientos!$C:$C,Movimientos!$A:$A,$B5,Movimientos!$D:$D,CONCATENATE("&lt;=",QH$3),Movimientos!$C:$C,"&gt;0")+SUMIFS(Movimientos!$C:$C,Movimientos!$A:$A,$B5,Movimientos!$D:$D,CONCATENATE("&lt;",QH$3),Movimientos!$C:$C,"&lt;0")</f>
        <v>0</v>
      </c>
      <c r="QI5" s="5">
        <f ca="1">SUMIFS(Movimientos!$C:$C,Movimientos!$A:$A,$B5,Movimientos!$D:$D,CONCATENATE("&lt;=",QI$3),Movimientos!$C:$C,"&gt;0")+SUMIFS(Movimientos!$C:$C,Movimientos!$A:$A,$B5,Movimientos!$D:$D,CONCATENATE("&lt;",QI$3),Movimientos!$C:$C,"&lt;0")</f>
        <v>0</v>
      </c>
      <c r="QJ5" s="5">
        <f ca="1">SUMIFS(Movimientos!$C:$C,Movimientos!$A:$A,$B5,Movimientos!$D:$D,CONCATENATE("&lt;=",QJ$3),Movimientos!$C:$C,"&gt;0")+SUMIFS(Movimientos!$C:$C,Movimientos!$A:$A,$B5,Movimientos!$D:$D,CONCATENATE("&lt;",QJ$3),Movimientos!$C:$C,"&lt;0")</f>
        <v>0</v>
      </c>
      <c r="QK5" s="5">
        <f ca="1">SUMIFS(Movimientos!$C:$C,Movimientos!$A:$A,$B5,Movimientos!$D:$D,CONCATENATE("&lt;=",QK$3),Movimientos!$C:$C,"&gt;0")+SUMIFS(Movimientos!$C:$C,Movimientos!$A:$A,$B5,Movimientos!$D:$D,CONCATENATE("&lt;",QK$3),Movimientos!$C:$C,"&lt;0")</f>
        <v>0</v>
      </c>
      <c r="QL5" s="5">
        <f ca="1">SUMIFS(Movimientos!$C:$C,Movimientos!$A:$A,$B5,Movimientos!$D:$D,CONCATENATE("&lt;=",QL$3),Movimientos!$C:$C,"&gt;0")+SUMIFS(Movimientos!$C:$C,Movimientos!$A:$A,$B5,Movimientos!$D:$D,CONCATENATE("&lt;",QL$3),Movimientos!$C:$C,"&lt;0")</f>
        <v>0</v>
      </c>
      <c r="QM5" s="5">
        <f ca="1">SUMIFS(Movimientos!$C:$C,Movimientos!$A:$A,$B5,Movimientos!$D:$D,CONCATENATE("&lt;=",QM$3),Movimientos!$C:$C,"&gt;0")+SUMIFS(Movimientos!$C:$C,Movimientos!$A:$A,$B5,Movimientos!$D:$D,CONCATENATE("&lt;",QM$3),Movimientos!$C:$C,"&lt;0")</f>
        <v>0</v>
      </c>
      <c r="QN5" s="5">
        <f ca="1">SUMIFS(Movimientos!$C:$C,Movimientos!$A:$A,$B5,Movimientos!$D:$D,CONCATENATE("&lt;=",QN$3),Movimientos!$C:$C,"&gt;0")+SUMIFS(Movimientos!$C:$C,Movimientos!$A:$A,$B5,Movimientos!$D:$D,CONCATENATE("&lt;",QN$3),Movimientos!$C:$C,"&lt;0")</f>
        <v>0</v>
      </c>
      <c r="QO5" s="5">
        <f ca="1">SUMIFS(Movimientos!$C:$C,Movimientos!$A:$A,$B5,Movimientos!$D:$D,CONCATENATE("&lt;=",QO$3),Movimientos!$C:$C,"&gt;0")+SUMIFS(Movimientos!$C:$C,Movimientos!$A:$A,$B5,Movimientos!$D:$D,CONCATENATE("&lt;",QO$3),Movimientos!$C:$C,"&lt;0")</f>
        <v>0</v>
      </c>
      <c r="QP5" s="5">
        <f ca="1">SUMIFS(Movimientos!$C:$C,Movimientos!$A:$A,$B5,Movimientos!$D:$D,CONCATENATE("&lt;=",QP$3),Movimientos!$C:$C,"&gt;0")+SUMIFS(Movimientos!$C:$C,Movimientos!$A:$A,$B5,Movimientos!$D:$D,CONCATENATE("&lt;",QP$3),Movimientos!$C:$C,"&lt;0")</f>
        <v>0</v>
      </c>
      <c r="QQ5" s="5">
        <f ca="1">SUMIFS(Movimientos!$C:$C,Movimientos!$A:$A,$B5,Movimientos!$D:$D,CONCATENATE("&lt;=",QQ$3),Movimientos!$C:$C,"&gt;0")+SUMIFS(Movimientos!$C:$C,Movimientos!$A:$A,$B5,Movimientos!$D:$D,CONCATENATE("&lt;",QQ$3),Movimientos!$C:$C,"&lt;0")</f>
        <v>0</v>
      </c>
      <c r="QR5" s="5">
        <f ca="1">SUMIFS(Movimientos!$C:$C,Movimientos!$A:$A,$B5,Movimientos!$D:$D,CONCATENATE("&lt;=",QR$3),Movimientos!$C:$C,"&gt;0")+SUMIFS(Movimientos!$C:$C,Movimientos!$A:$A,$B5,Movimientos!$D:$D,CONCATENATE("&lt;",QR$3),Movimientos!$C:$C,"&lt;0")</f>
        <v>0</v>
      </c>
      <c r="QS5" s="5">
        <f ca="1">SUMIFS(Movimientos!$C:$C,Movimientos!$A:$A,$B5,Movimientos!$D:$D,CONCATENATE("&lt;=",QS$3),Movimientos!$C:$C,"&gt;0")+SUMIFS(Movimientos!$C:$C,Movimientos!$A:$A,$B5,Movimientos!$D:$D,CONCATENATE("&lt;",QS$3),Movimientos!$C:$C,"&lt;0")</f>
        <v>0</v>
      </c>
      <c r="QT5" s="5">
        <f ca="1">SUMIFS(Movimientos!$C:$C,Movimientos!$A:$A,$B5,Movimientos!$D:$D,CONCATENATE("&lt;=",QT$3),Movimientos!$C:$C,"&gt;0")+SUMIFS(Movimientos!$C:$C,Movimientos!$A:$A,$B5,Movimientos!$D:$D,CONCATENATE("&lt;",QT$3),Movimientos!$C:$C,"&lt;0")</f>
        <v>0</v>
      </c>
      <c r="QU5" s="5">
        <f ca="1">SUMIFS(Movimientos!$C:$C,Movimientos!$A:$A,$B5,Movimientos!$D:$D,CONCATENATE("&lt;=",QU$3),Movimientos!$C:$C,"&gt;0")+SUMIFS(Movimientos!$C:$C,Movimientos!$A:$A,$B5,Movimientos!$D:$D,CONCATENATE("&lt;",QU$3),Movimientos!$C:$C,"&lt;0")</f>
        <v>0</v>
      </c>
      <c r="QV5" s="5">
        <f ca="1">SUMIFS(Movimientos!$C:$C,Movimientos!$A:$A,$B5,Movimientos!$D:$D,CONCATENATE("&lt;=",QV$3),Movimientos!$C:$C,"&gt;0")+SUMIFS(Movimientos!$C:$C,Movimientos!$A:$A,$B5,Movimientos!$D:$D,CONCATENATE("&lt;",QV$3),Movimientos!$C:$C,"&lt;0")</f>
        <v>0</v>
      </c>
      <c r="QW5" s="5">
        <f ca="1">SUMIFS(Movimientos!$C:$C,Movimientos!$A:$A,$B5,Movimientos!$D:$D,CONCATENATE("&lt;=",QW$3),Movimientos!$C:$C,"&gt;0")+SUMIFS(Movimientos!$C:$C,Movimientos!$A:$A,$B5,Movimientos!$D:$D,CONCATENATE("&lt;",QW$3),Movimientos!$C:$C,"&lt;0")</f>
        <v>0</v>
      </c>
      <c r="QX5" s="5">
        <f ca="1">SUMIFS(Movimientos!$C:$C,Movimientos!$A:$A,$B5,Movimientos!$D:$D,CONCATENATE("&lt;=",QX$3),Movimientos!$C:$C,"&gt;0")+SUMIFS(Movimientos!$C:$C,Movimientos!$A:$A,$B5,Movimientos!$D:$D,CONCATENATE("&lt;",QX$3),Movimientos!$C:$C,"&lt;0")</f>
        <v>0</v>
      </c>
      <c r="QY5" s="5">
        <f ca="1">SUMIFS(Movimientos!$C:$C,Movimientos!$A:$A,$B5,Movimientos!$D:$D,CONCATENATE("&lt;=",QY$3),Movimientos!$C:$C,"&gt;0")+SUMIFS(Movimientos!$C:$C,Movimientos!$A:$A,$B5,Movimientos!$D:$D,CONCATENATE("&lt;",QY$3),Movimientos!$C:$C,"&lt;0")</f>
        <v>0</v>
      </c>
      <c r="QZ5" s="5">
        <f ca="1">SUMIFS(Movimientos!$C:$C,Movimientos!$A:$A,$B5,Movimientos!$D:$D,CONCATENATE("&lt;=",QZ$3),Movimientos!$C:$C,"&gt;0")+SUMIFS(Movimientos!$C:$C,Movimientos!$A:$A,$B5,Movimientos!$D:$D,CONCATENATE("&lt;",QZ$3),Movimientos!$C:$C,"&lt;0")</f>
        <v>0</v>
      </c>
      <c r="RA5" s="5">
        <f ca="1">SUMIFS(Movimientos!$C:$C,Movimientos!$A:$A,$B5,Movimientos!$D:$D,CONCATENATE("&lt;=",RA$3),Movimientos!$C:$C,"&gt;0")+SUMIFS(Movimientos!$C:$C,Movimientos!$A:$A,$B5,Movimientos!$D:$D,CONCATENATE("&lt;",RA$3),Movimientos!$C:$C,"&lt;0")</f>
        <v>0</v>
      </c>
      <c r="RB5" s="5">
        <f ca="1">SUMIFS(Movimientos!$C:$C,Movimientos!$A:$A,$B5,Movimientos!$D:$D,CONCATENATE("&lt;=",RB$3),Movimientos!$C:$C,"&gt;0")+SUMIFS(Movimientos!$C:$C,Movimientos!$A:$A,$B5,Movimientos!$D:$D,CONCATENATE("&lt;",RB$3),Movimientos!$C:$C,"&lt;0")</f>
        <v>0</v>
      </c>
      <c r="RC5" s="5">
        <f ca="1">SUMIFS(Movimientos!$C:$C,Movimientos!$A:$A,$B5,Movimientos!$D:$D,CONCATENATE("&lt;=",RC$3),Movimientos!$C:$C,"&gt;0")+SUMIFS(Movimientos!$C:$C,Movimientos!$A:$A,$B5,Movimientos!$D:$D,CONCATENATE("&lt;",RC$3),Movimientos!$C:$C,"&lt;0")</f>
        <v>0</v>
      </c>
      <c r="RD5" s="5">
        <f ca="1">SUMIFS(Movimientos!$C:$C,Movimientos!$A:$A,$B5,Movimientos!$D:$D,CONCATENATE("&lt;=",RD$3),Movimientos!$C:$C,"&gt;0")+SUMIFS(Movimientos!$C:$C,Movimientos!$A:$A,$B5,Movimientos!$D:$D,CONCATENATE("&lt;",RD$3),Movimientos!$C:$C,"&lt;0")</f>
        <v>0</v>
      </c>
      <c r="RE5" s="5">
        <f ca="1">SUMIFS(Movimientos!$C:$C,Movimientos!$A:$A,$B5,Movimientos!$D:$D,CONCATENATE("&lt;=",RE$3),Movimientos!$C:$C,"&gt;0")+SUMIFS(Movimientos!$C:$C,Movimientos!$A:$A,$B5,Movimientos!$D:$D,CONCATENATE("&lt;",RE$3),Movimientos!$C:$C,"&lt;0")</f>
        <v>0</v>
      </c>
      <c r="RF5" s="5">
        <f ca="1">SUMIFS(Movimientos!$C:$C,Movimientos!$A:$A,$B5,Movimientos!$D:$D,CONCATENATE("&lt;=",RF$3),Movimientos!$C:$C,"&gt;0")+SUMIFS(Movimientos!$C:$C,Movimientos!$A:$A,$B5,Movimientos!$D:$D,CONCATENATE("&lt;",RF$3),Movimientos!$C:$C,"&lt;0")</f>
        <v>0</v>
      </c>
      <c r="RG5" s="5">
        <f ca="1">SUMIFS(Movimientos!$C:$C,Movimientos!$A:$A,$B5,Movimientos!$D:$D,CONCATENATE("&lt;=",RG$3),Movimientos!$C:$C,"&gt;0")+SUMIFS(Movimientos!$C:$C,Movimientos!$A:$A,$B5,Movimientos!$D:$D,CONCATENATE("&lt;",RG$3),Movimientos!$C:$C,"&lt;0")</f>
        <v>0</v>
      </c>
      <c r="RH5" s="5">
        <f ca="1">SUMIFS(Movimientos!$C:$C,Movimientos!$A:$A,$B5,Movimientos!$D:$D,CONCATENATE("&lt;=",RH$3),Movimientos!$C:$C,"&gt;0")+SUMIFS(Movimientos!$C:$C,Movimientos!$A:$A,$B5,Movimientos!$D:$D,CONCATENATE("&lt;",RH$3),Movimientos!$C:$C,"&lt;0")</f>
        <v>0</v>
      </c>
      <c r="RI5" s="5">
        <f ca="1">SUMIFS(Movimientos!$C:$C,Movimientos!$A:$A,$B5,Movimientos!$D:$D,CONCATENATE("&lt;=",RI$3),Movimientos!$C:$C,"&gt;0")+SUMIFS(Movimientos!$C:$C,Movimientos!$A:$A,$B5,Movimientos!$D:$D,CONCATENATE("&lt;",RI$3),Movimientos!$C:$C,"&lt;0")</f>
        <v>0</v>
      </c>
      <c r="RJ5" s="5">
        <f ca="1">SUMIFS(Movimientos!$C:$C,Movimientos!$A:$A,$B5,Movimientos!$D:$D,CONCATENATE("&lt;=",RJ$3),Movimientos!$C:$C,"&gt;0")+SUMIFS(Movimientos!$C:$C,Movimientos!$A:$A,$B5,Movimientos!$D:$D,CONCATENATE("&lt;",RJ$3),Movimientos!$C:$C,"&lt;0")</f>
        <v>0</v>
      </c>
      <c r="RK5" s="5">
        <f ca="1">SUMIFS(Movimientos!$C:$C,Movimientos!$A:$A,$B5,Movimientos!$D:$D,CONCATENATE("&lt;=",RK$3),Movimientos!$C:$C,"&gt;0")+SUMIFS(Movimientos!$C:$C,Movimientos!$A:$A,$B5,Movimientos!$D:$D,CONCATENATE("&lt;",RK$3),Movimientos!$C:$C,"&lt;0")</f>
        <v>0</v>
      </c>
      <c r="RL5" s="5">
        <f ca="1">SUMIFS(Movimientos!$C:$C,Movimientos!$A:$A,$B5,Movimientos!$D:$D,CONCATENATE("&lt;=",RL$3),Movimientos!$C:$C,"&gt;0")+SUMIFS(Movimientos!$C:$C,Movimientos!$A:$A,$B5,Movimientos!$D:$D,CONCATENATE("&lt;",RL$3),Movimientos!$C:$C,"&lt;0")</f>
        <v>0</v>
      </c>
      <c r="RM5" s="5">
        <f ca="1">SUMIFS(Movimientos!$C:$C,Movimientos!$A:$A,$B5,Movimientos!$D:$D,CONCATENATE("&lt;=",RM$3),Movimientos!$C:$C,"&gt;0")+SUMIFS(Movimientos!$C:$C,Movimientos!$A:$A,$B5,Movimientos!$D:$D,CONCATENATE("&lt;",RM$3),Movimientos!$C:$C,"&lt;0")</f>
        <v>0</v>
      </c>
      <c r="RN5" s="5">
        <f ca="1">SUMIFS(Movimientos!$C:$C,Movimientos!$A:$A,$B5,Movimientos!$D:$D,CONCATENATE("&lt;=",RN$3),Movimientos!$C:$C,"&gt;0")+SUMIFS(Movimientos!$C:$C,Movimientos!$A:$A,$B5,Movimientos!$D:$D,CONCATENATE("&lt;",RN$3),Movimientos!$C:$C,"&lt;0")</f>
        <v>0</v>
      </c>
      <c r="RO5" s="5">
        <f ca="1">SUMIFS(Movimientos!$C:$C,Movimientos!$A:$A,$B5,Movimientos!$D:$D,CONCATENATE("&lt;=",RO$3),Movimientos!$C:$C,"&gt;0")+SUMIFS(Movimientos!$C:$C,Movimientos!$A:$A,$B5,Movimientos!$D:$D,CONCATENATE("&lt;",RO$3),Movimientos!$C:$C,"&lt;0")</f>
        <v>0</v>
      </c>
      <c r="RP5" s="5">
        <f ca="1">SUMIFS(Movimientos!$C:$C,Movimientos!$A:$A,$B5,Movimientos!$D:$D,CONCATENATE("&lt;=",RP$3),Movimientos!$C:$C,"&gt;0")+SUMIFS(Movimientos!$C:$C,Movimientos!$A:$A,$B5,Movimientos!$D:$D,CONCATENATE("&lt;",RP$3),Movimientos!$C:$C,"&lt;0")</f>
        <v>0</v>
      </c>
      <c r="RQ5" s="5">
        <f ca="1">SUMIFS(Movimientos!$C:$C,Movimientos!$A:$A,$B5,Movimientos!$D:$D,CONCATENATE("&lt;=",RQ$3),Movimientos!$C:$C,"&gt;0")+SUMIFS(Movimientos!$C:$C,Movimientos!$A:$A,$B5,Movimientos!$D:$D,CONCATENATE("&lt;",RQ$3),Movimientos!$C:$C,"&lt;0")</f>
        <v>0</v>
      </c>
      <c r="RR5" s="5">
        <f ca="1">SUMIFS(Movimientos!$C:$C,Movimientos!$A:$A,$B5,Movimientos!$D:$D,CONCATENATE("&lt;=",RR$3),Movimientos!$C:$C,"&gt;0")+SUMIFS(Movimientos!$C:$C,Movimientos!$A:$A,$B5,Movimientos!$D:$D,CONCATENATE("&lt;",RR$3),Movimientos!$C:$C,"&lt;0")</f>
        <v>0</v>
      </c>
      <c r="RS5" s="5">
        <f ca="1">SUMIFS(Movimientos!$C:$C,Movimientos!$A:$A,$B5,Movimientos!$D:$D,CONCATENATE("&lt;=",RS$3),Movimientos!$C:$C,"&gt;0")+SUMIFS(Movimientos!$C:$C,Movimientos!$A:$A,$B5,Movimientos!$D:$D,CONCATENATE("&lt;",RS$3),Movimientos!$C:$C,"&lt;0")</f>
        <v>0</v>
      </c>
      <c r="RT5" s="5">
        <f ca="1">SUMIFS(Movimientos!$C:$C,Movimientos!$A:$A,$B5,Movimientos!$D:$D,CONCATENATE("&lt;=",RT$3),Movimientos!$C:$C,"&gt;0")+SUMIFS(Movimientos!$C:$C,Movimientos!$A:$A,$B5,Movimientos!$D:$D,CONCATENATE("&lt;",RT$3),Movimientos!$C:$C,"&lt;0")</f>
        <v>0</v>
      </c>
      <c r="RU5" s="5">
        <f ca="1">SUMIFS(Movimientos!$C:$C,Movimientos!$A:$A,$B5,Movimientos!$D:$D,CONCATENATE("&lt;=",RU$3),Movimientos!$C:$C,"&gt;0")+SUMIFS(Movimientos!$C:$C,Movimientos!$A:$A,$B5,Movimientos!$D:$D,CONCATENATE("&lt;",RU$3),Movimientos!$C:$C,"&lt;0")</f>
        <v>0</v>
      </c>
      <c r="RV5" s="5">
        <f ca="1">SUMIFS(Movimientos!$C:$C,Movimientos!$A:$A,$B5,Movimientos!$D:$D,CONCATENATE("&lt;=",RV$3),Movimientos!$C:$C,"&gt;0")+SUMIFS(Movimientos!$C:$C,Movimientos!$A:$A,$B5,Movimientos!$D:$D,CONCATENATE("&lt;",RV$3),Movimientos!$C:$C,"&lt;0")</f>
        <v>0</v>
      </c>
      <c r="RW5" s="5">
        <f ca="1">SUMIFS(Movimientos!$C:$C,Movimientos!$A:$A,$B5,Movimientos!$D:$D,CONCATENATE("&lt;=",RW$3),Movimientos!$C:$C,"&gt;0")+SUMIFS(Movimientos!$C:$C,Movimientos!$A:$A,$B5,Movimientos!$D:$D,CONCATENATE("&lt;",RW$3),Movimientos!$C:$C,"&lt;0")</f>
        <v>0</v>
      </c>
      <c r="RX5" s="5">
        <f ca="1">SUMIFS(Movimientos!$C:$C,Movimientos!$A:$A,$B5,Movimientos!$D:$D,CONCATENATE("&lt;=",RX$3),Movimientos!$C:$C,"&gt;0")+SUMIFS(Movimientos!$C:$C,Movimientos!$A:$A,$B5,Movimientos!$D:$D,CONCATENATE("&lt;",RX$3),Movimientos!$C:$C,"&lt;0")</f>
        <v>0</v>
      </c>
      <c r="RY5" s="5">
        <f ca="1">SUMIFS(Movimientos!$C:$C,Movimientos!$A:$A,$B5,Movimientos!$D:$D,CONCATENATE("&lt;=",RY$3),Movimientos!$C:$C,"&gt;0")+SUMIFS(Movimientos!$C:$C,Movimientos!$A:$A,$B5,Movimientos!$D:$D,CONCATENATE("&lt;",RY$3),Movimientos!$C:$C,"&lt;0")</f>
        <v>0</v>
      </c>
      <c r="RZ5" s="5">
        <f ca="1">SUMIFS(Movimientos!$C:$C,Movimientos!$A:$A,$B5,Movimientos!$D:$D,CONCATENATE("&lt;=",RZ$3),Movimientos!$C:$C,"&gt;0")+SUMIFS(Movimientos!$C:$C,Movimientos!$A:$A,$B5,Movimientos!$D:$D,CONCATENATE("&lt;",RZ$3),Movimientos!$C:$C,"&lt;0")</f>
        <v>0</v>
      </c>
      <c r="SA5" s="5">
        <f ca="1">SUMIFS(Movimientos!$C:$C,Movimientos!$A:$A,$B5,Movimientos!$D:$D,CONCATENATE("&lt;=",SA$3),Movimientos!$C:$C,"&gt;0")+SUMIFS(Movimientos!$C:$C,Movimientos!$A:$A,$B5,Movimientos!$D:$D,CONCATENATE("&lt;",SA$3),Movimientos!$C:$C,"&lt;0")</f>
        <v>0</v>
      </c>
      <c r="SB5" s="5">
        <f ca="1">SUMIFS(Movimientos!$C:$C,Movimientos!$A:$A,$B5,Movimientos!$D:$D,CONCATENATE("&lt;=",SB$3),Movimientos!$C:$C,"&gt;0")+SUMIFS(Movimientos!$C:$C,Movimientos!$A:$A,$B5,Movimientos!$D:$D,CONCATENATE("&lt;",SB$3),Movimientos!$C:$C,"&lt;0")</f>
        <v>0</v>
      </c>
      <c r="SC5" s="5">
        <f ca="1">SUMIFS(Movimientos!$C:$C,Movimientos!$A:$A,$B5,Movimientos!$D:$D,CONCATENATE("&lt;=",SC$3),Movimientos!$C:$C,"&gt;0")+SUMIFS(Movimientos!$C:$C,Movimientos!$A:$A,$B5,Movimientos!$D:$D,CONCATENATE("&lt;",SC$3),Movimientos!$C:$C,"&lt;0")</f>
        <v>0</v>
      </c>
      <c r="SD5" s="5">
        <f ca="1">SUMIFS(Movimientos!$C:$C,Movimientos!$A:$A,$B5,Movimientos!$D:$D,CONCATENATE("&lt;=",SD$3),Movimientos!$C:$C,"&gt;0")+SUMIFS(Movimientos!$C:$C,Movimientos!$A:$A,$B5,Movimientos!$D:$D,CONCATENATE("&lt;",SD$3),Movimientos!$C:$C,"&lt;0")</f>
        <v>0</v>
      </c>
      <c r="SE5" s="5">
        <f ca="1">SUMIFS(Movimientos!$C:$C,Movimientos!$A:$A,$B5,Movimientos!$D:$D,CONCATENATE("&lt;=",SE$3),Movimientos!$C:$C,"&gt;0")+SUMIFS(Movimientos!$C:$C,Movimientos!$A:$A,$B5,Movimientos!$D:$D,CONCATENATE("&lt;",SE$3),Movimientos!$C:$C,"&lt;0")</f>
        <v>0</v>
      </c>
      <c r="SF5" s="5">
        <f ca="1">SUMIFS(Movimientos!$C:$C,Movimientos!$A:$A,$B5,Movimientos!$D:$D,CONCATENATE("&lt;=",SF$3),Movimientos!$C:$C,"&gt;0")+SUMIFS(Movimientos!$C:$C,Movimientos!$A:$A,$B5,Movimientos!$D:$D,CONCATENATE("&lt;",SF$3),Movimientos!$C:$C,"&lt;0")</f>
        <v>0</v>
      </c>
      <c r="SG5" s="5">
        <f ca="1">SUMIFS(Movimientos!$C:$C,Movimientos!$A:$A,$B5,Movimientos!$D:$D,CONCATENATE("&lt;=",SG$3),Movimientos!$C:$C,"&gt;0")+SUMIFS(Movimientos!$C:$C,Movimientos!$A:$A,$B5,Movimientos!$D:$D,CONCATENATE("&lt;",SG$3),Movimientos!$C:$C,"&lt;0")</f>
        <v>0</v>
      </c>
      <c r="SH5" s="5">
        <f ca="1">SUMIFS(Movimientos!$C:$C,Movimientos!$A:$A,$B5,Movimientos!$D:$D,CONCATENATE("&lt;=",SH$3),Movimientos!$C:$C,"&gt;0")+SUMIFS(Movimientos!$C:$C,Movimientos!$A:$A,$B5,Movimientos!$D:$D,CONCATENATE("&lt;",SH$3),Movimientos!$C:$C,"&lt;0")</f>
        <v>0</v>
      </c>
      <c r="SI5" s="5">
        <f ca="1">SUMIFS(Movimientos!$C:$C,Movimientos!$A:$A,$B5,Movimientos!$D:$D,CONCATENATE("&lt;=",SI$3),Movimientos!$C:$C,"&gt;0")+SUMIFS(Movimientos!$C:$C,Movimientos!$A:$A,$B5,Movimientos!$D:$D,CONCATENATE("&lt;",SI$3),Movimientos!$C:$C,"&lt;0")</f>
        <v>0</v>
      </c>
      <c r="SJ5" s="5">
        <f ca="1">SUMIFS(Movimientos!$C:$C,Movimientos!$A:$A,$B5,Movimientos!$D:$D,CONCATENATE("&lt;=",SJ$3),Movimientos!$C:$C,"&gt;0")+SUMIFS(Movimientos!$C:$C,Movimientos!$A:$A,$B5,Movimientos!$D:$D,CONCATENATE("&lt;",SJ$3),Movimientos!$C:$C,"&lt;0")</f>
        <v>0</v>
      </c>
      <c r="SK5" s="5">
        <f ca="1">SUMIFS(Movimientos!$C:$C,Movimientos!$A:$A,$B5,Movimientos!$D:$D,CONCATENATE("&lt;=",SK$3),Movimientos!$C:$C,"&gt;0")+SUMIFS(Movimientos!$C:$C,Movimientos!$A:$A,$B5,Movimientos!$D:$D,CONCATENATE("&lt;",SK$3),Movimientos!$C:$C,"&lt;0")</f>
        <v>0</v>
      </c>
      <c r="SL5" s="5">
        <f ca="1">SUMIFS(Movimientos!$C:$C,Movimientos!$A:$A,$B5,Movimientos!$D:$D,CONCATENATE("&lt;=",SL$3),Movimientos!$C:$C,"&gt;0")+SUMIFS(Movimientos!$C:$C,Movimientos!$A:$A,$B5,Movimientos!$D:$D,CONCATENATE("&lt;",SL$3),Movimientos!$C:$C,"&lt;0")</f>
        <v>0</v>
      </c>
      <c r="SM5" s="5">
        <f ca="1">SUMIFS(Movimientos!$C:$C,Movimientos!$A:$A,$B5,Movimientos!$D:$D,CONCATENATE("&lt;=",SM$3),Movimientos!$C:$C,"&gt;0")+SUMIFS(Movimientos!$C:$C,Movimientos!$A:$A,$B5,Movimientos!$D:$D,CONCATENATE("&lt;",SM$3),Movimientos!$C:$C,"&lt;0")</f>
        <v>0</v>
      </c>
      <c r="SN5" s="5">
        <f ca="1">SUMIFS(Movimientos!$C:$C,Movimientos!$A:$A,$B5,Movimientos!$D:$D,CONCATENATE("&lt;=",SN$3),Movimientos!$C:$C,"&gt;0")+SUMIFS(Movimientos!$C:$C,Movimientos!$A:$A,$B5,Movimientos!$D:$D,CONCATENATE("&lt;",SN$3),Movimientos!$C:$C,"&lt;0")</f>
        <v>0</v>
      </c>
      <c r="SO5" s="5">
        <f ca="1">SUMIFS(Movimientos!$C:$C,Movimientos!$A:$A,$B5,Movimientos!$D:$D,CONCATENATE("&lt;=",SO$3),Movimientos!$C:$C,"&gt;0")+SUMIFS(Movimientos!$C:$C,Movimientos!$A:$A,$B5,Movimientos!$D:$D,CONCATENATE("&lt;",SO$3),Movimientos!$C:$C,"&lt;0")</f>
        <v>0</v>
      </c>
      <c r="SP5" s="5">
        <f ca="1">SUMIFS(Movimientos!$C:$C,Movimientos!$A:$A,$B5,Movimientos!$D:$D,CONCATENATE("&lt;=",SP$3),Movimientos!$C:$C,"&gt;0")+SUMIFS(Movimientos!$C:$C,Movimientos!$A:$A,$B5,Movimientos!$D:$D,CONCATENATE("&lt;",SP$3),Movimientos!$C:$C,"&lt;0")</f>
        <v>0</v>
      </c>
      <c r="SQ5" s="5">
        <f ca="1">SUMIFS(Movimientos!$C:$C,Movimientos!$A:$A,$B5,Movimientos!$D:$D,CONCATENATE("&lt;=",SQ$3),Movimientos!$C:$C,"&gt;0")+SUMIFS(Movimientos!$C:$C,Movimientos!$A:$A,$B5,Movimientos!$D:$D,CONCATENATE("&lt;",SQ$3),Movimientos!$C:$C,"&lt;0")</f>
        <v>0</v>
      </c>
      <c r="SR5" s="5">
        <f ca="1">SUMIFS(Movimientos!$C:$C,Movimientos!$A:$A,$B5,Movimientos!$D:$D,CONCATENATE("&lt;=",SR$3),Movimientos!$C:$C,"&gt;0")+SUMIFS(Movimientos!$C:$C,Movimientos!$A:$A,$B5,Movimientos!$D:$D,CONCATENATE("&lt;",SR$3),Movimientos!$C:$C,"&lt;0")</f>
        <v>0</v>
      </c>
      <c r="SS5" s="5">
        <f ca="1">SUMIFS(Movimientos!$C:$C,Movimientos!$A:$A,$B5,Movimientos!$D:$D,CONCATENATE("&lt;=",SS$3),Movimientos!$C:$C,"&gt;0")+SUMIFS(Movimientos!$C:$C,Movimientos!$A:$A,$B5,Movimientos!$D:$D,CONCATENATE("&lt;",SS$3),Movimientos!$C:$C,"&lt;0")</f>
        <v>0</v>
      </c>
      <c r="ST5" s="5">
        <f ca="1">SUMIFS(Movimientos!$C:$C,Movimientos!$A:$A,$B5,Movimientos!$D:$D,CONCATENATE("&lt;=",ST$3),Movimientos!$C:$C,"&gt;0")+SUMIFS(Movimientos!$C:$C,Movimientos!$A:$A,$B5,Movimientos!$D:$D,CONCATENATE("&lt;",ST$3),Movimientos!$C:$C,"&lt;0")</f>
        <v>0</v>
      </c>
      <c r="SU5" s="5">
        <f ca="1">SUMIFS(Movimientos!$C:$C,Movimientos!$A:$A,$B5,Movimientos!$D:$D,CONCATENATE("&lt;=",SU$3),Movimientos!$C:$C,"&gt;0")+SUMIFS(Movimientos!$C:$C,Movimientos!$A:$A,$B5,Movimientos!$D:$D,CONCATENATE("&lt;",SU$3),Movimientos!$C:$C,"&lt;0")</f>
        <v>0</v>
      </c>
      <c r="SV5" s="5">
        <f ca="1">SUMIFS(Movimientos!$C:$C,Movimientos!$A:$A,$B5,Movimientos!$D:$D,CONCATENATE("&lt;=",SV$3),Movimientos!$C:$C,"&gt;0")+SUMIFS(Movimientos!$C:$C,Movimientos!$A:$A,$B5,Movimientos!$D:$D,CONCATENATE("&lt;",SV$3),Movimientos!$C:$C,"&lt;0")</f>
        <v>0</v>
      </c>
      <c r="SW5" s="5">
        <f ca="1">SUMIFS(Movimientos!$C:$C,Movimientos!$A:$A,$B5,Movimientos!$D:$D,CONCATENATE("&lt;=",SW$3),Movimientos!$C:$C,"&gt;0")+SUMIFS(Movimientos!$C:$C,Movimientos!$A:$A,$B5,Movimientos!$D:$D,CONCATENATE("&lt;",SW$3),Movimientos!$C:$C,"&lt;0")</f>
        <v>0</v>
      </c>
      <c r="SX5" s="5">
        <f ca="1">SUMIFS(Movimientos!$C:$C,Movimientos!$A:$A,$B5,Movimientos!$D:$D,CONCATENATE("&lt;=",SX$3),Movimientos!$C:$C,"&gt;0")+SUMIFS(Movimientos!$C:$C,Movimientos!$A:$A,$B5,Movimientos!$D:$D,CONCATENATE("&lt;",SX$3),Movimientos!$C:$C,"&lt;0")</f>
        <v>0</v>
      </c>
      <c r="SY5" s="5">
        <f ca="1">SUMIFS(Movimientos!$C:$C,Movimientos!$A:$A,$B5,Movimientos!$D:$D,CONCATENATE("&lt;=",SY$3),Movimientos!$C:$C,"&gt;0")+SUMIFS(Movimientos!$C:$C,Movimientos!$A:$A,$B5,Movimientos!$D:$D,CONCATENATE("&lt;",SY$3),Movimientos!$C:$C,"&lt;0")</f>
        <v>0</v>
      </c>
      <c r="SZ5" s="5">
        <f ca="1">SUMIFS(Movimientos!$C:$C,Movimientos!$A:$A,$B5,Movimientos!$D:$D,CONCATENATE("&lt;=",SZ$3),Movimientos!$C:$C,"&gt;0")+SUMIFS(Movimientos!$C:$C,Movimientos!$A:$A,$B5,Movimientos!$D:$D,CONCATENATE("&lt;",SZ$3),Movimientos!$C:$C,"&lt;0")</f>
        <v>0</v>
      </c>
      <c r="TA5" s="5">
        <f ca="1">SUMIFS(Movimientos!$C:$C,Movimientos!$A:$A,$B5,Movimientos!$D:$D,CONCATENATE("&lt;=",TA$3),Movimientos!$C:$C,"&gt;0")+SUMIFS(Movimientos!$C:$C,Movimientos!$A:$A,$B5,Movimientos!$D:$D,CONCATENATE("&lt;",TA$3),Movimientos!$C:$C,"&lt;0")</f>
        <v>0</v>
      </c>
      <c r="TB5" s="5">
        <f ca="1">SUMIFS(Movimientos!$C:$C,Movimientos!$A:$A,$B5,Movimientos!$D:$D,CONCATENATE("&lt;=",TB$3),Movimientos!$C:$C,"&gt;0")+SUMIFS(Movimientos!$C:$C,Movimientos!$A:$A,$B5,Movimientos!$D:$D,CONCATENATE("&lt;",TB$3),Movimientos!$C:$C,"&lt;0")</f>
        <v>0</v>
      </c>
      <c r="TC5" s="5">
        <f ca="1">SUMIFS(Movimientos!$C:$C,Movimientos!$A:$A,$B5,Movimientos!$D:$D,CONCATENATE("&lt;=",TC$3),Movimientos!$C:$C,"&gt;0")+SUMIFS(Movimientos!$C:$C,Movimientos!$A:$A,$B5,Movimientos!$D:$D,CONCATENATE("&lt;",TC$3),Movimientos!$C:$C,"&lt;0")</f>
        <v>0</v>
      </c>
      <c r="TD5" s="5">
        <f ca="1">SUMIFS(Movimientos!$C:$C,Movimientos!$A:$A,$B5,Movimientos!$D:$D,CONCATENATE("&lt;=",TD$3),Movimientos!$C:$C,"&gt;0")+SUMIFS(Movimientos!$C:$C,Movimientos!$A:$A,$B5,Movimientos!$D:$D,CONCATENATE("&lt;",TD$3),Movimientos!$C:$C,"&lt;0")</f>
        <v>0</v>
      </c>
      <c r="TE5" s="5">
        <f ca="1">SUMIFS(Movimientos!$C:$C,Movimientos!$A:$A,$B5,Movimientos!$D:$D,CONCATENATE("&lt;=",TE$3),Movimientos!$C:$C,"&gt;0")+SUMIFS(Movimientos!$C:$C,Movimientos!$A:$A,$B5,Movimientos!$D:$D,CONCATENATE("&lt;",TE$3),Movimientos!$C:$C,"&lt;0")</f>
        <v>0</v>
      </c>
      <c r="TF5" s="5">
        <f ca="1">SUMIFS(Movimientos!$C:$C,Movimientos!$A:$A,$B5,Movimientos!$D:$D,CONCATENATE("&lt;=",TF$3),Movimientos!$C:$C,"&gt;0")+SUMIFS(Movimientos!$C:$C,Movimientos!$A:$A,$B5,Movimientos!$D:$D,CONCATENATE("&lt;",TF$3),Movimientos!$C:$C,"&lt;0")</f>
        <v>0</v>
      </c>
    </row>
    <row r="6" spans="1:526">
      <c r="A6" s="31" t="s">
        <v>48</v>
      </c>
      <c r="B6" s="4">
        <f>Cartera!B6</f>
        <v>0</v>
      </c>
      <c r="C6" s="4">
        <f>Cartera!C6</f>
        <v>0</v>
      </c>
      <c r="D6" s="5">
        <f ca="1">SUMIFS(Movimientos!$C:$C,Movimientos!$A:$A,$B6,Movimientos!$D:$D,CONCATENATE("&lt;=",D$3),Movimientos!$C:$C,"&gt;0")+SUMIFS(Movimientos!$C:$C,Movimientos!$A:$A,$B6,Movimientos!$D:$D,CONCATENATE("&lt;",D$3),Movimientos!$C:$C,"&lt;0")</f>
        <v>0</v>
      </c>
      <c r="E6" s="5">
        <f ca="1">SUMIFS(Movimientos!$C:$C,Movimientos!$A:$A,$B6,Movimientos!$D:$D,CONCATENATE("&lt;=",E$3),Movimientos!$C:$C,"&gt;0")+SUMIFS(Movimientos!$C:$C,Movimientos!$A:$A,$B6,Movimientos!$D:$D,CONCATENATE("&lt;",E$3),Movimientos!$C:$C,"&lt;0")</f>
        <v>0</v>
      </c>
      <c r="F6" s="5">
        <f ca="1">SUMIFS(Movimientos!$C:$C,Movimientos!$A:$A,$B6,Movimientos!$D:$D,CONCATENATE("&lt;=",F$3),Movimientos!$C:$C,"&gt;0")+SUMIFS(Movimientos!$C:$C,Movimientos!$A:$A,$B6,Movimientos!$D:$D,CONCATENATE("&lt;",F$3),Movimientos!$C:$C,"&lt;0")</f>
        <v>0</v>
      </c>
      <c r="G6" s="5">
        <f ca="1">SUMIFS(Movimientos!$C:$C,Movimientos!$A:$A,$B6,Movimientos!$D:$D,CONCATENATE("&lt;=",G$3),Movimientos!$C:$C,"&gt;0")+SUMIFS(Movimientos!$C:$C,Movimientos!$A:$A,$B6,Movimientos!$D:$D,CONCATENATE("&lt;",G$3),Movimientos!$C:$C,"&lt;0")</f>
        <v>0</v>
      </c>
      <c r="H6" s="5">
        <f ca="1">SUMIFS(Movimientos!$C:$C,Movimientos!$A:$A,$B6,Movimientos!$D:$D,CONCATENATE("&lt;=",H$3),Movimientos!$C:$C,"&gt;0")+SUMIFS(Movimientos!$C:$C,Movimientos!$A:$A,$B6,Movimientos!$D:$D,CONCATENATE("&lt;",H$3),Movimientos!$C:$C,"&lt;0")</f>
        <v>0</v>
      </c>
      <c r="I6" s="5">
        <f ca="1">SUMIFS(Movimientos!$C:$C,Movimientos!$A:$A,$B6,Movimientos!$D:$D,CONCATENATE("&lt;=",I$3),Movimientos!$C:$C,"&gt;0")+SUMIFS(Movimientos!$C:$C,Movimientos!$A:$A,$B6,Movimientos!$D:$D,CONCATENATE("&lt;",I$3),Movimientos!$C:$C,"&lt;0")</f>
        <v>0</v>
      </c>
      <c r="J6" s="5">
        <f ca="1">SUMIFS(Movimientos!$C:$C,Movimientos!$A:$A,$B6,Movimientos!$D:$D,CONCATENATE("&lt;=",J$3),Movimientos!$C:$C,"&gt;0")+SUMIFS(Movimientos!$C:$C,Movimientos!$A:$A,$B6,Movimientos!$D:$D,CONCATENATE("&lt;",J$3),Movimientos!$C:$C,"&lt;0")</f>
        <v>0</v>
      </c>
      <c r="K6" s="5">
        <f ca="1">SUMIFS(Movimientos!$C:$C,Movimientos!$A:$A,$B6,Movimientos!$D:$D,CONCATENATE("&lt;=",K$3),Movimientos!$C:$C,"&gt;0")+SUMIFS(Movimientos!$C:$C,Movimientos!$A:$A,$B6,Movimientos!$D:$D,CONCATENATE("&lt;",K$3),Movimientos!$C:$C,"&lt;0")</f>
        <v>0</v>
      </c>
      <c r="L6" s="5">
        <f ca="1">SUMIFS(Movimientos!$C:$C,Movimientos!$A:$A,$B6,Movimientos!$D:$D,CONCATENATE("&lt;=",L$3),Movimientos!$C:$C,"&gt;0")+SUMIFS(Movimientos!$C:$C,Movimientos!$A:$A,$B6,Movimientos!$D:$D,CONCATENATE("&lt;",L$3),Movimientos!$C:$C,"&lt;0")</f>
        <v>0</v>
      </c>
      <c r="M6" s="5">
        <f ca="1">SUMIFS(Movimientos!$C:$C,Movimientos!$A:$A,$B6,Movimientos!$D:$D,CONCATENATE("&lt;=",M$3),Movimientos!$C:$C,"&gt;0")+SUMIFS(Movimientos!$C:$C,Movimientos!$A:$A,$B6,Movimientos!$D:$D,CONCATENATE("&lt;",M$3),Movimientos!$C:$C,"&lt;0")</f>
        <v>0</v>
      </c>
      <c r="N6" s="5">
        <f ca="1">SUMIFS(Movimientos!$C:$C,Movimientos!$A:$A,$B6,Movimientos!$D:$D,CONCATENATE("&lt;=",N$3),Movimientos!$C:$C,"&gt;0")+SUMIFS(Movimientos!$C:$C,Movimientos!$A:$A,$B6,Movimientos!$D:$D,CONCATENATE("&lt;",N$3),Movimientos!$C:$C,"&lt;0")</f>
        <v>0</v>
      </c>
      <c r="O6" s="5">
        <f ca="1">SUMIFS(Movimientos!$C:$C,Movimientos!$A:$A,$B6,Movimientos!$D:$D,CONCATENATE("&lt;=",O$3),Movimientos!$C:$C,"&gt;0")+SUMIFS(Movimientos!$C:$C,Movimientos!$A:$A,$B6,Movimientos!$D:$D,CONCATENATE("&lt;",O$3),Movimientos!$C:$C,"&lt;0")</f>
        <v>0</v>
      </c>
      <c r="P6" s="5">
        <f ca="1">SUMIFS(Movimientos!$C:$C,Movimientos!$A:$A,$B6,Movimientos!$D:$D,CONCATENATE("&lt;=",P$3),Movimientos!$C:$C,"&gt;0")+SUMIFS(Movimientos!$C:$C,Movimientos!$A:$A,$B6,Movimientos!$D:$D,CONCATENATE("&lt;",P$3),Movimientos!$C:$C,"&lt;0")</f>
        <v>0</v>
      </c>
      <c r="Q6" s="5">
        <f ca="1">SUMIFS(Movimientos!$C:$C,Movimientos!$A:$A,$B6,Movimientos!$D:$D,CONCATENATE("&lt;=",Q$3),Movimientos!$C:$C,"&gt;0")+SUMIFS(Movimientos!$C:$C,Movimientos!$A:$A,$B6,Movimientos!$D:$D,CONCATENATE("&lt;",Q$3),Movimientos!$C:$C,"&lt;0")</f>
        <v>0</v>
      </c>
      <c r="R6" s="5">
        <f ca="1">SUMIFS(Movimientos!$C:$C,Movimientos!$A:$A,$B6,Movimientos!$D:$D,CONCATENATE("&lt;=",R$3),Movimientos!$C:$C,"&gt;0")+SUMIFS(Movimientos!$C:$C,Movimientos!$A:$A,$B6,Movimientos!$D:$D,CONCATENATE("&lt;",R$3),Movimientos!$C:$C,"&lt;0")</f>
        <v>0</v>
      </c>
      <c r="S6" s="5">
        <f ca="1">SUMIFS(Movimientos!$C:$C,Movimientos!$A:$A,$B6,Movimientos!$D:$D,CONCATENATE("&lt;=",S$3),Movimientos!$C:$C,"&gt;0")+SUMIFS(Movimientos!$C:$C,Movimientos!$A:$A,$B6,Movimientos!$D:$D,CONCATENATE("&lt;",S$3),Movimientos!$C:$C,"&lt;0")</f>
        <v>0</v>
      </c>
      <c r="T6" s="5">
        <f ca="1">SUMIFS(Movimientos!$C:$C,Movimientos!$A:$A,$B6,Movimientos!$D:$D,CONCATENATE("&lt;=",T$3),Movimientos!$C:$C,"&gt;0")+SUMIFS(Movimientos!$C:$C,Movimientos!$A:$A,$B6,Movimientos!$D:$D,CONCATENATE("&lt;",T$3),Movimientos!$C:$C,"&lt;0")</f>
        <v>0</v>
      </c>
      <c r="U6" s="5">
        <f ca="1">SUMIFS(Movimientos!$C:$C,Movimientos!$A:$A,$B6,Movimientos!$D:$D,CONCATENATE("&lt;=",U$3),Movimientos!$C:$C,"&gt;0")+SUMIFS(Movimientos!$C:$C,Movimientos!$A:$A,$B6,Movimientos!$D:$D,CONCATENATE("&lt;",U$3),Movimientos!$C:$C,"&lt;0")</f>
        <v>0</v>
      </c>
      <c r="V6" s="5">
        <f ca="1">SUMIFS(Movimientos!$C:$C,Movimientos!$A:$A,$B6,Movimientos!$D:$D,CONCATENATE("&lt;=",V$3),Movimientos!$C:$C,"&gt;0")+SUMIFS(Movimientos!$C:$C,Movimientos!$A:$A,$B6,Movimientos!$D:$D,CONCATENATE("&lt;",V$3),Movimientos!$C:$C,"&lt;0")</f>
        <v>0</v>
      </c>
      <c r="W6" s="5">
        <f ca="1">SUMIFS(Movimientos!$C:$C,Movimientos!$A:$A,$B6,Movimientos!$D:$D,CONCATENATE("&lt;=",W$3),Movimientos!$C:$C,"&gt;0")+SUMIFS(Movimientos!$C:$C,Movimientos!$A:$A,$B6,Movimientos!$D:$D,CONCATENATE("&lt;",W$3),Movimientos!$C:$C,"&lt;0")</f>
        <v>0</v>
      </c>
      <c r="X6" s="5">
        <f ca="1">SUMIFS(Movimientos!$C:$C,Movimientos!$A:$A,$B6,Movimientos!$D:$D,CONCATENATE("&lt;=",X$3),Movimientos!$C:$C,"&gt;0")+SUMIFS(Movimientos!$C:$C,Movimientos!$A:$A,$B6,Movimientos!$D:$D,CONCATENATE("&lt;",X$3),Movimientos!$C:$C,"&lt;0")</f>
        <v>0</v>
      </c>
      <c r="Y6" s="5">
        <f ca="1">SUMIFS(Movimientos!$C:$C,Movimientos!$A:$A,$B6,Movimientos!$D:$D,CONCATENATE("&lt;=",Y$3),Movimientos!$C:$C,"&gt;0")+SUMIFS(Movimientos!$C:$C,Movimientos!$A:$A,$B6,Movimientos!$D:$D,CONCATENATE("&lt;",Y$3),Movimientos!$C:$C,"&lt;0")</f>
        <v>0</v>
      </c>
      <c r="Z6" s="5">
        <f ca="1">SUMIFS(Movimientos!$C:$C,Movimientos!$A:$A,$B6,Movimientos!$D:$D,CONCATENATE("&lt;=",Z$3),Movimientos!$C:$C,"&gt;0")+SUMIFS(Movimientos!$C:$C,Movimientos!$A:$A,$B6,Movimientos!$D:$D,CONCATENATE("&lt;",Z$3),Movimientos!$C:$C,"&lt;0")</f>
        <v>0</v>
      </c>
      <c r="AA6" s="5">
        <f ca="1">SUMIFS(Movimientos!$C:$C,Movimientos!$A:$A,$B6,Movimientos!$D:$D,CONCATENATE("&lt;=",AA$3),Movimientos!$C:$C,"&gt;0")+SUMIFS(Movimientos!$C:$C,Movimientos!$A:$A,$B6,Movimientos!$D:$D,CONCATENATE("&lt;",AA$3),Movimientos!$C:$C,"&lt;0")</f>
        <v>0</v>
      </c>
      <c r="AB6" s="5">
        <f ca="1">SUMIFS(Movimientos!$C:$C,Movimientos!$A:$A,$B6,Movimientos!$D:$D,CONCATENATE("&lt;=",AB$3),Movimientos!$C:$C,"&gt;0")+SUMIFS(Movimientos!$C:$C,Movimientos!$A:$A,$B6,Movimientos!$D:$D,CONCATENATE("&lt;",AB$3),Movimientos!$C:$C,"&lt;0")</f>
        <v>0</v>
      </c>
      <c r="AC6" s="5">
        <f ca="1">SUMIFS(Movimientos!$C:$C,Movimientos!$A:$A,$B6,Movimientos!$D:$D,CONCATENATE("&lt;=",AC$3),Movimientos!$C:$C,"&gt;0")+SUMIFS(Movimientos!$C:$C,Movimientos!$A:$A,$B6,Movimientos!$D:$D,CONCATENATE("&lt;",AC$3),Movimientos!$C:$C,"&lt;0")</f>
        <v>0</v>
      </c>
      <c r="AD6" s="5">
        <f ca="1">SUMIFS(Movimientos!$C:$C,Movimientos!$A:$A,$B6,Movimientos!$D:$D,CONCATENATE("&lt;=",AD$3),Movimientos!$C:$C,"&gt;0")+SUMIFS(Movimientos!$C:$C,Movimientos!$A:$A,$B6,Movimientos!$D:$D,CONCATENATE("&lt;",AD$3),Movimientos!$C:$C,"&lt;0")</f>
        <v>0</v>
      </c>
      <c r="AE6" s="5">
        <f ca="1">SUMIFS(Movimientos!$C:$C,Movimientos!$A:$A,$B6,Movimientos!$D:$D,CONCATENATE("&lt;=",AE$3),Movimientos!$C:$C,"&gt;0")+SUMIFS(Movimientos!$C:$C,Movimientos!$A:$A,$B6,Movimientos!$D:$D,CONCATENATE("&lt;",AE$3),Movimientos!$C:$C,"&lt;0")</f>
        <v>0</v>
      </c>
      <c r="AF6" s="5">
        <f ca="1">SUMIFS(Movimientos!$C:$C,Movimientos!$A:$A,$B6,Movimientos!$D:$D,CONCATENATE("&lt;=",AF$3),Movimientos!$C:$C,"&gt;0")+SUMIFS(Movimientos!$C:$C,Movimientos!$A:$A,$B6,Movimientos!$D:$D,CONCATENATE("&lt;",AF$3),Movimientos!$C:$C,"&lt;0")</f>
        <v>0</v>
      </c>
      <c r="AG6" s="5">
        <f ca="1">SUMIFS(Movimientos!$C:$C,Movimientos!$A:$A,$B6,Movimientos!$D:$D,CONCATENATE("&lt;=",AG$3),Movimientos!$C:$C,"&gt;0")+SUMIFS(Movimientos!$C:$C,Movimientos!$A:$A,$B6,Movimientos!$D:$D,CONCATENATE("&lt;",AG$3),Movimientos!$C:$C,"&lt;0")</f>
        <v>0</v>
      </c>
      <c r="AH6" s="5">
        <f ca="1">SUMIFS(Movimientos!$C:$C,Movimientos!$A:$A,$B6,Movimientos!$D:$D,CONCATENATE("&lt;=",AH$3),Movimientos!$C:$C,"&gt;0")+SUMIFS(Movimientos!$C:$C,Movimientos!$A:$A,$B6,Movimientos!$D:$D,CONCATENATE("&lt;",AH$3),Movimientos!$C:$C,"&lt;0")</f>
        <v>0</v>
      </c>
      <c r="AI6" s="5">
        <f ca="1">SUMIFS(Movimientos!$C:$C,Movimientos!$A:$A,$B6,Movimientos!$D:$D,CONCATENATE("&lt;=",AI$3),Movimientos!$C:$C,"&gt;0")+SUMIFS(Movimientos!$C:$C,Movimientos!$A:$A,$B6,Movimientos!$D:$D,CONCATENATE("&lt;",AI$3),Movimientos!$C:$C,"&lt;0")</f>
        <v>0</v>
      </c>
      <c r="AJ6" s="5">
        <f ca="1">SUMIFS(Movimientos!$C:$C,Movimientos!$A:$A,$B6,Movimientos!$D:$D,CONCATENATE("&lt;=",AJ$3),Movimientos!$C:$C,"&gt;0")+SUMIFS(Movimientos!$C:$C,Movimientos!$A:$A,$B6,Movimientos!$D:$D,CONCATENATE("&lt;",AJ$3),Movimientos!$C:$C,"&lt;0")</f>
        <v>0</v>
      </c>
      <c r="AK6" s="5">
        <f ca="1">SUMIFS(Movimientos!$C:$C,Movimientos!$A:$A,$B6,Movimientos!$D:$D,CONCATENATE("&lt;=",AK$3),Movimientos!$C:$C,"&gt;0")+SUMIFS(Movimientos!$C:$C,Movimientos!$A:$A,$B6,Movimientos!$D:$D,CONCATENATE("&lt;",AK$3),Movimientos!$C:$C,"&lt;0")</f>
        <v>0</v>
      </c>
      <c r="AL6" s="5">
        <f ca="1">SUMIFS(Movimientos!$C:$C,Movimientos!$A:$A,$B6,Movimientos!$D:$D,CONCATENATE("&lt;=",AL$3),Movimientos!$C:$C,"&gt;0")+SUMIFS(Movimientos!$C:$C,Movimientos!$A:$A,$B6,Movimientos!$D:$D,CONCATENATE("&lt;",AL$3),Movimientos!$C:$C,"&lt;0")</f>
        <v>0</v>
      </c>
      <c r="AM6" s="5">
        <f ca="1">SUMIFS(Movimientos!$C:$C,Movimientos!$A:$A,$B6,Movimientos!$D:$D,CONCATENATE("&lt;=",AM$3),Movimientos!$C:$C,"&gt;0")+SUMIFS(Movimientos!$C:$C,Movimientos!$A:$A,$B6,Movimientos!$D:$D,CONCATENATE("&lt;",AM$3),Movimientos!$C:$C,"&lt;0")</f>
        <v>0</v>
      </c>
      <c r="AN6" s="5">
        <f ca="1">SUMIFS(Movimientos!$C:$C,Movimientos!$A:$A,$B6,Movimientos!$D:$D,CONCATENATE("&lt;=",AN$3),Movimientos!$C:$C,"&gt;0")+SUMIFS(Movimientos!$C:$C,Movimientos!$A:$A,$B6,Movimientos!$D:$D,CONCATENATE("&lt;",AN$3),Movimientos!$C:$C,"&lt;0")</f>
        <v>0</v>
      </c>
      <c r="AO6" s="5">
        <f ca="1">SUMIFS(Movimientos!$C:$C,Movimientos!$A:$A,$B6,Movimientos!$D:$D,CONCATENATE("&lt;=",AO$3),Movimientos!$C:$C,"&gt;0")+SUMIFS(Movimientos!$C:$C,Movimientos!$A:$A,$B6,Movimientos!$D:$D,CONCATENATE("&lt;",AO$3),Movimientos!$C:$C,"&lt;0")</f>
        <v>0</v>
      </c>
      <c r="AP6" s="5">
        <f ca="1">SUMIFS(Movimientos!$C:$C,Movimientos!$A:$A,$B6,Movimientos!$D:$D,CONCATENATE("&lt;=",AP$3),Movimientos!$C:$C,"&gt;0")+SUMIFS(Movimientos!$C:$C,Movimientos!$A:$A,$B6,Movimientos!$D:$D,CONCATENATE("&lt;",AP$3),Movimientos!$C:$C,"&lt;0")</f>
        <v>0</v>
      </c>
      <c r="AQ6" s="5">
        <f ca="1">SUMIFS(Movimientos!$C:$C,Movimientos!$A:$A,$B6,Movimientos!$D:$D,CONCATENATE("&lt;=",AQ$3),Movimientos!$C:$C,"&gt;0")+SUMIFS(Movimientos!$C:$C,Movimientos!$A:$A,$B6,Movimientos!$D:$D,CONCATENATE("&lt;",AQ$3),Movimientos!$C:$C,"&lt;0")</f>
        <v>0</v>
      </c>
      <c r="AR6" s="5">
        <f ca="1">SUMIFS(Movimientos!$C:$C,Movimientos!$A:$A,$B6,Movimientos!$D:$D,CONCATENATE("&lt;=",AR$3),Movimientos!$C:$C,"&gt;0")+SUMIFS(Movimientos!$C:$C,Movimientos!$A:$A,$B6,Movimientos!$D:$D,CONCATENATE("&lt;",AR$3),Movimientos!$C:$C,"&lt;0")</f>
        <v>0</v>
      </c>
      <c r="AS6" s="5">
        <f ca="1">SUMIFS(Movimientos!$C:$C,Movimientos!$A:$A,$B6,Movimientos!$D:$D,CONCATENATE("&lt;=",AS$3),Movimientos!$C:$C,"&gt;0")+SUMIFS(Movimientos!$C:$C,Movimientos!$A:$A,$B6,Movimientos!$D:$D,CONCATENATE("&lt;",AS$3),Movimientos!$C:$C,"&lt;0")</f>
        <v>0</v>
      </c>
      <c r="AT6" s="5">
        <f ca="1">SUMIFS(Movimientos!$C:$C,Movimientos!$A:$A,$B6,Movimientos!$D:$D,CONCATENATE("&lt;=",AT$3),Movimientos!$C:$C,"&gt;0")+SUMIFS(Movimientos!$C:$C,Movimientos!$A:$A,$B6,Movimientos!$D:$D,CONCATENATE("&lt;",AT$3),Movimientos!$C:$C,"&lt;0")</f>
        <v>0</v>
      </c>
      <c r="AU6" s="5">
        <f ca="1">SUMIFS(Movimientos!$C:$C,Movimientos!$A:$A,$B6,Movimientos!$D:$D,CONCATENATE("&lt;=",AU$3),Movimientos!$C:$C,"&gt;0")+SUMIFS(Movimientos!$C:$C,Movimientos!$A:$A,$B6,Movimientos!$D:$D,CONCATENATE("&lt;",AU$3),Movimientos!$C:$C,"&lt;0")</f>
        <v>0</v>
      </c>
      <c r="AV6" s="5">
        <f ca="1">SUMIFS(Movimientos!$C:$C,Movimientos!$A:$A,$B6,Movimientos!$D:$D,CONCATENATE("&lt;=",AV$3),Movimientos!$C:$C,"&gt;0")+SUMIFS(Movimientos!$C:$C,Movimientos!$A:$A,$B6,Movimientos!$D:$D,CONCATENATE("&lt;",AV$3),Movimientos!$C:$C,"&lt;0")</f>
        <v>0</v>
      </c>
      <c r="AW6" s="5">
        <f ca="1">SUMIFS(Movimientos!$C:$C,Movimientos!$A:$A,$B6,Movimientos!$D:$D,CONCATENATE("&lt;=",AW$3),Movimientos!$C:$C,"&gt;0")+SUMIFS(Movimientos!$C:$C,Movimientos!$A:$A,$B6,Movimientos!$D:$D,CONCATENATE("&lt;",AW$3),Movimientos!$C:$C,"&lt;0")</f>
        <v>0</v>
      </c>
      <c r="AX6" s="5">
        <f ca="1">SUMIFS(Movimientos!$C:$C,Movimientos!$A:$A,$B6,Movimientos!$D:$D,CONCATENATE("&lt;=",AX$3),Movimientos!$C:$C,"&gt;0")+SUMIFS(Movimientos!$C:$C,Movimientos!$A:$A,$B6,Movimientos!$D:$D,CONCATENATE("&lt;",AX$3),Movimientos!$C:$C,"&lt;0")</f>
        <v>0</v>
      </c>
      <c r="AY6" s="5">
        <f ca="1">SUMIFS(Movimientos!$C:$C,Movimientos!$A:$A,$B6,Movimientos!$D:$D,CONCATENATE("&lt;=",AY$3),Movimientos!$C:$C,"&gt;0")+SUMIFS(Movimientos!$C:$C,Movimientos!$A:$A,$B6,Movimientos!$D:$D,CONCATENATE("&lt;",AY$3),Movimientos!$C:$C,"&lt;0")</f>
        <v>0</v>
      </c>
      <c r="AZ6" s="5">
        <f ca="1">SUMIFS(Movimientos!$C:$C,Movimientos!$A:$A,$B6,Movimientos!$D:$D,CONCATENATE("&lt;=",AZ$3),Movimientos!$C:$C,"&gt;0")+SUMIFS(Movimientos!$C:$C,Movimientos!$A:$A,$B6,Movimientos!$D:$D,CONCATENATE("&lt;",AZ$3),Movimientos!$C:$C,"&lt;0")</f>
        <v>0</v>
      </c>
      <c r="BA6" s="5">
        <f ca="1">SUMIFS(Movimientos!$C:$C,Movimientos!$A:$A,$B6,Movimientos!$D:$D,CONCATENATE("&lt;=",BA$3),Movimientos!$C:$C,"&gt;0")+SUMIFS(Movimientos!$C:$C,Movimientos!$A:$A,$B6,Movimientos!$D:$D,CONCATENATE("&lt;",BA$3),Movimientos!$C:$C,"&lt;0")</f>
        <v>0</v>
      </c>
      <c r="BB6" s="5">
        <f ca="1">SUMIFS(Movimientos!$C:$C,Movimientos!$A:$A,$B6,Movimientos!$D:$D,CONCATENATE("&lt;=",BB$3),Movimientos!$C:$C,"&gt;0")+SUMIFS(Movimientos!$C:$C,Movimientos!$A:$A,$B6,Movimientos!$D:$D,CONCATENATE("&lt;",BB$3),Movimientos!$C:$C,"&lt;0")</f>
        <v>0</v>
      </c>
      <c r="BC6" s="5">
        <f ca="1">SUMIFS(Movimientos!$C:$C,Movimientos!$A:$A,$B6,Movimientos!$D:$D,CONCATENATE("&lt;=",BC$3),Movimientos!$C:$C,"&gt;0")+SUMIFS(Movimientos!$C:$C,Movimientos!$A:$A,$B6,Movimientos!$D:$D,CONCATENATE("&lt;",BC$3),Movimientos!$C:$C,"&lt;0")</f>
        <v>0</v>
      </c>
      <c r="BD6" s="5">
        <f ca="1">SUMIFS(Movimientos!$C:$C,Movimientos!$A:$A,$B6,Movimientos!$D:$D,CONCATENATE("&lt;=",BD$3),Movimientos!$C:$C,"&gt;0")+SUMIFS(Movimientos!$C:$C,Movimientos!$A:$A,$B6,Movimientos!$D:$D,CONCATENATE("&lt;",BD$3),Movimientos!$C:$C,"&lt;0")</f>
        <v>0</v>
      </c>
      <c r="BE6" s="5">
        <f ca="1">SUMIFS(Movimientos!$C:$C,Movimientos!$A:$A,$B6,Movimientos!$D:$D,CONCATENATE("&lt;=",BE$3),Movimientos!$C:$C,"&gt;0")+SUMIFS(Movimientos!$C:$C,Movimientos!$A:$A,$B6,Movimientos!$D:$D,CONCATENATE("&lt;",BE$3),Movimientos!$C:$C,"&lt;0")</f>
        <v>0</v>
      </c>
      <c r="BF6" s="5">
        <f ca="1">SUMIFS(Movimientos!$C:$C,Movimientos!$A:$A,$B6,Movimientos!$D:$D,CONCATENATE("&lt;=",BF$3),Movimientos!$C:$C,"&gt;0")+SUMIFS(Movimientos!$C:$C,Movimientos!$A:$A,$B6,Movimientos!$D:$D,CONCATENATE("&lt;",BF$3),Movimientos!$C:$C,"&lt;0")</f>
        <v>0</v>
      </c>
      <c r="BG6" s="5">
        <f ca="1">SUMIFS(Movimientos!$C:$C,Movimientos!$A:$A,$B6,Movimientos!$D:$D,CONCATENATE("&lt;=",BG$3),Movimientos!$C:$C,"&gt;0")+SUMIFS(Movimientos!$C:$C,Movimientos!$A:$A,$B6,Movimientos!$D:$D,CONCATENATE("&lt;",BG$3),Movimientos!$C:$C,"&lt;0")</f>
        <v>0</v>
      </c>
      <c r="BH6" s="5">
        <f ca="1">SUMIFS(Movimientos!$C:$C,Movimientos!$A:$A,$B6,Movimientos!$D:$D,CONCATENATE("&lt;=",BH$3),Movimientos!$C:$C,"&gt;0")+SUMIFS(Movimientos!$C:$C,Movimientos!$A:$A,$B6,Movimientos!$D:$D,CONCATENATE("&lt;",BH$3),Movimientos!$C:$C,"&lt;0")</f>
        <v>0</v>
      </c>
      <c r="BI6" s="5">
        <f ca="1">SUMIFS(Movimientos!$C:$C,Movimientos!$A:$A,$B6,Movimientos!$D:$D,CONCATENATE("&lt;=",BI$3),Movimientos!$C:$C,"&gt;0")+SUMIFS(Movimientos!$C:$C,Movimientos!$A:$A,$B6,Movimientos!$D:$D,CONCATENATE("&lt;",BI$3),Movimientos!$C:$C,"&lt;0")</f>
        <v>0</v>
      </c>
      <c r="BJ6" s="5">
        <f ca="1">SUMIFS(Movimientos!$C:$C,Movimientos!$A:$A,$B6,Movimientos!$D:$D,CONCATENATE("&lt;=",BJ$3),Movimientos!$C:$C,"&gt;0")+SUMIFS(Movimientos!$C:$C,Movimientos!$A:$A,$B6,Movimientos!$D:$D,CONCATENATE("&lt;",BJ$3),Movimientos!$C:$C,"&lt;0")</f>
        <v>0</v>
      </c>
      <c r="BK6" s="5">
        <f ca="1">SUMIFS(Movimientos!$C:$C,Movimientos!$A:$A,$B6,Movimientos!$D:$D,CONCATENATE("&lt;=",BK$3),Movimientos!$C:$C,"&gt;0")+SUMIFS(Movimientos!$C:$C,Movimientos!$A:$A,$B6,Movimientos!$D:$D,CONCATENATE("&lt;",BK$3),Movimientos!$C:$C,"&lt;0")</f>
        <v>0</v>
      </c>
      <c r="BL6" s="5">
        <f ca="1">SUMIFS(Movimientos!$C:$C,Movimientos!$A:$A,$B6,Movimientos!$D:$D,CONCATENATE("&lt;=",BL$3),Movimientos!$C:$C,"&gt;0")+SUMIFS(Movimientos!$C:$C,Movimientos!$A:$A,$B6,Movimientos!$D:$D,CONCATENATE("&lt;",BL$3),Movimientos!$C:$C,"&lt;0")</f>
        <v>0</v>
      </c>
      <c r="BM6" s="5">
        <f ca="1">SUMIFS(Movimientos!$C:$C,Movimientos!$A:$A,$B6,Movimientos!$D:$D,CONCATENATE("&lt;=",BM$3),Movimientos!$C:$C,"&gt;0")+SUMIFS(Movimientos!$C:$C,Movimientos!$A:$A,$B6,Movimientos!$D:$D,CONCATENATE("&lt;",BM$3),Movimientos!$C:$C,"&lt;0")</f>
        <v>0</v>
      </c>
      <c r="BN6" s="5">
        <f ca="1">SUMIFS(Movimientos!$C:$C,Movimientos!$A:$A,$B6,Movimientos!$D:$D,CONCATENATE("&lt;=",BN$3),Movimientos!$C:$C,"&gt;0")+SUMIFS(Movimientos!$C:$C,Movimientos!$A:$A,$B6,Movimientos!$D:$D,CONCATENATE("&lt;",BN$3),Movimientos!$C:$C,"&lt;0")</f>
        <v>0</v>
      </c>
      <c r="BO6" s="5">
        <f ca="1">SUMIFS(Movimientos!$C:$C,Movimientos!$A:$A,$B6,Movimientos!$D:$D,CONCATENATE("&lt;=",BO$3),Movimientos!$C:$C,"&gt;0")+SUMIFS(Movimientos!$C:$C,Movimientos!$A:$A,$B6,Movimientos!$D:$D,CONCATENATE("&lt;",BO$3),Movimientos!$C:$C,"&lt;0")</f>
        <v>0</v>
      </c>
      <c r="BP6" s="5">
        <f ca="1">SUMIFS(Movimientos!$C:$C,Movimientos!$A:$A,$B6,Movimientos!$D:$D,CONCATENATE("&lt;=",BP$3),Movimientos!$C:$C,"&gt;0")+SUMIFS(Movimientos!$C:$C,Movimientos!$A:$A,$B6,Movimientos!$D:$D,CONCATENATE("&lt;",BP$3),Movimientos!$C:$C,"&lt;0")</f>
        <v>0</v>
      </c>
      <c r="BQ6" s="5">
        <f ca="1">SUMIFS(Movimientos!$C:$C,Movimientos!$A:$A,$B6,Movimientos!$D:$D,CONCATENATE("&lt;=",BQ$3),Movimientos!$C:$C,"&gt;0")+SUMIFS(Movimientos!$C:$C,Movimientos!$A:$A,$B6,Movimientos!$D:$D,CONCATENATE("&lt;",BQ$3),Movimientos!$C:$C,"&lt;0")</f>
        <v>0</v>
      </c>
      <c r="BR6" s="5">
        <f ca="1">SUMIFS(Movimientos!$C:$C,Movimientos!$A:$A,$B6,Movimientos!$D:$D,CONCATENATE("&lt;=",BR$3),Movimientos!$C:$C,"&gt;0")+SUMIFS(Movimientos!$C:$C,Movimientos!$A:$A,$B6,Movimientos!$D:$D,CONCATENATE("&lt;",BR$3),Movimientos!$C:$C,"&lt;0")</f>
        <v>0</v>
      </c>
      <c r="BS6" s="5">
        <f ca="1">SUMIFS(Movimientos!$C:$C,Movimientos!$A:$A,$B6,Movimientos!$D:$D,CONCATENATE("&lt;=",BS$3),Movimientos!$C:$C,"&gt;0")+SUMIFS(Movimientos!$C:$C,Movimientos!$A:$A,$B6,Movimientos!$D:$D,CONCATENATE("&lt;",BS$3),Movimientos!$C:$C,"&lt;0")</f>
        <v>0</v>
      </c>
      <c r="BT6" s="5">
        <f ca="1">SUMIFS(Movimientos!$C:$C,Movimientos!$A:$A,$B6,Movimientos!$D:$D,CONCATENATE("&lt;=",BT$3),Movimientos!$C:$C,"&gt;0")+SUMIFS(Movimientos!$C:$C,Movimientos!$A:$A,$B6,Movimientos!$D:$D,CONCATENATE("&lt;",BT$3),Movimientos!$C:$C,"&lt;0")</f>
        <v>0</v>
      </c>
      <c r="BU6" s="5">
        <f ca="1">SUMIFS(Movimientos!$C:$C,Movimientos!$A:$A,$B6,Movimientos!$D:$D,CONCATENATE("&lt;=",BU$3),Movimientos!$C:$C,"&gt;0")+SUMIFS(Movimientos!$C:$C,Movimientos!$A:$A,$B6,Movimientos!$D:$D,CONCATENATE("&lt;",BU$3),Movimientos!$C:$C,"&lt;0")</f>
        <v>0</v>
      </c>
      <c r="BV6" s="5">
        <f ca="1">SUMIFS(Movimientos!$C:$C,Movimientos!$A:$A,$B6,Movimientos!$D:$D,CONCATENATE("&lt;=",BV$3),Movimientos!$C:$C,"&gt;0")+SUMIFS(Movimientos!$C:$C,Movimientos!$A:$A,$B6,Movimientos!$D:$D,CONCATENATE("&lt;",BV$3),Movimientos!$C:$C,"&lt;0")</f>
        <v>0</v>
      </c>
      <c r="BW6" s="5">
        <f ca="1">SUMIFS(Movimientos!$C:$C,Movimientos!$A:$A,$B6,Movimientos!$D:$D,CONCATENATE("&lt;=",BW$3),Movimientos!$C:$C,"&gt;0")+SUMIFS(Movimientos!$C:$C,Movimientos!$A:$A,$B6,Movimientos!$D:$D,CONCATENATE("&lt;",BW$3),Movimientos!$C:$C,"&lt;0")</f>
        <v>0</v>
      </c>
      <c r="BX6" s="5">
        <f ca="1">SUMIFS(Movimientos!$C:$C,Movimientos!$A:$A,$B6,Movimientos!$D:$D,CONCATENATE("&lt;=",BX$3),Movimientos!$C:$C,"&gt;0")+SUMIFS(Movimientos!$C:$C,Movimientos!$A:$A,$B6,Movimientos!$D:$D,CONCATENATE("&lt;",BX$3),Movimientos!$C:$C,"&lt;0")</f>
        <v>0</v>
      </c>
      <c r="BY6" s="5">
        <f ca="1">SUMIFS(Movimientos!$C:$C,Movimientos!$A:$A,$B6,Movimientos!$D:$D,CONCATENATE("&lt;=",BY$3),Movimientos!$C:$C,"&gt;0")+SUMIFS(Movimientos!$C:$C,Movimientos!$A:$A,$B6,Movimientos!$D:$D,CONCATENATE("&lt;",BY$3),Movimientos!$C:$C,"&lt;0")</f>
        <v>0</v>
      </c>
      <c r="BZ6" s="5">
        <f ca="1">SUMIFS(Movimientos!$C:$C,Movimientos!$A:$A,$B6,Movimientos!$D:$D,CONCATENATE("&lt;=",BZ$3),Movimientos!$C:$C,"&gt;0")+SUMIFS(Movimientos!$C:$C,Movimientos!$A:$A,$B6,Movimientos!$D:$D,CONCATENATE("&lt;",BZ$3),Movimientos!$C:$C,"&lt;0")</f>
        <v>0</v>
      </c>
      <c r="CA6" s="5">
        <f ca="1">SUMIFS(Movimientos!$C:$C,Movimientos!$A:$A,$B6,Movimientos!$D:$D,CONCATENATE("&lt;=",CA$3),Movimientos!$C:$C,"&gt;0")+SUMIFS(Movimientos!$C:$C,Movimientos!$A:$A,$B6,Movimientos!$D:$D,CONCATENATE("&lt;",CA$3),Movimientos!$C:$C,"&lt;0")</f>
        <v>0</v>
      </c>
      <c r="CB6" s="5">
        <f ca="1">SUMIFS(Movimientos!$C:$C,Movimientos!$A:$A,$B6,Movimientos!$D:$D,CONCATENATE("&lt;=",CB$3),Movimientos!$C:$C,"&gt;0")+SUMIFS(Movimientos!$C:$C,Movimientos!$A:$A,$B6,Movimientos!$D:$D,CONCATENATE("&lt;",CB$3),Movimientos!$C:$C,"&lt;0")</f>
        <v>0</v>
      </c>
      <c r="CC6" s="5">
        <f ca="1">SUMIFS(Movimientos!$C:$C,Movimientos!$A:$A,$B6,Movimientos!$D:$D,CONCATENATE("&lt;=",CC$3),Movimientos!$C:$C,"&gt;0")+SUMIFS(Movimientos!$C:$C,Movimientos!$A:$A,$B6,Movimientos!$D:$D,CONCATENATE("&lt;",CC$3),Movimientos!$C:$C,"&lt;0")</f>
        <v>0</v>
      </c>
      <c r="CD6" s="5">
        <f ca="1">SUMIFS(Movimientos!$C:$C,Movimientos!$A:$A,$B6,Movimientos!$D:$D,CONCATENATE("&lt;=",CD$3),Movimientos!$C:$C,"&gt;0")+SUMIFS(Movimientos!$C:$C,Movimientos!$A:$A,$B6,Movimientos!$D:$D,CONCATENATE("&lt;",CD$3),Movimientos!$C:$C,"&lt;0")</f>
        <v>0</v>
      </c>
      <c r="CE6" s="5">
        <f ca="1">SUMIFS(Movimientos!$C:$C,Movimientos!$A:$A,$B6,Movimientos!$D:$D,CONCATENATE("&lt;=",CE$3),Movimientos!$C:$C,"&gt;0")+SUMIFS(Movimientos!$C:$C,Movimientos!$A:$A,$B6,Movimientos!$D:$D,CONCATENATE("&lt;",CE$3),Movimientos!$C:$C,"&lt;0")</f>
        <v>0</v>
      </c>
      <c r="CF6" s="5">
        <f ca="1">SUMIFS(Movimientos!$C:$C,Movimientos!$A:$A,$B6,Movimientos!$D:$D,CONCATENATE("&lt;=",CF$3),Movimientos!$C:$C,"&gt;0")+SUMIFS(Movimientos!$C:$C,Movimientos!$A:$A,$B6,Movimientos!$D:$D,CONCATENATE("&lt;",CF$3),Movimientos!$C:$C,"&lt;0")</f>
        <v>0</v>
      </c>
      <c r="CG6" s="5">
        <f ca="1">SUMIFS(Movimientos!$C:$C,Movimientos!$A:$A,$B6,Movimientos!$D:$D,CONCATENATE("&lt;=",CG$3),Movimientos!$C:$C,"&gt;0")+SUMIFS(Movimientos!$C:$C,Movimientos!$A:$A,$B6,Movimientos!$D:$D,CONCATENATE("&lt;",CG$3),Movimientos!$C:$C,"&lt;0")</f>
        <v>0</v>
      </c>
      <c r="CH6" s="5">
        <f ca="1">SUMIFS(Movimientos!$C:$C,Movimientos!$A:$A,$B6,Movimientos!$D:$D,CONCATENATE("&lt;=",CH$3),Movimientos!$C:$C,"&gt;0")+SUMIFS(Movimientos!$C:$C,Movimientos!$A:$A,$B6,Movimientos!$D:$D,CONCATENATE("&lt;",CH$3),Movimientos!$C:$C,"&lt;0")</f>
        <v>0</v>
      </c>
      <c r="CI6" s="5">
        <f ca="1">SUMIFS(Movimientos!$C:$C,Movimientos!$A:$A,$B6,Movimientos!$D:$D,CONCATENATE("&lt;=",CI$3),Movimientos!$C:$C,"&gt;0")+SUMIFS(Movimientos!$C:$C,Movimientos!$A:$A,$B6,Movimientos!$D:$D,CONCATENATE("&lt;",CI$3),Movimientos!$C:$C,"&lt;0")</f>
        <v>0</v>
      </c>
      <c r="CJ6" s="5">
        <f ca="1">SUMIFS(Movimientos!$C:$C,Movimientos!$A:$A,$B6,Movimientos!$D:$D,CONCATENATE("&lt;=",CJ$3),Movimientos!$C:$C,"&gt;0")+SUMIFS(Movimientos!$C:$C,Movimientos!$A:$A,$B6,Movimientos!$D:$D,CONCATENATE("&lt;",CJ$3),Movimientos!$C:$C,"&lt;0")</f>
        <v>0</v>
      </c>
      <c r="CK6" s="5">
        <f ca="1">SUMIFS(Movimientos!$C:$C,Movimientos!$A:$A,$B6,Movimientos!$D:$D,CONCATENATE("&lt;=",CK$3),Movimientos!$C:$C,"&gt;0")+SUMIFS(Movimientos!$C:$C,Movimientos!$A:$A,$B6,Movimientos!$D:$D,CONCATENATE("&lt;",CK$3),Movimientos!$C:$C,"&lt;0")</f>
        <v>0</v>
      </c>
      <c r="CL6" s="5">
        <f ca="1">SUMIFS(Movimientos!$C:$C,Movimientos!$A:$A,$B6,Movimientos!$D:$D,CONCATENATE("&lt;=",CL$3),Movimientos!$C:$C,"&gt;0")+SUMIFS(Movimientos!$C:$C,Movimientos!$A:$A,$B6,Movimientos!$D:$D,CONCATENATE("&lt;",CL$3),Movimientos!$C:$C,"&lt;0")</f>
        <v>0</v>
      </c>
      <c r="CM6" s="5">
        <f ca="1">SUMIFS(Movimientos!$C:$C,Movimientos!$A:$A,$B6,Movimientos!$D:$D,CONCATENATE("&lt;=",CM$3),Movimientos!$C:$C,"&gt;0")+SUMIFS(Movimientos!$C:$C,Movimientos!$A:$A,$B6,Movimientos!$D:$D,CONCATENATE("&lt;",CM$3),Movimientos!$C:$C,"&lt;0")</f>
        <v>0</v>
      </c>
      <c r="CN6" s="5">
        <f ca="1">SUMIFS(Movimientos!$C:$C,Movimientos!$A:$A,$B6,Movimientos!$D:$D,CONCATENATE("&lt;=",CN$3),Movimientos!$C:$C,"&gt;0")+SUMIFS(Movimientos!$C:$C,Movimientos!$A:$A,$B6,Movimientos!$D:$D,CONCATENATE("&lt;",CN$3),Movimientos!$C:$C,"&lt;0")</f>
        <v>0</v>
      </c>
      <c r="CO6" s="5">
        <f ca="1">SUMIFS(Movimientos!$C:$C,Movimientos!$A:$A,$B6,Movimientos!$D:$D,CONCATENATE("&lt;=",CO$3),Movimientos!$C:$C,"&gt;0")+SUMIFS(Movimientos!$C:$C,Movimientos!$A:$A,$B6,Movimientos!$D:$D,CONCATENATE("&lt;",CO$3),Movimientos!$C:$C,"&lt;0")</f>
        <v>0</v>
      </c>
      <c r="CP6" s="5">
        <f ca="1">SUMIFS(Movimientos!$C:$C,Movimientos!$A:$A,$B6,Movimientos!$D:$D,CONCATENATE("&lt;=",CP$3),Movimientos!$C:$C,"&gt;0")+SUMIFS(Movimientos!$C:$C,Movimientos!$A:$A,$B6,Movimientos!$D:$D,CONCATENATE("&lt;",CP$3),Movimientos!$C:$C,"&lt;0")</f>
        <v>0</v>
      </c>
      <c r="CQ6" s="5">
        <f ca="1">SUMIFS(Movimientos!$C:$C,Movimientos!$A:$A,$B6,Movimientos!$D:$D,CONCATENATE("&lt;=",CQ$3),Movimientos!$C:$C,"&gt;0")+SUMIFS(Movimientos!$C:$C,Movimientos!$A:$A,$B6,Movimientos!$D:$D,CONCATENATE("&lt;",CQ$3),Movimientos!$C:$C,"&lt;0")</f>
        <v>0</v>
      </c>
      <c r="CR6" s="5">
        <f ca="1">SUMIFS(Movimientos!$C:$C,Movimientos!$A:$A,$B6,Movimientos!$D:$D,CONCATENATE("&lt;=",CR$3),Movimientos!$C:$C,"&gt;0")+SUMIFS(Movimientos!$C:$C,Movimientos!$A:$A,$B6,Movimientos!$D:$D,CONCATENATE("&lt;",CR$3),Movimientos!$C:$C,"&lt;0")</f>
        <v>0</v>
      </c>
      <c r="CS6" s="5">
        <f ca="1">SUMIFS(Movimientos!$C:$C,Movimientos!$A:$A,$B6,Movimientos!$D:$D,CONCATENATE("&lt;=",CS$3),Movimientos!$C:$C,"&gt;0")+SUMIFS(Movimientos!$C:$C,Movimientos!$A:$A,$B6,Movimientos!$D:$D,CONCATENATE("&lt;",CS$3),Movimientos!$C:$C,"&lt;0")</f>
        <v>0</v>
      </c>
      <c r="CT6" s="5">
        <f ca="1">SUMIFS(Movimientos!$C:$C,Movimientos!$A:$A,$B6,Movimientos!$D:$D,CONCATENATE("&lt;=",CT$3),Movimientos!$C:$C,"&gt;0")+SUMIFS(Movimientos!$C:$C,Movimientos!$A:$A,$B6,Movimientos!$D:$D,CONCATENATE("&lt;",CT$3),Movimientos!$C:$C,"&lt;0")</f>
        <v>0</v>
      </c>
      <c r="CU6" s="5">
        <f ca="1">SUMIFS(Movimientos!$C:$C,Movimientos!$A:$A,$B6,Movimientos!$D:$D,CONCATENATE("&lt;=",CU$3),Movimientos!$C:$C,"&gt;0")+SUMIFS(Movimientos!$C:$C,Movimientos!$A:$A,$B6,Movimientos!$D:$D,CONCATENATE("&lt;",CU$3),Movimientos!$C:$C,"&lt;0")</f>
        <v>0</v>
      </c>
      <c r="CV6" s="5">
        <f ca="1">SUMIFS(Movimientos!$C:$C,Movimientos!$A:$A,$B6,Movimientos!$D:$D,CONCATENATE("&lt;=",CV$3),Movimientos!$C:$C,"&gt;0")+SUMIFS(Movimientos!$C:$C,Movimientos!$A:$A,$B6,Movimientos!$D:$D,CONCATENATE("&lt;",CV$3),Movimientos!$C:$C,"&lt;0")</f>
        <v>0</v>
      </c>
      <c r="CW6" s="5">
        <f ca="1">SUMIFS(Movimientos!$C:$C,Movimientos!$A:$A,$B6,Movimientos!$D:$D,CONCATENATE("&lt;=",CW$3),Movimientos!$C:$C,"&gt;0")+SUMIFS(Movimientos!$C:$C,Movimientos!$A:$A,$B6,Movimientos!$D:$D,CONCATENATE("&lt;",CW$3),Movimientos!$C:$C,"&lt;0")</f>
        <v>0</v>
      </c>
      <c r="CX6" s="5">
        <f ca="1">SUMIFS(Movimientos!$C:$C,Movimientos!$A:$A,$B6,Movimientos!$D:$D,CONCATENATE("&lt;=",CX$3),Movimientos!$C:$C,"&gt;0")+SUMIFS(Movimientos!$C:$C,Movimientos!$A:$A,$B6,Movimientos!$D:$D,CONCATENATE("&lt;",CX$3),Movimientos!$C:$C,"&lt;0")</f>
        <v>0</v>
      </c>
      <c r="CY6" s="5">
        <f ca="1">SUMIFS(Movimientos!$C:$C,Movimientos!$A:$A,$B6,Movimientos!$D:$D,CONCATENATE("&lt;=",CY$3),Movimientos!$C:$C,"&gt;0")+SUMIFS(Movimientos!$C:$C,Movimientos!$A:$A,$B6,Movimientos!$D:$D,CONCATENATE("&lt;",CY$3),Movimientos!$C:$C,"&lt;0")</f>
        <v>0</v>
      </c>
      <c r="CZ6" s="5">
        <f ca="1">SUMIFS(Movimientos!$C:$C,Movimientos!$A:$A,$B6,Movimientos!$D:$D,CONCATENATE("&lt;=",CZ$3),Movimientos!$C:$C,"&gt;0")+SUMIFS(Movimientos!$C:$C,Movimientos!$A:$A,$B6,Movimientos!$D:$D,CONCATENATE("&lt;",CZ$3),Movimientos!$C:$C,"&lt;0")</f>
        <v>0</v>
      </c>
      <c r="DA6" s="5">
        <f ca="1">SUMIFS(Movimientos!$C:$C,Movimientos!$A:$A,$B6,Movimientos!$D:$D,CONCATENATE("&lt;=",DA$3),Movimientos!$C:$C,"&gt;0")+SUMIFS(Movimientos!$C:$C,Movimientos!$A:$A,$B6,Movimientos!$D:$D,CONCATENATE("&lt;",DA$3),Movimientos!$C:$C,"&lt;0")</f>
        <v>0</v>
      </c>
      <c r="DB6" s="5">
        <f ca="1">SUMIFS(Movimientos!$C:$C,Movimientos!$A:$A,$B6,Movimientos!$D:$D,CONCATENATE("&lt;=",DB$3),Movimientos!$C:$C,"&gt;0")+SUMIFS(Movimientos!$C:$C,Movimientos!$A:$A,$B6,Movimientos!$D:$D,CONCATENATE("&lt;",DB$3),Movimientos!$C:$C,"&lt;0")</f>
        <v>0</v>
      </c>
      <c r="DC6" s="5">
        <f ca="1">SUMIFS(Movimientos!$C:$C,Movimientos!$A:$A,$B6,Movimientos!$D:$D,CONCATENATE("&lt;=",DC$3),Movimientos!$C:$C,"&gt;0")+SUMIFS(Movimientos!$C:$C,Movimientos!$A:$A,$B6,Movimientos!$D:$D,CONCATENATE("&lt;",DC$3),Movimientos!$C:$C,"&lt;0")</f>
        <v>0</v>
      </c>
      <c r="DD6" s="5">
        <f ca="1">SUMIFS(Movimientos!$C:$C,Movimientos!$A:$A,$B6,Movimientos!$D:$D,CONCATENATE("&lt;=",DD$3),Movimientos!$C:$C,"&gt;0")+SUMIFS(Movimientos!$C:$C,Movimientos!$A:$A,$B6,Movimientos!$D:$D,CONCATENATE("&lt;",DD$3),Movimientos!$C:$C,"&lt;0")</f>
        <v>0</v>
      </c>
      <c r="DE6" s="5">
        <f ca="1">SUMIFS(Movimientos!$C:$C,Movimientos!$A:$A,$B6,Movimientos!$D:$D,CONCATENATE("&lt;=",DE$3),Movimientos!$C:$C,"&gt;0")+SUMIFS(Movimientos!$C:$C,Movimientos!$A:$A,$B6,Movimientos!$D:$D,CONCATENATE("&lt;",DE$3),Movimientos!$C:$C,"&lt;0")</f>
        <v>0</v>
      </c>
      <c r="DF6" s="5">
        <f ca="1">SUMIFS(Movimientos!$C:$C,Movimientos!$A:$A,$B6,Movimientos!$D:$D,CONCATENATE("&lt;=",DF$3),Movimientos!$C:$C,"&gt;0")+SUMIFS(Movimientos!$C:$C,Movimientos!$A:$A,$B6,Movimientos!$D:$D,CONCATENATE("&lt;",DF$3),Movimientos!$C:$C,"&lt;0")</f>
        <v>0</v>
      </c>
      <c r="DG6" s="5">
        <f ca="1">SUMIFS(Movimientos!$C:$C,Movimientos!$A:$A,$B6,Movimientos!$D:$D,CONCATENATE("&lt;=",DG$3),Movimientos!$C:$C,"&gt;0")+SUMIFS(Movimientos!$C:$C,Movimientos!$A:$A,$B6,Movimientos!$D:$D,CONCATENATE("&lt;",DG$3),Movimientos!$C:$C,"&lt;0")</f>
        <v>0</v>
      </c>
      <c r="DH6" s="5">
        <f ca="1">SUMIFS(Movimientos!$C:$C,Movimientos!$A:$A,$B6,Movimientos!$D:$D,CONCATENATE("&lt;=",DH$3),Movimientos!$C:$C,"&gt;0")+SUMIFS(Movimientos!$C:$C,Movimientos!$A:$A,$B6,Movimientos!$D:$D,CONCATENATE("&lt;",DH$3),Movimientos!$C:$C,"&lt;0")</f>
        <v>0</v>
      </c>
      <c r="DI6" s="5">
        <f ca="1">SUMIFS(Movimientos!$C:$C,Movimientos!$A:$A,$B6,Movimientos!$D:$D,CONCATENATE("&lt;=",DI$3),Movimientos!$C:$C,"&gt;0")+SUMIFS(Movimientos!$C:$C,Movimientos!$A:$A,$B6,Movimientos!$D:$D,CONCATENATE("&lt;",DI$3),Movimientos!$C:$C,"&lt;0")</f>
        <v>0</v>
      </c>
      <c r="DJ6" s="5">
        <f ca="1">SUMIFS(Movimientos!$C:$C,Movimientos!$A:$A,$B6,Movimientos!$D:$D,CONCATENATE("&lt;=",DJ$3),Movimientos!$C:$C,"&gt;0")+SUMIFS(Movimientos!$C:$C,Movimientos!$A:$A,$B6,Movimientos!$D:$D,CONCATENATE("&lt;",DJ$3),Movimientos!$C:$C,"&lt;0")</f>
        <v>0</v>
      </c>
      <c r="DK6" s="5">
        <f ca="1">SUMIFS(Movimientos!$C:$C,Movimientos!$A:$A,$B6,Movimientos!$D:$D,CONCATENATE("&lt;=",DK$3),Movimientos!$C:$C,"&gt;0")+SUMIFS(Movimientos!$C:$C,Movimientos!$A:$A,$B6,Movimientos!$D:$D,CONCATENATE("&lt;",DK$3),Movimientos!$C:$C,"&lt;0")</f>
        <v>0</v>
      </c>
      <c r="DL6" s="5">
        <f ca="1">SUMIFS(Movimientos!$C:$C,Movimientos!$A:$A,$B6,Movimientos!$D:$D,CONCATENATE("&lt;=",DL$3),Movimientos!$C:$C,"&gt;0")+SUMIFS(Movimientos!$C:$C,Movimientos!$A:$A,$B6,Movimientos!$D:$D,CONCATENATE("&lt;",DL$3),Movimientos!$C:$C,"&lt;0")</f>
        <v>0</v>
      </c>
      <c r="DM6" s="5">
        <f ca="1">SUMIFS(Movimientos!$C:$C,Movimientos!$A:$A,$B6,Movimientos!$D:$D,CONCATENATE("&lt;=",DM$3),Movimientos!$C:$C,"&gt;0")+SUMIFS(Movimientos!$C:$C,Movimientos!$A:$A,$B6,Movimientos!$D:$D,CONCATENATE("&lt;",DM$3),Movimientos!$C:$C,"&lt;0")</f>
        <v>0</v>
      </c>
      <c r="DN6" s="5">
        <f ca="1">SUMIFS(Movimientos!$C:$C,Movimientos!$A:$A,$B6,Movimientos!$D:$D,CONCATENATE("&lt;=",DN$3),Movimientos!$C:$C,"&gt;0")+SUMIFS(Movimientos!$C:$C,Movimientos!$A:$A,$B6,Movimientos!$D:$D,CONCATENATE("&lt;",DN$3),Movimientos!$C:$C,"&lt;0")</f>
        <v>0</v>
      </c>
      <c r="DO6" s="5">
        <f ca="1">SUMIFS(Movimientos!$C:$C,Movimientos!$A:$A,$B6,Movimientos!$D:$D,CONCATENATE("&lt;=",DO$3),Movimientos!$C:$C,"&gt;0")+SUMIFS(Movimientos!$C:$C,Movimientos!$A:$A,$B6,Movimientos!$D:$D,CONCATENATE("&lt;",DO$3),Movimientos!$C:$C,"&lt;0")</f>
        <v>0</v>
      </c>
      <c r="DP6" s="5">
        <f ca="1">SUMIFS(Movimientos!$C:$C,Movimientos!$A:$A,$B6,Movimientos!$D:$D,CONCATENATE("&lt;=",DP$3),Movimientos!$C:$C,"&gt;0")+SUMIFS(Movimientos!$C:$C,Movimientos!$A:$A,$B6,Movimientos!$D:$D,CONCATENATE("&lt;",DP$3),Movimientos!$C:$C,"&lt;0")</f>
        <v>0</v>
      </c>
      <c r="DQ6" s="5">
        <f ca="1">SUMIFS(Movimientos!$C:$C,Movimientos!$A:$A,$B6,Movimientos!$D:$D,CONCATENATE("&lt;=",DQ$3),Movimientos!$C:$C,"&gt;0")+SUMIFS(Movimientos!$C:$C,Movimientos!$A:$A,$B6,Movimientos!$D:$D,CONCATENATE("&lt;",DQ$3),Movimientos!$C:$C,"&lt;0")</f>
        <v>0</v>
      </c>
      <c r="DR6" s="5">
        <f ca="1">SUMIFS(Movimientos!$C:$C,Movimientos!$A:$A,$B6,Movimientos!$D:$D,CONCATENATE("&lt;=",DR$3),Movimientos!$C:$C,"&gt;0")+SUMIFS(Movimientos!$C:$C,Movimientos!$A:$A,$B6,Movimientos!$D:$D,CONCATENATE("&lt;",DR$3),Movimientos!$C:$C,"&lt;0")</f>
        <v>0</v>
      </c>
      <c r="DS6" s="5">
        <f ca="1">SUMIFS(Movimientos!$C:$C,Movimientos!$A:$A,$B6,Movimientos!$D:$D,CONCATENATE("&lt;=",DS$3),Movimientos!$C:$C,"&gt;0")+SUMIFS(Movimientos!$C:$C,Movimientos!$A:$A,$B6,Movimientos!$D:$D,CONCATENATE("&lt;",DS$3),Movimientos!$C:$C,"&lt;0")</f>
        <v>0</v>
      </c>
      <c r="DT6" s="5">
        <f ca="1">SUMIFS(Movimientos!$C:$C,Movimientos!$A:$A,$B6,Movimientos!$D:$D,CONCATENATE("&lt;=",DT$3),Movimientos!$C:$C,"&gt;0")+SUMIFS(Movimientos!$C:$C,Movimientos!$A:$A,$B6,Movimientos!$D:$D,CONCATENATE("&lt;",DT$3),Movimientos!$C:$C,"&lt;0")</f>
        <v>0</v>
      </c>
      <c r="DU6" s="5">
        <f ca="1">SUMIFS(Movimientos!$C:$C,Movimientos!$A:$A,$B6,Movimientos!$D:$D,CONCATENATE("&lt;=",DU$3),Movimientos!$C:$C,"&gt;0")+SUMIFS(Movimientos!$C:$C,Movimientos!$A:$A,$B6,Movimientos!$D:$D,CONCATENATE("&lt;",DU$3),Movimientos!$C:$C,"&lt;0")</f>
        <v>0</v>
      </c>
      <c r="DV6" s="5">
        <f ca="1">SUMIFS(Movimientos!$C:$C,Movimientos!$A:$A,$B6,Movimientos!$D:$D,CONCATENATE("&lt;=",DV$3),Movimientos!$C:$C,"&gt;0")+SUMIFS(Movimientos!$C:$C,Movimientos!$A:$A,$B6,Movimientos!$D:$D,CONCATENATE("&lt;",DV$3),Movimientos!$C:$C,"&lt;0")</f>
        <v>0</v>
      </c>
      <c r="DW6" s="5">
        <f ca="1">SUMIFS(Movimientos!$C:$C,Movimientos!$A:$A,$B6,Movimientos!$D:$D,CONCATENATE("&lt;=",DW$3),Movimientos!$C:$C,"&gt;0")+SUMIFS(Movimientos!$C:$C,Movimientos!$A:$A,$B6,Movimientos!$D:$D,CONCATENATE("&lt;",DW$3),Movimientos!$C:$C,"&lt;0")</f>
        <v>0</v>
      </c>
      <c r="DX6" s="5">
        <f ca="1">SUMIFS(Movimientos!$C:$C,Movimientos!$A:$A,$B6,Movimientos!$D:$D,CONCATENATE("&lt;=",DX$3),Movimientos!$C:$C,"&gt;0")+SUMIFS(Movimientos!$C:$C,Movimientos!$A:$A,$B6,Movimientos!$D:$D,CONCATENATE("&lt;",DX$3),Movimientos!$C:$C,"&lt;0")</f>
        <v>0</v>
      </c>
      <c r="DY6" s="5">
        <f ca="1">SUMIFS(Movimientos!$C:$C,Movimientos!$A:$A,$B6,Movimientos!$D:$D,CONCATENATE("&lt;=",DY$3),Movimientos!$C:$C,"&gt;0")+SUMIFS(Movimientos!$C:$C,Movimientos!$A:$A,$B6,Movimientos!$D:$D,CONCATENATE("&lt;",DY$3),Movimientos!$C:$C,"&lt;0")</f>
        <v>0</v>
      </c>
      <c r="DZ6" s="5">
        <f ca="1">SUMIFS(Movimientos!$C:$C,Movimientos!$A:$A,$B6,Movimientos!$D:$D,CONCATENATE("&lt;=",DZ$3),Movimientos!$C:$C,"&gt;0")+SUMIFS(Movimientos!$C:$C,Movimientos!$A:$A,$B6,Movimientos!$D:$D,CONCATENATE("&lt;",DZ$3),Movimientos!$C:$C,"&lt;0")</f>
        <v>0</v>
      </c>
      <c r="EA6" s="5">
        <f ca="1">SUMIFS(Movimientos!$C:$C,Movimientos!$A:$A,$B6,Movimientos!$D:$D,CONCATENATE("&lt;=",EA$3),Movimientos!$C:$C,"&gt;0")+SUMIFS(Movimientos!$C:$C,Movimientos!$A:$A,$B6,Movimientos!$D:$D,CONCATENATE("&lt;",EA$3),Movimientos!$C:$C,"&lt;0")</f>
        <v>0</v>
      </c>
      <c r="EB6" s="5">
        <f ca="1">SUMIFS(Movimientos!$C:$C,Movimientos!$A:$A,$B6,Movimientos!$D:$D,CONCATENATE("&lt;=",EB$3),Movimientos!$C:$C,"&gt;0")+SUMIFS(Movimientos!$C:$C,Movimientos!$A:$A,$B6,Movimientos!$D:$D,CONCATENATE("&lt;",EB$3),Movimientos!$C:$C,"&lt;0")</f>
        <v>0</v>
      </c>
      <c r="EC6" s="5">
        <f ca="1">SUMIFS(Movimientos!$C:$C,Movimientos!$A:$A,$B6,Movimientos!$D:$D,CONCATENATE("&lt;=",EC$3),Movimientos!$C:$C,"&gt;0")+SUMIFS(Movimientos!$C:$C,Movimientos!$A:$A,$B6,Movimientos!$D:$D,CONCATENATE("&lt;",EC$3),Movimientos!$C:$C,"&lt;0")</f>
        <v>0</v>
      </c>
      <c r="ED6" s="5">
        <f ca="1">SUMIFS(Movimientos!$C:$C,Movimientos!$A:$A,$B6,Movimientos!$D:$D,CONCATENATE("&lt;=",ED$3),Movimientos!$C:$C,"&gt;0")+SUMIFS(Movimientos!$C:$C,Movimientos!$A:$A,$B6,Movimientos!$D:$D,CONCATENATE("&lt;",ED$3),Movimientos!$C:$C,"&lt;0")</f>
        <v>0</v>
      </c>
      <c r="EE6" s="5">
        <f ca="1">SUMIFS(Movimientos!$C:$C,Movimientos!$A:$A,$B6,Movimientos!$D:$D,CONCATENATE("&lt;=",EE$3),Movimientos!$C:$C,"&gt;0")+SUMIFS(Movimientos!$C:$C,Movimientos!$A:$A,$B6,Movimientos!$D:$D,CONCATENATE("&lt;",EE$3),Movimientos!$C:$C,"&lt;0")</f>
        <v>0</v>
      </c>
      <c r="EF6" s="5">
        <f ca="1">SUMIFS(Movimientos!$C:$C,Movimientos!$A:$A,$B6,Movimientos!$D:$D,CONCATENATE("&lt;=",EF$3),Movimientos!$C:$C,"&gt;0")+SUMIFS(Movimientos!$C:$C,Movimientos!$A:$A,$B6,Movimientos!$D:$D,CONCATENATE("&lt;",EF$3),Movimientos!$C:$C,"&lt;0")</f>
        <v>0</v>
      </c>
      <c r="EG6" s="5">
        <f ca="1">SUMIFS(Movimientos!$C:$C,Movimientos!$A:$A,$B6,Movimientos!$D:$D,CONCATENATE("&lt;=",EG$3),Movimientos!$C:$C,"&gt;0")+SUMIFS(Movimientos!$C:$C,Movimientos!$A:$A,$B6,Movimientos!$D:$D,CONCATENATE("&lt;",EG$3),Movimientos!$C:$C,"&lt;0")</f>
        <v>0</v>
      </c>
      <c r="EH6" s="5">
        <f ca="1">SUMIFS(Movimientos!$C:$C,Movimientos!$A:$A,$B6,Movimientos!$D:$D,CONCATENATE("&lt;=",EH$3),Movimientos!$C:$C,"&gt;0")+SUMIFS(Movimientos!$C:$C,Movimientos!$A:$A,$B6,Movimientos!$D:$D,CONCATENATE("&lt;",EH$3),Movimientos!$C:$C,"&lt;0")</f>
        <v>0</v>
      </c>
      <c r="EI6" s="5">
        <f ca="1">SUMIFS(Movimientos!$C:$C,Movimientos!$A:$A,$B6,Movimientos!$D:$D,CONCATENATE("&lt;=",EI$3),Movimientos!$C:$C,"&gt;0")+SUMIFS(Movimientos!$C:$C,Movimientos!$A:$A,$B6,Movimientos!$D:$D,CONCATENATE("&lt;",EI$3),Movimientos!$C:$C,"&lt;0")</f>
        <v>0</v>
      </c>
      <c r="EJ6" s="5">
        <f ca="1">SUMIFS(Movimientos!$C:$C,Movimientos!$A:$A,$B6,Movimientos!$D:$D,CONCATENATE("&lt;=",EJ$3),Movimientos!$C:$C,"&gt;0")+SUMIFS(Movimientos!$C:$C,Movimientos!$A:$A,$B6,Movimientos!$D:$D,CONCATENATE("&lt;",EJ$3),Movimientos!$C:$C,"&lt;0")</f>
        <v>0</v>
      </c>
      <c r="EK6" s="5">
        <f ca="1">SUMIFS(Movimientos!$C:$C,Movimientos!$A:$A,$B6,Movimientos!$D:$D,CONCATENATE("&lt;=",EK$3),Movimientos!$C:$C,"&gt;0")+SUMIFS(Movimientos!$C:$C,Movimientos!$A:$A,$B6,Movimientos!$D:$D,CONCATENATE("&lt;",EK$3),Movimientos!$C:$C,"&lt;0")</f>
        <v>0</v>
      </c>
      <c r="EL6" s="5">
        <f ca="1">SUMIFS(Movimientos!$C:$C,Movimientos!$A:$A,$B6,Movimientos!$D:$D,CONCATENATE("&lt;=",EL$3),Movimientos!$C:$C,"&gt;0")+SUMIFS(Movimientos!$C:$C,Movimientos!$A:$A,$B6,Movimientos!$D:$D,CONCATENATE("&lt;",EL$3),Movimientos!$C:$C,"&lt;0")</f>
        <v>0</v>
      </c>
      <c r="EM6" s="5">
        <f ca="1">SUMIFS(Movimientos!$C:$C,Movimientos!$A:$A,$B6,Movimientos!$D:$D,CONCATENATE("&lt;=",EM$3),Movimientos!$C:$C,"&gt;0")+SUMIFS(Movimientos!$C:$C,Movimientos!$A:$A,$B6,Movimientos!$D:$D,CONCATENATE("&lt;",EM$3),Movimientos!$C:$C,"&lt;0")</f>
        <v>0</v>
      </c>
      <c r="EN6" s="5">
        <f ca="1">SUMIFS(Movimientos!$C:$C,Movimientos!$A:$A,$B6,Movimientos!$D:$D,CONCATENATE("&lt;=",EN$3),Movimientos!$C:$C,"&gt;0")+SUMIFS(Movimientos!$C:$C,Movimientos!$A:$A,$B6,Movimientos!$D:$D,CONCATENATE("&lt;",EN$3),Movimientos!$C:$C,"&lt;0")</f>
        <v>0</v>
      </c>
      <c r="EO6" s="5">
        <f ca="1">SUMIFS(Movimientos!$C:$C,Movimientos!$A:$A,$B6,Movimientos!$D:$D,CONCATENATE("&lt;=",EO$3),Movimientos!$C:$C,"&gt;0")+SUMIFS(Movimientos!$C:$C,Movimientos!$A:$A,$B6,Movimientos!$D:$D,CONCATENATE("&lt;",EO$3),Movimientos!$C:$C,"&lt;0")</f>
        <v>0</v>
      </c>
      <c r="EP6" s="5">
        <f ca="1">SUMIFS(Movimientos!$C:$C,Movimientos!$A:$A,$B6,Movimientos!$D:$D,CONCATENATE("&lt;=",EP$3),Movimientos!$C:$C,"&gt;0")+SUMIFS(Movimientos!$C:$C,Movimientos!$A:$A,$B6,Movimientos!$D:$D,CONCATENATE("&lt;",EP$3),Movimientos!$C:$C,"&lt;0")</f>
        <v>0</v>
      </c>
      <c r="EQ6" s="5">
        <f ca="1">SUMIFS(Movimientos!$C:$C,Movimientos!$A:$A,$B6,Movimientos!$D:$D,CONCATENATE("&lt;=",EQ$3),Movimientos!$C:$C,"&gt;0")+SUMIFS(Movimientos!$C:$C,Movimientos!$A:$A,$B6,Movimientos!$D:$D,CONCATENATE("&lt;",EQ$3),Movimientos!$C:$C,"&lt;0")</f>
        <v>0</v>
      </c>
      <c r="ER6" s="5">
        <f ca="1">SUMIFS(Movimientos!$C:$C,Movimientos!$A:$A,$B6,Movimientos!$D:$D,CONCATENATE("&lt;=",ER$3),Movimientos!$C:$C,"&gt;0")+SUMIFS(Movimientos!$C:$C,Movimientos!$A:$A,$B6,Movimientos!$D:$D,CONCATENATE("&lt;",ER$3),Movimientos!$C:$C,"&lt;0")</f>
        <v>0</v>
      </c>
      <c r="ES6" s="5">
        <f ca="1">SUMIFS(Movimientos!$C:$C,Movimientos!$A:$A,$B6,Movimientos!$D:$D,CONCATENATE("&lt;=",ES$3),Movimientos!$C:$C,"&gt;0")+SUMIFS(Movimientos!$C:$C,Movimientos!$A:$A,$B6,Movimientos!$D:$D,CONCATENATE("&lt;",ES$3),Movimientos!$C:$C,"&lt;0")</f>
        <v>0</v>
      </c>
      <c r="ET6" s="5">
        <f ca="1">SUMIFS(Movimientos!$C:$C,Movimientos!$A:$A,$B6,Movimientos!$D:$D,CONCATENATE("&lt;=",ET$3),Movimientos!$C:$C,"&gt;0")+SUMIFS(Movimientos!$C:$C,Movimientos!$A:$A,$B6,Movimientos!$D:$D,CONCATENATE("&lt;",ET$3),Movimientos!$C:$C,"&lt;0")</f>
        <v>0</v>
      </c>
      <c r="EU6" s="5">
        <f ca="1">SUMIFS(Movimientos!$C:$C,Movimientos!$A:$A,$B6,Movimientos!$D:$D,CONCATENATE("&lt;=",EU$3),Movimientos!$C:$C,"&gt;0")+SUMIFS(Movimientos!$C:$C,Movimientos!$A:$A,$B6,Movimientos!$D:$D,CONCATENATE("&lt;",EU$3),Movimientos!$C:$C,"&lt;0")</f>
        <v>0</v>
      </c>
      <c r="EV6" s="5">
        <f ca="1">SUMIFS(Movimientos!$C:$C,Movimientos!$A:$A,$B6,Movimientos!$D:$D,CONCATENATE("&lt;=",EV$3),Movimientos!$C:$C,"&gt;0")+SUMIFS(Movimientos!$C:$C,Movimientos!$A:$A,$B6,Movimientos!$D:$D,CONCATENATE("&lt;",EV$3),Movimientos!$C:$C,"&lt;0")</f>
        <v>0</v>
      </c>
      <c r="EW6" s="5">
        <f ca="1">SUMIFS(Movimientos!$C:$C,Movimientos!$A:$A,$B6,Movimientos!$D:$D,CONCATENATE("&lt;=",EW$3),Movimientos!$C:$C,"&gt;0")+SUMIFS(Movimientos!$C:$C,Movimientos!$A:$A,$B6,Movimientos!$D:$D,CONCATENATE("&lt;",EW$3),Movimientos!$C:$C,"&lt;0")</f>
        <v>0</v>
      </c>
      <c r="EX6" s="5">
        <f ca="1">SUMIFS(Movimientos!$C:$C,Movimientos!$A:$A,$B6,Movimientos!$D:$D,CONCATENATE("&lt;=",EX$3),Movimientos!$C:$C,"&gt;0")+SUMIFS(Movimientos!$C:$C,Movimientos!$A:$A,$B6,Movimientos!$D:$D,CONCATENATE("&lt;",EX$3),Movimientos!$C:$C,"&lt;0")</f>
        <v>0</v>
      </c>
      <c r="EY6" s="5">
        <f ca="1">SUMIFS(Movimientos!$C:$C,Movimientos!$A:$A,$B6,Movimientos!$D:$D,CONCATENATE("&lt;=",EY$3),Movimientos!$C:$C,"&gt;0")+SUMIFS(Movimientos!$C:$C,Movimientos!$A:$A,$B6,Movimientos!$D:$D,CONCATENATE("&lt;",EY$3),Movimientos!$C:$C,"&lt;0")</f>
        <v>0</v>
      </c>
      <c r="EZ6" s="5">
        <f ca="1">SUMIFS(Movimientos!$C:$C,Movimientos!$A:$A,$B6,Movimientos!$D:$D,CONCATENATE("&lt;=",EZ$3),Movimientos!$C:$C,"&gt;0")+SUMIFS(Movimientos!$C:$C,Movimientos!$A:$A,$B6,Movimientos!$D:$D,CONCATENATE("&lt;",EZ$3),Movimientos!$C:$C,"&lt;0")</f>
        <v>0</v>
      </c>
      <c r="FA6" s="5">
        <f ca="1">SUMIFS(Movimientos!$C:$C,Movimientos!$A:$A,$B6,Movimientos!$D:$D,CONCATENATE("&lt;=",FA$3),Movimientos!$C:$C,"&gt;0")+SUMIFS(Movimientos!$C:$C,Movimientos!$A:$A,$B6,Movimientos!$D:$D,CONCATENATE("&lt;",FA$3),Movimientos!$C:$C,"&lt;0")</f>
        <v>0</v>
      </c>
      <c r="FB6" s="5">
        <f ca="1">SUMIFS(Movimientos!$C:$C,Movimientos!$A:$A,$B6,Movimientos!$D:$D,CONCATENATE("&lt;=",FB$3),Movimientos!$C:$C,"&gt;0")+SUMIFS(Movimientos!$C:$C,Movimientos!$A:$A,$B6,Movimientos!$D:$D,CONCATENATE("&lt;",FB$3),Movimientos!$C:$C,"&lt;0")</f>
        <v>0</v>
      </c>
      <c r="FC6" s="5">
        <f ca="1">SUMIFS(Movimientos!$C:$C,Movimientos!$A:$A,$B6,Movimientos!$D:$D,CONCATENATE("&lt;=",FC$3),Movimientos!$C:$C,"&gt;0")+SUMIFS(Movimientos!$C:$C,Movimientos!$A:$A,$B6,Movimientos!$D:$D,CONCATENATE("&lt;",FC$3),Movimientos!$C:$C,"&lt;0")</f>
        <v>0</v>
      </c>
      <c r="FD6" s="5">
        <f ca="1">SUMIFS(Movimientos!$C:$C,Movimientos!$A:$A,$B6,Movimientos!$D:$D,CONCATENATE("&lt;=",FD$3),Movimientos!$C:$C,"&gt;0")+SUMIFS(Movimientos!$C:$C,Movimientos!$A:$A,$B6,Movimientos!$D:$D,CONCATENATE("&lt;",FD$3),Movimientos!$C:$C,"&lt;0")</f>
        <v>0</v>
      </c>
      <c r="FE6" s="5">
        <f ca="1">SUMIFS(Movimientos!$C:$C,Movimientos!$A:$A,$B6,Movimientos!$D:$D,CONCATENATE("&lt;=",FE$3),Movimientos!$C:$C,"&gt;0")+SUMIFS(Movimientos!$C:$C,Movimientos!$A:$A,$B6,Movimientos!$D:$D,CONCATENATE("&lt;",FE$3),Movimientos!$C:$C,"&lt;0")</f>
        <v>0</v>
      </c>
      <c r="FF6" s="5">
        <f ca="1">SUMIFS(Movimientos!$C:$C,Movimientos!$A:$A,$B6,Movimientos!$D:$D,CONCATENATE("&lt;=",FF$3),Movimientos!$C:$C,"&gt;0")+SUMIFS(Movimientos!$C:$C,Movimientos!$A:$A,$B6,Movimientos!$D:$D,CONCATENATE("&lt;",FF$3),Movimientos!$C:$C,"&lt;0")</f>
        <v>0</v>
      </c>
      <c r="FG6" s="5">
        <f ca="1">SUMIFS(Movimientos!$C:$C,Movimientos!$A:$A,$B6,Movimientos!$D:$D,CONCATENATE("&lt;=",FG$3),Movimientos!$C:$C,"&gt;0")+SUMIFS(Movimientos!$C:$C,Movimientos!$A:$A,$B6,Movimientos!$D:$D,CONCATENATE("&lt;",FG$3),Movimientos!$C:$C,"&lt;0")</f>
        <v>0</v>
      </c>
      <c r="FH6" s="5">
        <f ca="1">SUMIFS(Movimientos!$C:$C,Movimientos!$A:$A,$B6,Movimientos!$D:$D,CONCATENATE("&lt;=",FH$3),Movimientos!$C:$C,"&gt;0")+SUMIFS(Movimientos!$C:$C,Movimientos!$A:$A,$B6,Movimientos!$D:$D,CONCATENATE("&lt;",FH$3),Movimientos!$C:$C,"&lt;0")</f>
        <v>0</v>
      </c>
      <c r="FI6" s="5">
        <f ca="1">SUMIFS(Movimientos!$C:$C,Movimientos!$A:$A,$B6,Movimientos!$D:$D,CONCATENATE("&lt;=",FI$3),Movimientos!$C:$C,"&gt;0")+SUMIFS(Movimientos!$C:$C,Movimientos!$A:$A,$B6,Movimientos!$D:$D,CONCATENATE("&lt;",FI$3),Movimientos!$C:$C,"&lt;0")</f>
        <v>0</v>
      </c>
      <c r="FJ6" s="5">
        <f ca="1">SUMIFS(Movimientos!$C:$C,Movimientos!$A:$A,$B6,Movimientos!$D:$D,CONCATENATE("&lt;=",FJ$3),Movimientos!$C:$C,"&gt;0")+SUMIFS(Movimientos!$C:$C,Movimientos!$A:$A,$B6,Movimientos!$D:$D,CONCATENATE("&lt;",FJ$3),Movimientos!$C:$C,"&lt;0")</f>
        <v>0</v>
      </c>
      <c r="FK6" s="5">
        <f ca="1">SUMIFS(Movimientos!$C:$C,Movimientos!$A:$A,$B6,Movimientos!$D:$D,CONCATENATE("&lt;=",FK$3),Movimientos!$C:$C,"&gt;0")+SUMIFS(Movimientos!$C:$C,Movimientos!$A:$A,$B6,Movimientos!$D:$D,CONCATENATE("&lt;",FK$3),Movimientos!$C:$C,"&lt;0")</f>
        <v>0</v>
      </c>
      <c r="FL6" s="5">
        <f ca="1">SUMIFS(Movimientos!$C:$C,Movimientos!$A:$A,$B6,Movimientos!$D:$D,CONCATENATE("&lt;=",FL$3),Movimientos!$C:$C,"&gt;0")+SUMIFS(Movimientos!$C:$C,Movimientos!$A:$A,$B6,Movimientos!$D:$D,CONCATENATE("&lt;",FL$3),Movimientos!$C:$C,"&lt;0")</f>
        <v>0</v>
      </c>
      <c r="FM6" s="5">
        <f ca="1">SUMIFS(Movimientos!$C:$C,Movimientos!$A:$A,$B6,Movimientos!$D:$D,CONCATENATE("&lt;=",FM$3),Movimientos!$C:$C,"&gt;0")+SUMIFS(Movimientos!$C:$C,Movimientos!$A:$A,$B6,Movimientos!$D:$D,CONCATENATE("&lt;",FM$3),Movimientos!$C:$C,"&lt;0")</f>
        <v>0</v>
      </c>
      <c r="FN6" s="5">
        <f ca="1">SUMIFS(Movimientos!$C:$C,Movimientos!$A:$A,$B6,Movimientos!$D:$D,CONCATENATE("&lt;=",FN$3),Movimientos!$C:$C,"&gt;0")+SUMIFS(Movimientos!$C:$C,Movimientos!$A:$A,$B6,Movimientos!$D:$D,CONCATENATE("&lt;",FN$3),Movimientos!$C:$C,"&lt;0")</f>
        <v>0</v>
      </c>
      <c r="FO6" s="5">
        <f ca="1">SUMIFS(Movimientos!$C:$C,Movimientos!$A:$A,$B6,Movimientos!$D:$D,CONCATENATE("&lt;=",FO$3),Movimientos!$C:$C,"&gt;0")+SUMIFS(Movimientos!$C:$C,Movimientos!$A:$A,$B6,Movimientos!$D:$D,CONCATENATE("&lt;",FO$3),Movimientos!$C:$C,"&lt;0")</f>
        <v>0</v>
      </c>
      <c r="FP6" s="5">
        <f ca="1">SUMIFS(Movimientos!$C:$C,Movimientos!$A:$A,$B6,Movimientos!$D:$D,CONCATENATE("&lt;=",FP$3),Movimientos!$C:$C,"&gt;0")+SUMIFS(Movimientos!$C:$C,Movimientos!$A:$A,$B6,Movimientos!$D:$D,CONCATENATE("&lt;",FP$3),Movimientos!$C:$C,"&lt;0")</f>
        <v>0</v>
      </c>
      <c r="FQ6" s="5">
        <f ca="1">SUMIFS(Movimientos!$C:$C,Movimientos!$A:$A,$B6,Movimientos!$D:$D,CONCATENATE("&lt;=",FQ$3),Movimientos!$C:$C,"&gt;0")+SUMIFS(Movimientos!$C:$C,Movimientos!$A:$A,$B6,Movimientos!$D:$D,CONCATENATE("&lt;",FQ$3),Movimientos!$C:$C,"&lt;0")</f>
        <v>0</v>
      </c>
      <c r="FR6" s="5">
        <f ca="1">SUMIFS(Movimientos!$C:$C,Movimientos!$A:$A,$B6,Movimientos!$D:$D,CONCATENATE("&lt;=",FR$3),Movimientos!$C:$C,"&gt;0")+SUMIFS(Movimientos!$C:$C,Movimientos!$A:$A,$B6,Movimientos!$D:$D,CONCATENATE("&lt;",FR$3),Movimientos!$C:$C,"&lt;0")</f>
        <v>0</v>
      </c>
      <c r="FS6" s="5">
        <f ca="1">SUMIFS(Movimientos!$C:$C,Movimientos!$A:$A,$B6,Movimientos!$D:$D,CONCATENATE("&lt;=",FS$3),Movimientos!$C:$C,"&gt;0")+SUMIFS(Movimientos!$C:$C,Movimientos!$A:$A,$B6,Movimientos!$D:$D,CONCATENATE("&lt;",FS$3),Movimientos!$C:$C,"&lt;0")</f>
        <v>0</v>
      </c>
      <c r="FT6" s="5">
        <f ca="1">SUMIFS(Movimientos!$C:$C,Movimientos!$A:$A,$B6,Movimientos!$D:$D,CONCATENATE("&lt;=",FT$3),Movimientos!$C:$C,"&gt;0")+SUMIFS(Movimientos!$C:$C,Movimientos!$A:$A,$B6,Movimientos!$D:$D,CONCATENATE("&lt;",FT$3),Movimientos!$C:$C,"&lt;0")</f>
        <v>0</v>
      </c>
      <c r="FU6" s="5">
        <f ca="1">SUMIFS(Movimientos!$C:$C,Movimientos!$A:$A,$B6,Movimientos!$D:$D,CONCATENATE("&lt;=",FU$3),Movimientos!$C:$C,"&gt;0")+SUMIFS(Movimientos!$C:$C,Movimientos!$A:$A,$B6,Movimientos!$D:$D,CONCATENATE("&lt;",FU$3),Movimientos!$C:$C,"&lt;0")</f>
        <v>0</v>
      </c>
      <c r="FV6" s="5">
        <f ca="1">SUMIFS(Movimientos!$C:$C,Movimientos!$A:$A,$B6,Movimientos!$D:$D,CONCATENATE("&lt;=",FV$3),Movimientos!$C:$C,"&gt;0")+SUMIFS(Movimientos!$C:$C,Movimientos!$A:$A,$B6,Movimientos!$D:$D,CONCATENATE("&lt;",FV$3),Movimientos!$C:$C,"&lt;0")</f>
        <v>0</v>
      </c>
      <c r="FW6" s="5">
        <f ca="1">SUMIFS(Movimientos!$C:$C,Movimientos!$A:$A,$B6,Movimientos!$D:$D,CONCATENATE("&lt;=",FW$3),Movimientos!$C:$C,"&gt;0")+SUMIFS(Movimientos!$C:$C,Movimientos!$A:$A,$B6,Movimientos!$D:$D,CONCATENATE("&lt;",FW$3),Movimientos!$C:$C,"&lt;0")</f>
        <v>0</v>
      </c>
      <c r="FX6" s="5">
        <f ca="1">SUMIFS(Movimientos!$C:$C,Movimientos!$A:$A,$B6,Movimientos!$D:$D,CONCATENATE("&lt;=",FX$3),Movimientos!$C:$C,"&gt;0")+SUMIFS(Movimientos!$C:$C,Movimientos!$A:$A,$B6,Movimientos!$D:$D,CONCATENATE("&lt;",FX$3),Movimientos!$C:$C,"&lt;0")</f>
        <v>0</v>
      </c>
      <c r="FY6" s="5">
        <f ca="1">SUMIFS(Movimientos!$C:$C,Movimientos!$A:$A,$B6,Movimientos!$D:$D,CONCATENATE("&lt;=",FY$3),Movimientos!$C:$C,"&gt;0")+SUMIFS(Movimientos!$C:$C,Movimientos!$A:$A,$B6,Movimientos!$D:$D,CONCATENATE("&lt;",FY$3),Movimientos!$C:$C,"&lt;0")</f>
        <v>0</v>
      </c>
      <c r="FZ6" s="5">
        <f ca="1">SUMIFS(Movimientos!$C:$C,Movimientos!$A:$A,$B6,Movimientos!$D:$D,CONCATENATE("&lt;=",FZ$3),Movimientos!$C:$C,"&gt;0")+SUMIFS(Movimientos!$C:$C,Movimientos!$A:$A,$B6,Movimientos!$D:$D,CONCATENATE("&lt;",FZ$3),Movimientos!$C:$C,"&lt;0")</f>
        <v>0</v>
      </c>
      <c r="GA6" s="5">
        <f ca="1">SUMIFS(Movimientos!$C:$C,Movimientos!$A:$A,$B6,Movimientos!$D:$D,CONCATENATE("&lt;=",GA$3),Movimientos!$C:$C,"&gt;0")+SUMIFS(Movimientos!$C:$C,Movimientos!$A:$A,$B6,Movimientos!$D:$D,CONCATENATE("&lt;",GA$3),Movimientos!$C:$C,"&lt;0")</f>
        <v>0</v>
      </c>
      <c r="GB6" s="5">
        <f ca="1">SUMIFS(Movimientos!$C:$C,Movimientos!$A:$A,$B6,Movimientos!$D:$D,CONCATENATE("&lt;=",GB$3),Movimientos!$C:$C,"&gt;0")+SUMIFS(Movimientos!$C:$C,Movimientos!$A:$A,$B6,Movimientos!$D:$D,CONCATENATE("&lt;",GB$3),Movimientos!$C:$C,"&lt;0")</f>
        <v>0</v>
      </c>
      <c r="GC6" s="5">
        <f ca="1">SUMIFS(Movimientos!$C:$C,Movimientos!$A:$A,$B6,Movimientos!$D:$D,CONCATENATE("&lt;=",GC$3),Movimientos!$C:$C,"&gt;0")+SUMIFS(Movimientos!$C:$C,Movimientos!$A:$A,$B6,Movimientos!$D:$D,CONCATENATE("&lt;",GC$3),Movimientos!$C:$C,"&lt;0")</f>
        <v>0</v>
      </c>
      <c r="GD6" s="5">
        <f ca="1">SUMIFS(Movimientos!$C:$C,Movimientos!$A:$A,$B6,Movimientos!$D:$D,CONCATENATE("&lt;=",GD$3),Movimientos!$C:$C,"&gt;0")+SUMIFS(Movimientos!$C:$C,Movimientos!$A:$A,$B6,Movimientos!$D:$D,CONCATENATE("&lt;",GD$3),Movimientos!$C:$C,"&lt;0")</f>
        <v>0</v>
      </c>
      <c r="GE6" s="5">
        <f ca="1">SUMIFS(Movimientos!$C:$C,Movimientos!$A:$A,$B6,Movimientos!$D:$D,CONCATENATE("&lt;=",GE$3),Movimientos!$C:$C,"&gt;0")+SUMIFS(Movimientos!$C:$C,Movimientos!$A:$A,$B6,Movimientos!$D:$D,CONCATENATE("&lt;",GE$3),Movimientos!$C:$C,"&lt;0")</f>
        <v>0</v>
      </c>
      <c r="GF6" s="5">
        <f ca="1">SUMIFS(Movimientos!$C:$C,Movimientos!$A:$A,$B6,Movimientos!$D:$D,CONCATENATE("&lt;=",GF$3),Movimientos!$C:$C,"&gt;0")+SUMIFS(Movimientos!$C:$C,Movimientos!$A:$A,$B6,Movimientos!$D:$D,CONCATENATE("&lt;",GF$3),Movimientos!$C:$C,"&lt;0")</f>
        <v>0</v>
      </c>
      <c r="GG6" s="5">
        <f ca="1">SUMIFS(Movimientos!$C:$C,Movimientos!$A:$A,$B6,Movimientos!$D:$D,CONCATENATE("&lt;=",GG$3),Movimientos!$C:$C,"&gt;0")+SUMIFS(Movimientos!$C:$C,Movimientos!$A:$A,$B6,Movimientos!$D:$D,CONCATENATE("&lt;",GG$3),Movimientos!$C:$C,"&lt;0")</f>
        <v>0</v>
      </c>
      <c r="GH6" s="5">
        <f ca="1">SUMIFS(Movimientos!$C:$C,Movimientos!$A:$A,$B6,Movimientos!$D:$D,CONCATENATE("&lt;=",GH$3),Movimientos!$C:$C,"&gt;0")+SUMIFS(Movimientos!$C:$C,Movimientos!$A:$A,$B6,Movimientos!$D:$D,CONCATENATE("&lt;",GH$3),Movimientos!$C:$C,"&lt;0")</f>
        <v>0</v>
      </c>
      <c r="GI6" s="5">
        <f ca="1">SUMIFS(Movimientos!$C:$C,Movimientos!$A:$A,$B6,Movimientos!$D:$D,CONCATENATE("&lt;=",GI$3),Movimientos!$C:$C,"&gt;0")+SUMIFS(Movimientos!$C:$C,Movimientos!$A:$A,$B6,Movimientos!$D:$D,CONCATENATE("&lt;",GI$3),Movimientos!$C:$C,"&lt;0")</f>
        <v>0</v>
      </c>
      <c r="GJ6" s="5">
        <f ca="1">SUMIFS(Movimientos!$C:$C,Movimientos!$A:$A,$B6,Movimientos!$D:$D,CONCATENATE("&lt;=",GJ$3),Movimientos!$C:$C,"&gt;0")+SUMIFS(Movimientos!$C:$C,Movimientos!$A:$A,$B6,Movimientos!$D:$D,CONCATENATE("&lt;",GJ$3),Movimientos!$C:$C,"&lt;0")</f>
        <v>0</v>
      </c>
      <c r="GK6" s="5">
        <f ca="1">SUMIFS(Movimientos!$C:$C,Movimientos!$A:$A,$B6,Movimientos!$D:$D,CONCATENATE("&lt;=",GK$3),Movimientos!$C:$C,"&gt;0")+SUMIFS(Movimientos!$C:$C,Movimientos!$A:$A,$B6,Movimientos!$D:$D,CONCATENATE("&lt;",GK$3),Movimientos!$C:$C,"&lt;0")</f>
        <v>0</v>
      </c>
      <c r="GL6" s="5">
        <f ca="1">SUMIFS(Movimientos!$C:$C,Movimientos!$A:$A,$B6,Movimientos!$D:$D,CONCATENATE("&lt;=",GL$3),Movimientos!$C:$C,"&gt;0")+SUMIFS(Movimientos!$C:$C,Movimientos!$A:$A,$B6,Movimientos!$D:$D,CONCATENATE("&lt;",GL$3),Movimientos!$C:$C,"&lt;0")</f>
        <v>0</v>
      </c>
      <c r="GM6" s="5">
        <f ca="1">SUMIFS(Movimientos!$C:$C,Movimientos!$A:$A,$B6,Movimientos!$D:$D,CONCATENATE("&lt;=",GM$3),Movimientos!$C:$C,"&gt;0")+SUMIFS(Movimientos!$C:$C,Movimientos!$A:$A,$B6,Movimientos!$D:$D,CONCATENATE("&lt;",GM$3),Movimientos!$C:$C,"&lt;0")</f>
        <v>0</v>
      </c>
      <c r="GN6" s="5">
        <f ca="1">SUMIFS(Movimientos!$C:$C,Movimientos!$A:$A,$B6,Movimientos!$D:$D,CONCATENATE("&lt;=",GN$3),Movimientos!$C:$C,"&gt;0")+SUMIFS(Movimientos!$C:$C,Movimientos!$A:$A,$B6,Movimientos!$D:$D,CONCATENATE("&lt;",GN$3),Movimientos!$C:$C,"&lt;0")</f>
        <v>0</v>
      </c>
      <c r="GO6" s="5">
        <f ca="1">SUMIFS(Movimientos!$C:$C,Movimientos!$A:$A,$B6,Movimientos!$D:$D,CONCATENATE("&lt;=",GO$3),Movimientos!$C:$C,"&gt;0")+SUMIFS(Movimientos!$C:$C,Movimientos!$A:$A,$B6,Movimientos!$D:$D,CONCATENATE("&lt;",GO$3),Movimientos!$C:$C,"&lt;0")</f>
        <v>0</v>
      </c>
      <c r="GP6" s="5">
        <f ca="1">SUMIFS(Movimientos!$C:$C,Movimientos!$A:$A,$B6,Movimientos!$D:$D,CONCATENATE("&lt;=",GP$3),Movimientos!$C:$C,"&gt;0")+SUMIFS(Movimientos!$C:$C,Movimientos!$A:$A,$B6,Movimientos!$D:$D,CONCATENATE("&lt;",GP$3),Movimientos!$C:$C,"&lt;0")</f>
        <v>0</v>
      </c>
      <c r="GQ6" s="5">
        <f ca="1">SUMIFS(Movimientos!$C:$C,Movimientos!$A:$A,$B6,Movimientos!$D:$D,CONCATENATE("&lt;=",GQ$3),Movimientos!$C:$C,"&gt;0")+SUMIFS(Movimientos!$C:$C,Movimientos!$A:$A,$B6,Movimientos!$D:$D,CONCATENATE("&lt;",GQ$3),Movimientos!$C:$C,"&lt;0")</f>
        <v>0</v>
      </c>
      <c r="GR6" s="5">
        <f ca="1">SUMIFS(Movimientos!$C:$C,Movimientos!$A:$A,$B6,Movimientos!$D:$D,CONCATENATE("&lt;=",GR$3),Movimientos!$C:$C,"&gt;0")+SUMIFS(Movimientos!$C:$C,Movimientos!$A:$A,$B6,Movimientos!$D:$D,CONCATENATE("&lt;",GR$3),Movimientos!$C:$C,"&lt;0")</f>
        <v>0</v>
      </c>
      <c r="GS6" s="5">
        <f ca="1">SUMIFS(Movimientos!$C:$C,Movimientos!$A:$A,$B6,Movimientos!$D:$D,CONCATENATE("&lt;=",GS$3),Movimientos!$C:$C,"&gt;0")+SUMIFS(Movimientos!$C:$C,Movimientos!$A:$A,$B6,Movimientos!$D:$D,CONCATENATE("&lt;",GS$3),Movimientos!$C:$C,"&lt;0")</f>
        <v>0</v>
      </c>
      <c r="GT6" s="5">
        <f ca="1">SUMIFS(Movimientos!$C:$C,Movimientos!$A:$A,$B6,Movimientos!$D:$D,CONCATENATE("&lt;=",GT$3),Movimientos!$C:$C,"&gt;0")+SUMIFS(Movimientos!$C:$C,Movimientos!$A:$A,$B6,Movimientos!$D:$D,CONCATENATE("&lt;",GT$3),Movimientos!$C:$C,"&lt;0")</f>
        <v>0</v>
      </c>
      <c r="GU6" s="5">
        <f ca="1">SUMIFS(Movimientos!$C:$C,Movimientos!$A:$A,$B6,Movimientos!$D:$D,CONCATENATE("&lt;=",GU$3),Movimientos!$C:$C,"&gt;0")+SUMIFS(Movimientos!$C:$C,Movimientos!$A:$A,$B6,Movimientos!$D:$D,CONCATENATE("&lt;",GU$3),Movimientos!$C:$C,"&lt;0")</f>
        <v>0</v>
      </c>
      <c r="GV6" s="5">
        <f ca="1">SUMIFS(Movimientos!$C:$C,Movimientos!$A:$A,$B6,Movimientos!$D:$D,CONCATENATE("&lt;=",GV$3),Movimientos!$C:$C,"&gt;0")+SUMIFS(Movimientos!$C:$C,Movimientos!$A:$A,$B6,Movimientos!$D:$D,CONCATENATE("&lt;",GV$3),Movimientos!$C:$C,"&lt;0")</f>
        <v>0</v>
      </c>
      <c r="GW6" s="5">
        <f ca="1">SUMIFS(Movimientos!$C:$C,Movimientos!$A:$A,$B6,Movimientos!$D:$D,CONCATENATE("&lt;=",GW$3),Movimientos!$C:$C,"&gt;0")+SUMIFS(Movimientos!$C:$C,Movimientos!$A:$A,$B6,Movimientos!$D:$D,CONCATENATE("&lt;",GW$3),Movimientos!$C:$C,"&lt;0")</f>
        <v>0</v>
      </c>
      <c r="GX6" s="5">
        <f ca="1">SUMIFS(Movimientos!$C:$C,Movimientos!$A:$A,$B6,Movimientos!$D:$D,CONCATENATE("&lt;=",GX$3),Movimientos!$C:$C,"&gt;0")+SUMIFS(Movimientos!$C:$C,Movimientos!$A:$A,$B6,Movimientos!$D:$D,CONCATENATE("&lt;",GX$3),Movimientos!$C:$C,"&lt;0")</f>
        <v>0</v>
      </c>
      <c r="GY6" s="5">
        <f ca="1">SUMIFS(Movimientos!$C:$C,Movimientos!$A:$A,$B6,Movimientos!$D:$D,CONCATENATE("&lt;=",GY$3),Movimientos!$C:$C,"&gt;0")+SUMIFS(Movimientos!$C:$C,Movimientos!$A:$A,$B6,Movimientos!$D:$D,CONCATENATE("&lt;",GY$3),Movimientos!$C:$C,"&lt;0")</f>
        <v>0</v>
      </c>
      <c r="GZ6" s="5">
        <f ca="1">SUMIFS(Movimientos!$C:$C,Movimientos!$A:$A,$B6,Movimientos!$D:$D,CONCATENATE("&lt;=",GZ$3),Movimientos!$C:$C,"&gt;0")+SUMIFS(Movimientos!$C:$C,Movimientos!$A:$A,$B6,Movimientos!$D:$D,CONCATENATE("&lt;",GZ$3),Movimientos!$C:$C,"&lt;0")</f>
        <v>0</v>
      </c>
      <c r="HA6" s="5">
        <f ca="1">SUMIFS(Movimientos!$C:$C,Movimientos!$A:$A,$B6,Movimientos!$D:$D,CONCATENATE("&lt;=",HA$3),Movimientos!$C:$C,"&gt;0")+SUMIFS(Movimientos!$C:$C,Movimientos!$A:$A,$B6,Movimientos!$D:$D,CONCATENATE("&lt;",HA$3),Movimientos!$C:$C,"&lt;0")</f>
        <v>0</v>
      </c>
      <c r="HB6" s="5">
        <f ca="1">SUMIFS(Movimientos!$C:$C,Movimientos!$A:$A,$B6,Movimientos!$D:$D,CONCATENATE("&lt;=",HB$3),Movimientos!$C:$C,"&gt;0")+SUMIFS(Movimientos!$C:$C,Movimientos!$A:$A,$B6,Movimientos!$D:$D,CONCATENATE("&lt;",HB$3),Movimientos!$C:$C,"&lt;0")</f>
        <v>0</v>
      </c>
      <c r="HC6" s="5">
        <f ca="1">SUMIFS(Movimientos!$C:$C,Movimientos!$A:$A,$B6,Movimientos!$D:$D,CONCATENATE("&lt;=",HC$3),Movimientos!$C:$C,"&gt;0")+SUMIFS(Movimientos!$C:$C,Movimientos!$A:$A,$B6,Movimientos!$D:$D,CONCATENATE("&lt;",HC$3),Movimientos!$C:$C,"&lt;0")</f>
        <v>0</v>
      </c>
      <c r="HD6" s="5">
        <f ca="1">SUMIFS(Movimientos!$C:$C,Movimientos!$A:$A,$B6,Movimientos!$D:$D,CONCATENATE("&lt;=",HD$3),Movimientos!$C:$C,"&gt;0")+SUMIFS(Movimientos!$C:$C,Movimientos!$A:$A,$B6,Movimientos!$D:$D,CONCATENATE("&lt;",HD$3),Movimientos!$C:$C,"&lt;0")</f>
        <v>0</v>
      </c>
      <c r="HE6" s="5">
        <f ca="1">SUMIFS(Movimientos!$C:$C,Movimientos!$A:$A,$B6,Movimientos!$D:$D,CONCATENATE("&lt;=",HE$3),Movimientos!$C:$C,"&gt;0")+SUMIFS(Movimientos!$C:$C,Movimientos!$A:$A,$B6,Movimientos!$D:$D,CONCATENATE("&lt;",HE$3),Movimientos!$C:$C,"&lt;0")</f>
        <v>0</v>
      </c>
      <c r="HF6" s="5">
        <f ca="1">SUMIFS(Movimientos!$C:$C,Movimientos!$A:$A,$B6,Movimientos!$D:$D,CONCATENATE("&lt;=",HF$3),Movimientos!$C:$C,"&gt;0")+SUMIFS(Movimientos!$C:$C,Movimientos!$A:$A,$B6,Movimientos!$D:$D,CONCATENATE("&lt;",HF$3),Movimientos!$C:$C,"&lt;0")</f>
        <v>0</v>
      </c>
      <c r="HG6" s="5">
        <f ca="1">SUMIFS(Movimientos!$C:$C,Movimientos!$A:$A,$B6,Movimientos!$D:$D,CONCATENATE("&lt;=",HG$3),Movimientos!$C:$C,"&gt;0")+SUMIFS(Movimientos!$C:$C,Movimientos!$A:$A,$B6,Movimientos!$D:$D,CONCATENATE("&lt;",HG$3),Movimientos!$C:$C,"&lt;0")</f>
        <v>0</v>
      </c>
      <c r="HH6" s="5">
        <f ca="1">SUMIFS(Movimientos!$C:$C,Movimientos!$A:$A,$B6,Movimientos!$D:$D,CONCATENATE("&lt;=",HH$3),Movimientos!$C:$C,"&gt;0")+SUMIFS(Movimientos!$C:$C,Movimientos!$A:$A,$B6,Movimientos!$D:$D,CONCATENATE("&lt;",HH$3),Movimientos!$C:$C,"&lt;0")</f>
        <v>0</v>
      </c>
      <c r="HI6" s="5">
        <f ca="1">SUMIFS(Movimientos!$C:$C,Movimientos!$A:$A,$B6,Movimientos!$D:$D,CONCATENATE("&lt;=",HI$3),Movimientos!$C:$C,"&gt;0")+SUMIFS(Movimientos!$C:$C,Movimientos!$A:$A,$B6,Movimientos!$D:$D,CONCATENATE("&lt;",HI$3),Movimientos!$C:$C,"&lt;0")</f>
        <v>0</v>
      </c>
      <c r="HJ6" s="5">
        <f ca="1">SUMIFS(Movimientos!$C:$C,Movimientos!$A:$A,$B6,Movimientos!$D:$D,CONCATENATE("&lt;=",HJ$3),Movimientos!$C:$C,"&gt;0")+SUMIFS(Movimientos!$C:$C,Movimientos!$A:$A,$B6,Movimientos!$D:$D,CONCATENATE("&lt;",HJ$3),Movimientos!$C:$C,"&lt;0")</f>
        <v>0</v>
      </c>
      <c r="HK6" s="5">
        <f ca="1">SUMIFS(Movimientos!$C:$C,Movimientos!$A:$A,$B6,Movimientos!$D:$D,CONCATENATE("&lt;=",HK$3),Movimientos!$C:$C,"&gt;0")+SUMIFS(Movimientos!$C:$C,Movimientos!$A:$A,$B6,Movimientos!$D:$D,CONCATENATE("&lt;",HK$3),Movimientos!$C:$C,"&lt;0")</f>
        <v>0</v>
      </c>
      <c r="HL6" s="5">
        <f ca="1">SUMIFS(Movimientos!$C:$C,Movimientos!$A:$A,$B6,Movimientos!$D:$D,CONCATENATE("&lt;=",HL$3),Movimientos!$C:$C,"&gt;0")+SUMIFS(Movimientos!$C:$C,Movimientos!$A:$A,$B6,Movimientos!$D:$D,CONCATENATE("&lt;",HL$3),Movimientos!$C:$C,"&lt;0")</f>
        <v>0</v>
      </c>
      <c r="HM6" s="5">
        <f ca="1">SUMIFS(Movimientos!$C:$C,Movimientos!$A:$A,$B6,Movimientos!$D:$D,CONCATENATE("&lt;=",HM$3),Movimientos!$C:$C,"&gt;0")+SUMIFS(Movimientos!$C:$C,Movimientos!$A:$A,$B6,Movimientos!$D:$D,CONCATENATE("&lt;",HM$3),Movimientos!$C:$C,"&lt;0")</f>
        <v>0</v>
      </c>
      <c r="HN6" s="5">
        <f ca="1">SUMIFS(Movimientos!$C:$C,Movimientos!$A:$A,$B6,Movimientos!$D:$D,CONCATENATE("&lt;=",HN$3),Movimientos!$C:$C,"&gt;0")+SUMIFS(Movimientos!$C:$C,Movimientos!$A:$A,$B6,Movimientos!$D:$D,CONCATENATE("&lt;",HN$3),Movimientos!$C:$C,"&lt;0")</f>
        <v>0</v>
      </c>
      <c r="HO6" s="5">
        <f ca="1">SUMIFS(Movimientos!$C:$C,Movimientos!$A:$A,$B6,Movimientos!$D:$D,CONCATENATE("&lt;=",HO$3),Movimientos!$C:$C,"&gt;0")+SUMIFS(Movimientos!$C:$C,Movimientos!$A:$A,$B6,Movimientos!$D:$D,CONCATENATE("&lt;",HO$3),Movimientos!$C:$C,"&lt;0")</f>
        <v>0</v>
      </c>
      <c r="HP6" s="5">
        <f ca="1">SUMIFS(Movimientos!$C:$C,Movimientos!$A:$A,$B6,Movimientos!$D:$D,CONCATENATE("&lt;=",HP$3),Movimientos!$C:$C,"&gt;0")+SUMIFS(Movimientos!$C:$C,Movimientos!$A:$A,$B6,Movimientos!$D:$D,CONCATENATE("&lt;",HP$3),Movimientos!$C:$C,"&lt;0")</f>
        <v>0</v>
      </c>
      <c r="HQ6" s="5">
        <f ca="1">SUMIFS(Movimientos!$C:$C,Movimientos!$A:$A,$B6,Movimientos!$D:$D,CONCATENATE("&lt;=",HQ$3),Movimientos!$C:$C,"&gt;0")+SUMIFS(Movimientos!$C:$C,Movimientos!$A:$A,$B6,Movimientos!$D:$D,CONCATENATE("&lt;",HQ$3),Movimientos!$C:$C,"&lt;0")</f>
        <v>0</v>
      </c>
      <c r="HR6" s="5">
        <f ca="1">SUMIFS(Movimientos!$C:$C,Movimientos!$A:$A,$B6,Movimientos!$D:$D,CONCATENATE("&lt;=",HR$3),Movimientos!$C:$C,"&gt;0")+SUMIFS(Movimientos!$C:$C,Movimientos!$A:$A,$B6,Movimientos!$D:$D,CONCATENATE("&lt;",HR$3),Movimientos!$C:$C,"&lt;0")</f>
        <v>0</v>
      </c>
      <c r="HS6" s="5">
        <f ca="1">SUMIFS(Movimientos!$C:$C,Movimientos!$A:$A,$B6,Movimientos!$D:$D,CONCATENATE("&lt;=",HS$3),Movimientos!$C:$C,"&gt;0")+SUMIFS(Movimientos!$C:$C,Movimientos!$A:$A,$B6,Movimientos!$D:$D,CONCATENATE("&lt;",HS$3),Movimientos!$C:$C,"&lt;0")</f>
        <v>0</v>
      </c>
      <c r="HT6" s="5">
        <f ca="1">SUMIFS(Movimientos!$C:$C,Movimientos!$A:$A,$B6,Movimientos!$D:$D,CONCATENATE("&lt;=",HT$3),Movimientos!$C:$C,"&gt;0")+SUMIFS(Movimientos!$C:$C,Movimientos!$A:$A,$B6,Movimientos!$D:$D,CONCATENATE("&lt;",HT$3),Movimientos!$C:$C,"&lt;0")</f>
        <v>0</v>
      </c>
      <c r="HU6" s="5">
        <f ca="1">SUMIFS(Movimientos!$C:$C,Movimientos!$A:$A,$B6,Movimientos!$D:$D,CONCATENATE("&lt;=",HU$3),Movimientos!$C:$C,"&gt;0")+SUMIFS(Movimientos!$C:$C,Movimientos!$A:$A,$B6,Movimientos!$D:$D,CONCATENATE("&lt;",HU$3),Movimientos!$C:$C,"&lt;0")</f>
        <v>0</v>
      </c>
      <c r="HV6" s="5">
        <f ca="1">SUMIFS(Movimientos!$C:$C,Movimientos!$A:$A,$B6,Movimientos!$D:$D,CONCATENATE("&lt;=",HV$3),Movimientos!$C:$C,"&gt;0")+SUMIFS(Movimientos!$C:$C,Movimientos!$A:$A,$B6,Movimientos!$D:$D,CONCATENATE("&lt;",HV$3),Movimientos!$C:$C,"&lt;0")</f>
        <v>0</v>
      </c>
      <c r="HW6" s="5">
        <f ca="1">SUMIFS(Movimientos!$C:$C,Movimientos!$A:$A,$B6,Movimientos!$D:$D,CONCATENATE("&lt;=",HW$3),Movimientos!$C:$C,"&gt;0")+SUMIFS(Movimientos!$C:$C,Movimientos!$A:$A,$B6,Movimientos!$D:$D,CONCATENATE("&lt;",HW$3),Movimientos!$C:$C,"&lt;0")</f>
        <v>0</v>
      </c>
      <c r="HX6" s="5">
        <f ca="1">SUMIFS(Movimientos!$C:$C,Movimientos!$A:$A,$B6,Movimientos!$D:$D,CONCATENATE("&lt;=",HX$3),Movimientos!$C:$C,"&gt;0")+SUMIFS(Movimientos!$C:$C,Movimientos!$A:$A,$B6,Movimientos!$D:$D,CONCATENATE("&lt;",HX$3),Movimientos!$C:$C,"&lt;0")</f>
        <v>0</v>
      </c>
      <c r="HY6" s="5">
        <f ca="1">SUMIFS(Movimientos!$C:$C,Movimientos!$A:$A,$B6,Movimientos!$D:$D,CONCATENATE("&lt;=",HY$3),Movimientos!$C:$C,"&gt;0")+SUMIFS(Movimientos!$C:$C,Movimientos!$A:$A,$B6,Movimientos!$D:$D,CONCATENATE("&lt;",HY$3),Movimientos!$C:$C,"&lt;0")</f>
        <v>0</v>
      </c>
      <c r="HZ6" s="5">
        <f ca="1">SUMIFS(Movimientos!$C:$C,Movimientos!$A:$A,$B6,Movimientos!$D:$D,CONCATENATE("&lt;=",HZ$3),Movimientos!$C:$C,"&gt;0")+SUMIFS(Movimientos!$C:$C,Movimientos!$A:$A,$B6,Movimientos!$D:$D,CONCATENATE("&lt;",HZ$3),Movimientos!$C:$C,"&lt;0")</f>
        <v>0</v>
      </c>
      <c r="IA6" s="5">
        <f ca="1">SUMIFS(Movimientos!$C:$C,Movimientos!$A:$A,$B6,Movimientos!$D:$D,CONCATENATE("&lt;=",IA$3),Movimientos!$C:$C,"&gt;0")+SUMIFS(Movimientos!$C:$C,Movimientos!$A:$A,$B6,Movimientos!$D:$D,CONCATENATE("&lt;",IA$3),Movimientos!$C:$C,"&lt;0")</f>
        <v>0</v>
      </c>
      <c r="IB6" s="5">
        <f ca="1">SUMIFS(Movimientos!$C:$C,Movimientos!$A:$A,$B6,Movimientos!$D:$D,CONCATENATE("&lt;=",IB$3),Movimientos!$C:$C,"&gt;0")+SUMIFS(Movimientos!$C:$C,Movimientos!$A:$A,$B6,Movimientos!$D:$D,CONCATENATE("&lt;",IB$3),Movimientos!$C:$C,"&lt;0")</f>
        <v>0</v>
      </c>
      <c r="IC6" s="5">
        <f ca="1">SUMIFS(Movimientos!$C:$C,Movimientos!$A:$A,$B6,Movimientos!$D:$D,CONCATENATE("&lt;=",IC$3),Movimientos!$C:$C,"&gt;0")+SUMIFS(Movimientos!$C:$C,Movimientos!$A:$A,$B6,Movimientos!$D:$D,CONCATENATE("&lt;",IC$3),Movimientos!$C:$C,"&lt;0")</f>
        <v>0</v>
      </c>
      <c r="ID6" s="5">
        <f ca="1">SUMIFS(Movimientos!$C:$C,Movimientos!$A:$A,$B6,Movimientos!$D:$D,CONCATENATE("&lt;=",ID$3),Movimientos!$C:$C,"&gt;0")+SUMIFS(Movimientos!$C:$C,Movimientos!$A:$A,$B6,Movimientos!$D:$D,CONCATENATE("&lt;",ID$3),Movimientos!$C:$C,"&lt;0")</f>
        <v>0</v>
      </c>
      <c r="IE6" s="5">
        <f ca="1">SUMIFS(Movimientos!$C:$C,Movimientos!$A:$A,$B6,Movimientos!$D:$D,CONCATENATE("&lt;=",IE$3),Movimientos!$C:$C,"&gt;0")+SUMIFS(Movimientos!$C:$C,Movimientos!$A:$A,$B6,Movimientos!$D:$D,CONCATENATE("&lt;",IE$3),Movimientos!$C:$C,"&lt;0")</f>
        <v>0</v>
      </c>
      <c r="IF6" s="5">
        <f ca="1">SUMIFS(Movimientos!$C:$C,Movimientos!$A:$A,$B6,Movimientos!$D:$D,CONCATENATE("&lt;=",IF$3),Movimientos!$C:$C,"&gt;0")+SUMIFS(Movimientos!$C:$C,Movimientos!$A:$A,$B6,Movimientos!$D:$D,CONCATENATE("&lt;",IF$3),Movimientos!$C:$C,"&lt;0")</f>
        <v>0</v>
      </c>
      <c r="IG6" s="5">
        <f ca="1">SUMIFS(Movimientos!$C:$C,Movimientos!$A:$A,$B6,Movimientos!$D:$D,CONCATENATE("&lt;=",IG$3),Movimientos!$C:$C,"&gt;0")+SUMIFS(Movimientos!$C:$C,Movimientos!$A:$A,$B6,Movimientos!$D:$D,CONCATENATE("&lt;",IG$3),Movimientos!$C:$C,"&lt;0")</f>
        <v>0</v>
      </c>
      <c r="IH6" s="5">
        <f ca="1">SUMIFS(Movimientos!$C:$C,Movimientos!$A:$A,$B6,Movimientos!$D:$D,CONCATENATE("&lt;=",IH$3),Movimientos!$C:$C,"&gt;0")+SUMIFS(Movimientos!$C:$C,Movimientos!$A:$A,$B6,Movimientos!$D:$D,CONCATENATE("&lt;",IH$3),Movimientos!$C:$C,"&lt;0")</f>
        <v>0</v>
      </c>
      <c r="II6" s="5">
        <f ca="1">SUMIFS(Movimientos!$C:$C,Movimientos!$A:$A,$B6,Movimientos!$D:$D,CONCATENATE("&lt;=",II$3),Movimientos!$C:$C,"&gt;0")+SUMIFS(Movimientos!$C:$C,Movimientos!$A:$A,$B6,Movimientos!$D:$D,CONCATENATE("&lt;",II$3),Movimientos!$C:$C,"&lt;0")</f>
        <v>0</v>
      </c>
      <c r="IJ6" s="5">
        <f ca="1">SUMIFS(Movimientos!$C:$C,Movimientos!$A:$A,$B6,Movimientos!$D:$D,CONCATENATE("&lt;=",IJ$3),Movimientos!$C:$C,"&gt;0")+SUMIFS(Movimientos!$C:$C,Movimientos!$A:$A,$B6,Movimientos!$D:$D,CONCATENATE("&lt;",IJ$3),Movimientos!$C:$C,"&lt;0")</f>
        <v>0</v>
      </c>
      <c r="IK6" s="5">
        <f ca="1">SUMIFS(Movimientos!$C:$C,Movimientos!$A:$A,$B6,Movimientos!$D:$D,CONCATENATE("&lt;=",IK$3),Movimientos!$C:$C,"&gt;0")+SUMIFS(Movimientos!$C:$C,Movimientos!$A:$A,$B6,Movimientos!$D:$D,CONCATENATE("&lt;",IK$3),Movimientos!$C:$C,"&lt;0")</f>
        <v>0</v>
      </c>
      <c r="IL6" s="5">
        <f ca="1">SUMIFS(Movimientos!$C:$C,Movimientos!$A:$A,$B6,Movimientos!$D:$D,CONCATENATE("&lt;=",IL$3),Movimientos!$C:$C,"&gt;0")+SUMIFS(Movimientos!$C:$C,Movimientos!$A:$A,$B6,Movimientos!$D:$D,CONCATENATE("&lt;",IL$3),Movimientos!$C:$C,"&lt;0")</f>
        <v>0</v>
      </c>
      <c r="IM6" s="5">
        <f ca="1">SUMIFS(Movimientos!$C:$C,Movimientos!$A:$A,$B6,Movimientos!$D:$D,CONCATENATE("&lt;=",IM$3),Movimientos!$C:$C,"&gt;0")+SUMIFS(Movimientos!$C:$C,Movimientos!$A:$A,$B6,Movimientos!$D:$D,CONCATENATE("&lt;",IM$3),Movimientos!$C:$C,"&lt;0")</f>
        <v>0</v>
      </c>
      <c r="IN6" s="5">
        <f ca="1">SUMIFS(Movimientos!$C:$C,Movimientos!$A:$A,$B6,Movimientos!$D:$D,CONCATENATE("&lt;=",IN$3),Movimientos!$C:$C,"&gt;0")+SUMIFS(Movimientos!$C:$C,Movimientos!$A:$A,$B6,Movimientos!$D:$D,CONCATENATE("&lt;",IN$3),Movimientos!$C:$C,"&lt;0")</f>
        <v>0</v>
      </c>
      <c r="IO6" s="5">
        <f ca="1">SUMIFS(Movimientos!$C:$C,Movimientos!$A:$A,$B6,Movimientos!$D:$D,CONCATENATE("&lt;=",IO$3),Movimientos!$C:$C,"&gt;0")+SUMIFS(Movimientos!$C:$C,Movimientos!$A:$A,$B6,Movimientos!$D:$D,CONCATENATE("&lt;",IO$3),Movimientos!$C:$C,"&lt;0")</f>
        <v>0</v>
      </c>
      <c r="IP6" s="5">
        <f ca="1">SUMIFS(Movimientos!$C:$C,Movimientos!$A:$A,$B6,Movimientos!$D:$D,CONCATENATE("&lt;=",IP$3),Movimientos!$C:$C,"&gt;0")+SUMIFS(Movimientos!$C:$C,Movimientos!$A:$A,$B6,Movimientos!$D:$D,CONCATENATE("&lt;",IP$3),Movimientos!$C:$C,"&lt;0")</f>
        <v>0</v>
      </c>
      <c r="IQ6" s="5">
        <f ca="1">SUMIFS(Movimientos!$C:$C,Movimientos!$A:$A,$B6,Movimientos!$D:$D,CONCATENATE("&lt;=",IQ$3),Movimientos!$C:$C,"&gt;0")+SUMIFS(Movimientos!$C:$C,Movimientos!$A:$A,$B6,Movimientos!$D:$D,CONCATENATE("&lt;",IQ$3),Movimientos!$C:$C,"&lt;0")</f>
        <v>0</v>
      </c>
      <c r="IR6" s="5">
        <f ca="1">SUMIFS(Movimientos!$C:$C,Movimientos!$A:$A,$B6,Movimientos!$D:$D,CONCATENATE("&lt;=",IR$3),Movimientos!$C:$C,"&gt;0")+SUMIFS(Movimientos!$C:$C,Movimientos!$A:$A,$B6,Movimientos!$D:$D,CONCATENATE("&lt;",IR$3),Movimientos!$C:$C,"&lt;0")</f>
        <v>0</v>
      </c>
      <c r="IS6" s="5">
        <f ca="1">SUMIFS(Movimientos!$C:$C,Movimientos!$A:$A,$B6,Movimientos!$D:$D,CONCATENATE("&lt;=",IS$3),Movimientos!$C:$C,"&gt;0")+SUMIFS(Movimientos!$C:$C,Movimientos!$A:$A,$B6,Movimientos!$D:$D,CONCATENATE("&lt;",IS$3),Movimientos!$C:$C,"&lt;0")</f>
        <v>0</v>
      </c>
      <c r="IT6" s="5">
        <f ca="1">SUMIFS(Movimientos!$C:$C,Movimientos!$A:$A,$B6,Movimientos!$D:$D,CONCATENATE("&lt;=",IT$3),Movimientos!$C:$C,"&gt;0")+SUMIFS(Movimientos!$C:$C,Movimientos!$A:$A,$B6,Movimientos!$D:$D,CONCATENATE("&lt;",IT$3),Movimientos!$C:$C,"&lt;0")</f>
        <v>0</v>
      </c>
      <c r="IU6" s="5">
        <f ca="1">SUMIFS(Movimientos!$C:$C,Movimientos!$A:$A,$B6,Movimientos!$D:$D,CONCATENATE("&lt;=",IU$3),Movimientos!$C:$C,"&gt;0")+SUMIFS(Movimientos!$C:$C,Movimientos!$A:$A,$B6,Movimientos!$D:$D,CONCATENATE("&lt;",IU$3),Movimientos!$C:$C,"&lt;0")</f>
        <v>0</v>
      </c>
      <c r="IV6" s="5">
        <f ca="1">SUMIFS(Movimientos!$C:$C,Movimientos!$A:$A,$B6,Movimientos!$D:$D,CONCATENATE("&lt;=",IV$3),Movimientos!$C:$C,"&gt;0")+SUMIFS(Movimientos!$C:$C,Movimientos!$A:$A,$B6,Movimientos!$D:$D,CONCATENATE("&lt;",IV$3),Movimientos!$C:$C,"&lt;0")</f>
        <v>0</v>
      </c>
      <c r="IW6" s="5">
        <f ca="1">SUMIFS(Movimientos!$C:$C,Movimientos!$A:$A,$B6,Movimientos!$D:$D,CONCATENATE("&lt;=",IW$3),Movimientos!$C:$C,"&gt;0")+SUMIFS(Movimientos!$C:$C,Movimientos!$A:$A,$B6,Movimientos!$D:$D,CONCATENATE("&lt;",IW$3),Movimientos!$C:$C,"&lt;0")</f>
        <v>0</v>
      </c>
      <c r="IX6" s="5">
        <f ca="1">SUMIFS(Movimientos!$C:$C,Movimientos!$A:$A,$B6,Movimientos!$D:$D,CONCATENATE("&lt;=",IX$3),Movimientos!$C:$C,"&gt;0")+SUMIFS(Movimientos!$C:$C,Movimientos!$A:$A,$B6,Movimientos!$D:$D,CONCATENATE("&lt;",IX$3),Movimientos!$C:$C,"&lt;0")</f>
        <v>0</v>
      </c>
      <c r="IY6" s="5">
        <f ca="1">SUMIFS(Movimientos!$C:$C,Movimientos!$A:$A,$B6,Movimientos!$D:$D,CONCATENATE("&lt;=",IY$3),Movimientos!$C:$C,"&gt;0")+SUMIFS(Movimientos!$C:$C,Movimientos!$A:$A,$B6,Movimientos!$D:$D,CONCATENATE("&lt;",IY$3),Movimientos!$C:$C,"&lt;0")</f>
        <v>0</v>
      </c>
      <c r="IZ6" s="5">
        <f ca="1">SUMIFS(Movimientos!$C:$C,Movimientos!$A:$A,$B6,Movimientos!$D:$D,CONCATENATE("&lt;=",IZ$3),Movimientos!$C:$C,"&gt;0")+SUMIFS(Movimientos!$C:$C,Movimientos!$A:$A,$B6,Movimientos!$D:$D,CONCATENATE("&lt;",IZ$3),Movimientos!$C:$C,"&lt;0")</f>
        <v>0</v>
      </c>
      <c r="JA6" s="5">
        <f ca="1">SUMIFS(Movimientos!$C:$C,Movimientos!$A:$A,$B6,Movimientos!$D:$D,CONCATENATE("&lt;=",JA$3),Movimientos!$C:$C,"&gt;0")+SUMIFS(Movimientos!$C:$C,Movimientos!$A:$A,$B6,Movimientos!$D:$D,CONCATENATE("&lt;",JA$3),Movimientos!$C:$C,"&lt;0")</f>
        <v>0</v>
      </c>
      <c r="JB6" s="5">
        <f ca="1">SUMIFS(Movimientos!$C:$C,Movimientos!$A:$A,$B6,Movimientos!$D:$D,CONCATENATE("&lt;=",JB$3),Movimientos!$C:$C,"&gt;0")+SUMIFS(Movimientos!$C:$C,Movimientos!$A:$A,$B6,Movimientos!$D:$D,CONCATENATE("&lt;",JB$3),Movimientos!$C:$C,"&lt;0")</f>
        <v>0</v>
      </c>
      <c r="JC6" s="5">
        <f ca="1">SUMIFS(Movimientos!$C:$C,Movimientos!$A:$A,$B6,Movimientos!$D:$D,CONCATENATE("&lt;=",JC$3),Movimientos!$C:$C,"&gt;0")+SUMIFS(Movimientos!$C:$C,Movimientos!$A:$A,$B6,Movimientos!$D:$D,CONCATENATE("&lt;",JC$3),Movimientos!$C:$C,"&lt;0")</f>
        <v>0</v>
      </c>
      <c r="JD6" s="5">
        <f ca="1">SUMIFS(Movimientos!$C:$C,Movimientos!$A:$A,$B6,Movimientos!$D:$D,CONCATENATE("&lt;=",JD$3),Movimientos!$C:$C,"&gt;0")+SUMIFS(Movimientos!$C:$C,Movimientos!$A:$A,$B6,Movimientos!$D:$D,CONCATENATE("&lt;",JD$3),Movimientos!$C:$C,"&lt;0")</f>
        <v>0</v>
      </c>
      <c r="JE6" s="5">
        <f ca="1">SUMIFS(Movimientos!$C:$C,Movimientos!$A:$A,$B6,Movimientos!$D:$D,CONCATENATE("&lt;=",JE$3),Movimientos!$C:$C,"&gt;0")+SUMIFS(Movimientos!$C:$C,Movimientos!$A:$A,$B6,Movimientos!$D:$D,CONCATENATE("&lt;",JE$3),Movimientos!$C:$C,"&lt;0")</f>
        <v>0</v>
      </c>
      <c r="JF6" s="5">
        <f ca="1">SUMIFS(Movimientos!$C:$C,Movimientos!$A:$A,$B6,Movimientos!$D:$D,CONCATENATE("&lt;=",JF$3),Movimientos!$C:$C,"&gt;0")+SUMIFS(Movimientos!$C:$C,Movimientos!$A:$A,$B6,Movimientos!$D:$D,CONCATENATE("&lt;",JF$3),Movimientos!$C:$C,"&lt;0")</f>
        <v>0</v>
      </c>
      <c r="JG6" s="5">
        <f ca="1">SUMIFS(Movimientos!$C:$C,Movimientos!$A:$A,$B6,Movimientos!$D:$D,CONCATENATE("&lt;=",JG$3),Movimientos!$C:$C,"&gt;0")+SUMIFS(Movimientos!$C:$C,Movimientos!$A:$A,$B6,Movimientos!$D:$D,CONCATENATE("&lt;",JG$3),Movimientos!$C:$C,"&lt;0")</f>
        <v>0</v>
      </c>
      <c r="JH6" s="5">
        <f ca="1">SUMIFS(Movimientos!$C:$C,Movimientos!$A:$A,$B6,Movimientos!$D:$D,CONCATENATE("&lt;=",JH$3),Movimientos!$C:$C,"&gt;0")+SUMIFS(Movimientos!$C:$C,Movimientos!$A:$A,$B6,Movimientos!$D:$D,CONCATENATE("&lt;",JH$3),Movimientos!$C:$C,"&lt;0")</f>
        <v>0</v>
      </c>
      <c r="JI6" s="5">
        <f ca="1">SUMIFS(Movimientos!$C:$C,Movimientos!$A:$A,$B6,Movimientos!$D:$D,CONCATENATE("&lt;=",JI$3),Movimientos!$C:$C,"&gt;0")+SUMIFS(Movimientos!$C:$C,Movimientos!$A:$A,$B6,Movimientos!$D:$D,CONCATENATE("&lt;",JI$3),Movimientos!$C:$C,"&lt;0")</f>
        <v>0</v>
      </c>
      <c r="JJ6" s="5">
        <f ca="1">SUMIFS(Movimientos!$C:$C,Movimientos!$A:$A,$B6,Movimientos!$D:$D,CONCATENATE("&lt;=",JJ$3),Movimientos!$C:$C,"&gt;0")+SUMIFS(Movimientos!$C:$C,Movimientos!$A:$A,$B6,Movimientos!$D:$D,CONCATENATE("&lt;",JJ$3),Movimientos!$C:$C,"&lt;0")</f>
        <v>0</v>
      </c>
      <c r="JK6" s="5">
        <f ca="1">SUMIFS(Movimientos!$C:$C,Movimientos!$A:$A,$B6,Movimientos!$D:$D,CONCATENATE("&lt;=",JK$3),Movimientos!$C:$C,"&gt;0")+SUMIFS(Movimientos!$C:$C,Movimientos!$A:$A,$B6,Movimientos!$D:$D,CONCATENATE("&lt;",JK$3),Movimientos!$C:$C,"&lt;0")</f>
        <v>0</v>
      </c>
      <c r="JL6" s="5">
        <f ca="1">SUMIFS(Movimientos!$C:$C,Movimientos!$A:$A,$B6,Movimientos!$D:$D,CONCATENATE("&lt;=",JL$3),Movimientos!$C:$C,"&gt;0")+SUMIFS(Movimientos!$C:$C,Movimientos!$A:$A,$B6,Movimientos!$D:$D,CONCATENATE("&lt;",JL$3),Movimientos!$C:$C,"&lt;0")</f>
        <v>0</v>
      </c>
      <c r="JM6" s="5">
        <f ca="1">SUMIFS(Movimientos!$C:$C,Movimientos!$A:$A,$B6,Movimientos!$D:$D,CONCATENATE("&lt;=",JM$3),Movimientos!$C:$C,"&gt;0")+SUMIFS(Movimientos!$C:$C,Movimientos!$A:$A,$B6,Movimientos!$D:$D,CONCATENATE("&lt;",JM$3),Movimientos!$C:$C,"&lt;0")</f>
        <v>0</v>
      </c>
      <c r="JN6" s="5">
        <f ca="1">SUMIFS(Movimientos!$C:$C,Movimientos!$A:$A,$B6,Movimientos!$D:$D,CONCATENATE("&lt;=",JN$3),Movimientos!$C:$C,"&gt;0")+SUMIFS(Movimientos!$C:$C,Movimientos!$A:$A,$B6,Movimientos!$D:$D,CONCATENATE("&lt;",JN$3),Movimientos!$C:$C,"&lt;0")</f>
        <v>0</v>
      </c>
      <c r="JO6" s="5">
        <f ca="1">SUMIFS(Movimientos!$C:$C,Movimientos!$A:$A,$B6,Movimientos!$D:$D,CONCATENATE("&lt;=",JO$3),Movimientos!$C:$C,"&gt;0")+SUMIFS(Movimientos!$C:$C,Movimientos!$A:$A,$B6,Movimientos!$D:$D,CONCATENATE("&lt;",JO$3),Movimientos!$C:$C,"&lt;0")</f>
        <v>0</v>
      </c>
      <c r="JP6" s="5">
        <f ca="1">SUMIFS(Movimientos!$C:$C,Movimientos!$A:$A,$B6,Movimientos!$D:$D,CONCATENATE("&lt;=",JP$3),Movimientos!$C:$C,"&gt;0")+SUMIFS(Movimientos!$C:$C,Movimientos!$A:$A,$B6,Movimientos!$D:$D,CONCATENATE("&lt;",JP$3),Movimientos!$C:$C,"&lt;0")</f>
        <v>0</v>
      </c>
      <c r="JQ6" s="5">
        <f ca="1">SUMIFS(Movimientos!$C:$C,Movimientos!$A:$A,$B6,Movimientos!$D:$D,CONCATENATE("&lt;=",JQ$3),Movimientos!$C:$C,"&gt;0")+SUMIFS(Movimientos!$C:$C,Movimientos!$A:$A,$B6,Movimientos!$D:$D,CONCATENATE("&lt;",JQ$3),Movimientos!$C:$C,"&lt;0")</f>
        <v>0</v>
      </c>
      <c r="JR6" s="5">
        <f ca="1">SUMIFS(Movimientos!$C:$C,Movimientos!$A:$A,$B6,Movimientos!$D:$D,CONCATENATE("&lt;=",JR$3),Movimientos!$C:$C,"&gt;0")+SUMIFS(Movimientos!$C:$C,Movimientos!$A:$A,$B6,Movimientos!$D:$D,CONCATENATE("&lt;",JR$3),Movimientos!$C:$C,"&lt;0")</f>
        <v>0</v>
      </c>
      <c r="JS6" s="5">
        <f ca="1">SUMIFS(Movimientos!$C:$C,Movimientos!$A:$A,$B6,Movimientos!$D:$D,CONCATENATE("&lt;=",JS$3),Movimientos!$C:$C,"&gt;0")+SUMIFS(Movimientos!$C:$C,Movimientos!$A:$A,$B6,Movimientos!$D:$D,CONCATENATE("&lt;",JS$3),Movimientos!$C:$C,"&lt;0")</f>
        <v>0</v>
      </c>
      <c r="JT6" s="5">
        <f ca="1">SUMIFS(Movimientos!$C:$C,Movimientos!$A:$A,$B6,Movimientos!$D:$D,CONCATENATE("&lt;=",JT$3),Movimientos!$C:$C,"&gt;0")+SUMIFS(Movimientos!$C:$C,Movimientos!$A:$A,$B6,Movimientos!$D:$D,CONCATENATE("&lt;",JT$3),Movimientos!$C:$C,"&lt;0")</f>
        <v>0</v>
      </c>
      <c r="JU6" s="5">
        <f ca="1">SUMIFS(Movimientos!$C:$C,Movimientos!$A:$A,$B6,Movimientos!$D:$D,CONCATENATE("&lt;=",JU$3),Movimientos!$C:$C,"&gt;0")+SUMIFS(Movimientos!$C:$C,Movimientos!$A:$A,$B6,Movimientos!$D:$D,CONCATENATE("&lt;",JU$3),Movimientos!$C:$C,"&lt;0")</f>
        <v>0</v>
      </c>
      <c r="JV6" s="5">
        <f ca="1">SUMIFS(Movimientos!$C:$C,Movimientos!$A:$A,$B6,Movimientos!$D:$D,CONCATENATE("&lt;=",JV$3),Movimientos!$C:$C,"&gt;0")+SUMIFS(Movimientos!$C:$C,Movimientos!$A:$A,$B6,Movimientos!$D:$D,CONCATENATE("&lt;",JV$3),Movimientos!$C:$C,"&lt;0")</f>
        <v>0</v>
      </c>
      <c r="JW6" s="5">
        <f ca="1">SUMIFS(Movimientos!$C:$C,Movimientos!$A:$A,$B6,Movimientos!$D:$D,CONCATENATE("&lt;=",JW$3),Movimientos!$C:$C,"&gt;0")+SUMIFS(Movimientos!$C:$C,Movimientos!$A:$A,$B6,Movimientos!$D:$D,CONCATENATE("&lt;",JW$3),Movimientos!$C:$C,"&lt;0")</f>
        <v>0</v>
      </c>
      <c r="JX6" s="5">
        <f ca="1">SUMIFS(Movimientos!$C:$C,Movimientos!$A:$A,$B6,Movimientos!$D:$D,CONCATENATE("&lt;=",JX$3),Movimientos!$C:$C,"&gt;0")+SUMIFS(Movimientos!$C:$C,Movimientos!$A:$A,$B6,Movimientos!$D:$D,CONCATENATE("&lt;",JX$3),Movimientos!$C:$C,"&lt;0")</f>
        <v>0</v>
      </c>
      <c r="JY6" s="5">
        <f ca="1">SUMIFS(Movimientos!$C:$C,Movimientos!$A:$A,$B6,Movimientos!$D:$D,CONCATENATE("&lt;=",JY$3),Movimientos!$C:$C,"&gt;0")+SUMIFS(Movimientos!$C:$C,Movimientos!$A:$A,$B6,Movimientos!$D:$D,CONCATENATE("&lt;",JY$3),Movimientos!$C:$C,"&lt;0")</f>
        <v>0</v>
      </c>
      <c r="JZ6" s="5">
        <f ca="1">SUMIFS(Movimientos!$C:$C,Movimientos!$A:$A,$B6,Movimientos!$D:$D,CONCATENATE("&lt;=",JZ$3),Movimientos!$C:$C,"&gt;0")+SUMIFS(Movimientos!$C:$C,Movimientos!$A:$A,$B6,Movimientos!$D:$D,CONCATENATE("&lt;",JZ$3),Movimientos!$C:$C,"&lt;0")</f>
        <v>0</v>
      </c>
      <c r="KA6" s="5">
        <f ca="1">SUMIFS(Movimientos!$C:$C,Movimientos!$A:$A,$B6,Movimientos!$D:$D,CONCATENATE("&lt;=",KA$3),Movimientos!$C:$C,"&gt;0")+SUMIFS(Movimientos!$C:$C,Movimientos!$A:$A,$B6,Movimientos!$D:$D,CONCATENATE("&lt;",KA$3),Movimientos!$C:$C,"&lt;0")</f>
        <v>0</v>
      </c>
      <c r="KB6" s="5">
        <f ca="1">SUMIFS(Movimientos!$C:$C,Movimientos!$A:$A,$B6,Movimientos!$D:$D,CONCATENATE("&lt;=",KB$3),Movimientos!$C:$C,"&gt;0")+SUMIFS(Movimientos!$C:$C,Movimientos!$A:$A,$B6,Movimientos!$D:$D,CONCATENATE("&lt;",KB$3),Movimientos!$C:$C,"&lt;0")</f>
        <v>0</v>
      </c>
      <c r="KC6" s="5">
        <f ca="1">SUMIFS(Movimientos!$C:$C,Movimientos!$A:$A,$B6,Movimientos!$D:$D,CONCATENATE("&lt;=",KC$3),Movimientos!$C:$C,"&gt;0")+SUMIFS(Movimientos!$C:$C,Movimientos!$A:$A,$B6,Movimientos!$D:$D,CONCATENATE("&lt;",KC$3),Movimientos!$C:$C,"&lt;0")</f>
        <v>0</v>
      </c>
      <c r="KD6" s="5">
        <f ca="1">SUMIFS(Movimientos!$C:$C,Movimientos!$A:$A,$B6,Movimientos!$D:$D,CONCATENATE("&lt;=",KD$3),Movimientos!$C:$C,"&gt;0")+SUMIFS(Movimientos!$C:$C,Movimientos!$A:$A,$B6,Movimientos!$D:$D,CONCATENATE("&lt;",KD$3),Movimientos!$C:$C,"&lt;0")</f>
        <v>0</v>
      </c>
      <c r="KE6" s="5">
        <f ca="1">SUMIFS(Movimientos!$C:$C,Movimientos!$A:$A,$B6,Movimientos!$D:$D,CONCATENATE("&lt;=",KE$3),Movimientos!$C:$C,"&gt;0")+SUMIFS(Movimientos!$C:$C,Movimientos!$A:$A,$B6,Movimientos!$D:$D,CONCATENATE("&lt;",KE$3),Movimientos!$C:$C,"&lt;0")</f>
        <v>0</v>
      </c>
      <c r="KF6" s="5">
        <f ca="1">SUMIFS(Movimientos!$C:$C,Movimientos!$A:$A,$B6,Movimientos!$D:$D,CONCATENATE("&lt;=",KF$3),Movimientos!$C:$C,"&gt;0")+SUMIFS(Movimientos!$C:$C,Movimientos!$A:$A,$B6,Movimientos!$D:$D,CONCATENATE("&lt;",KF$3),Movimientos!$C:$C,"&lt;0")</f>
        <v>0</v>
      </c>
      <c r="KG6" s="5">
        <f ca="1">SUMIFS(Movimientos!$C:$C,Movimientos!$A:$A,$B6,Movimientos!$D:$D,CONCATENATE("&lt;=",KG$3),Movimientos!$C:$C,"&gt;0")+SUMIFS(Movimientos!$C:$C,Movimientos!$A:$A,$B6,Movimientos!$D:$D,CONCATENATE("&lt;",KG$3),Movimientos!$C:$C,"&lt;0")</f>
        <v>0</v>
      </c>
      <c r="KH6" s="5">
        <f ca="1">SUMIFS(Movimientos!$C:$C,Movimientos!$A:$A,$B6,Movimientos!$D:$D,CONCATENATE("&lt;=",KH$3),Movimientos!$C:$C,"&gt;0")+SUMIFS(Movimientos!$C:$C,Movimientos!$A:$A,$B6,Movimientos!$D:$D,CONCATENATE("&lt;",KH$3),Movimientos!$C:$C,"&lt;0")</f>
        <v>0</v>
      </c>
      <c r="KI6" s="5">
        <f ca="1">SUMIFS(Movimientos!$C:$C,Movimientos!$A:$A,$B6,Movimientos!$D:$D,CONCATENATE("&lt;=",KI$3),Movimientos!$C:$C,"&gt;0")+SUMIFS(Movimientos!$C:$C,Movimientos!$A:$A,$B6,Movimientos!$D:$D,CONCATENATE("&lt;",KI$3),Movimientos!$C:$C,"&lt;0")</f>
        <v>0</v>
      </c>
      <c r="KJ6" s="5">
        <f ca="1">SUMIFS(Movimientos!$C:$C,Movimientos!$A:$A,$B6,Movimientos!$D:$D,CONCATENATE("&lt;=",KJ$3),Movimientos!$C:$C,"&gt;0")+SUMIFS(Movimientos!$C:$C,Movimientos!$A:$A,$B6,Movimientos!$D:$D,CONCATENATE("&lt;",KJ$3),Movimientos!$C:$C,"&lt;0")</f>
        <v>0</v>
      </c>
      <c r="KK6" s="5">
        <f ca="1">SUMIFS(Movimientos!$C:$C,Movimientos!$A:$A,$B6,Movimientos!$D:$D,CONCATENATE("&lt;=",KK$3),Movimientos!$C:$C,"&gt;0")+SUMIFS(Movimientos!$C:$C,Movimientos!$A:$A,$B6,Movimientos!$D:$D,CONCATENATE("&lt;",KK$3),Movimientos!$C:$C,"&lt;0")</f>
        <v>0</v>
      </c>
      <c r="KL6" s="5">
        <f ca="1">SUMIFS(Movimientos!$C:$C,Movimientos!$A:$A,$B6,Movimientos!$D:$D,CONCATENATE("&lt;=",KL$3),Movimientos!$C:$C,"&gt;0")+SUMIFS(Movimientos!$C:$C,Movimientos!$A:$A,$B6,Movimientos!$D:$D,CONCATENATE("&lt;",KL$3),Movimientos!$C:$C,"&lt;0")</f>
        <v>0</v>
      </c>
      <c r="KM6" s="5">
        <f ca="1">SUMIFS(Movimientos!$C:$C,Movimientos!$A:$A,$B6,Movimientos!$D:$D,CONCATENATE("&lt;=",KM$3),Movimientos!$C:$C,"&gt;0")+SUMIFS(Movimientos!$C:$C,Movimientos!$A:$A,$B6,Movimientos!$D:$D,CONCATENATE("&lt;",KM$3),Movimientos!$C:$C,"&lt;0")</f>
        <v>0</v>
      </c>
      <c r="KN6" s="5">
        <f ca="1">SUMIFS(Movimientos!$C:$C,Movimientos!$A:$A,$B6,Movimientos!$D:$D,CONCATENATE("&lt;=",KN$3),Movimientos!$C:$C,"&gt;0")+SUMIFS(Movimientos!$C:$C,Movimientos!$A:$A,$B6,Movimientos!$D:$D,CONCATENATE("&lt;",KN$3),Movimientos!$C:$C,"&lt;0")</f>
        <v>0</v>
      </c>
      <c r="KO6" s="5">
        <f ca="1">SUMIFS(Movimientos!$C:$C,Movimientos!$A:$A,$B6,Movimientos!$D:$D,CONCATENATE("&lt;=",KO$3),Movimientos!$C:$C,"&gt;0")+SUMIFS(Movimientos!$C:$C,Movimientos!$A:$A,$B6,Movimientos!$D:$D,CONCATENATE("&lt;",KO$3),Movimientos!$C:$C,"&lt;0")</f>
        <v>0</v>
      </c>
      <c r="KP6" s="5">
        <f ca="1">SUMIFS(Movimientos!$C:$C,Movimientos!$A:$A,$B6,Movimientos!$D:$D,CONCATENATE("&lt;=",KP$3),Movimientos!$C:$C,"&gt;0")+SUMIFS(Movimientos!$C:$C,Movimientos!$A:$A,$B6,Movimientos!$D:$D,CONCATENATE("&lt;",KP$3),Movimientos!$C:$C,"&lt;0")</f>
        <v>0</v>
      </c>
      <c r="KQ6" s="5">
        <f ca="1">SUMIFS(Movimientos!$C:$C,Movimientos!$A:$A,$B6,Movimientos!$D:$D,CONCATENATE("&lt;=",KQ$3),Movimientos!$C:$C,"&gt;0")+SUMIFS(Movimientos!$C:$C,Movimientos!$A:$A,$B6,Movimientos!$D:$D,CONCATENATE("&lt;",KQ$3),Movimientos!$C:$C,"&lt;0")</f>
        <v>0</v>
      </c>
      <c r="KR6" s="5">
        <f ca="1">SUMIFS(Movimientos!$C:$C,Movimientos!$A:$A,$B6,Movimientos!$D:$D,CONCATENATE("&lt;=",KR$3),Movimientos!$C:$C,"&gt;0")+SUMIFS(Movimientos!$C:$C,Movimientos!$A:$A,$B6,Movimientos!$D:$D,CONCATENATE("&lt;",KR$3),Movimientos!$C:$C,"&lt;0")</f>
        <v>0</v>
      </c>
      <c r="KS6" s="5">
        <f ca="1">SUMIFS(Movimientos!$C:$C,Movimientos!$A:$A,$B6,Movimientos!$D:$D,CONCATENATE("&lt;=",KS$3),Movimientos!$C:$C,"&gt;0")+SUMIFS(Movimientos!$C:$C,Movimientos!$A:$A,$B6,Movimientos!$D:$D,CONCATENATE("&lt;",KS$3),Movimientos!$C:$C,"&lt;0")</f>
        <v>0</v>
      </c>
      <c r="KT6" s="5">
        <f ca="1">SUMIFS(Movimientos!$C:$C,Movimientos!$A:$A,$B6,Movimientos!$D:$D,CONCATENATE("&lt;=",KT$3),Movimientos!$C:$C,"&gt;0")+SUMIFS(Movimientos!$C:$C,Movimientos!$A:$A,$B6,Movimientos!$D:$D,CONCATENATE("&lt;",KT$3),Movimientos!$C:$C,"&lt;0")</f>
        <v>0</v>
      </c>
      <c r="KU6" s="5">
        <f ca="1">SUMIFS(Movimientos!$C:$C,Movimientos!$A:$A,$B6,Movimientos!$D:$D,CONCATENATE("&lt;=",KU$3),Movimientos!$C:$C,"&gt;0")+SUMIFS(Movimientos!$C:$C,Movimientos!$A:$A,$B6,Movimientos!$D:$D,CONCATENATE("&lt;",KU$3),Movimientos!$C:$C,"&lt;0")</f>
        <v>0</v>
      </c>
      <c r="KV6" s="5">
        <f ca="1">SUMIFS(Movimientos!$C:$C,Movimientos!$A:$A,$B6,Movimientos!$D:$D,CONCATENATE("&lt;=",KV$3),Movimientos!$C:$C,"&gt;0")+SUMIFS(Movimientos!$C:$C,Movimientos!$A:$A,$B6,Movimientos!$D:$D,CONCATENATE("&lt;",KV$3),Movimientos!$C:$C,"&lt;0")</f>
        <v>0</v>
      </c>
      <c r="KW6" s="5">
        <f ca="1">SUMIFS(Movimientos!$C:$C,Movimientos!$A:$A,$B6,Movimientos!$D:$D,CONCATENATE("&lt;=",KW$3),Movimientos!$C:$C,"&gt;0")+SUMIFS(Movimientos!$C:$C,Movimientos!$A:$A,$B6,Movimientos!$D:$D,CONCATENATE("&lt;",KW$3),Movimientos!$C:$C,"&lt;0")</f>
        <v>0</v>
      </c>
      <c r="KX6" s="5">
        <f ca="1">SUMIFS(Movimientos!$C:$C,Movimientos!$A:$A,$B6,Movimientos!$D:$D,CONCATENATE("&lt;=",KX$3),Movimientos!$C:$C,"&gt;0")+SUMIFS(Movimientos!$C:$C,Movimientos!$A:$A,$B6,Movimientos!$D:$D,CONCATENATE("&lt;",KX$3),Movimientos!$C:$C,"&lt;0")</f>
        <v>0</v>
      </c>
      <c r="KY6" s="5">
        <f ca="1">SUMIFS(Movimientos!$C:$C,Movimientos!$A:$A,$B6,Movimientos!$D:$D,CONCATENATE("&lt;=",KY$3),Movimientos!$C:$C,"&gt;0")+SUMIFS(Movimientos!$C:$C,Movimientos!$A:$A,$B6,Movimientos!$D:$D,CONCATENATE("&lt;",KY$3),Movimientos!$C:$C,"&lt;0")</f>
        <v>0</v>
      </c>
      <c r="KZ6" s="5">
        <f ca="1">SUMIFS(Movimientos!$C:$C,Movimientos!$A:$A,$B6,Movimientos!$D:$D,CONCATENATE("&lt;=",KZ$3),Movimientos!$C:$C,"&gt;0")+SUMIFS(Movimientos!$C:$C,Movimientos!$A:$A,$B6,Movimientos!$D:$D,CONCATENATE("&lt;",KZ$3),Movimientos!$C:$C,"&lt;0")</f>
        <v>0</v>
      </c>
      <c r="LA6" s="5">
        <f ca="1">SUMIFS(Movimientos!$C:$C,Movimientos!$A:$A,$B6,Movimientos!$D:$D,CONCATENATE("&lt;=",LA$3),Movimientos!$C:$C,"&gt;0")+SUMIFS(Movimientos!$C:$C,Movimientos!$A:$A,$B6,Movimientos!$D:$D,CONCATENATE("&lt;",LA$3),Movimientos!$C:$C,"&lt;0")</f>
        <v>0</v>
      </c>
      <c r="LB6" s="5">
        <f ca="1">SUMIFS(Movimientos!$C:$C,Movimientos!$A:$A,$B6,Movimientos!$D:$D,CONCATENATE("&lt;=",LB$3),Movimientos!$C:$C,"&gt;0")+SUMIFS(Movimientos!$C:$C,Movimientos!$A:$A,$B6,Movimientos!$D:$D,CONCATENATE("&lt;",LB$3),Movimientos!$C:$C,"&lt;0")</f>
        <v>0</v>
      </c>
      <c r="LC6" s="5">
        <f ca="1">SUMIFS(Movimientos!$C:$C,Movimientos!$A:$A,$B6,Movimientos!$D:$D,CONCATENATE("&lt;=",LC$3),Movimientos!$C:$C,"&gt;0")+SUMIFS(Movimientos!$C:$C,Movimientos!$A:$A,$B6,Movimientos!$D:$D,CONCATENATE("&lt;",LC$3),Movimientos!$C:$C,"&lt;0")</f>
        <v>0</v>
      </c>
      <c r="LD6" s="5">
        <f ca="1">SUMIFS(Movimientos!$C:$C,Movimientos!$A:$A,$B6,Movimientos!$D:$D,CONCATENATE("&lt;=",LD$3),Movimientos!$C:$C,"&gt;0")+SUMIFS(Movimientos!$C:$C,Movimientos!$A:$A,$B6,Movimientos!$D:$D,CONCATENATE("&lt;",LD$3),Movimientos!$C:$C,"&lt;0")</f>
        <v>0</v>
      </c>
      <c r="LE6" s="5">
        <f ca="1">SUMIFS(Movimientos!$C:$C,Movimientos!$A:$A,$B6,Movimientos!$D:$D,CONCATENATE("&lt;=",LE$3),Movimientos!$C:$C,"&gt;0")+SUMIFS(Movimientos!$C:$C,Movimientos!$A:$A,$B6,Movimientos!$D:$D,CONCATENATE("&lt;",LE$3),Movimientos!$C:$C,"&lt;0")</f>
        <v>0</v>
      </c>
      <c r="LF6" s="5">
        <f ca="1">SUMIFS(Movimientos!$C:$C,Movimientos!$A:$A,$B6,Movimientos!$D:$D,CONCATENATE("&lt;=",LF$3),Movimientos!$C:$C,"&gt;0")+SUMIFS(Movimientos!$C:$C,Movimientos!$A:$A,$B6,Movimientos!$D:$D,CONCATENATE("&lt;",LF$3),Movimientos!$C:$C,"&lt;0")</f>
        <v>0</v>
      </c>
      <c r="LG6" s="5">
        <f ca="1">SUMIFS(Movimientos!$C:$C,Movimientos!$A:$A,$B6,Movimientos!$D:$D,CONCATENATE("&lt;=",LG$3),Movimientos!$C:$C,"&gt;0")+SUMIFS(Movimientos!$C:$C,Movimientos!$A:$A,$B6,Movimientos!$D:$D,CONCATENATE("&lt;",LG$3),Movimientos!$C:$C,"&lt;0")</f>
        <v>0</v>
      </c>
      <c r="LH6" s="5">
        <f ca="1">SUMIFS(Movimientos!$C:$C,Movimientos!$A:$A,$B6,Movimientos!$D:$D,CONCATENATE("&lt;=",LH$3),Movimientos!$C:$C,"&gt;0")+SUMIFS(Movimientos!$C:$C,Movimientos!$A:$A,$B6,Movimientos!$D:$D,CONCATENATE("&lt;",LH$3),Movimientos!$C:$C,"&lt;0")</f>
        <v>0</v>
      </c>
      <c r="LI6" s="5">
        <f ca="1">SUMIFS(Movimientos!$C:$C,Movimientos!$A:$A,$B6,Movimientos!$D:$D,CONCATENATE("&lt;=",LI$3),Movimientos!$C:$C,"&gt;0")+SUMIFS(Movimientos!$C:$C,Movimientos!$A:$A,$B6,Movimientos!$D:$D,CONCATENATE("&lt;",LI$3),Movimientos!$C:$C,"&lt;0")</f>
        <v>0</v>
      </c>
      <c r="LJ6" s="5">
        <f ca="1">SUMIFS(Movimientos!$C:$C,Movimientos!$A:$A,$B6,Movimientos!$D:$D,CONCATENATE("&lt;=",LJ$3),Movimientos!$C:$C,"&gt;0")+SUMIFS(Movimientos!$C:$C,Movimientos!$A:$A,$B6,Movimientos!$D:$D,CONCATENATE("&lt;",LJ$3),Movimientos!$C:$C,"&lt;0")</f>
        <v>0</v>
      </c>
      <c r="LK6" s="5">
        <f ca="1">SUMIFS(Movimientos!$C:$C,Movimientos!$A:$A,$B6,Movimientos!$D:$D,CONCATENATE("&lt;=",LK$3),Movimientos!$C:$C,"&gt;0")+SUMIFS(Movimientos!$C:$C,Movimientos!$A:$A,$B6,Movimientos!$D:$D,CONCATENATE("&lt;",LK$3),Movimientos!$C:$C,"&lt;0")</f>
        <v>0</v>
      </c>
      <c r="LL6" s="5">
        <f ca="1">SUMIFS(Movimientos!$C:$C,Movimientos!$A:$A,$B6,Movimientos!$D:$D,CONCATENATE("&lt;=",LL$3),Movimientos!$C:$C,"&gt;0")+SUMIFS(Movimientos!$C:$C,Movimientos!$A:$A,$B6,Movimientos!$D:$D,CONCATENATE("&lt;",LL$3),Movimientos!$C:$C,"&lt;0")</f>
        <v>0</v>
      </c>
      <c r="LM6" s="5">
        <f ca="1">SUMIFS(Movimientos!$C:$C,Movimientos!$A:$A,$B6,Movimientos!$D:$D,CONCATENATE("&lt;=",LM$3),Movimientos!$C:$C,"&gt;0")+SUMIFS(Movimientos!$C:$C,Movimientos!$A:$A,$B6,Movimientos!$D:$D,CONCATENATE("&lt;",LM$3),Movimientos!$C:$C,"&lt;0")</f>
        <v>0</v>
      </c>
      <c r="LN6" s="5">
        <f ca="1">SUMIFS(Movimientos!$C:$C,Movimientos!$A:$A,$B6,Movimientos!$D:$D,CONCATENATE("&lt;=",LN$3),Movimientos!$C:$C,"&gt;0")+SUMIFS(Movimientos!$C:$C,Movimientos!$A:$A,$B6,Movimientos!$D:$D,CONCATENATE("&lt;",LN$3),Movimientos!$C:$C,"&lt;0")</f>
        <v>0</v>
      </c>
      <c r="LO6" s="5">
        <f ca="1">SUMIFS(Movimientos!$C:$C,Movimientos!$A:$A,$B6,Movimientos!$D:$D,CONCATENATE("&lt;=",LO$3),Movimientos!$C:$C,"&gt;0")+SUMIFS(Movimientos!$C:$C,Movimientos!$A:$A,$B6,Movimientos!$D:$D,CONCATENATE("&lt;",LO$3),Movimientos!$C:$C,"&lt;0")</f>
        <v>0</v>
      </c>
      <c r="LP6" s="5">
        <f ca="1">SUMIFS(Movimientos!$C:$C,Movimientos!$A:$A,$B6,Movimientos!$D:$D,CONCATENATE("&lt;=",LP$3),Movimientos!$C:$C,"&gt;0")+SUMIFS(Movimientos!$C:$C,Movimientos!$A:$A,$B6,Movimientos!$D:$D,CONCATENATE("&lt;",LP$3),Movimientos!$C:$C,"&lt;0")</f>
        <v>0</v>
      </c>
      <c r="LQ6" s="5">
        <f ca="1">SUMIFS(Movimientos!$C:$C,Movimientos!$A:$A,$B6,Movimientos!$D:$D,CONCATENATE("&lt;=",LQ$3),Movimientos!$C:$C,"&gt;0")+SUMIFS(Movimientos!$C:$C,Movimientos!$A:$A,$B6,Movimientos!$D:$D,CONCATENATE("&lt;",LQ$3),Movimientos!$C:$C,"&lt;0")</f>
        <v>0</v>
      </c>
      <c r="LR6" s="5">
        <f ca="1">SUMIFS(Movimientos!$C:$C,Movimientos!$A:$A,$B6,Movimientos!$D:$D,CONCATENATE("&lt;=",LR$3),Movimientos!$C:$C,"&gt;0")+SUMIFS(Movimientos!$C:$C,Movimientos!$A:$A,$B6,Movimientos!$D:$D,CONCATENATE("&lt;",LR$3),Movimientos!$C:$C,"&lt;0")</f>
        <v>0</v>
      </c>
      <c r="LS6" s="5">
        <f ca="1">SUMIFS(Movimientos!$C:$C,Movimientos!$A:$A,$B6,Movimientos!$D:$D,CONCATENATE("&lt;=",LS$3),Movimientos!$C:$C,"&gt;0")+SUMIFS(Movimientos!$C:$C,Movimientos!$A:$A,$B6,Movimientos!$D:$D,CONCATENATE("&lt;",LS$3),Movimientos!$C:$C,"&lt;0")</f>
        <v>0</v>
      </c>
      <c r="LT6" s="5">
        <f ca="1">SUMIFS(Movimientos!$C:$C,Movimientos!$A:$A,$B6,Movimientos!$D:$D,CONCATENATE("&lt;=",LT$3),Movimientos!$C:$C,"&gt;0")+SUMIFS(Movimientos!$C:$C,Movimientos!$A:$A,$B6,Movimientos!$D:$D,CONCATENATE("&lt;",LT$3),Movimientos!$C:$C,"&lt;0")</f>
        <v>0</v>
      </c>
      <c r="LU6" s="5">
        <f ca="1">SUMIFS(Movimientos!$C:$C,Movimientos!$A:$A,$B6,Movimientos!$D:$D,CONCATENATE("&lt;=",LU$3),Movimientos!$C:$C,"&gt;0")+SUMIFS(Movimientos!$C:$C,Movimientos!$A:$A,$B6,Movimientos!$D:$D,CONCATENATE("&lt;",LU$3),Movimientos!$C:$C,"&lt;0")</f>
        <v>0</v>
      </c>
      <c r="LV6" s="5">
        <f ca="1">SUMIFS(Movimientos!$C:$C,Movimientos!$A:$A,$B6,Movimientos!$D:$D,CONCATENATE("&lt;=",LV$3),Movimientos!$C:$C,"&gt;0")+SUMIFS(Movimientos!$C:$C,Movimientos!$A:$A,$B6,Movimientos!$D:$D,CONCATENATE("&lt;",LV$3),Movimientos!$C:$C,"&lt;0")</f>
        <v>0</v>
      </c>
      <c r="LW6" s="5">
        <f ca="1">SUMIFS(Movimientos!$C:$C,Movimientos!$A:$A,$B6,Movimientos!$D:$D,CONCATENATE("&lt;=",LW$3),Movimientos!$C:$C,"&gt;0")+SUMIFS(Movimientos!$C:$C,Movimientos!$A:$A,$B6,Movimientos!$D:$D,CONCATENATE("&lt;",LW$3),Movimientos!$C:$C,"&lt;0")</f>
        <v>0</v>
      </c>
      <c r="LX6" s="5">
        <f ca="1">SUMIFS(Movimientos!$C:$C,Movimientos!$A:$A,$B6,Movimientos!$D:$D,CONCATENATE("&lt;=",LX$3),Movimientos!$C:$C,"&gt;0")+SUMIFS(Movimientos!$C:$C,Movimientos!$A:$A,$B6,Movimientos!$D:$D,CONCATENATE("&lt;",LX$3),Movimientos!$C:$C,"&lt;0")</f>
        <v>0</v>
      </c>
      <c r="LY6" s="5">
        <f ca="1">SUMIFS(Movimientos!$C:$C,Movimientos!$A:$A,$B6,Movimientos!$D:$D,CONCATENATE("&lt;=",LY$3),Movimientos!$C:$C,"&gt;0")+SUMIFS(Movimientos!$C:$C,Movimientos!$A:$A,$B6,Movimientos!$D:$D,CONCATENATE("&lt;",LY$3),Movimientos!$C:$C,"&lt;0")</f>
        <v>0</v>
      </c>
      <c r="LZ6" s="5">
        <f ca="1">SUMIFS(Movimientos!$C:$C,Movimientos!$A:$A,$B6,Movimientos!$D:$D,CONCATENATE("&lt;=",LZ$3),Movimientos!$C:$C,"&gt;0")+SUMIFS(Movimientos!$C:$C,Movimientos!$A:$A,$B6,Movimientos!$D:$D,CONCATENATE("&lt;",LZ$3),Movimientos!$C:$C,"&lt;0")</f>
        <v>0</v>
      </c>
      <c r="MA6" s="5">
        <f ca="1">SUMIFS(Movimientos!$C:$C,Movimientos!$A:$A,$B6,Movimientos!$D:$D,CONCATENATE("&lt;=",MA$3),Movimientos!$C:$C,"&gt;0")+SUMIFS(Movimientos!$C:$C,Movimientos!$A:$A,$B6,Movimientos!$D:$D,CONCATENATE("&lt;",MA$3),Movimientos!$C:$C,"&lt;0")</f>
        <v>0</v>
      </c>
      <c r="MB6" s="5">
        <f ca="1">SUMIFS(Movimientos!$C:$C,Movimientos!$A:$A,$B6,Movimientos!$D:$D,CONCATENATE("&lt;=",MB$3),Movimientos!$C:$C,"&gt;0")+SUMIFS(Movimientos!$C:$C,Movimientos!$A:$A,$B6,Movimientos!$D:$D,CONCATENATE("&lt;",MB$3),Movimientos!$C:$C,"&lt;0")</f>
        <v>0</v>
      </c>
      <c r="MC6" s="5">
        <f ca="1">SUMIFS(Movimientos!$C:$C,Movimientos!$A:$A,$B6,Movimientos!$D:$D,CONCATENATE("&lt;=",MC$3),Movimientos!$C:$C,"&gt;0")+SUMIFS(Movimientos!$C:$C,Movimientos!$A:$A,$B6,Movimientos!$D:$D,CONCATENATE("&lt;",MC$3),Movimientos!$C:$C,"&lt;0")</f>
        <v>0</v>
      </c>
      <c r="MD6" s="5">
        <f ca="1">SUMIFS(Movimientos!$C:$C,Movimientos!$A:$A,$B6,Movimientos!$D:$D,CONCATENATE("&lt;=",MD$3),Movimientos!$C:$C,"&gt;0")+SUMIFS(Movimientos!$C:$C,Movimientos!$A:$A,$B6,Movimientos!$D:$D,CONCATENATE("&lt;",MD$3),Movimientos!$C:$C,"&lt;0")</f>
        <v>0</v>
      </c>
      <c r="ME6" s="5">
        <f ca="1">SUMIFS(Movimientos!$C:$C,Movimientos!$A:$A,$B6,Movimientos!$D:$D,CONCATENATE("&lt;=",ME$3),Movimientos!$C:$C,"&gt;0")+SUMIFS(Movimientos!$C:$C,Movimientos!$A:$A,$B6,Movimientos!$D:$D,CONCATENATE("&lt;",ME$3),Movimientos!$C:$C,"&lt;0")</f>
        <v>0</v>
      </c>
      <c r="MF6" s="5">
        <f ca="1">SUMIFS(Movimientos!$C:$C,Movimientos!$A:$A,$B6,Movimientos!$D:$D,CONCATENATE("&lt;=",MF$3),Movimientos!$C:$C,"&gt;0")+SUMIFS(Movimientos!$C:$C,Movimientos!$A:$A,$B6,Movimientos!$D:$D,CONCATENATE("&lt;",MF$3),Movimientos!$C:$C,"&lt;0")</f>
        <v>0</v>
      </c>
      <c r="MG6" s="5">
        <f ca="1">SUMIFS(Movimientos!$C:$C,Movimientos!$A:$A,$B6,Movimientos!$D:$D,CONCATENATE("&lt;=",MG$3),Movimientos!$C:$C,"&gt;0")+SUMIFS(Movimientos!$C:$C,Movimientos!$A:$A,$B6,Movimientos!$D:$D,CONCATENATE("&lt;",MG$3),Movimientos!$C:$C,"&lt;0")</f>
        <v>0</v>
      </c>
      <c r="MH6" s="5">
        <f ca="1">SUMIFS(Movimientos!$C:$C,Movimientos!$A:$A,$B6,Movimientos!$D:$D,CONCATENATE("&lt;=",MH$3),Movimientos!$C:$C,"&gt;0")+SUMIFS(Movimientos!$C:$C,Movimientos!$A:$A,$B6,Movimientos!$D:$D,CONCATENATE("&lt;",MH$3),Movimientos!$C:$C,"&lt;0")</f>
        <v>0</v>
      </c>
      <c r="MI6" s="5">
        <f ca="1">SUMIFS(Movimientos!$C:$C,Movimientos!$A:$A,$B6,Movimientos!$D:$D,CONCATENATE("&lt;=",MI$3),Movimientos!$C:$C,"&gt;0")+SUMIFS(Movimientos!$C:$C,Movimientos!$A:$A,$B6,Movimientos!$D:$D,CONCATENATE("&lt;",MI$3),Movimientos!$C:$C,"&lt;0")</f>
        <v>0</v>
      </c>
      <c r="MJ6" s="5">
        <f ca="1">SUMIFS(Movimientos!$C:$C,Movimientos!$A:$A,$B6,Movimientos!$D:$D,CONCATENATE("&lt;=",MJ$3),Movimientos!$C:$C,"&gt;0")+SUMIFS(Movimientos!$C:$C,Movimientos!$A:$A,$B6,Movimientos!$D:$D,CONCATENATE("&lt;",MJ$3),Movimientos!$C:$C,"&lt;0")</f>
        <v>0</v>
      </c>
      <c r="MK6" s="5">
        <f ca="1">SUMIFS(Movimientos!$C:$C,Movimientos!$A:$A,$B6,Movimientos!$D:$D,CONCATENATE("&lt;=",MK$3),Movimientos!$C:$C,"&gt;0")+SUMIFS(Movimientos!$C:$C,Movimientos!$A:$A,$B6,Movimientos!$D:$D,CONCATENATE("&lt;",MK$3),Movimientos!$C:$C,"&lt;0")</f>
        <v>0</v>
      </c>
      <c r="ML6" s="5">
        <f ca="1">SUMIFS(Movimientos!$C:$C,Movimientos!$A:$A,$B6,Movimientos!$D:$D,CONCATENATE("&lt;=",ML$3),Movimientos!$C:$C,"&gt;0")+SUMIFS(Movimientos!$C:$C,Movimientos!$A:$A,$B6,Movimientos!$D:$D,CONCATENATE("&lt;",ML$3),Movimientos!$C:$C,"&lt;0")</f>
        <v>0</v>
      </c>
      <c r="MM6" s="5">
        <f ca="1">SUMIFS(Movimientos!$C:$C,Movimientos!$A:$A,$B6,Movimientos!$D:$D,CONCATENATE("&lt;=",MM$3),Movimientos!$C:$C,"&gt;0")+SUMIFS(Movimientos!$C:$C,Movimientos!$A:$A,$B6,Movimientos!$D:$D,CONCATENATE("&lt;",MM$3),Movimientos!$C:$C,"&lt;0")</f>
        <v>0</v>
      </c>
      <c r="MN6" s="5">
        <f ca="1">SUMIFS(Movimientos!$C:$C,Movimientos!$A:$A,$B6,Movimientos!$D:$D,CONCATENATE("&lt;=",MN$3),Movimientos!$C:$C,"&gt;0")+SUMIFS(Movimientos!$C:$C,Movimientos!$A:$A,$B6,Movimientos!$D:$D,CONCATENATE("&lt;",MN$3),Movimientos!$C:$C,"&lt;0")</f>
        <v>0</v>
      </c>
      <c r="MO6" s="5">
        <f ca="1">SUMIFS(Movimientos!$C:$C,Movimientos!$A:$A,$B6,Movimientos!$D:$D,CONCATENATE("&lt;=",MO$3),Movimientos!$C:$C,"&gt;0")+SUMIFS(Movimientos!$C:$C,Movimientos!$A:$A,$B6,Movimientos!$D:$D,CONCATENATE("&lt;",MO$3),Movimientos!$C:$C,"&lt;0")</f>
        <v>0</v>
      </c>
      <c r="MP6" s="5">
        <f ca="1">SUMIFS(Movimientos!$C:$C,Movimientos!$A:$A,$B6,Movimientos!$D:$D,CONCATENATE("&lt;=",MP$3),Movimientos!$C:$C,"&gt;0")+SUMIFS(Movimientos!$C:$C,Movimientos!$A:$A,$B6,Movimientos!$D:$D,CONCATENATE("&lt;",MP$3),Movimientos!$C:$C,"&lt;0")</f>
        <v>0</v>
      </c>
      <c r="MQ6" s="5">
        <f ca="1">SUMIFS(Movimientos!$C:$C,Movimientos!$A:$A,$B6,Movimientos!$D:$D,CONCATENATE("&lt;=",MQ$3),Movimientos!$C:$C,"&gt;0")+SUMIFS(Movimientos!$C:$C,Movimientos!$A:$A,$B6,Movimientos!$D:$D,CONCATENATE("&lt;",MQ$3),Movimientos!$C:$C,"&lt;0")</f>
        <v>0</v>
      </c>
      <c r="MR6" s="5">
        <f ca="1">SUMIFS(Movimientos!$C:$C,Movimientos!$A:$A,$B6,Movimientos!$D:$D,CONCATENATE("&lt;=",MR$3),Movimientos!$C:$C,"&gt;0")+SUMIFS(Movimientos!$C:$C,Movimientos!$A:$A,$B6,Movimientos!$D:$D,CONCATENATE("&lt;",MR$3),Movimientos!$C:$C,"&lt;0")</f>
        <v>0</v>
      </c>
      <c r="MS6" s="5">
        <f ca="1">SUMIFS(Movimientos!$C:$C,Movimientos!$A:$A,$B6,Movimientos!$D:$D,CONCATENATE("&lt;=",MS$3),Movimientos!$C:$C,"&gt;0")+SUMIFS(Movimientos!$C:$C,Movimientos!$A:$A,$B6,Movimientos!$D:$D,CONCATENATE("&lt;",MS$3),Movimientos!$C:$C,"&lt;0")</f>
        <v>0</v>
      </c>
      <c r="MT6" s="5">
        <f ca="1">SUMIFS(Movimientos!$C:$C,Movimientos!$A:$A,$B6,Movimientos!$D:$D,CONCATENATE("&lt;=",MT$3),Movimientos!$C:$C,"&gt;0")+SUMIFS(Movimientos!$C:$C,Movimientos!$A:$A,$B6,Movimientos!$D:$D,CONCATENATE("&lt;",MT$3),Movimientos!$C:$C,"&lt;0")</f>
        <v>0</v>
      </c>
      <c r="MU6" s="5">
        <f ca="1">SUMIFS(Movimientos!$C:$C,Movimientos!$A:$A,$B6,Movimientos!$D:$D,CONCATENATE("&lt;=",MU$3),Movimientos!$C:$C,"&gt;0")+SUMIFS(Movimientos!$C:$C,Movimientos!$A:$A,$B6,Movimientos!$D:$D,CONCATENATE("&lt;",MU$3),Movimientos!$C:$C,"&lt;0")</f>
        <v>0</v>
      </c>
      <c r="MV6" s="5">
        <f ca="1">SUMIFS(Movimientos!$C:$C,Movimientos!$A:$A,$B6,Movimientos!$D:$D,CONCATENATE("&lt;=",MV$3),Movimientos!$C:$C,"&gt;0")+SUMIFS(Movimientos!$C:$C,Movimientos!$A:$A,$B6,Movimientos!$D:$D,CONCATENATE("&lt;",MV$3),Movimientos!$C:$C,"&lt;0")</f>
        <v>0</v>
      </c>
      <c r="MW6" s="5">
        <f ca="1">SUMIFS(Movimientos!$C:$C,Movimientos!$A:$A,$B6,Movimientos!$D:$D,CONCATENATE("&lt;=",MW$3),Movimientos!$C:$C,"&gt;0")+SUMIFS(Movimientos!$C:$C,Movimientos!$A:$A,$B6,Movimientos!$D:$D,CONCATENATE("&lt;",MW$3),Movimientos!$C:$C,"&lt;0")</f>
        <v>0</v>
      </c>
      <c r="MX6" s="5">
        <f ca="1">SUMIFS(Movimientos!$C:$C,Movimientos!$A:$A,$B6,Movimientos!$D:$D,CONCATENATE("&lt;=",MX$3),Movimientos!$C:$C,"&gt;0")+SUMIFS(Movimientos!$C:$C,Movimientos!$A:$A,$B6,Movimientos!$D:$D,CONCATENATE("&lt;",MX$3),Movimientos!$C:$C,"&lt;0")</f>
        <v>0</v>
      </c>
      <c r="MY6" s="5">
        <f ca="1">SUMIFS(Movimientos!$C:$C,Movimientos!$A:$A,$B6,Movimientos!$D:$D,CONCATENATE("&lt;=",MY$3),Movimientos!$C:$C,"&gt;0")+SUMIFS(Movimientos!$C:$C,Movimientos!$A:$A,$B6,Movimientos!$D:$D,CONCATENATE("&lt;",MY$3),Movimientos!$C:$C,"&lt;0")</f>
        <v>0</v>
      </c>
      <c r="MZ6" s="5">
        <f ca="1">SUMIFS(Movimientos!$C:$C,Movimientos!$A:$A,$B6,Movimientos!$D:$D,CONCATENATE("&lt;=",MZ$3),Movimientos!$C:$C,"&gt;0")+SUMIFS(Movimientos!$C:$C,Movimientos!$A:$A,$B6,Movimientos!$D:$D,CONCATENATE("&lt;",MZ$3),Movimientos!$C:$C,"&lt;0")</f>
        <v>0</v>
      </c>
      <c r="NA6" s="5">
        <f ca="1">SUMIFS(Movimientos!$C:$C,Movimientos!$A:$A,$B6,Movimientos!$D:$D,CONCATENATE("&lt;=",NA$3),Movimientos!$C:$C,"&gt;0")+SUMIFS(Movimientos!$C:$C,Movimientos!$A:$A,$B6,Movimientos!$D:$D,CONCATENATE("&lt;",NA$3),Movimientos!$C:$C,"&lt;0")</f>
        <v>0</v>
      </c>
      <c r="NB6" s="5">
        <f ca="1">SUMIFS(Movimientos!$C:$C,Movimientos!$A:$A,$B6,Movimientos!$D:$D,CONCATENATE("&lt;=",NB$3),Movimientos!$C:$C,"&gt;0")+SUMIFS(Movimientos!$C:$C,Movimientos!$A:$A,$B6,Movimientos!$D:$D,CONCATENATE("&lt;",NB$3),Movimientos!$C:$C,"&lt;0")</f>
        <v>0</v>
      </c>
      <c r="NC6" s="5">
        <f ca="1">SUMIFS(Movimientos!$C:$C,Movimientos!$A:$A,$B6,Movimientos!$D:$D,CONCATENATE("&lt;=",NC$3),Movimientos!$C:$C,"&gt;0")+SUMIFS(Movimientos!$C:$C,Movimientos!$A:$A,$B6,Movimientos!$D:$D,CONCATENATE("&lt;",NC$3),Movimientos!$C:$C,"&lt;0")</f>
        <v>0</v>
      </c>
      <c r="ND6" s="5">
        <f ca="1">SUMIFS(Movimientos!$C:$C,Movimientos!$A:$A,$B6,Movimientos!$D:$D,CONCATENATE("&lt;=",ND$3),Movimientos!$C:$C,"&gt;0")+SUMIFS(Movimientos!$C:$C,Movimientos!$A:$A,$B6,Movimientos!$D:$D,CONCATENATE("&lt;",ND$3),Movimientos!$C:$C,"&lt;0")</f>
        <v>0</v>
      </c>
      <c r="NE6" s="5">
        <f ca="1">SUMIFS(Movimientos!$C:$C,Movimientos!$A:$A,$B6,Movimientos!$D:$D,CONCATENATE("&lt;=",NE$3),Movimientos!$C:$C,"&gt;0")+SUMIFS(Movimientos!$C:$C,Movimientos!$A:$A,$B6,Movimientos!$D:$D,CONCATENATE("&lt;",NE$3),Movimientos!$C:$C,"&lt;0")</f>
        <v>0</v>
      </c>
      <c r="NF6" s="5">
        <f ca="1">SUMIFS(Movimientos!$C:$C,Movimientos!$A:$A,$B6,Movimientos!$D:$D,CONCATENATE("&lt;=",NF$3),Movimientos!$C:$C,"&gt;0")+SUMIFS(Movimientos!$C:$C,Movimientos!$A:$A,$B6,Movimientos!$D:$D,CONCATENATE("&lt;",NF$3),Movimientos!$C:$C,"&lt;0")</f>
        <v>0</v>
      </c>
      <c r="NG6" s="5">
        <f ca="1">SUMIFS(Movimientos!$C:$C,Movimientos!$A:$A,$B6,Movimientos!$D:$D,CONCATENATE("&lt;=",NG$3),Movimientos!$C:$C,"&gt;0")+SUMIFS(Movimientos!$C:$C,Movimientos!$A:$A,$B6,Movimientos!$D:$D,CONCATENATE("&lt;",NG$3),Movimientos!$C:$C,"&lt;0")</f>
        <v>0</v>
      </c>
      <c r="NH6" s="5">
        <f ca="1">SUMIFS(Movimientos!$C:$C,Movimientos!$A:$A,$B6,Movimientos!$D:$D,CONCATENATE("&lt;=",NH$3),Movimientos!$C:$C,"&gt;0")+SUMIFS(Movimientos!$C:$C,Movimientos!$A:$A,$B6,Movimientos!$D:$D,CONCATENATE("&lt;",NH$3),Movimientos!$C:$C,"&lt;0")</f>
        <v>0</v>
      </c>
      <c r="NI6" s="5">
        <f ca="1">SUMIFS(Movimientos!$C:$C,Movimientos!$A:$A,$B6,Movimientos!$D:$D,CONCATENATE("&lt;=",NI$3),Movimientos!$C:$C,"&gt;0")+SUMIFS(Movimientos!$C:$C,Movimientos!$A:$A,$B6,Movimientos!$D:$D,CONCATENATE("&lt;",NI$3),Movimientos!$C:$C,"&lt;0")</f>
        <v>0</v>
      </c>
      <c r="NJ6" s="5">
        <f ca="1">SUMIFS(Movimientos!$C:$C,Movimientos!$A:$A,$B6,Movimientos!$D:$D,CONCATENATE("&lt;=",NJ$3),Movimientos!$C:$C,"&gt;0")+SUMIFS(Movimientos!$C:$C,Movimientos!$A:$A,$B6,Movimientos!$D:$D,CONCATENATE("&lt;",NJ$3),Movimientos!$C:$C,"&lt;0")</f>
        <v>0</v>
      </c>
      <c r="NK6" s="5">
        <f ca="1">SUMIFS(Movimientos!$C:$C,Movimientos!$A:$A,$B6,Movimientos!$D:$D,CONCATENATE("&lt;=",NK$3),Movimientos!$C:$C,"&gt;0")+SUMIFS(Movimientos!$C:$C,Movimientos!$A:$A,$B6,Movimientos!$D:$D,CONCATENATE("&lt;",NK$3),Movimientos!$C:$C,"&lt;0")</f>
        <v>0</v>
      </c>
      <c r="NL6" s="5">
        <f ca="1">SUMIFS(Movimientos!$C:$C,Movimientos!$A:$A,$B6,Movimientos!$D:$D,CONCATENATE("&lt;=",NL$3),Movimientos!$C:$C,"&gt;0")+SUMIFS(Movimientos!$C:$C,Movimientos!$A:$A,$B6,Movimientos!$D:$D,CONCATENATE("&lt;",NL$3),Movimientos!$C:$C,"&lt;0")</f>
        <v>0</v>
      </c>
      <c r="NM6" s="5">
        <f ca="1">SUMIFS(Movimientos!$C:$C,Movimientos!$A:$A,$B6,Movimientos!$D:$D,CONCATENATE("&lt;=",NM$3),Movimientos!$C:$C,"&gt;0")+SUMIFS(Movimientos!$C:$C,Movimientos!$A:$A,$B6,Movimientos!$D:$D,CONCATENATE("&lt;",NM$3),Movimientos!$C:$C,"&lt;0")</f>
        <v>0</v>
      </c>
      <c r="NN6" s="5">
        <f ca="1">SUMIFS(Movimientos!$C:$C,Movimientos!$A:$A,$B6,Movimientos!$D:$D,CONCATENATE("&lt;=",NN$3),Movimientos!$C:$C,"&gt;0")+SUMIFS(Movimientos!$C:$C,Movimientos!$A:$A,$B6,Movimientos!$D:$D,CONCATENATE("&lt;",NN$3),Movimientos!$C:$C,"&lt;0")</f>
        <v>0</v>
      </c>
      <c r="NO6" s="5">
        <f ca="1">SUMIFS(Movimientos!$C:$C,Movimientos!$A:$A,$B6,Movimientos!$D:$D,CONCATENATE("&lt;=",NO$3),Movimientos!$C:$C,"&gt;0")+SUMIFS(Movimientos!$C:$C,Movimientos!$A:$A,$B6,Movimientos!$D:$D,CONCATENATE("&lt;",NO$3),Movimientos!$C:$C,"&lt;0")</f>
        <v>0</v>
      </c>
      <c r="NP6" s="5">
        <f ca="1">SUMIFS(Movimientos!$C:$C,Movimientos!$A:$A,$B6,Movimientos!$D:$D,CONCATENATE("&lt;=",NP$3),Movimientos!$C:$C,"&gt;0")+SUMIFS(Movimientos!$C:$C,Movimientos!$A:$A,$B6,Movimientos!$D:$D,CONCATENATE("&lt;",NP$3),Movimientos!$C:$C,"&lt;0")</f>
        <v>0</v>
      </c>
      <c r="NQ6" s="5">
        <f ca="1">SUMIFS(Movimientos!$C:$C,Movimientos!$A:$A,$B6,Movimientos!$D:$D,CONCATENATE("&lt;=",NQ$3),Movimientos!$C:$C,"&gt;0")+SUMIFS(Movimientos!$C:$C,Movimientos!$A:$A,$B6,Movimientos!$D:$D,CONCATENATE("&lt;",NQ$3),Movimientos!$C:$C,"&lt;0")</f>
        <v>0</v>
      </c>
      <c r="NR6" s="5">
        <f ca="1">SUMIFS(Movimientos!$C:$C,Movimientos!$A:$A,$B6,Movimientos!$D:$D,CONCATENATE("&lt;=",NR$3),Movimientos!$C:$C,"&gt;0")+SUMIFS(Movimientos!$C:$C,Movimientos!$A:$A,$B6,Movimientos!$D:$D,CONCATENATE("&lt;",NR$3),Movimientos!$C:$C,"&lt;0")</f>
        <v>0</v>
      </c>
      <c r="NS6" s="5">
        <f ca="1">SUMIFS(Movimientos!$C:$C,Movimientos!$A:$A,$B6,Movimientos!$D:$D,CONCATENATE("&lt;=",NS$3),Movimientos!$C:$C,"&gt;0")+SUMIFS(Movimientos!$C:$C,Movimientos!$A:$A,$B6,Movimientos!$D:$D,CONCATENATE("&lt;",NS$3),Movimientos!$C:$C,"&lt;0")</f>
        <v>0</v>
      </c>
      <c r="NT6" s="5">
        <f ca="1">SUMIFS(Movimientos!$C:$C,Movimientos!$A:$A,$B6,Movimientos!$D:$D,CONCATENATE("&lt;=",NT$3),Movimientos!$C:$C,"&gt;0")+SUMIFS(Movimientos!$C:$C,Movimientos!$A:$A,$B6,Movimientos!$D:$D,CONCATENATE("&lt;",NT$3),Movimientos!$C:$C,"&lt;0")</f>
        <v>0</v>
      </c>
      <c r="NU6" s="5">
        <f ca="1">SUMIFS(Movimientos!$C:$C,Movimientos!$A:$A,$B6,Movimientos!$D:$D,CONCATENATE("&lt;=",NU$3),Movimientos!$C:$C,"&gt;0")+SUMIFS(Movimientos!$C:$C,Movimientos!$A:$A,$B6,Movimientos!$D:$D,CONCATENATE("&lt;",NU$3),Movimientos!$C:$C,"&lt;0")</f>
        <v>0</v>
      </c>
      <c r="NV6" s="5">
        <f ca="1">SUMIFS(Movimientos!$C:$C,Movimientos!$A:$A,$B6,Movimientos!$D:$D,CONCATENATE("&lt;=",NV$3),Movimientos!$C:$C,"&gt;0")+SUMIFS(Movimientos!$C:$C,Movimientos!$A:$A,$B6,Movimientos!$D:$D,CONCATENATE("&lt;",NV$3),Movimientos!$C:$C,"&lt;0")</f>
        <v>0</v>
      </c>
      <c r="NW6" s="5">
        <f ca="1">SUMIFS(Movimientos!$C:$C,Movimientos!$A:$A,$B6,Movimientos!$D:$D,CONCATENATE("&lt;=",NW$3),Movimientos!$C:$C,"&gt;0")+SUMIFS(Movimientos!$C:$C,Movimientos!$A:$A,$B6,Movimientos!$D:$D,CONCATENATE("&lt;",NW$3),Movimientos!$C:$C,"&lt;0")</f>
        <v>0</v>
      </c>
      <c r="NX6" s="5">
        <f ca="1">SUMIFS(Movimientos!$C:$C,Movimientos!$A:$A,$B6,Movimientos!$D:$D,CONCATENATE("&lt;=",NX$3),Movimientos!$C:$C,"&gt;0")+SUMIFS(Movimientos!$C:$C,Movimientos!$A:$A,$B6,Movimientos!$D:$D,CONCATENATE("&lt;",NX$3),Movimientos!$C:$C,"&lt;0")</f>
        <v>0</v>
      </c>
      <c r="NY6" s="5">
        <f ca="1">SUMIFS(Movimientos!$C:$C,Movimientos!$A:$A,$B6,Movimientos!$D:$D,CONCATENATE("&lt;=",NY$3),Movimientos!$C:$C,"&gt;0")+SUMIFS(Movimientos!$C:$C,Movimientos!$A:$A,$B6,Movimientos!$D:$D,CONCATENATE("&lt;",NY$3),Movimientos!$C:$C,"&lt;0")</f>
        <v>0</v>
      </c>
      <c r="NZ6" s="5">
        <f ca="1">SUMIFS(Movimientos!$C:$C,Movimientos!$A:$A,$B6,Movimientos!$D:$D,CONCATENATE("&lt;=",NZ$3),Movimientos!$C:$C,"&gt;0")+SUMIFS(Movimientos!$C:$C,Movimientos!$A:$A,$B6,Movimientos!$D:$D,CONCATENATE("&lt;",NZ$3),Movimientos!$C:$C,"&lt;0")</f>
        <v>0</v>
      </c>
      <c r="OA6" s="5">
        <f ca="1">SUMIFS(Movimientos!$C:$C,Movimientos!$A:$A,$B6,Movimientos!$D:$D,CONCATENATE("&lt;=",OA$3),Movimientos!$C:$C,"&gt;0")+SUMIFS(Movimientos!$C:$C,Movimientos!$A:$A,$B6,Movimientos!$D:$D,CONCATENATE("&lt;",OA$3),Movimientos!$C:$C,"&lt;0")</f>
        <v>0</v>
      </c>
      <c r="OB6" s="5">
        <f ca="1">SUMIFS(Movimientos!$C:$C,Movimientos!$A:$A,$B6,Movimientos!$D:$D,CONCATENATE("&lt;=",OB$3),Movimientos!$C:$C,"&gt;0")+SUMIFS(Movimientos!$C:$C,Movimientos!$A:$A,$B6,Movimientos!$D:$D,CONCATENATE("&lt;",OB$3),Movimientos!$C:$C,"&lt;0")</f>
        <v>0</v>
      </c>
      <c r="OC6" s="5">
        <f ca="1">SUMIFS(Movimientos!$C:$C,Movimientos!$A:$A,$B6,Movimientos!$D:$D,CONCATENATE("&lt;=",OC$3),Movimientos!$C:$C,"&gt;0")+SUMIFS(Movimientos!$C:$C,Movimientos!$A:$A,$B6,Movimientos!$D:$D,CONCATENATE("&lt;",OC$3),Movimientos!$C:$C,"&lt;0")</f>
        <v>0</v>
      </c>
      <c r="OD6" s="5">
        <f ca="1">SUMIFS(Movimientos!$C:$C,Movimientos!$A:$A,$B6,Movimientos!$D:$D,CONCATENATE("&lt;=",OD$3),Movimientos!$C:$C,"&gt;0")+SUMIFS(Movimientos!$C:$C,Movimientos!$A:$A,$B6,Movimientos!$D:$D,CONCATENATE("&lt;",OD$3),Movimientos!$C:$C,"&lt;0")</f>
        <v>0</v>
      </c>
      <c r="OE6" s="5">
        <f ca="1">SUMIFS(Movimientos!$C:$C,Movimientos!$A:$A,$B6,Movimientos!$D:$D,CONCATENATE("&lt;=",OE$3),Movimientos!$C:$C,"&gt;0")+SUMIFS(Movimientos!$C:$C,Movimientos!$A:$A,$B6,Movimientos!$D:$D,CONCATENATE("&lt;",OE$3),Movimientos!$C:$C,"&lt;0")</f>
        <v>0</v>
      </c>
      <c r="OF6" s="5">
        <f ca="1">SUMIFS(Movimientos!$C:$C,Movimientos!$A:$A,$B6,Movimientos!$D:$D,CONCATENATE("&lt;=",OF$3),Movimientos!$C:$C,"&gt;0")+SUMIFS(Movimientos!$C:$C,Movimientos!$A:$A,$B6,Movimientos!$D:$D,CONCATENATE("&lt;",OF$3),Movimientos!$C:$C,"&lt;0")</f>
        <v>0</v>
      </c>
      <c r="OG6" s="5">
        <f ca="1">SUMIFS(Movimientos!$C:$C,Movimientos!$A:$A,$B6,Movimientos!$D:$D,CONCATENATE("&lt;=",OG$3),Movimientos!$C:$C,"&gt;0")+SUMIFS(Movimientos!$C:$C,Movimientos!$A:$A,$B6,Movimientos!$D:$D,CONCATENATE("&lt;",OG$3),Movimientos!$C:$C,"&lt;0")</f>
        <v>0</v>
      </c>
      <c r="OH6" s="5">
        <f ca="1">SUMIFS(Movimientos!$C:$C,Movimientos!$A:$A,$B6,Movimientos!$D:$D,CONCATENATE("&lt;=",OH$3),Movimientos!$C:$C,"&gt;0")+SUMIFS(Movimientos!$C:$C,Movimientos!$A:$A,$B6,Movimientos!$D:$D,CONCATENATE("&lt;",OH$3),Movimientos!$C:$C,"&lt;0")</f>
        <v>0</v>
      </c>
      <c r="OI6" s="5">
        <f ca="1">SUMIFS(Movimientos!$C:$C,Movimientos!$A:$A,$B6,Movimientos!$D:$D,CONCATENATE("&lt;=",OI$3),Movimientos!$C:$C,"&gt;0")+SUMIFS(Movimientos!$C:$C,Movimientos!$A:$A,$B6,Movimientos!$D:$D,CONCATENATE("&lt;",OI$3),Movimientos!$C:$C,"&lt;0")</f>
        <v>0</v>
      </c>
      <c r="OJ6" s="5">
        <f ca="1">SUMIFS(Movimientos!$C:$C,Movimientos!$A:$A,$B6,Movimientos!$D:$D,CONCATENATE("&lt;=",OJ$3),Movimientos!$C:$C,"&gt;0")+SUMIFS(Movimientos!$C:$C,Movimientos!$A:$A,$B6,Movimientos!$D:$D,CONCATENATE("&lt;",OJ$3),Movimientos!$C:$C,"&lt;0")</f>
        <v>0</v>
      </c>
      <c r="OK6" s="5">
        <f ca="1">SUMIFS(Movimientos!$C:$C,Movimientos!$A:$A,$B6,Movimientos!$D:$D,CONCATENATE("&lt;=",OK$3),Movimientos!$C:$C,"&gt;0")+SUMIFS(Movimientos!$C:$C,Movimientos!$A:$A,$B6,Movimientos!$D:$D,CONCATENATE("&lt;",OK$3),Movimientos!$C:$C,"&lt;0")</f>
        <v>0</v>
      </c>
      <c r="OL6" s="5">
        <f ca="1">SUMIFS(Movimientos!$C:$C,Movimientos!$A:$A,$B6,Movimientos!$D:$D,CONCATENATE("&lt;=",OL$3),Movimientos!$C:$C,"&gt;0")+SUMIFS(Movimientos!$C:$C,Movimientos!$A:$A,$B6,Movimientos!$D:$D,CONCATENATE("&lt;",OL$3),Movimientos!$C:$C,"&lt;0")</f>
        <v>0</v>
      </c>
      <c r="OM6" s="5">
        <f ca="1">SUMIFS(Movimientos!$C:$C,Movimientos!$A:$A,$B6,Movimientos!$D:$D,CONCATENATE("&lt;=",OM$3),Movimientos!$C:$C,"&gt;0")+SUMIFS(Movimientos!$C:$C,Movimientos!$A:$A,$B6,Movimientos!$D:$D,CONCATENATE("&lt;",OM$3),Movimientos!$C:$C,"&lt;0")</f>
        <v>0</v>
      </c>
      <c r="ON6" s="5">
        <f ca="1">SUMIFS(Movimientos!$C:$C,Movimientos!$A:$A,$B6,Movimientos!$D:$D,CONCATENATE("&lt;=",ON$3),Movimientos!$C:$C,"&gt;0")+SUMIFS(Movimientos!$C:$C,Movimientos!$A:$A,$B6,Movimientos!$D:$D,CONCATENATE("&lt;",ON$3),Movimientos!$C:$C,"&lt;0")</f>
        <v>0</v>
      </c>
      <c r="OO6" s="5">
        <f ca="1">SUMIFS(Movimientos!$C:$C,Movimientos!$A:$A,$B6,Movimientos!$D:$D,CONCATENATE("&lt;=",OO$3),Movimientos!$C:$C,"&gt;0")+SUMIFS(Movimientos!$C:$C,Movimientos!$A:$A,$B6,Movimientos!$D:$D,CONCATENATE("&lt;",OO$3),Movimientos!$C:$C,"&lt;0")</f>
        <v>0</v>
      </c>
      <c r="OP6" s="5">
        <f ca="1">SUMIFS(Movimientos!$C:$C,Movimientos!$A:$A,$B6,Movimientos!$D:$D,CONCATENATE("&lt;=",OP$3),Movimientos!$C:$C,"&gt;0")+SUMIFS(Movimientos!$C:$C,Movimientos!$A:$A,$B6,Movimientos!$D:$D,CONCATENATE("&lt;",OP$3),Movimientos!$C:$C,"&lt;0")</f>
        <v>0</v>
      </c>
      <c r="OQ6" s="5">
        <f ca="1">SUMIFS(Movimientos!$C:$C,Movimientos!$A:$A,$B6,Movimientos!$D:$D,CONCATENATE("&lt;=",OQ$3),Movimientos!$C:$C,"&gt;0")+SUMIFS(Movimientos!$C:$C,Movimientos!$A:$A,$B6,Movimientos!$D:$D,CONCATENATE("&lt;",OQ$3),Movimientos!$C:$C,"&lt;0")</f>
        <v>0</v>
      </c>
      <c r="OR6" s="5">
        <f ca="1">SUMIFS(Movimientos!$C:$C,Movimientos!$A:$A,$B6,Movimientos!$D:$D,CONCATENATE("&lt;=",OR$3),Movimientos!$C:$C,"&gt;0")+SUMIFS(Movimientos!$C:$C,Movimientos!$A:$A,$B6,Movimientos!$D:$D,CONCATENATE("&lt;",OR$3),Movimientos!$C:$C,"&lt;0")</f>
        <v>0</v>
      </c>
      <c r="OS6" s="5">
        <f ca="1">SUMIFS(Movimientos!$C:$C,Movimientos!$A:$A,$B6,Movimientos!$D:$D,CONCATENATE("&lt;=",OS$3),Movimientos!$C:$C,"&gt;0")+SUMIFS(Movimientos!$C:$C,Movimientos!$A:$A,$B6,Movimientos!$D:$D,CONCATENATE("&lt;",OS$3),Movimientos!$C:$C,"&lt;0")</f>
        <v>0</v>
      </c>
      <c r="OT6" s="5">
        <f ca="1">SUMIFS(Movimientos!$C:$C,Movimientos!$A:$A,$B6,Movimientos!$D:$D,CONCATENATE("&lt;=",OT$3),Movimientos!$C:$C,"&gt;0")+SUMIFS(Movimientos!$C:$C,Movimientos!$A:$A,$B6,Movimientos!$D:$D,CONCATENATE("&lt;",OT$3),Movimientos!$C:$C,"&lt;0")</f>
        <v>0</v>
      </c>
      <c r="OU6" s="5">
        <f ca="1">SUMIFS(Movimientos!$C:$C,Movimientos!$A:$A,$B6,Movimientos!$D:$D,CONCATENATE("&lt;=",OU$3),Movimientos!$C:$C,"&gt;0")+SUMIFS(Movimientos!$C:$C,Movimientos!$A:$A,$B6,Movimientos!$D:$D,CONCATENATE("&lt;",OU$3),Movimientos!$C:$C,"&lt;0")</f>
        <v>0</v>
      </c>
      <c r="OV6" s="5">
        <f ca="1">SUMIFS(Movimientos!$C:$C,Movimientos!$A:$A,$B6,Movimientos!$D:$D,CONCATENATE("&lt;=",OV$3),Movimientos!$C:$C,"&gt;0")+SUMIFS(Movimientos!$C:$C,Movimientos!$A:$A,$B6,Movimientos!$D:$D,CONCATENATE("&lt;",OV$3),Movimientos!$C:$C,"&lt;0")</f>
        <v>0</v>
      </c>
      <c r="OW6" s="5">
        <f ca="1">SUMIFS(Movimientos!$C:$C,Movimientos!$A:$A,$B6,Movimientos!$D:$D,CONCATENATE("&lt;=",OW$3),Movimientos!$C:$C,"&gt;0")+SUMIFS(Movimientos!$C:$C,Movimientos!$A:$A,$B6,Movimientos!$D:$D,CONCATENATE("&lt;",OW$3),Movimientos!$C:$C,"&lt;0")</f>
        <v>0</v>
      </c>
      <c r="OX6" s="5">
        <f ca="1">SUMIFS(Movimientos!$C:$C,Movimientos!$A:$A,$B6,Movimientos!$D:$D,CONCATENATE("&lt;=",OX$3),Movimientos!$C:$C,"&gt;0")+SUMIFS(Movimientos!$C:$C,Movimientos!$A:$A,$B6,Movimientos!$D:$D,CONCATENATE("&lt;",OX$3),Movimientos!$C:$C,"&lt;0")</f>
        <v>0</v>
      </c>
      <c r="OY6" s="5">
        <f ca="1">SUMIFS(Movimientos!$C:$C,Movimientos!$A:$A,$B6,Movimientos!$D:$D,CONCATENATE("&lt;=",OY$3),Movimientos!$C:$C,"&gt;0")+SUMIFS(Movimientos!$C:$C,Movimientos!$A:$A,$B6,Movimientos!$D:$D,CONCATENATE("&lt;",OY$3),Movimientos!$C:$C,"&lt;0")</f>
        <v>0</v>
      </c>
      <c r="OZ6" s="5">
        <f ca="1">SUMIFS(Movimientos!$C:$C,Movimientos!$A:$A,$B6,Movimientos!$D:$D,CONCATENATE("&lt;=",OZ$3),Movimientos!$C:$C,"&gt;0")+SUMIFS(Movimientos!$C:$C,Movimientos!$A:$A,$B6,Movimientos!$D:$D,CONCATENATE("&lt;",OZ$3),Movimientos!$C:$C,"&lt;0")</f>
        <v>0</v>
      </c>
      <c r="PA6" s="5">
        <f ca="1">SUMIFS(Movimientos!$C:$C,Movimientos!$A:$A,$B6,Movimientos!$D:$D,CONCATENATE("&lt;=",PA$3),Movimientos!$C:$C,"&gt;0")+SUMIFS(Movimientos!$C:$C,Movimientos!$A:$A,$B6,Movimientos!$D:$D,CONCATENATE("&lt;",PA$3),Movimientos!$C:$C,"&lt;0")</f>
        <v>0</v>
      </c>
      <c r="PB6" s="5">
        <f ca="1">SUMIFS(Movimientos!$C:$C,Movimientos!$A:$A,$B6,Movimientos!$D:$D,CONCATENATE("&lt;=",PB$3),Movimientos!$C:$C,"&gt;0")+SUMIFS(Movimientos!$C:$C,Movimientos!$A:$A,$B6,Movimientos!$D:$D,CONCATENATE("&lt;",PB$3),Movimientos!$C:$C,"&lt;0")</f>
        <v>0</v>
      </c>
      <c r="PC6" s="5">
        <f ca="1">SUMIFS(Movimientos!$C:$C,Movimientos!$A:$A,$B6,Movimientos!$D:$D,CONCATENATE("&lt;=",PC$3),Movimientos!$C:$C,"&gt;0")+SUMIFS(Movimientos!$C:$C,Movimientos!$A:$A,$B6,Movimientos!$D:$D,CONCATENATE("&lt;",PC$3),Movimientos!$C:$C,"&lt;0")</f>
        <v>0</v>
      </c>
      <c r="PD6" s="5">
        <f ca="1">SUMIFS(Movimientos!$C:$C,Movimientos!$A:$A,$B6,Movimientos!$D:$D,CONCATENATE("&lt;=",PD$3),Movimientos!$C:$C,"&gt;0")+SUMIFS(Movimientos!$C:$C,Movimientos!$A:$A,$B6,Movimientos!$D:$D,CONCATENATE("&lt;",PD$3),Movimientos!$C:$C,"&lt;0")</f>
        <v>0</v>
      </c>
      <c r="PE6" s="5">
        <f ca="1">SUMIFS(Movimientos!$C:$C,Movimientos!$A:$A,$B6,Movimientos!$D:$D,CONCATENATE("&lt;=",PE$3),Movimientos!$C:$C,"&gt;0")+SUMIFS(Movimientos!$C:$C,Movimientos!$A:$A,$B6,Movimientos!$D:$D,CONCATENATE("&lt;",PE$3),Movimientos!$C:$C,"&lt;0")</f>
        <v>0</v>
      </c>
      <c r="PF6" s="5">
        <f ca="1">SUMIFS(Movimientos!$C:$C,Movimientos!$A:$A,$B6,Movimientos!$D:$D,CONCATENATE("&lt;=",PF$3),Movimientos!$C:$C,"&gt;0")+SUMIFS(Movimientos!$C:$C,Movimientos!$A:$A,$B6,Movimientos!$D:$D,CONCATENATE("&lt;",PF$3),Movimientos!$C:$C,"&lt;0")</f>
        <v>0</v>
      </c>
      <c r="PG6" s="5">
        <f ca="1">SUMIFS(Movimientos!$C:$C,Movimientos!$A:$A,$B6,Movimientos!$D:$D,CONCATENATE("&lt;=",PG$3),Movimientos!$C:$C,"&gt;0")+SUMIFS(Movimientos!$C:$C,Movimientos!$A:$A,$B6,Movimientos!$D:$D,CONCATENATE("&lt;",PG$3),Movimientos!$C:$C,"&lt;0")</f>
        <v>0</v>
      </c>
      <c r="PH6" s="5">
        <f ca="1">SUMIFS(Movimientos!$C:$C,Movimientos!$A:$A,$B6,Movimientos!$D:$D,CONCATENATE("&lt;=",PH$3),Movimientos!$C:$C,"&gt;0")+SUMIFS(Movimientos!$C:$C,Movimientos!$A:$A,$B6,Movimientos!$D:$D,CONCATENATE("&lt;",PH$3),Movimientos!$C:$C,"&lt;0")</f>
        <v>0</v>
      </c>
      <c r="PI6" s="5">
        <f ca="1">SUMIFS(Movimientos!$C:$C,Movimientos!$A:$A,$B6,Movimientos!$D:$D,CONCATENATE("&lt;=",PI$3),Movimientos!$C:$C,"&gt;0")+SUMIFS(Movimientos!$C:$C,Movimientos!$A:$A,$B6,Movimientos!$D:$D,CONCATENATE("&lt;",PI$3),Movimientos!$C:$C,"&lt;0")</f>
        <v>0</v>
      </c>
      <c r="PJ6" s="5">
        <f ca="1">SUMIFS(Movimientos!$C:$C,Movimientos!$A:$A,$B6,Movimientos!$D:$D,CONCATENATE("&lt;=",PJ$3),Movimientos!$C:$C,"&gt;0")+SUMIFS(Movimientos!$C:$C,Movimientos!$A:$A,$B6,Movimientos!$D:$D,CONCATENATE("&lt;",PJ$3),Movimientos!$C:$C,"&lt;0")</f>
        <v>0</v>
      </c>
      <c r="PK6" s="5">
        <f ca="1">SUMIFS(Movimientos!$C:$C,Movimientos!$A:$A,$B6,Movimientos!$D:$D,CONCATENATE("&lt;=",PK$3),Movimientos!$C:$C,"&gt;0")+SUMIFS(Movimientos!$C:$C,Movimientos!$A:$A,$B6,Movimientos!$D:$D,CONCATENATE("&lt;",PK$3),Movimientos!$C:$C,"&lt;0")</f>
        <v>0</v>
      </c>
      <c r="PL6" s="5">
        <f ca="1">SUMIFS(Movimientos!$C:$C,Movimientos!$A:$A,$B6,Movimientos!$D:$D,CONCATENATE("&lt;=",PL$3),Movimientos!$C:$C,"&gt;0")+SUMIFS(Movimientos!$C:$C,Movimientos!$A:$A,$B6,Movimientos!$D:$D,CONCATENATE("&lt;",PL$3),Movimientos!$C:$C,"&lt;0")</f>
        <v>0</v>
      </c>
      <c r="PM6" s="5">
        <f ca="1">SUMIFS(Movimientos!$C:$C,Movimientos!$A:$A,$B6,Movimientos!$D:$D,CONCATENATE("&lt;=",PM$3),Movimientos!$C:$C,"&gt;0")+SUMIFS(Movimientos!$C:$C,Movimientos!$A:$A,$B6,Movimientos!$D:$D,CONCATENATE("&lt;",PM$3),Movimientos!$C:$C,"&lt;0")</f>
        <v>0</v>
      </c>
      <c r="PN6" s="5">
        <f ca="1">SUMIFS(Movimientos!$C:$C,Movimientos!$A:$A,$B6,Movimientos!$D:$D,CONCATENATE("&lt;=",PN$3),Movimientos!$C:$C,"&gt;0")+SUMIFS(Movimientos!$C:$C,Movimientos!$A:$A,$B6,Movimientos!$D:$D,CONCATENATE("&lt;",PN$3),Movimientos!$C:$C,"&lt;0")</f>
        <v>0</v>
      </c>
      <c r="PO6" s="5">
        <f ca="1">SUMIFS(Movimientos!$C:$C,Movimientos!$A:$A,$B6,Movimientos!$D:$D,CONCATENATE("&lt;=",PO$3),Movimientos!$C:$C,"&gt;0")+SUMIFS(Movimientos!$C:$C,Movimientos!$A:$A,$B6,Movimientos!$D:$D,CONCATENATE("&lt;",PO$3),Movimientos!$C:$C,"&lt;0")</f>
        <v>0</v>
      </c>
      <c r="PP6" s="5">
        <f ca="1">SUMIFS(Movimientos!$C:$C,Movimientos!$A:$A,$B6,Movimientos!$D:$D,CONCATENATE("&lt;=",PP$3),Movimientos!$C:$C,"&gt;0")+SUMIFS(Movimientos!$C:$C,Movimientos!$A:$A,$B6,Movimientos!$D:$D,CONCATENATE("&lt;",PP$3),Movimientos!$C:$C,"&lt;0")</f>
        <v>0</v>
      </c>
      <c r="PQ6" s="5">
        <f ca="1">SUMIFS(Movimientos!$C:$C,Movimientos!$A:$A,$B6,Movimientos!$D:$D,CONCATENATE("&lt;=",PQ$3),Movimientos!$C:$C,"&gt;0")+SUMIFS(Movimientos!$C:$C,Movimientos!$A:$A,$B6,Movimientos!$D:$D,CONCATENATE("&lt;",PQ$3),Movimientos!$C:$C,"&lt;0")</f>
        <v>0</v>
      </c>
      <c r="PR6" s="5">
        <f ca="1">SUMIFS(Movimientos!$C:$C,Movimientos!$A:$A,$B6,Movimientos!$D:$D,CONCATENATE("&lt;=",PR$3),Movimientos!$C:$C,"&gt;0")+SUMIFS(Movimientos!$C:$C,Movimientos!$A:$A,$B6,Movimientos!$D:$D,CONCATENATE("&lt;",PR$3),Movimientos!$C:$C,"&lt;0")</f>
        <v>0</v>
      </c>
      <c r="PS6" s="5">
        <f ca="1">SUMIFS(Movimientos!$C:$C,Movimientos!$A:$A,$B6,Movimientos!$D:$D,CONCATENATE("&lt;=",PS$3),Movimientos!$C:$C,"&gt;0")+SUMIFS(Movimientos!$C:$C,Movimientos!$A:$A,$B6,Movimientos!$D:$D,CONCATENATE("&lt;",PS$3),Movimientos!$C:$C,"&lt;0")</f>
        <v>0</v>
      </c>
      <c r="PT6" s="5">
        <f ca="1">SUMIFS(Movimientos!$C:$C,Movimientos!$A:$A,$B6,Movimientos!$D:$D,CONCATENATE("&lt;=",PT$3),Movimientos!$C:$C,"&gt;0")+SUMIFS(Movimientos!$C:$C,Movimientos!$A:$A,$B6,Movimientos!$D:$D,CONCATENATE("&lt;",PT$3),Movimientos!$C:$C,"&lt;0")</f>
        <v>0</v>
      </c>
      <c r="PU6" s="5">
        <f ca="1">SUMIFS(Movimientos!$C:$C,Movimientos!$A:$A,$B6,Movimientos!$D:$D,CONCATENATE("&lt;=",PU$3),Movimientos!$C:$C,"&gt;0")+SUMIFS(Movimientos!$C:$C,Movimientos!$A:$A,$B6,Movimientos!$D:$D,CONCATENATE("&lt;",PU$3),Movimientos!$C:$C,"&lt;0")</f>
        <v>0</v>
      </c>
      <c r="PV6" s="5">
        <f ca="1">SUMIFS(Movimientos!$C:$C,Movimientos!$A:$A,$B6,Movimientos!$D:$D,CONCATENATE("&lt;=",PV$3),Movimientos!$C:$C,"&gt;0")+SUMIFS(Movimientos!$C:$C,Movimientos!$A:$A,$B6,Movimientos!$D:$D,CONCATENATE("&lt;",PV$3),Movimientos!$C:$C,"&lt;0")</f>
        <v>0</v>
      </c>
      <c r="PW6" s="5">
        <f ca="1">SUMIFS(Movimientos!$C:$C,Movimientos!$A:$A,$B6,Movimientos!$D:$D,CONCATENATE("&lt;=",PW$3),Movimientos!$C:$C,"&gt;0")+SUMIFS(Movimientos!$C:$C,Movimientos!$A:$A,$B6,Movimientos!$D:$D,CONCATENATE("&lt;",PW$3),Movimientos!$C:$C,"&lt;0")</f>
        <v>0</v>
      </c>
      <c r="PX6" s="5">
        <f ca="1">SUMIFS(Movimientos!$C:$C,Movimientos!$A:$A,$B6,Movimientos!$D:$D,CONCATENATE("&lt;=",PX$3),Movimientos!$C:$C,"&gt;0")+SUMIFS(Movimientos!$C:$C,Movimientos!$A:$A,$B6,Movimientos!$D:$D,CONCATENATE("&lt;",PX$3),Movimientos!$C:$C,"&lt;0")</f>
        <v>0</v>
      </c>
      <c r="PY6" s="5">
        <f ca="1">SUMIFS(Movimientos!$C:$C,Movimientos!$A:$A,$B6,Movimientos!$D:$D,CONCATENATE("&lt;=",PY$3),Movimientos!$C:$C,"&gt;0")+SUMIFS(Movimientos!$C:$C,Movimientos!$A:$A,$B6,Movimientos!$D:$D,CONCATENATE("&lt;",PY$3),Movimientos!$C:$C,"&lt;0")</f>
        <v>0</v>
      </c>
      <c r="PZ6" s="5">
        <f ca="1">SUMIFS(Movimientos!$C:$C,Movimientos!$A:$A,$B6,Movimientos!$D:$D,CONCATENATE("&lt;=",PZ$3),Movimientos!$C:$C,"&gt;0")+SUMIFS(Movimientos!$C:$C,Movimientos!$A:$A,$B6,Movimientos!$D:$D,CONCATENATE("&lt;",PZ$3),Movimientos!$C:$C,"&lt;0")</f>
        <v>0</v>
      </c>
      <c r="QA6" s="5">
        <f ca="1">SUMIFS(Movimientos!$C:$C,Movimientos!$A:$A,$B6,Movimientos!$D:$D,CONCATENATE("&lt;=",QA$3),Movimientos!$C:$C,"&gt;0")+SUMIFS(Movimientos!$C:$C,Movimientos!$A:$A,$B6,Movimientos!$D:$D,CONCATENATE("&lt;",QA$3),Movimientos!$C:$C,"&lt;0")</f>
        <v>0</v>
      </c>
      <c r="QB6" s="5">
        <f ca="1">SUMIFS(Movimientos!$C:$C,Movimientos!$A:$A,$B6,Movimientos!$D:$D,CONCATENATE("&lt;=",QB$3),Movimientos!$C:$C,"&gt;0")+SUMIFS(Movimientos!$C:$C,Movimientos!$A:$A,$B6,Movimientos!$D:$D,CONCATENATE("&lt;",QB$3),Movimientos!$C:$C,"&lt;0")</f>
        <v>0</v>
      </c>
      <c r="QC6" s="5">
        <f ca="1">SUMIFS(Movimientos!$C:$C,Movimientos!$A:$A,$B6,Movimientos!$D:$D,CONCATENATE("&lt;=",QC$3),Movimientos!$C:$C,"&gt;0")+SUMIFS(Movimientos!$C:$C,Movimientos!$A:$A,$B6,Movimientos!$D:$D,CONCATENATE("&lt;",QC$3),Movimientos!$C:$C,"&lt;0")</f>
        <v>0</v>
      </c>
      <c r="QD6" s="5">
        <f ca="1">SUMIFS(Movimientos!$C:$C,Movimientos!$A:$A,$B6,Movimientos!$D:$D,CONCATENATE("&lt;=",QD$3),Movimientos!$C:$C,"&gt;0")+SUMIFS(Movimientos!$C:$C,Movimientos!$A:$A,$B6,Movimientos!$D:$D,CONCATENATE("&lt;",QD$3),Movimientos!$C:$C,"&lt;0")</f>
        <v>0</v>
      </c>
      <c r="QE6" s="5">
        <f ca="1">SUMIFS(Movimientos!$C:$C,Movimientos!$A:$A,$B6,Movimientos!$D:$D,CONCATENATE("&lt;=",QE$3),Movimientos!$C:$C,"&gt;0")+SUMIFS(Movimientos!$C:$C,Movimientos!$A:$A,$B6,Movimientos!$D:$D,CONCATENATE("&lt;",QE$3),Movimientos!$C:$C,"&lt;0")</f>
        <v>0</v>
      </c>
      <c r="QF6" s="5">
        <f ca="1">SUMIFS(Movimientos!$C:$C,Movimientos!$A:$A,$B6,Movimientos!$D:$D,CONCATENATE("&lt;=",QF$3),Movimientos!$C:$C,"&gt;0")+SUMIFS(Movimientos!$C:$C,Movimientos!$A:$A,$B6,Movimientos!$D:$D,CONCATENATE("&lt;",QF$3),Movimientos!$C:$C,"&lt;0")</f>
        <v>0</v>
      </c>
      <c r="QG6" s="5">
        <f ca="1">SUMIFS(Movimientos!$C:$C,Movimientos!$A:$A,$B6,Movimientos!$D:$D,CONCATENATE("&lt;=",QG$3),Movimientos!$C:$C,"&gt;0")+SUMIFS(Movimientos!$C:$C,Movimientos!$A:$A,$B6,Movimientos!$D:$D,CONCATENATE("&lt;",QG$3),Movimientos!$C:$C,"&lt;0")</f>
        <v>0</v>
      </c>
      <c r="QH6" s="5">
        <f ca="1">SUMIFS(Movimientos!$C:$C,Movimientos!$A:$A,$B6,Movimientos!$D:$D,CONCATENATE("&lt;=",QH$3),Movimientos!$C:$C,"&gt;0")+SUMIFS(Movimientos!$C:$C,Movimientos!$A:$A,$B6,Movimientos!$D:$D,CONCATENATE("&lt;",QH$3),Movimientos!$C:$C,"&lt;0")</f>
        <v>0</v>
      </c>
      <c r="QI6" s="5">
        <f ca="1">SUMIFS(Movimientos!$C:$C,Movimientos!$A:$A,$B6,Movimientos!$D:$D,CONCATENATE("&lt;=",QI$3),Movimientos!$C:$C,"&gt;0")+SUMIFS(Movimientos!$C:$C,Movimientos!$A:$A,$B6,Movimientos!$D:$D,CONCATENATE("&lt;",QI$3),Movimientos!$C:$C,"&lt;0")</f>
        <v>0</v>
      </c>
      <c r="QJ6" s="5">
        <f ca="1">SUMIFS(Movimientos!$C:$C,Movimientos!$A:$A,$B6,Movimientos!$D:$D,CONCATENATE("&lt;=",QJ$3),Movimientos!$C:$C,"&gt;0")+SUMIFS(Movimientos!$C:$C,Movimientos!$A:$A,$B6,Movimientos!$D:$D,CONCATENATE("&lt;",QJ$3),Movimientos!$C:$C,"&lt;0")</f>
        <v>0</v>
      </c>
      <c r="QK6" s="5">
        <f ca="1">SUMIFS(Movimientos!$C:$C,Movimientos!$A:$A,$B6,Movimientos!$D:$D,CONCATENATE("&lt;=",QK$3),Movimientos!$C:$C,"&gt;0")+SUMIFS(Movimientos!$C:$C,Movimientos!$A:$A,$B6,Movimientos!$D:$D,CONCATENATE("&lt;",QK$3),Movimientos!$C:$C,"&lt;0")</f>
        <v>0</v>
      </c>
      <c r="QL6" s="5">
        <f ca="1">SUMIFS(Movimientos!$C:$C,Movimientos!$A:$A,$B6,Movimientos!$D:$D,CONCATENATE("&lt;=",QL$3),Movimientos!$C:$C,"&gt;0")+SUMIFS(Movimientos!$C:$C,Movimientos!$A:$A,$B6,Movimientos!$D:$D,CONCATENATE("&lt;",QL$3),Movimientos!$C:$C,"&lt;0")</f>
        <v>0</v>
      </c>
      <c r="QM6" s="5">
        <f ca="1">SUMIFS(Movimientos!$C:$C,Movimientos!$A:$A,$B6,Movimientos!$D:$D,CONCATENATE("&lt;=",QM$3),Movimientos!$C:$C,"&gt;0")+SUMIFS(Movimientos!$C:$C,Movimientos!$A:$A,$B6,Movimientos!$D:$D,CONCATENATE("&lt;",QM$3),Movimientos!$C:$C,"&lt;0")</f>
        <v>0</v>
      </c>
      <c r="QN6" s="5">
        <f ca="1">SUMIFS(Movimientos!$C:$C,Movimientos!$A:$A,$B6,Movimientos!$D:$D,CONCATENATE("&lt;=",QN$3),Movimientos!$C:$C,"&gt;0")+SUMIFS(Movimientos!$C:$C,Movimientos!$A:$A,$B6,Movimientos!$D:$D,CONCATENATE("&lt;",QN$3),Movimientos!$C:$C,"&lt;0")</f>
        <v>0</v>
      </c>
      <c r="QO6" s="5">
        <f ca="1">SUMIFS(Movimientos!$C:$C,Movimientos!$A:$A,$B6,Movimientos!$D:$D,CONCATENATE("&lt;=",QO$3),Movimientos!$C:$C,"&gt;0")+SUMIFS(Movimientos!$C:$C,Movimientos!$A:$A,$B6,Movimientos!$D:$D,CONCATENATE("&lt;",QO$3),Movimientos!$C:$C,"&lt;0")</f>
        <v>0</v>
      </c>
      <c r="QP6" s="5">
        <f ca="1">SUMIFS(Movimientos!$C:$C,Movimientos!$A:$A,$B6,Movimientos!$D:$D,CONCATENATE("&lt;=",QP$3),Movimientos!$C:$C,"&gt;0")+SUMIFS(Movimientos!$C:$C,Movimientos!$A:$A,$B6,Movimientos!$D:$D,CONCATENATE("&lt;",QP$3),Movimientos!$C:$C,"&lt;0")</f>
        <v>0</v>
      </c>
      <c r="QQ6" s="5">
        <f ca="1">SUMIFS(Movimientos!$C:$C,Movimientos!$A:$A,$B6,Movimientos!$D:$D,CONCATENATE("&lt;=",QQ$3),Movimientos!$C:$C,"&gt;0")+SUMIFS(Movimientos!$C:$C,Movimientos!$A:$A,$B6,Movimientos!$D:$D,CONCATENATE("&lt;",QQ$3),Movimientos!$C:$C,"&lt;0")</f>
        <v>0</v>
      </c>
      <c r="QR6" s="5">
        <f ca="1">SUMIFS(Movimientos!$C:$C,Movimientos!$A:$A,$B6,Movimientos!$D:$D,CONCATENATE("&lt;=",QR$3),Movimientos!$C:$C,"&gt;0")+SUMIFS(Movimientos!$C:$C,Movimientos!$A:$A,$B6,Movimientos!$D:$D,CONCATENATE("&lt;",QR$3),Movimientos!$C:$C,"&lt;0")</f>
        <v>0</v>
      </c>
      <c r="QS6" s="5">
        <f ca="1">SUMIFS(Movimientos!$C:$C,Movimientos!$A:$A,$B6,Movimientos!$D:$D,CONCATENATE("&lt;=",QS$3),Movimientos!$C:$C,"&gt;0")+SUMIFS(Movimientos!$C:$C,Movimientos!$A:$A,$B6,Movimientos!$D:$D,CONCATENATE("&lt;",QS$3),Movimientos!$C:$C,"&lt;0")</f>
        <v>0</v>
      </c>
      <c r="QT6" s="5">
        <f ca="1">SUMIFS(Movimientos!$C:$C,Movimientos!$A:$A,$B6,Movimientos!$D:$D,CONCATENATE("&lt;=",QT$3),Movimientos!$C:$C,"&gt;0")+SUMIFS(Movimientos!$C:$C,Movimientos!$A:$A,$B6,Movimientos!$D:$D,CONCATENATE("&lt;",QT$3),Movimientos!$C:$C,"&lt;0")</f>
        <v>0</v>
      </c>
      <c r="QU6" s="5">
        <f ca="1">SUMIFS(Movimientos!$C:$C,Movimientos!$A:$A,$B6,Movimientos!$D:$D,CONCATENATE("&lt;=",QU$3),Movimientos!$C:$C,"&gt;0")+SUMIFS(Movimientos!$C:$C,Movimientos!$A:$A,$B6,Movimientos!$D:$D,CONCATENATE("&lt;",QU$3),Movimientos!$C:$C,"&lt;0")</f>
        <v>0</v>
      </c>
      <c r="QV6" s="5">
        <f ca="1">SUMIFS(Movimientos!$C:$C,Movimientos!$A:$A,$B6,Movimientos!$D:$D,CONCATENATE("&lt;=",QV$3),Movimientos!$C:$C,"&gt;0")+SUMIFS(Movimientos!$C:$C,Movimientos!$A:$A,$B6,Movimientos!$D:$D,CONCATENATE("&lt;",QV$3),Movimientos!$C:$C,"&lt;0")</f>
        <v>0</v>
      </c>
      <c r="QW6" s="5">
        <f ca="1">SUMIFS(Movimientos!$C:$C,Movimientos!$A:$A,$B6,Movimientos!$D:$D,CONCATENATE("&lt;=",QW$3),Movimientos!$C:$C,"&gt;0")+SUMIFS(Movimientos!$C:$C,Movimientos!$A:$A,$B6,Movimientos!$D:$D,CONCATENATE("&lt;",QW$3),Movimientos!$C:$C,"&lt;0")</f>
        <v>0</v>
      </c>
      <c r="QX6" s="5">
        <f ca="1">SUMIFS(Movimientos!$C:$C,Movimientos!$A:$A,$B6,Movimientos!$D:$D,CONCATENATE("&lt;=",QX$3),Movimientos!$C:$C,"&gt;0")+SUMIFS(Movimientos!$C:$C,Movimientos!$A:$A,$B6,Movimientos!$D:$D,CONCATENATE("&lt;",QX$3),Movimientos!$C:$C,"&lt;0")</f>
        <v>0</v>
      </c>
      <c r="QY6" s="5">
        <f ca="1">SUMIFS(Movimientos!$C:$C,Movimientos!$A:$A,$B6,Movimientos!$D:$D,CONCATENATE("&lt;=",QY$3),Movimientos!$C:$C,"&gt;0")+SUMIFS(Movimientos!$C:$C,Movimientos!$A:$A,$B6,Movimientos!$D:$D,CONCATENATE("&lt;",QY$3),Movimientos!$C:$C,"&lt;0")</f>
        <v>0</v>
      </c>
      <c r="QZ6" s="5">
        <f ca="1">SUMIFS(Movimientos!$C:$C,Movimientos!$A:$A,$B6,Movimientos!$D:$D,CONCATENATE("&lt;=",QZ$3),Movimientos!$C:$C,"&gt;0")+SUMIFS(Movimientos!$C:$C,Movimientos!$A:$A,$B6,Movimientos!$D:$D,CONCATENATE("&lt;",QZ$3),Movimientos!$C:$C,"&lt;0")</f>
        <v>0</v>
      </c>
      <c r="RA6" s="5">
        <f ca="1">SUMIFS(Movimientos!$C:$C,Movimientos!$A:$A,$B6,Movimientos!$D:$D,CONCATENATE("&lt;=",RA$3),Movimientos!$C:$C,"&gt;0")+SUMIFS(Movimientos!$C:$C,Movimientos!$A:$A,$B6,Movimientos!$D:$D,CONCATENATE("&lt;",RA$3),Movimientos!$C:$C,"&lt;0")</f>
        <v>0</v>
      </c>
      <c r="RB6" s="5">
        <f ca="1">SUMIFS(Movimientos!$C:$C,Movimientos!$A:$A,$B6,Movimientos!$D:$D,CONCATENATE("&lt;=",RB$3),Movimientos!$C:$C,"&gt;0")+SUMIFS(Movimientos!$C:$C,Movimientos!$A:$A,$B6,Movimientos!$D:$D,CONCATENATE("&lt;",RB$3),Movimientos!$C:$C,"&lt;0")</f>
        <v>0</v>
      </c>
      <c r="RC6" s="5">
        <f ca="1">SUMIFS(Movimientos!$C:$C,Movimientos!$A:$A,$B6,Movimientos!$D:$D,CONCATENATE("&lt;=",RC$3),Movimientos!$C:$C,"&gt;0")+SUMIFS(Movimientos!$C:$C,Movimientos!$A:$A,$B6,Movimientos!$D:$D,CONCATENATE("&lt;",RC$3),Movimientos!$C:$C,"&lt;0")</f>
        <v>0</v>
      </c>
      <c r="RD6" s="5">
        <f ca="1">SUMIFS(Movimientos!$C:$C,Movimientos!$A:$A,$B6,Movimientos!$D:$D,CONCATENATE("&lt;=",RD$3),Movimientos!$C:$C,"&gt;0")+SUMIFS(Movimientos!$C:$C,Movimientos!$A:$A,$B6,Movimientos!$D:$D,CONCATENATE("&lt;",RD$3),Movimientos!$C:$C,"&lt;0")</f>
        <v>0</v>
      </c>
      <c r="RE6" s="5">
        <f ca="1">SUMIFS(Movimientos!$C:$C,Movimientos!$A:$A,$B6,Movimientos!$D:$D,CONCATENATE("&lt;=",RE$3),Movimientos!$C:$C,"&gt;0")+SUMIFS(Movimientos!$C:$C,Movimientos!$A:$A,$B6,Movimientos!$D:$D,CONCATENATE("&lt;",RE$3),Movimientos!$C:$C,"&lt;0")</f>
        <v>0</v>
      </c>
      <c r="RF6" s="5">
        <f ca="1">SUMIFS(Movimientos!$C:$C,Movimientos!$A:$A,$B6,Movimientos!$D:$D,CONCATENATE("&lt;=",RF$3),Movimientos!$C:$C,"&gt;0")+SUMIFS(Movimientos!$C:$C,Movimientos!$A:$A,$B6,Movimientos!$D:$D,CONCATENATE("&lt;",RF$3),Movimientos!$C:$C,"&lt;0")</f>
        <v>0</v>
      </c>
      <c r="RG6" s="5">
        <f ca="1">SUMIFS(Movimientos!$C:$C,Movimientos!$A:$A,$B6,Movimientos!$D:$D,CONCATENATE("&lt;=",RG$3),Movimientos!$C:$C,"&gt;0")+SUMIFS(Movimientos!$C:$C,Movimientos!$A:$A,$B6,Movimientos!$D:$D,CONCATENATE("&lt;",RG$3),Movimientos!$C:$C,"&lt;0")</f>
        <v>0</v>
      </c>
      <c r="RH6" s="5">
        <f ca="1">SUMIFS(Movimientos!$C:$C,Movimientos!$A:$A,$B6,Movimientos!$D:$D,CONCATENATE("&lt;=",RH$3),Movimientos!$C:$C,"&gt;0")+SUMIFS(Movimientos!$C:$C,Movimientos!$A:$A,$B6,Movimientos!$D:$D,CONCATENATE("&lt;",RH$3),Movimientos!$C:$C,"&lt;0")</f>
        <v>0</v>
      </c>
      <c r="RI6" s="5">
        <f ca="1">SUMIFS(Movimientos!$C:$C,Movimientos!$A:$A,$B6,Movimientos!$D:$D,CONCATENATE("&lt;=",RI$3),Movimientos!$C:$C,"&gt;0")+SUMIFS(Movimientos!$C:$C,Movimientos!$A:$A,$B6,Movimientos!$D:$D,CONCATENATE("&lt;",RI$3),Movimientos!$C:$C,"&lt;0")</f>
        <v>0</v>
      </c>
      <c r="RJ6" s="5">
        <f ca="1">SUMIFS(Movimientos!$C:$C,Movimientos!$A:$A,$B6,Movimientos!$D:$D,CONCATENATE("&lt;=",RJ$3),Movimientos!$C:$C,"&gt;0")+SUMIFS(Movimientos!$C:$C,Movimientos!$A:$A,$B6,Movimientos!$D:$D,CONCATENATE("&lt;",RJ$3),Movimientos!$C:$C,"&lt;0")</f>
        <v>0</v>
      </c>
      <c r="RK6" s="5">
        <f ca="1">SUMIFS(Movimientos!$C:$C,Movimientos!$A:$A,$B6,Movimientos!$D:$D,CONCATENATE("&lt;=",RK$3),Movimientos!$C:$C,"&gt;0")+SUMIFS(Movimientos!$C:$C,Movimientos!$A:$A,$B6,Movimientos!$D:$D,CONCATENATE("&lt;",RK$3),Movimientos!$C:$C,"&lt;0")</f>
        <v>0</v>
      </c>
      <c r="RL6" s="5">
        <f ca="1">SUMIFS(Movimientos!$C:$C,Movimientos!$A:$A,$B6,Movimientos!$D:$D,CONCATENATE("&lt;=",RL$3),Movimientos!$C:$C,"&gt;0")+SUMIFS(Movimientos!$C:$C,Movimientos!$A:$A,$B6,Movimientos!$D:$D,CONCATENATE("&lt;",RL$3),Movimientos!$C:$C,"&lt;0")</f>
        <v>0</v>
      </c>
      <c r="RM6" s="5">
        <f ca="1">SUMIFS(Movimientos!$C:$C,Movimientos!$A:$A,$B6,Movimientos!$D:$D,CONCATENATE("&lt;=",RM$3),Movimientos!$C:$C,"&gt;0")+SUMIFS(Movimientos!$C:$C,Movimientos!$A:$A,$B6,Movimientos!$D:$D,CONCATENATE("&lt;",RM$3),Movimientos!$C:$C,"&lt;0")</f>
        <v>0</v>
      </c>
      <c r="RN6" s="5">
        <f ca="1">SUMIFS(Movimientos!$C:$C,Movimientos!$A:$A,$B6,Movimientos!$D:$D,CONCATENATE("&lt;=",RN$3),Movimientos!$C:$C,"&gt;0")+SUMIFS(Movimientos!$C:$C,Movimientos!$A:$A,$B6,Movimientos!$D:$D,CONCATENATE("&lt;",RN$3),Movimientos!$C:$C,"&lt;0")</f>
        <v>0</v>
      </c>
      <c r="RO6" s="5">
        <f ca="1">SUMIFS(Movimientos!$C:$C,Movimientos!$A:$A,$B6,Movimientos!$D:$D,CONCATENATE("&lt;=",RO$3),Movimientos!$C:$C,"&gt;0")+SUMIFS(Movimientos!$C:$C,Movimientos!$A:$A,$B6,Movimientos!$D:$D,CONCATENATE("&lt;",RO$3),Movimientos!$C:$C,"&lt;0")</f>
        <v>0</v>
      </c>
      <c r="RP6" s="5">
        <f ca="1">SUMIFS(Movimientos!$C:$C,Movimientos!$A:$A,$B6,Movimientos!$D:$D,CONCATENATE("&lt;=",RP$3),Movimientos!$C:$C,"&gt;0")+SUMIFS(Movimientos!$C:$C,Movimientos!$A:$A,$B6,Movimientos!$D:$D,CONCATENATE("&lt;",RP$3),Movimientos!$C:$C,"&lt;0")</f>
        <v>0</v>
      </c>
      <c r="RQ6" s="5">
        <f ca="1">SUMIFS(Movimientos!$C:$C,Movimientos!$A:$A,$B6,Movimientos!$D:$D,CONCATENATE("&lt;=",RQ$3),Movimientos!$C:$C,"&gt;0")+SUMIFS(Movimientos!$C:$C,Movimientos!$A:$A,$B6,Movimientos!$D:$D,CONCATENATE("&lt;",RQ$3),Movimientos!$C:$C,"&lt;0")</f>
        <v>0</v>
      </c>
      <c r="RR6" s="5">
        <f ca="1">SUMIFS(Movimientos!$C:$C,Movimientos!$A:$A,$B6,Movimientos!$D:$D,CONCATENATE("&lt;=",RR$3),Movimientos!$C:$C,"&gt;0")+SUMIFS(Movimientos!$C:$C,Movimientos!$A:$A,$B6,Movimientos!$D:$D,CONCATENATE("&lt;",RR$3),Movimientos!$C:$C,"&lt;0")</f>
        <v>0</v>
      </c>
      <c r="RS6" s="5">
        <f ca="1">SUMIFS(Movimientos!$C:$C,Movimientos!$A:$A,$B6,Movimientos!$D:$D,CONCATENATE("&lt;=",RS$3),Movimientos!$C:$C,"&gt;0")+SUMIFS(Movimientos!$C:$C,Movimientos!$A:$A,$B6,Movimientos!$D:$D,CONCATENATE("&lt;",RS$3),Movimientos!$C:$C,"&lt;0")</f>
        <v>0</v>
      </c>
      <c r="RT6" s="5">
        <f ca="1">SUMIFS(Movimientos!$C:$C,Movimientos!$A:$A,$B6,Movimientos!$D:$D,CONCATENATE("&lt;=",RT$3),Movimientos!$C:$C,"&gt;0")+SUMIFS(Movimientos!$C:$C,Movimientos!$A:$A,$B6,Movimientos!$D:$D,CONCATENATE("&lt;",RT$3),Movimientos!$C:$C,"&lt;0")</f>
        <v>0</v>
      </c>
      <c r="RU6" s="5">
        <f ca="1">SUMIFS(Movimientos!$C:$C,Movimientos!$A:$A,$B6,Movimientos!$D:$D,CONCATENATE("&lt;=",RU$3),Movimientos!$C:$C,"&gt;0")+SUMIFS(Movimientos!$C:$C,Movimientos!$A:$A,$B6,Movimientos!$D:$D,CONCATENATE("&lt;",RU$3),Movimientos!$C:$C,"&lt;0")</f>
        <v>0</v>
      </c>
      <c r="RV6" s="5">
        <f ca="1">SUMIFS(Movimientos!$C:$C,Movimientos!$A:$A,$B6,Movimientos!$D:$D,CONCATENATE("&lt;=",RV$3),Movimientos!$C:$C,"&gt;0")+SUMIFS(Movimientos!$C:$C,Movimientos!$A:$A,$B6,Movimientos!$D:$D,CONCATENATE("&lt;",RV$3),Movimientos!$C:$C,"&lt;0")</f>
        <v>0</v>
      </c>
      <c r="RW6" s="5">
        <f ca="1">SUMIFS(Movimientos!$C:$C,Movimientos!$A:$A,$B6,Movimientos!$D:$D,CONCATENATE("&lt;=",RW$3),Movimientos!$C:$C,"&gt;0")+SUMIFS(Movimientos!$C:$C,Movimientos!$A:$A,$B6,Movimientos!$D:$D,CONCATENATE("&lt;",RW$3),Movimientos!$C:$C,"&lt;0")</f>
        <v>0</v>
      </c>
      <c r="RX6" s="5">
        <f ca="1">SUMIFS(Movimientos!$C:$C,Movimientos!$A:$A,$B6,Movimientos!$D:$D,CONCATENATE("&lt;=",RX$3),Movimientos!$C:$C,"&gt;0")+SUMIFS(Movimientos!$C:$C,Movimientos!$A:$A,$B6,Movimientos!$D:$D,CONCATENATE("&lt;",RX$3),Movimientos!$C:$C,"&lt;0")</f>
        <v>0</v>
      </c>
      <c r="RY6" s="5">
        <f ca="1">SUMIFS(Movimientos!$C:$C,Movimientos!$A:$A,$B6,Movimientos!$D:$D,CONCATENATE("&lt;=",RY$3),Movimientos!$C:$C,"&gt;0")+SUMIFS(Movimientos!$C:$C,Movimientos!$A:$A,$B6,Movimientos!$D:$D,CONCATENATE("&lt;",RY$3),Movimientos!$C:$C,"&lt;0")</f>
        <v>0</v>
      </c>
      <c r="RZ6" s="5">
        <f ca="1">SUMIFS(Movimientos!$C:$C,Movimientos!$A:$A,$B6,Movimientos!$D:$D,CONCATENATE("&lt;=",RZ$3),Movimientos!$C:$C,"&gt;0")+SUMIFS(Movimientos!$C:$C,Movimientos!$A:$A,$B6,Movimientos!$D:$D,CONCATENATE("&lt;",RZ$3),Movimientos!$C:$C,"&lt;0")</f>
        <v>0</v>
      </c>
      <c r="SA6" s="5">
        <f ca="1">SUMIFS(Movimientos!$C:$C,Movimientos!$A:$A,$B6,Movimientos!$D:$D,CONCATENATE("&lt;=",SA$3),Movimientos!$C:$C,"&gt;0")+SUMIFS(Movimientos!$C:$C,Movimientos!$A:$A,$B6,Movimientos!$D:$D,CONCATENATE("&lt;",SA$3),Movimientos!$C:$C,"&lt;0")</f>
        <v>0</v>
      </c>
      <c r="SB6" s="5">
        <f ca="1">SUMIFS(Movimientos!$C:$C,Movimientos!$A:$A,$B6,Movimientos!$D:$D,CONCATENATE("&lt;=",SB$3),Movimientos!$C:$C,"&gt;0")+SUMIFS(Movimientos!$C:$C,Movimientos!$A:$A,$B6,Movimientos!$D:$D,CONCATENATE("&lt;",SB$3),Movimientos!$C:$C,"&lt;0")</f>
        <v>0</v>
      </c>
      <c r="SC6" s="5">
        <f ca="1">SUMIFS(Movimientos!$C:$C,Movimientos!$A:$A,$B6,Movimientos!$D:$D,CONCATENATE("&lt;=",SC$3),Movimientos!$C:$C,"&gt;0")+SUMIFS(Movimientos!$C:$C,Movimientos!$A:$A,$B6,Movimientos!$D:$D,CONCATENATE("&lt;",SC$3),Movimientos!$C:$C,"&lt;0")</f>
        <v>0</v>
      </c>
      <c r="SD6" s="5">
        <f ca="1">SUMIFS(Movimientos!$C:$C,Movimientos!$A:$A,$B6,Movimientos!$D:$D,CONCATENATE("&lt;=",SD$3),Movimientos!$C:$C,"&gt;0")+SUMIFS(Movimientos!$C:$C,Movimientos!$A:$A,$B6,Movimientos!$D:$D,CONCATENATE("&lt;",SD$3),Movimientos!$C:$C,"&lt;0")</f>
        <v>0</v>
      </c>
      <c r="SE6" s="5">
        <f ca="1">SUMIFS(Movimientos!$C:$C,Movimientos!$A:$A,$B6,Movimientos!$D:$D,CONCATENATE("&lt;=",SE$3),Movimientos!$C:$C,"&gt;0")+SUMIFS(Movimientos!$C:$C,Movimientos!$A:$A,$B6,Movimientos!$D:$D,CONCATENATE("&lt;",SE$3),Movimientos!$C:$C,"&lt;0")</f>
        <v>0</v>
      </c>
      <c r="SF6" s="5">
        <f ca="1">SUMIFS(Movimientos!$C:$C,Movimientos!$A:$A,$B6,Movimientos!$D:$D,CONCATENATE("&lt;=",SF$3),Movimientos!$C:$C,"&gt;0")+SUMIFS(Movimientos!$C:$C,Movimientos!$A:$A,$B6,Movimientos!$D:$D,CONCATENATE("&lt;",SF$3),Movimientos!$C:$C,"&lt;0")</f>
        <v>0</v>
      </c>
      <c r="SG6" s="5">
        <f ca="1">SUMIFS(Movimientos!$C:$C,Movimientos!$A:$A,$B6,Movimientos!$D:$D,CONCATENATE("&lt;=",SG$3),Movimientos!$C:$C,"&gt;0")+SUMIFS(Movimientos!$C:$C,Movimientos!$A:$A,$B6,Movimientos!$D:$D,CONCATENATE("&lt;",SG$3),Movimientos!$C:$C,"&lt;0")</f>
        <v>0</v>
      </c>
      <c r="SH6" s="5">
        <f ca="1">SUMIFS(Movimientos!$C:$C,Movimientos!$A:$A,$B6,Movimientos!$D:$D,CONCATENATE("&lt;=",SH$3),Movimientos!$C:$C,"&gt;0")+SUMIFS(Movimientos!$C:$C,Movimientos!$A:$A,$B6,Movimientos!$D:$D,CONCATENATE("&lt;",SH$3),Movimientos!$C:$C,"&lt;0")</f>
        <v>0</v>
      </c>
      <c r="SI6" s="5">
        <f ca="1">SUMIFS(Movimientos!$C:$C,Movimientos!$A:$A,$B6,Movimientos!$D:$D,CONCATENATE("&lt;=",SI$3),Movimientos!$C:$C,"&gt;0")+SUMIFS(Movimientos!$C:$C,Movimientos!$A:$A,$B6,Movimientos!$D:$D,CONCATENATE("&lt;",SI$3),Movimientos!$C:$C,"&lt;0")</f>
        <v>0</v>
      </c>
      <c r="SJ6" s="5">
        <f ca="1">SUMIFS(Movimientos!$C:$C,Movimientos!$A:$A,$B6,Movimientos!$D:$D,CONCATENATE("&lt;=",SJ$3),Movimientos!$C:$C,"&gt;0")+SUMIFS(Movimientos!$C:$C,Movimientos!$A:$A,$B6,Movimientos!$D:$D,CONCATENATE("&lt;",SJ$3),Movimientos!$C:$C,"&lt;0")</f>
        <v>0</v>
      </c>
      <c r="SK6" s="5">
        <f ca="1">SUMIFS(Movimientos!$C:$C,Movimientos!$A:$A,$B6,Movimientos!$D:$D,CONCATENATE("&lt;=",SK$3),Movimientos!$C:$C,"&gt;0")+SUMIFS(Movimientos!$C:$C,Movimientos!$A:$A,$B6,Movimientos!$D:$D,CONCATENATE("&lt;",SK$3),Movimientos!$C:$C,"&lt;0")</f>
        <v>0</v>
      </c>
      <c r="SL6" s="5">
        <f ca="1">SUMIFS(Movimientos!$C:$C,Movimientos!$A:$A,$B6,Movimientos!$D:$D,CONCATENATE("&lt;=",SL$3),Movimientos!$C:$C,"&gt;0")+SUMIFS(Movimientos!$C:$C,Movimientos!$A:$A,$B6,Movimientos!$D:$D,CONCATENATE("&lt;",SL$3),Movimientos!$C:$C,"&lt;0")</f>
        <v>0</v>
      </c>
      <c r="SM6" s="5">
        <f ca="1">SUMIFS(Movimientos!$C:$C,Movimientos!$A:$A,$B6,Movimientos!$D:$D,CONCATENATE("&lt;=",SM$3),Movimientos!$C:$C,"&gt;0")+SUMIFS(Movimientos!$C:$C,Movimientos!$A:$A,$B6,Movimientos!$D:$D,CONCATENATE("&lt;",SM$3),Movimientos!$C:$C,"&lt;0")</f>
        <v>0</v>
      </c>
      <c r="SN6" s="5">
        <f ca="1">SUMIFS(Movimientos!$C:$C,Movimientos!$A:$A,$B6,Movimientos!$D:$D,CONCATENATE("&lt;=",SN$3),Movimientos!$C:$C,"&gt;0")+SUMIFS(Movimientos!$C:$C,Movimientos!$A:$A,$B6,Movimientos!$D:$D,CONCATENATE("&lt;",SN$3),Movimientos!$C:$C,"&lt;0")</f>
        <v>0</v>
      </c>
      <c r="SO6" s="5">
        <f ca="1">SUMIFS(Movimientos!$C:$C,Movimientos!$A:$A,$B6,Movimientos!$D:$D,CONCATENATE("&lt;=",SO$3),Movimientos!$C:$C,"&gt;0")+SUMIFS(Movimientos!$C:$C,Movimientos!$A:$A,$B6,Movimientos!$D:$D,CONCATENATE("&lt;",SO$3),Movimientos!$C:$C,"&lt;0")</f>
        <v>0</v>
      </c>
      <c r="SP6" s="5">
        <f ca="1">SUMIFS(Movimientos!$C:$C,Movimientos!$A:$A,$B6,Movimientos!$D:$D,CONCATENATE("&lt;=",SP$3),Movimientos!$C:$C,"&gt;0")+SUMIFS(Movimientos!$C:$C,Movimientos!$A:$A,$B6,Movimientos!$D:$D,CONCATENATE("&lt;",SP$3),Movimientos!$C:$C,"&lt;0")</f>
        <v>0</v>
      </c>
      <c r="SQ6" s="5">
        <f ca="1">SUMIFS(Movimientos!$C:$C,Movimientos!$A:$A,$B6,Movimientos!$D:$D,CONCATENATE("&lt;=",SQ$3),Movimientos!$C:$C,"&gt;0")+SUMIFS(Movimientos!$C:$C,Movimientos!$A:$A,$B6,Movimientos!$D:$D,CONCATENATE("&lt;",SQ$3),Movimientos!$C:$C,"&lt;0")</f>
        <v>0</v>
      </c>
      <c r="SR6" s="5">
        <f ca="1">SUMIFS(Movimientos!$C:$C,Movimientos!$A:$A,$B6,Movimientos!$D:$D,CONCATENATE("&lt;=",SR$3),Movimientos!$C:$C,"&gt;0")+SUMIFS(Movimientos!$C:$C,Movimientos!$A:$A,$B6,Movimientos!$D:$D,CONCATENATE("&lt;",SR$3),Movimientos!$C:$C,"&lt;0")</f>
        <v>0</v>
      </c>
      <c r="SS6" s="5">
        <f ca="1">SUMIFS(Movimientos!$C:$C,Movimientos!$A:$A,$B6,Movimientos!$D:$D,CONCATENATE("&lt;=",SS$3),Movimientos!$C:$C,"&gt;0")+SUMIFS(Movimientos!$C:$C,Movimientos!$A:$A,$B6,Movimientos!$D:$D,CONCATENATE("&lt;",SS$3),Movimientos!$C:$C,"&lt;0")</f>
        <v>0</v>
      </c>
      <c r="ST6" s="5">
        <f ca="1">SUMIFS(Movimientos!$C:$C,Movimientos!$A:$A,$B6,Movimientos!$D:$D,CONCATENATE("&lt;=",ST$3),Movimientos!$C:$C,"&gt;0")+SUMIFS(Movimientos!$C:$C,Movimientos!$A:$A,$B6,Movimientos!$D:$D,CONCATENATE("&lt;",ST$3),Movimientos!$C:$C,"&lt;0")</f>
        <v>0</v>
      </c>
      <c r="SU6" s="5">
        <f ca="1">SUMIFS(Movimientos!$C:$C,Movimientos!$A:$A,$B6,Movimientos!$D:$D,CONCATENATE("&lt;=",SU$3),Movimientos!$C:$C,"&gt;0")+SUMIFS(Movimientos!$C:$C,Movimientos!$A:$A,$B6,Movimientos!$D:$D,CONCATENATE("&lt;",SU$3),Movimientos!$C:$C,"&lt;0")</f>
        <v>0</v>
      </c>
      <c r="SV6" s="5">
        <f ca="1">SUMIFS(Movimientos!$C:$C,Movimientos!$A:$A,$B6,Movimientos!$D:$D,CONCATENATE("&lt;=",SV$3),Movimientos!$C:$C,"&gt;0")+SUMIFS(Movimientos!$C:$C,Movimientos!$A:$A,$B6,Movimientos!$D:$D,CONCATENATE("&lt;",SV$3),Movimientos!$C:$C,"&lt;0")</f>
        <v>0</v>
      </c>
      <c r="SW6" s="5">
        <f ca="1">SUMIFS(Movimientos!$C:$C,Movimientos!$A:$A,$B6,Movimientos!$D:$D,CONCATENATE("&lt;=",SW$3),Movimientos!$C:$C,"&gt;0")+SUMIFS(Movimientos!$C:$C,Movimientos!$A:$A,$B6,Movimientos!$D:$D,CONCATENATE("&lt;",SW$3),Movimientos!$C:$C,"&lt;0")</f>
        <v>0</v>
      </c>
      <c r="SX6" s="5">
        <f ca="1">SUMIFS(Movimientos!$C:$C,Movimientos!$A:$A,$B6,Movimientos!$D:$D,CONCATENATE("&lt;=",SX$3),Movimientos!$C:$C,"&gt;0")+SUMIFS(Movimientos!$C:$C,Movimientos!$A:$A,$B6,Movimientos!$D:$D,CONCATENATE("&lt;",SX$3),Movimientos!$C:$C,"&lt;0")</f>
        <v>0</v>
      </c>
      <c r="SY6" s="5">
        <f ca="1">SUMIFS(Movimientos!$C:$C,Movimientos!$A:$A,$B6,Movimientos!$D:$D,CONCATENATE("&lt;=",SY$3),Movimientos!$C:$C,"&gt;0")+SUMIFS(Movimientos!$C:$C,Movimientos!$A:$A,$B6,Movimientos!$D:$D,CONCATENATE("&lt;",SY$3),Movimientos!$C:$C,"&lt;0")</f>
        <v>0</v>
      </c>
      <c r="SZ6" s="5">
        <f ca="1">SUMIFS(Movimientos!$C:$C,Movimientos!$A:$A,$B6,Movimientos!$D:$D,CONCATENATE("&lt;=",SZ$3),Movimientos!$C:$C,"&gt;0")+SUMIFS(Movimientos!$C:$C,Movimientos!$A:$A,$B6,Movimientos!$D:$D,CONCATENATE("&lt;",SZ$3),Movimientos!$C:$C,"&lt;0")</f>
        <v>0</v>
      </c>
      <c r="TA6" s="5">
        <f ca="1">SUMIFS(Movimientos!$C:$C,Movimientos!$A:$A,$B6,Movimientos!$D:$D,CONCATENATE("&lt;=",TA$3),Movimientos!$C:$C,"&gt;0")+SUMIFS(Movimientos!$C:$C,Movimientos!$A:$A,$B6,Movimientos!$D:$D,CONCATENATE("&lt;",TA$3),Movimientos!$C:$C,"&lt;0")</f>
        <v>0</v>
      </c>
      <c r="TB6" s="5">
        <f ca="1">SUMIFS(Movimientos!$C:$C,Movimientos!$A:$A,$B6,Movimientos!$D:$D,CONCATENATE("&lt;=",TB$3),Movimientos!$C:$C,"&gt;0")+SUMIFS(Movimientos!$C:$C,Movimientos!$A:$A,$B6,Movimientos!$D:$D,CONCATENATE("&lt;",TB$3),Movimientos!$C:$C,"&lt;0")</f>
        <v>0</v>
      </c>
      <c r="TC6" s="5">
        <f ca="1">SUMIFS(Movimientos!$C:$C,Movimientos!$A:$A,$B6,Movimientos!$D:$D,CONCATENATE("&lt;=",TC$3),Movimientos!$C:$C,"&gt;0")+SUMIFS(Movimientos!$C:$C,Movimientos!$A:$A,$B6,Movimientos!$D:$D,CONCATENATE("&lt;",TC$3),Movimientos!$C:$C,"&lt;0")</f>
        <v>0</v>
      </c>
      <c r="TD6" s="5">
        <f ca="1">SUMIFS(Movimientos!$C:$C,Movimientos!$A:$A,$B6,Movimientos!$D:$D,CONCATENATE("&lt;=",TD$3),Movimientos!$C:$C,"&gt;0")+SUMIFS(Movimientos!$C:$C,Movimientos!$A:$A,$B6,Movimientos!$D:$D,CONCATENATE("&lt;",TD$3),Movimientos!$C:$C,"&lt;0")</f>
        <v>0</v>
      </c>
      <c r="TE6" s="5">
        <f ca="1">SUMIFS(Movimientos!$C:$C,Movimientos!$A:$A,$B6,Movimientos!$D:$D,CONCATENATE("&lt;=",TE$3),Movimientos!$C:$C,"&gt;0")+SUMIFS(Movimientos!$C:$C,Movimientos!$A:$A,$B6,Movimientos!$D:$D,CONCATENATE("&lt;",TE$3),Movimientos!$C:$C,"&lt;0")</f>
        <v>0</v>
      </c>
      <c r="TF6" s="5">
        <f ca="1">SUMIFS(Movimientos!$C:$C,Movimientos!$A:$A,$B6,Movimientos!$D:$D,CONCATENATE("&lt;=",TF$3),Movimientos!$C:$C,"&gt;0")+SUMIFS(Movimientos!$C:$C,Movimientos!$A:$A,$B6,Movimientos!$D:$D,CONCATENATE("&lt;",TF$3),Movimientos!$C:$C,"&lt;0")</f>
        <v>0</v>
      </c>
    </row>
    <row r="7" spans="1:526">
      <c r="A7" s="31" t="s">
        <v>48</v>
      </c>
      <c r="B7" s="4">
        <f>Cartera!B7</f>
        <v>0</v>
      </c>
      <c r="C7" s="4">
        <f>Cartera!C7</f>
        <v>0</v>
      </c>
      <c r="D7" s="5">
        <f ca="1">SUMIFS(Movimientos!$C:$C,Movimientos!$A:$A,$B7,Movimientos!$D:$D,CONCATENATE("&lt;=",D$3),Movimientos!$C:$C,"&gt;0")+SUMIFS(Movimientos!$C:$C,Movimientos!$A:$A,$B7,Movimientos!$D:$D,CONCATENATE("&lt;",D$3),Movimientos!$C:$C,"&lt;0")</f>
        <v>0</v>
      </c>
      <c r="E7" s="5">
        <f ca="1">SUMIFS(Movimientos!$C:$C,Movimientos!$A:$A,$B7,Movimientos!$D:$D,CONCATENATE("&lt;=",E$3),Movimientos!$C:$C,"&gt;0")+SUMIFS(Movimientos!$C:$C,Movimientos!$A:$A,$B7,Movimientos!$D:$D,CONCATENATE("&lt;",E$3),Movimientos!$C:$C,"&lt;0")</f>
        <v>0</v>
      </c>
      <c r="F7" s="5">
        <f ca="1">SUMIFS(Movimientos!$C:$C,Movimientos!$A:$A,$B7,Movimientos!$D:$D,CONCATENATE("&lt;=",F$3),Movimientos!$C:$C,"&gt;0")+SUMIFS(Movimientos!$C:$C,Movimientos!$A:$A,$B7,Movimientos!$D:$D,CONCATENATE("&lt;",F$3),Movimientos!$C:$C,"&lt;0")</f>
        <v>0</v>
      </c>
      <c r="G7" s="5">
        <f ca="1">SUMIFS(Movimientos!$C:$C,Movimientos!$A:$A,$B7,Movimientos!$D:$D,CONCATENATE("&lt;=",G$3),Movimientos!$C:$C,"&gt;0")+SUMIFS(Movimientos!$C:$C,Movimientos!$A:$A,$B7,Movimientos!$D:$D,CONCATENATE("&lt;",G$3),Movimientos!$C:$C,"&lt;0")</f>
        <v>0</v>
      </c>
      <c r="H7" s="5">
        <f ca="1">SUMIFS(Movimientos!$C:$C,Movimientos!$A:$A,$B7,Movimientos!$D:$D,CONCATENATE("&lt;=",H$3),Movimientos!$C:$C,"&gt;0")+SUMIFS(Movimientos!$C:$C,Movimientos!$A:$A,$B7,Movimientos!$D:$D,CONCATENATE("&lt;",H$3),Movimientos!$C:$C,"&lt;0")</f>
        <v>0</v>
      </c>
      <c r="I7" s="5">
        <f ca="1">SUMIFS(Movimientos!$C:$C,Movimientos!$A:$A,$B7,Movimientos!$D:$D,CONCATENATE("&lt;=",I$3),Movimientos!$C:$C,"&gt;0")+SUMIFS(Movimientos!$C:$C,Movimientos!$A:$A,$B7,Movimientos!$D:$D,CONCATENATE("&lt;",I$3),Movimientos!$C:$C,"&lt;0")</f>
        <v>0</v>
      </c>
      <c r="J7" s="5">
        <f ca="1">SUMIFS(Movimientos!$C:$C,Movimientos!$A:$A,$B7,Movimientos!$D:$D,CONCATENATE("&lt;=",J$3),Movimientos!$C:$C,"&gt;0")+SUMIFS(Movimientos!$C:$C,Movimientos!$A:$A,$B7,Movimientos!$D:$D,CONCATENATE("&lt;",J$3),Movimientos!$C:$C,"&lt;0")</f>
        <v>0</v>
      </c>
      <c r="K7" s="5">
        <f ca="1">SUMIFS(Movimientos!$C:$C,Movimientos!$A:$A,$B7,Movimientos!$D:$D,CONCATENATE("&lt;=",K$3),Movimientos!$C:$C,"&gt;0")+SUMIFS(Movimientos!$C:$C,Movimientos!$A:$A,$B7,Movimientos!$D:$D,CONCATENATE("&lt;",K$3),Movimientos!$C:$C,"&lt;0")</f>
        <v>0</v>
      </c>
      <c r="L7" s="5">
        <f ca="1">SUMIFS(Movimientos!$C:$C,Movimientos!$A:$A,$B7,Movimientos!$D:$D,CONCATENATE("&lt;=",L$3),Movimientos!$C:$C,"&gt;0")+SUMIFS(Movimientos!$C:$C,Movimientos!$A:$A,$B7,Movimientos!$D:$D,CONCATENATE("&lt;",L$3),Movimientos!$C:$C,"&lt;0")</f>
        <v>0</v>
      </c>
      <c r="M7" s="5">
        <f ca="1">SUMIFS(Movimientos!$C:$C,Movimientos!$A:$A,$B7,Movimientos!$D:$D,CONCATENATE("&lt;=",M$3),Movimientos!$C:$C,"&gt;0")+SUMIFS(Movimientos!$C:$C,Movimientos!$A:$A,$B7,Movimientos!$D:$D,CONCATENATE("&lt;",M$3),Movimientos!$C:$C,"&lt;0")</f>
        <v>0</v>
      </c>
      <c r="N7" s="5">
        <f ca="1">SUMIFS(Movimientos!$C:$C,Movimientos!$A:$A,$B7,Movimientos!$D:$D,CONCATENATE("&lt;=",N$3),Movimientos!$C:$C,"&gt;0")+SUMIFS(Movimientos!$C:$C,Movimientos!$A:$A,$B7,Movimientos!$D:$D,CONCATENATE("&lt;",N$3),Movimientos!$C:$C,"&lt;0")</f>
        <v>0</v>
      </c>
      <c r="O7" s="5">
        <f ca="1">SUMIFS(Movimientos!$C:$C,Movimientos!$A:$A,$B7,Movimientos!$D:$D,CONCATENATE("&lt;=",O$3),Movimientos!$C:$C,"&gt;0")+SUMIFS(Movimientos!$C:$C,Movimientos!$A:$A,$B7,Movimientos!$D:$D,CONCATENATE("&lt;",O$3),Movimientos!$C:$C,"&lt;0")</f>
        <v>0</v>
      </c>
      <c r="P7" s="5">
        <f ca="1">SUMIFS(Movimientos!$C:$C,Movimientos!$A:$A,$B7,Movimientos!$D:$D,CONCATENATE("&lt;=",P$3),Movimientos!$C:$C,"&gt;0")+SUMIFS(Movimientos!$C:$C,Movimientos!$A:$A,$B7,Movimientos!$D:$D,CONCATENATE("&lt;",P$3),Movimientos!$C:$C,"&lt;0")</f>
        <v>0</v>
      </c>
      <c r="Q7" s="5">
        <f ca="1">SUMIFS(Movimientos!$C:$C,Movimientos!$A:$A,$B7,Movimientos!$D:$D,CONCATENATE("&lt;=",Q$3),Movimientos!$C:$C,"&gt;0")+SUMIFS(Movimientos!$C:$C,Movimientos!$A:$A,$B7,Movimientos!$D:$D,CONCATENATE("&lt;",Q$3),Movimientos!$C:$C,"&lt;0")</f>
        <v>0</v>
      </c>
      <c r="R7" s="5">
        <f ca="1">SUMIFS(Movimientos!$C:$C,Movimientos!$A:$A,$B7,Movimientos!$D:$D,CONCATENATE("&lt;=",R$3),Movimientos!$C:$C,"&gt;0")+SUMIFS(Movimientos!$C:$C,Movimientos!$A:$A,$B7,Movimientos!$D:$D,CONCATENATE("&lt;",R$3),Movimientos!$C:$C,"&lt;0")</f>
        <v>0</v>
      </c>
      <c r="S7" s="5">
        <f ca="1">SUMIFS(Movimientos!$C:$C,Movimientos!$A:$A,$B7,Movimientos!$D:$D,CONCATENATE("&lt;=",S$3),Movimientos!$C:$C,"&gt;0")+SUMIFS(Movimientos!$C:$C,Movimientos!$A:$A,$B7,Movimientos!$D:$D,CONCATENATE("&lt;",S$3),Movimientos!$C:$C,"&lt;0")</f>
        <v>0</v>
      </c>
      <c r="T7" s="5">
        <f ca="1">SUMIFS(Movimientos!$C:$C,Movimientos!$A:$A,$B7,Movimientos!$D:$D,CONCATENATE("&lt;=",T$3),Movimientos!$C:$C,"&gt;0")+SUMIFS(Movimientos!$C:$C,Movimientos!$A:$A,$B7,Movimientos!$D:$D,CONCATENATE("&lt;",T$3),Movimientos!$C:$C,"&lt;0")</f>
        <v>0</v>
      </c>
      <c r="U7" s="5">
        <f ca="1">SUMIFS(Movimientos!$C:$C,Movimientos!$A:$A,$B7,Movimientos!$D:$D,CONCATENATE("&lt;=",U$3),Movimientos!$C:$C,"&gt;0")+SUMIFS(Movimientos!$C:$C,Movimientos!$A:$A,$B7,Movimientos!$D:$D,CONCATENATE("&lt;",U$3),Movimientos!$C:$C,"&lt;0")</f>
        <v>0</v>
      </c>
      <c r="V7" s="5">
        <f ca="1">SUMIFS(Movimientos!$C:$C,Movimientos!$A:$A,$B7,Movimientos!$D:$D,CONCATENATE("&lt;=",V$3),Movimientos!$C:$C,"&gt;0")+SUMIFS(Movimientos!$C:$C,Movimientos!$A:$A,$B7,Movimientos!$D:$D,CONCATENATE("&lt;",V$3),Movimientos!$C:$C,"&lt;0")</f>
        <v>0</v>
      </c>
      <c r="W7" s="5">
        <f ca="1">SUMIFS(Movimientos!$C:$C,Movimientos!$A:$A,$B7,Movimientos!$D:$D,CONCATENATE("&lt;=",W$3),Movimientos!$C:$C,"&gt;0")+SUMIFS(Movimientos!$C:$C,Movimientos!$A:$A,$B7,Movimientos!$D:$D,CONCATENATE("&lt;",W$3),Movimientos!$C:$C,"&lt;0")</f>
        <v>0</v>
      </c>
      <c r="X7" s="5">
        <f ca="1">SUMIFS(Movimientos!$C:$C,Movimientos!$A:$A,$B7,Movimientos!$D:$D,CONCATENATE("&lt;=",X$3),Movimientos!$C:$C,"&gt;0")+SUMIFS(Movimientos!$C:$C,Movimientos!$A:$A,$B7,Movimientos!$D:$D,CONCATENATE("&lt;",X$3),Movimientos!$C:$C,"&lt;0")</f>
        <v>0</v>
      </c>
      <c r="Y7" s="5">
        <f ca="1">SUMIFS(Movimientos!$C:$C,Movimientos!$A:$A,$B7,Movimientos!$D:$D,CONCATENATE("&lt;=",Y$3),Movimientos!$C:$C,"&gt;0")+SUMIFS(Movimientos!$C:$C,Movimientos!$A:$A,$B7,Movimientos!$D:$D,CONCATENATE("&lt;",Y$3),Movimientos!$C:$C,"&lt;0")</f>
        <v>0</v>
      </c>
      <c r="Z7" s="5">
        <f ca="1">SUMIFS(Movimientos!$C:$C,Movimientos!$A:$A,$B7,Movimientos!$D:$D,CONCATENATE("&lt;=",Z$3),Movimientos!$C:$C,"&gt;0")+SUMIFS(Movimientos!$C:$C,Movimientos!$A:$A,$B7,Movimientos!$D:$D,CONCATENATE("&lt;",Z$3),Movimientos!$C:$C,"&lt;0")</f>
        <v>0</v>
      </c>
      <c r="AA7" s="5">
        <f ca="1">SUMIFS(Movimientos!$C:$C,Movimientos!$A:$A,$B7,Movimientos!$D:$D,CONCATENATE("&lt;=",AA$3),Movimientos!$C:$C,"&gt;0")+SUMIFS(Movimientos!$C:$C,Movimientos!$A:$A,$B7,Movimientos!$D:$D,CONCATENATE("&lt;",AA$3),Movimientos!$C:$C,"&lt;0")</f>
        <v>0</v>
      </c>
      <c r="AB7" s="5">
        <f ca="1">SUMIFS(Movimientos!$C:$C,Movimientos!$A:$A,$B7,Movimientos!$D:$D,CONCATENATE("&lt;=",AB$3),Movimientos!$C:$C,"&gt;0")+SUMIFS(Movimientos!$C:$C,Movimientos!$A:$A,$B7,Movimientos!$D:$D,CONCATENATE("&lt;",AB$3),Movimientos!$C:$C,"&lt;0")</f>
        <v>0</v>
      </c>
      <c r="AC7" s="5">
        <f ca="1">SUMIFS(Movimientos!$C:$C,Movimientos!$A:$A,$B7,Movimientos!$D:$D,CONCATENATE("&lt;=",AC$3),Movimientos!$C:$C,"&gt;0")+SUMIFS(Movimientos!$C:$C,Movimientos!$A:$A,$B7,Movimientos!$D:$D,CONCATENATE("&lt;",AC$3),Movimientos!$C:$C,"&lt;0")</f>
        <v>0</v>
      </c>
      <c r="AD7" s="5">
        <f ca="1">SUMIFS(Movimientos!$C:$C,Movimientos!$A:$A,$B7,Movimientos!$D:$D,CONCATENATE("&lt;=",AD$3),Movimientos!$C:$C,"&gt;0")+SUMIFS(Movimientos!$C:$C,Movimientos!$A:$A,$B7,Movimientos!$D:$D,CONCATENATE("&lt;",AD$3),Movimientos!$C:$C,"&lt;0")</f>
        <v>0</v>
      </c>
      <c r="AE7" s="5">
        <f ca="1">SUMIFS(Movimientos!$C:$C,Movimientos!$A:$A,$B7,Movimientos!$D:$D,CONCATENATE("&lt;=",AE$3),Movimientos!$C:$C,"&gt;0")+SUMIFS(Movimientos!$C:$C,Movimientos!$A:$A,$B7,Movimientos!$D:$D,CONCATENATE("&lt;",AE$3),Movimientos!$C:$C,"&lt;0")</f>
        <v>0</v>
      </c>
      <c r="AF7" s="5">
        <f ca="1">SUMIFS(Movimientos!$C:$C,Movimientos!$A:$A,$B7,Movimientos!$D:$D,CONCATENATE("&lt;=",AF$3),Movimientos!$C:$C,"&gt;0")+SUMIFS(Movimientos!$C:$C,Movimientos!$A:$A,$B7,Movimientos!$D:$D,CONCATENATE("&lt;",AF$3),Movimientos!$C:$C,"&lt;0")</f>
        <v>0</v>
      </c>
      <c r="AG7" s="5">
        <f ca="1">SUMIFS(Movimientos!$C:$C,Movimientos!$A:$A,$B7,Movimientos!$D:$D,CONCATENATE("&lt;=",AG$3),Movimientos!$C:$C,"&gt;0")+SUMIFS(Movimientos!$C:$C,Movimientos!$A:$A,$B7,Movimientos!$D:$D,CONCATENATE("&lt;",AG$3),Movimientos!$C:$C,"&lt;0")</f>
        <v>0</v>
      </c>
      <c r="AH7" s="5">
        <f ca="1">SUMIFS(Movimientos!$C:$C,Movimientos!$A:$A,$B7,Movimientos!$D:$D,CONCATENATE("&lt;=",AH$3),Movimientos!$C:$C,"&gt;0")+SUMIFS(Movimientos!$C:$C,Movimientos!$A:$A,$B7,Movimientos!$D:$D,CONCATENATE("&lt;",AH$3),Movimientos!$C:$C,"&lt;0")</f>
        <v>0</v>
      </c>
      <c r="AI7" s="5">
        <f ca="1">SUMIFS(Movimientos!$C:$C,Movimientos!$A:$A,$B7,Movimientos!$D:$D,CONCATENATE("&lt;=",AI$3),Movimientos!$C:$C,"&gt;0")+SUMIFS(Movimientos!$C:$C,Movimientos!$A:$A,$B7,Movimientos!$D:$D,CONCATENATE("&lt;",AI$3),Movimientos!$C:$C,"&lt;0")</f>
        <v>0</v>
      </c>
      <c r="AJ7" s="5">
        <f ca="1">SUMIFS(Movimientos!$C:$C,Movimientos!$A:$A,$B7,Movimientos!$D:$D,CONCATENATE("&lt;=",AJ$3),Movimientos!$C:$C,"&gt;0")+SUMIFS(Movimientos!$C:$C,Movimientos!$A:$A,$B7,Movimientos!$D:$D,CONCATENATE("&lt;",AJ$3),Movimientos!$C:$C,"&lt;0")</f>
        <v>0</v>
      </c>
      <c r="AK7" s="5">
        <f ca="1">SUMIFS(Movimientos!$C:$C,Movimientos!$A:$A,$B7,Movimientos!$D:$D,CONCATENATE("&lt;=",AK$3),Movimientos!$C:$C,"&gt;0")+SUMIFS(Movimientos!$C:$C,Movimientos!$A:$A,$B7,Movimientos!$D:$D,CONCATENATE("&lt;",AK$3),Movimientos!$C:$C,"&lt;0")</f>
        <v>0</v>
      </c>
      <c r="AL7" s="5">
        <f ca="1">SUMIFS(Movimientos!$C:$C,Movimientos!$A:$A,$B7,Movimientos!$D:$D,CONCATENATE("&lt;=",AL$3),Movimientos!$C:$C,"&gt;0")+SUMIFS(Movimientos!$C:$C,Movimientos!$A:$A,$B7,Movimientos!$D:$D,CONCATENATE("&lt;",AL$3),Movimientos!$C:$C,"&lt;0")</f>
        <v>0</v>
      </c>
      <c r="AM7" s="5">
        <f ca="1">SUMIFS(Movimientos!$C:$C,Movimientos!$A:$A,$B7,Movimientos!$D:$D,CONCATENATE("&lt;=",AM$3),Movimientos!$C:$C,"&gt;0")+SUMIFS(Movimientos!$C:$C,Movimientos!$A:$A,$B7,Movimientos!$D:$D,CONCATENATE("&lt;",AM$3),Movimientos!$C:$C,"&lt;0")</f>
        <v>0</v>
      </c>
      <c r="AN7" s="5">
        <f ca="1">SUMIFS(Movimientos!$C:$C,Movimientos!$A:$A,$B7,Movimientos!$D:$D,CONCATENATE("&lt;=",AN$3),Movimientos!$C:$C,"&gt;0")+SUMIFS(Movimientos!$C:$C,Movimientos!$A:$A,$B7,Movimientos!$D:$D,CONCATENATE("&lt;",AN$3),Movimientos!$C:$C,"&lt;0")</f>
        <v>0</v>
      </c>
      <c r="AO7" s="5">
        <f ca="1">SUMIFS(Movimientos!$C:$C,Movimientos!$A:$A,$B7,Movimientos!$D:$D,CONCATENATE("&lt;=",AO$3),Movimientos!$C:$C,"&gt;0")+SUMIFS(Movimientos!$C:$C,Movimientos!$A:$A,$B7,Movimientos!$D:$D,CONCATENATE("&lt;",AO$3),Movimientos!$C:$C,"&lt;0")</f>
        <v>0</v>
      </c>
      <c r="AP7" s="5">
        <f ca="1">SUMIFS(Movimientos!$C:$C,Movimientos!$A:$A,$B7,Movimientos!$D:$D,CONCATENATE("&lt;=",AP$3),Movimientos!$C:$C,"&gt;0")+SUMIFS(Movimientos!$C:$C,Movimientos!$A:$A,$B7,Movimientos!$D:$D,CONCATENATE("&lt;",AP$3),Movimientos!$C:$C,"&lt;0")</f>
        <v>0</v>
      </c>
      <c r="AQ7" s="5">
        <f ca="1">SUMIFS(Movimientos!$C:$C,Movimientos!$A:$A,$B7,Movimientos!$D:$D,CONCATENATE("&lt;=",AQ$3),Movimientos!$C:$C,"&gt;0")+SUMIFS(Movimientos!$C:$C,Movimientos!$A:$A,$B7,Movimientos!$D:$D,CONCATENATE("&lt;",AQ$3),Movimientos!$C:$C,"&lt;0")</f>
        <v>0</v>
      </c>
      <c r="AR7" s="5">
        <f ca="1">SUMIFS(Movimientos!$C:$C,Movimientos!$A:$A,$B7,Movimientos!$D:$D,CONCATENATE("&lt;=",AR$3),Movimientos!$C:$C,"&gt;0")+SUMIFS(Movimientos!$C:$C,Movimientos!$A:$A,$B7,Movimientos!$D:$D,CONCATENATE("&lt;",AR$3),Movimientos!$C:$C,"&lt;0")</f>
        <v>0</v>
      </c>
      <c r="AS7" s="5">
        <f ca="1">SUMIFS(Movimientos!$C:$C,Movimientos!$A:$A,$B7,Movimientos!$D:$D,CONCATENATE("&lt;=",AS$3),Movimientos!$C:$C,"&gt;0")+SUMIFS(Movimientos!$C:$C,Movimientos!$A:$A,$B7,Movimientos!$D:$D,CONCATENATE("&lt;",AS$3),Movimientos!$C:$C,"&lt;0")</f>
        <v>0</v>
      </c>
      <c r="AT7" s="5">
        <f ca="1">SUMIFS(Movimientos!$C:$C,Movimientos!$A:$A,$B7,Movimientos!$D:$D,CONCATENATE("&lt;=",AT$3),Movimientos!$C:$C,"&gt;0")+SUMIFS(Movimientos!$C:$C,Movimientos!$A:$A,$B7,Movimientos!$D:$D,CONCATENATE("&lt;",AT$3),Movimientos!$C:$C,"&lt;0")</f>
        <v>0</v>
      </c>
      <c r="AU7" s="5">
        <f ca="1">SUMIFS(Movimientos!$C:$C,Movimientos!$A:$A,$B7,Movimientos!$D:$D,CONCATENATE("&lt;=",AU$3),Movimientos!$C:$C,"&gt;0")+SUMIFS(Movimientos!$C:$C,Movimientos!$A:$A,$B7,Movimientos!$D:$D,CONCATENATE("&lt;",AU$3),Movimientos!$C:$C,"&lt;0")</f>
        <v>0</v>
      </c>
      <c r="AV7" s="5">
        <f ca="1">SUMIFS(Movimientos!$C:$C,Movimientos!$A:$A,$B7,Movimientos!$D:$D,CONCATENATE("&lt;=",AV$3),Movimientos!$C:$C,"&gt;0")+SUMIFS(Movimientos!$C:$C,Movimientos!$A:$A,$B7,Movimientos!$D:$D,CONCATENATE("&lt;",AV$3),Movimientos!$C:$C,"&lt;0")</f>
        <v>0</v>
      </c>
      <c r="AW7" s="5">
        <f ca="1">SUMIFS(Movimientos!$C:$C,Movimientos!$A:$A,$B7,Movimientos!$D:$D,CONCATENATE("&lt;=",AW$3),Movimientos!$C:$C,"&gt;0")+SUMIFS(Movimientos!$C:$C,Movimientos!$A:$A,$B7,Movimientos!$D:$D,CONCATENATE("&lt;",AW$3),Movimientos!$C:$C,"&lt;0")</f>
        <v>0</v>
      </c>
      <c r="AX7" s="5">
        <f ca="1">SUMIFS(Movimientos!$C:$C,Movimientos!$A:$A,$B7,Movimientos!$D:$D,CONCATENATE("&lt;=",AX$3),Movimientos!$C:$C,"&gt;0")+SUMIFS(Movimientos!$C:$C,Movimientos!$A:$A,$B7,Movimientos!$D:$D,CONCATENATE("&lt;",AX$3),Movimientos!$C:$C,"&lt;0")</f>
        <v>0</v>
      </c>
      <c r="AY7" s="5">
        <f ca="1">SUMIFS(Movimientos!$C:$C,Movimientos!$A:$A,$B7,Movimientos!$D:$D,CONCATENATE("&lt;=",AY$3),Movimientos!$C:$C,"&gt;0")+SUMIFS(Movimientos!$C:$C,Movimientos!$A:$A,$B7,Movimientos!$D:$D,CONCATENATE("&lt;",AY$3),Movimientos!$C:$C,"&lt;0")</f>
        <v>0</v>
      </c>
      <c r="AZ7" s="5">
        <f ca="1">SUMIFS(Movimientos!$C:$C,Movimientos!$A:$A,$B7,Movimientos!$D:$D,CONCATENATE("&lt;=",AZ$3),Movimientos!$C:$C,"&gt;0")+SUMIFS(Movimientos!$C:$C,Movimientos!$A:$A,$B7,Movimientos!$D:$D,CONCATENATE("&lt;",AZ$3),Movimientos!$C:$C,"&lt;0")</f>
        <v>0</v>
      </c>
      <c r="BA7" s="5">
        <f ca="1">SUMIFS(Movimientos!$C:$C,Movimientos!$A:$A,$B7,Movimientos!$D:$D,CONCATENATE("&lt;=",BA$3),Movimientos!$C:$C,"&gt;0")+SUMIFS(Movimientos!$C:$C,Movimientos!$A:$A,$B7,Movimientos!$D:$D,CONCATENATE("&lt;",BA$3),Movimientos!$C:$C,"&lt;0")</f>
        <v>0</v>
      </c>
      <c r="BB7" s="5">
        <f ca="1">SUMIFS(Movimientos!$C:$C,Movimientos!$A:$A,$B7,Movimientos!$D:$D,CONCATENATE("&lt;=",BB$3),Movimientos!$C:$C,"&gt;0")+SUMIFS(Movimientos!$C:$C,Movimientos!$A:$A,$B7,Movimientos!$D:$D,CONCATENATE("&lt;",BB$3),Movimientos!$C:$C,"&lt;0")</f>
        <v>0</v>
      </c>
      <c r="BC7" s="5">
        <f ca="1">SUMIFS(Movimientos!$C:$C,Movimientos!$A:$A,$B7,Movimientos!$D:$D,CONCATENATE("&lt;=",BC$3),Movimientos!$C:$C,"&gt;0")+SUMIFS(Movimientos!$C:$C,Movimientos!$A:$A,$B7,Movimientos!$D:$D,CONCATENATE("&lt;",BC$3),Movimientos!$C:$C,"&lt;0")</f>
        <v>0</v>
      </c>
      <c r="BD7" s="5">
        <f ca="1">SUMIFS(Movimientos!$C:$C,Movimientos!$A:$A,$B7,Movimientos!$D:$D,CONCATENATE("&lt;=",BD$3),Movimientos!$C:$C,"&gt;0")+SUMIFS(Movimientos!$C:$C,Movimientos!$A:$A,$B7,Movimientos!$D:$D,CONCATENATE("&lt;",BD$3),Movimientos!$C:$C,"&lt;0")</f>
        <v>0</v>
      </c>
      <c r="BE7" s="5">
        <f ca="1">SUMIFS(Movimientos!$C:$C,Movimientos!$A:$A,$B7,Movimientos!$D:$D,CONCATENATE("&lt;=",BE$3),Movimientos!$C:$C,"&gt;0")+SUMIFS(Movimientos!$C:$C,Movimientos!$A:$A,$B7,Movimientos!$D:$D,CONCATENATE("&lt;",BE$3),Movimientos!$C:$C,"&lt;0")</f>
        <v>0</v>
      </c>
      <c r="BF7" s="5">
        <f ca="1">SUMIFS(Movimientos!$C:$C,Movimientos!$A:$A,$B7,Movimientos!$D:$D,CONCATENATE("&lt;=",BF$3),Movimientos!$C:$C,"&gt;0")+SUMIFS(Movimientos!$C:$C,Movimientos!$A:$A,$B7,Movimientos!$D:$D,CONCATENATE("&lt;",BF$3),Movimientos!$C:$C,"&lt;0")</f>
        <v>0</v>
      </c>
      <c r="BG7" s="5">
        <f ca="1">SUMIFS(Movimientos!$C:$C,Movimientos!$A:$A,$B7,Movimientos!$D:$D,CONCATENATE("&lt;=",BG$3),Movimientos!$C:$C,"&gt;0")+SUMIFS(Movimientos!$C:$C,Movimientos!$A:$A,$B7,Movimientos!$D:$D,CONCATENATE("&lt;",BG$3),Movimientos!$C:$C,"&lt;0")</f>
        <v>0</v>
      </c>
      <c r="BH7" s="5">
        <f ca="1">SUMIFS(Movimientos!$C:$C,Movimientos!$A:$A,$B7,Movimientos!$D:$D,CONCATENATE("&lt;=",BH$3),Movimientos!$C:$C,"&gt;0")+SUMIFS(Movimientos!$C:$C,Movimientos!$A:$A,$B7,Movimientos!$D:$D,CONCATENATE("&lt;",BH$3),Movimientos!$C:$C,"&lt;0")</f>
        <v>0</v>
      </c>
      <c r="BI7" s="5">
        <f ca="1">SUMIFS(Movimientos!$C:$C,Movimientos!$A:$A,$B7,Movimientos!$D:$D,CONCATENATE("&lt;=",BI$3),Movimientos!$C:$C,"&gt;0")+SUMIFS(Movimientos!$C:$C,Movimientos!$A:$A,$B7,Movimientos!$D:$D,CONCATENATE("&lt;",BI$3),Movimientos!$C:$C,"&lt;0")</f>
        <v>0</v>
      </c>
      <c r="BJ7" s="5">
        <f ca="1">SUMIFS(Movimientos!$C:$C,Movimientos!$A:$A,$B7,Movimientos!$D:$D,CONCATENATE("&lt;=",BJ$3),Movimientos!$C:$C,"&gt;0")+SUMIFS(Movimientos!$C:$C,Movimientos!$A:$A,$B7,Movimientos!$D:$D,CONCATENATE("&lt;",BJ$3),Movimientos!$C:$C,"&lt;0")</f>
        <v>0</v>
      </c>
      <c r="BK7" s="5">
        <f ca="1">SUMIFS(Movimientos!$C:$C,Movimientos!$A:$A,$B7,Movimientos!$D:$D,CONCATENATE("&lt;=",BK$3),Movimientos!$C:$C,"&gt;0")+SUMIFS(Movimientos!$C:$C,Movimientos!$A:$A,$B7,Movimientos!$D:$D,CONCATENATE("&lt;",BK$3),Movimientos!$C:$C,"&lt;0")</f>
        <v>0</v>
      </c>
      <c r="BL7" s="5">
        <f ca="1">SUMIFS(Movimientos!$C:$C,Movimientos!$A:$A,$B7,Movimientos!$D:$D,CONCATENATE("&lt;=",BL$3),Movimientos!$C:$C,"&gt;0")+SUMIFS(Movimientos!$C:$C,Movimientos!$A:$A,$B7,Movimientos!$D:$D,CONCATENATE("&lt;",BL$3),Movimientos!$C:$C,"&lt;0")</f>
        <v>0</v>
      </c>
      <c r="BM7" s="5">
        <f ca="1">SUMIFS(Movimientos!$C:$C,Movimientos!$A:$A,$B7,Movimientos!$D:$D,CONCATENATE("&lt;=",BM$3),Movimientos!$C:$C,"&gt;0")+SUMIFS(Movimientos!$C:$C,Movimientos!$A:$A,$B7,Movimientos!$D:$D,CONCATENATE("&lt;",BM$3),Movimientos!$C:$C,"&lt;0")</f>
        <v>0</v>
      </c>
      <c r="BN7" s="5">
        <f ca="1">SUMIFS(Movimientos!$C:$C,Movimientos!$A:$A,$B7,Movimientos!$D:$D,CONCATENATE("&lt;=",BN$3),Movimientos!$C:$C,"&gt;0")+SUMIFS(Movimientos!$C:$C,Movimientos!$A:$A,$B7,Movimientos!$D:$D,CONCATENATE("&lt;",BN$3),Movimientos!$C:$C,"&lt;0")</f>
        <v>0</v>
      </c>
      <c r="BO7" s="5">
        <f ca="1">SUMIFS(Movimientos!$C:$C,Movimientos!$A:$A,$B7,Movimientos!$D:$D,CONCATENATE("&lt;=",BO$3),Movimientos!$C:$C,"&gt;0")+SUMIFS(Movimientos!$C:$C,Movimientos!$A:$A,$B7,Movimientos!$D:$D,CONCATENATE("&lt;",BO$3),Movimientos!$C:$C,"&lt;0")</f>
        <v>0</v>
      </c>
      <c r="BP7" s="5">
        <f ca="1">SUMIFS(Movimientos!$C:$C,Movimientos!$A:$A,$B7,Movimientos!$D:$D,CONCATENATE("&lt;=",BP$3),Movimientos!$C:$C,"&gt;0")+SUMIFS(Movimientos!$C:$C,Movimientos!$A:$A,$B7,Movimientos!$D:$D,CONCATENATE("&lt;",BP$3),Movimientos!$C:$C,"&lt;0")</f>
        <v>0</v>
      </c>
      <c r="BQ7" s="5">
        <f ca="1">SUMIFS(Movimientos!$C:$C,Movimientos!$A:$A,$B7,Movimientos!$D:$D,CONCATENATE("&lt;=",BQ$3),Movimientos!$C:$C,"&gt;0")+SUMIFS(Movimientos!$C:$C,Movimientos!$A:$A,$B7,Movimientos!$D:$D,CONCATENATE("&lt;",BQ$3),Movimientos!$C:$C,"&lt;0")</f>
        <v>0</v>
      </c>
      <c r="BR7" s="5">
        <f ca="1">SUMIFS(Movimientos!$C:$C,Movimientos!$A:$A,$B7,Movimientos!$D:$D,CONCATENATE("&lt;=",BR$3),Movimientos!$C:$C,"&gt;0")+SUMIFS(Movimientos!$C:$C,Movimientos!$A:$A,$B7,Movimientos!$D:$D,CONCATENATE("&lt;",BR$3),Movimientos!$C:$C,"&lt;0")</f>
        <v>0</v>
      </c>
      <c r="BS7" s="5">
        <f ca="1">SUMIFS(Movimientos!$C:$C,Movimientos!$A:$A,$B7,Movimientos!$D:$D,CONCATENATE("&lt;=",BS$3),Movimientos!$C:$C,"&gt;0")+SUMIFS(Movimientos!$C:$C,Movimientos!$A:$A,$B7,Movimientos!$D:$D,CONCATENATE("&lt;",BS$3),Movimientos!$C:$C,"&lt;0")</f>
        <v>0</v>
      </c>
      <c r="BT7" s="5">
        <f ca="1">SUMIFS(Movimientos!$C:$C,Movimientos!$A:$A,$B7,Movimientos!$D:$D,CONCATENATE("&lt;=",BT$3),Movimientos!$C:$C,"&gt;0")+SUMIFS(Movimientos!$C:$C,Movimientos!$A:$A,$B7,Movimientos!$D:$D,CONCATENATE("&lt;",BT$3),Movimientos!$C:$C,"&lt;0")</f>
        <v>0</v>
      </c>
      <c r="BU7" s="5">
        <f ca="1">SUMIFS(Movimientos!$C:$C,Movimientos!$A:$A,$B7,Movimientos!$D:$D,CONCATENATE("&lt;=",BU$3),Movimientos!$C:$C,"&gt;0")+SUMIFS(Movimientos!$C:$C,Movimientos!$A:$A,$B7,Movimientos!$D:$D,CONCATENATE("&lt;",BU$3),Movimientos!$C:$C,"&lt;0")</f>
        <v>0</v>
      </c>
      <c r="BV7" s="5">
        <f ca="1">SUMIFS(Movimientos!$C:$C,Movimientos!$A:$A,$B7,Movimientos!$D:$D,CONCATENATE("&lt;=",BV$3),Movimientos!$C:$C,"&gt;0")+SUMIFS(Movimientos!$C:$C,Movimientos!$A:$A,$B7,Movimientos!$D:$D,CONCATENATE("&lt;",BV$3),Movimientos!$C:$C,"&lt;0")</f>
        <v>0</v>
      </c>
      <c r="BW7" s="5">
        <f ca="1">SUMIFS(Movimientos!$C:$C,Movimientos!$A:$A,$B7,Movimientos!$D:$D,CONCATENATE("&lt;=",BW$3),Movimientos!$C:$C,"&gt;0")+SUMIFS(Movimientos!$C:$C,Movimientos!$A:$A,$B7,Movimientos!$D:$D,CONCATENATE("&lt;",BW$3),Movimientos!$C:$C,"&lt;0")</f>
        <v>0</v>
      </c>
      <c r="BX7" s="5">
        <f ca="1">SUMIFS(Movimientos!$C:$C,Movimientos!$A:$A,$B7,Movimientos!$D:$D,CONCATENATE("&lt;=",BX$3),Movimientos!$C:$C,"&gt;0")+SUMIFS(Movimientos!$C:$C,Movimientos!$A:$A,$B7,Movimientos!$D:$D,CONCATENATE("&lt;",BX$3),Movimientos!$C:$C,"&lt;0")</f>
        <v>0</v>
      </c>
      <c r="BY7" s="5">
        <f ca="1">SUMIFS(Movimientos!$C:$C,Movimientos!$A:$A,$B7,Movimientos!$D:$D,CONCATENATE("&lt;=",BY$3),Movimientos!$C:$C,"&gt;0")+SUMIFS(Movimientos!$C:$C,Movimientos!$A:$A,$B7,Movimientos!$D:$D,CONCATENATE("&lt;",BY$3),Movimientos!$C:$C,"&lt;0")</f>
        <v>0</v>
      </c>
      <c r="BZ7" s="5">
        <f ca="1">SUMIFS(Movimientos!$C:$C,Movimientos!$A:$A,$B7,Movimientos!$D:$D,CONCATENATE("&lt;=",BZ$3),Movimientos!$C:$C,"&gt;0")+SUMIFS(Movimientos!$C:$C,Movimientos!$A:$A,$B7,Movimientos!$D:$D,CONCATENATE("&lt;",BZ$3),Movimientos!$C:$C,"&lt;0")</f>
        <v>0</v>
      </c>
      <c r="CA7" s="5">
        <f ca="1">SUMIFS(Movimientos!$C:$C,Movimientos!$A:$A,$B7,Movimientos!$D:$D,CONCATENATE("&lt;=",CA$3),Movimientos!$C:$C,"&gt;0")+SUMIFS(Movimientos!$C:$C,Movimientos!$A:$A,$B7,Movimientos!$D:$D,CONCATENATE("&lt;",CA$3),Movimientos!$C:$C,"&lt;0")</f>
        <v>0</v>
      </c>
      <c r="CB7" s="5">
        <f ca="1">SUMIFS(Movimientos!$C:$C,Movimientos!$A:$A,$B7,Movimientos!$D:$D,CONCATENATE("&lt;=",CB$3),Movimientos!$C:$C,"&gt;0")+SUMIFS(Movimientos!$C:$C,Movimientos!$A:$A,$B7,Movimientos!$D:$D,CONCATENATE("&lt;",CB$3),Movimientos!$C:$C,"&lt;0")</f>
        <v>0</v>
      </c>
      <c r="CC7" s="5">
        <f ca="1">SUMIFS(Movimientos!$C:$C,Movimientos!$A:$A,$B7,Movimientos!$D:$D,CONCATENATE("&lt;=",CC$3),Movimientos!$C:$C,"&gt;0")+SUMIFS(Movimientos!$C:$C,Movimientos!$A:$A,$B7,Movimientos!$D:$D,CONCATENATE("&lt;",CC$3),Movimientos!$C:$C,"&lt;0")</f>
        <v>0</v>
      </c>
      <c r="CD7" s="5">
        <f ca="1">SUMIFS(Movimientos!$C:$C,Movimientos!$A:$A,$B7,Movimientos!$D:$D,CONCATENATE("&lt;=",CD$3),Movimientos!$C:$C,"&gt;0")+SUMIFS(Movimientos!$C:$C,Movimientos!$A:$A,$B7,Movimientos!$D:$D,CONCATENATE("&lt;",CD$3),Movimientos!$C:$C,"&lt;0")</f>
        <v>0</v>
      </c>
      <c r="CE7" s="5">
        <f ca="1">SUMIFS(Movimientos!$C:$C,Movimientos!$A:$A,$B7,Movimientos!$D:$D,CONCATENATE("&lt;=",CE$3),Movimientos!$C:$C,"&gt;0")+SUMIFS(Movimientos!$C:$C,Movimientos!$A:$A,$B7,Movimientos!$D:$D,CONCATENATE("&lt;",CE$3),Movimientos!$C:$C,"&lt;0")</f>
        <v>0</v>
      </c>
      <c r="CF7" s="5">
        <f ca="1">SUMIFS(Movimientos!$C:$C,Movimientos!$A:$A,$B7,Movimientos!$D:$D,CONCATENATE("&lt;=",CF$3),Movimientos!$C:$C,"&gt;0")+SUMIFS(Movimientos!$C:$C,Movimientos!$A:$A,$B7,Movimientos!$D:$D,CONCATENATE("&lt;",CF$3),Movimientos!$C:$C,"&lt;0")</f>
        <v>0</v>
      </c>
      <c r="CG7" s="5">
        <f ca="1">SUMIFS(Movimientos!$C:$C,Movimientos!$A:$A,$B7,Movimientos!$D:$D,CONCATENATE("&lt;=",CG$3),Movimientos!$C:$C,"&gt;0")+SUMIFS(Movimientos!$C:$C,Movimientos!$A:$A,$B7,Movimientos!$D:$D,CONCATENATE("&lt;",CG$3),Movimientos!$C:$C,"&lt;0")</f>
        <v>0</v>
      </c>
      <c r="CH7" s="5">
        <f ca="1">SUMIFS(Movimientos!$C:$C,Movimientos!$A:$A,$B7,Movimientos!$D:$D,CONCATENATE("&lt;=",CH$3),Movimientos!$C:$C,"&gt;0")+SUMIFS(Movimientos!$C:$C,Movimientos!$A:$A,$B7,Movimientos!$D:$D,CONCATENATE("&lt;",CH$3),Movimientos!$C:$C,"&lt;0")</f>
        <v>0</v>
      </c>
      <c r="CI7" s="5">
        <f ca="1">SUMIFS(Movimientos!$C:$C,Movimientos!$A:$A,$B7,Movimientos!$D:$D,CONCATENATE("&lt;=",CI$3),Movimientos!$C:$C,"&gt;0")+SUMIFS(Movimientos!$C:$C,Movimientos!$A:$A,$B7,Movimientos!$D:$D,CONCATENATE("&lt;",CI$3),Movimientos!$C:$C,"&lt;0")</f>
        <v>0</v>
      </c>
      <c r="CJ7" s="5">
        <f ca="1">SUMIFS(Movimientos!$C:$C,Movimientos!$A:$A,$B7,Movimientos!$D:$D,CONCATENATE("&lt;=",CJ$3),Movimientos!$C:$C,"&gt;0")+SUMIFS(Movimientos!$C:$C,Movimientos!$A:$A,$B7,Movimientos!$D:$D,CONCATENATE("&lt;",CJ$3),Movimientos!$C:$C,"&lt;0")</f>
        <v>0</v>
      </c>
      <c r="CK7" s="5">
        <f ca="1">SUMIFS(Movimientos!$C:$C,Movimientos!$A:$A,$B7,Movimientos!$D:$D,CONCATENATE("&lt;=",CK$3),Movimientos!$C:$C,"&gt;0")+SUMIFS(Movimientos!$C:$C,Movimientos!$A:$A,$B7,Movimientos!$D:$D,CONCATENATE("&lt;",CK$3),Movimientos!$C:$C,"&lt;0")</f>
        <v>0</v>
      </c>
      <c r="CL7" s="5">
        <f ca="1">SUMIFS(Movimientos!$C:$C,Movimientos!$A:$A,$B7,Movimientos!$D:$D,CONCATENATE("&lt;=",CL$3),Movimientos!$C:$C,"&gt;0")+SUMIFS(Movimientos!$C:$C,Movimientos!$A:$A,$B7,Movimientos!$D:$D,CONCATENATE("&lt;",CL$3),Movimientos!$C:$C,"&lt;0")</f>
        <v>0</v>
      </c>
      <c r="CM7" s="5">
        <f ca="1">SUMIFS(Movimientos!$C:$C,Movimientos!$A:$A,$B7,Movimientos!$D:$D,CONCATENATE("&lt;=",CM$3),Movimientos!$C:$C,"&gt;0")+SUMIFS(Movimientos!$C:$C,Movimientos!$A:$A,$B7,Movimientos!$D:$D,CONCATENATE("&lt;",CM$3),Movimientos!$C:$C,"&lt;0")</f>
        <v>0</v>
      </c>
      <c r="CN7" s="5">
        <f ca="1">SUMIFS(Movimientos!$C:$C,Movimientos!$A:$A,$B7,Movimientos!$D:$D,CONCATENATE("&lt;=",CN$3),Movimientos!$C:$C,"&gt;0")+SUMIFS(Movimientos!$C:$C,Movimientos!$A:$A,$B7,Movimientos!$D:$D,CONCATENATE("&lt;",CN$3),Movimientos!$C:$C,"&lt;0")</f>
        <v>0</v>
      </c>
      <c r="CO7" s="5">
        <f ca="1">SUMIFS(Movimientos!$C:$C,Movimientos!$A:$A,$B7,Movimientos!$D:$D,CONCATENATE("&lt;=",CO$3),Movimientos!$C:$C,"&gt;0")+SUMIFS(Movimientos!$C:$C,Movimientos!$A:$A,$B7,Movimientos!$D:$D,CONCATENATE("&lt;",CO$3),Movimientos!$C:$C,"&lt;0")</f>
        <v>0</v>
      </c>
      <c r="CP7" s="5">
        <f ca="1">SUMIFS(Movimientos!$C:$C,Movimientos!$A:$A,$B7,Movimientos!$D:$D,CONCATENATE("&lt;=",CP$3),Movimientos!$C:$C,"&gt;0")+SUMIFS(Movimientos!$C:$C,Movimientos!$A:$A,$B7,Movimientos!$D:$D,CONCATENATE("&lt;",CP$3),Movimientos!$C:$C,"&lt;0")</f>
        <v>0</v>
      </c>
      <c r="CQ7" s="5">
        <f ca="1">SUMIFS(Movimientos!$C:$C,Movimientos!$A:$A,$B7,Movimientos!$D:$D,CONCATENATE("&lt;=",CQ$3),Movimientos!$C:$C,"&gt;0")+SUMIFS(Movimientos!$C:$C,Movimientos!$A:$A,$B7,Movimientos!$D:$D,CONCATENATE("&lt;",CQ$3),Movimientos!$C:$C,"&lt;0")</f>
        <v>0</v>
      </c>
      <c r="CR7" s="5">
        <f ca="1">SUMIFS(Movimientos!$C:$C,Movimientos!$A:$A,$B7,Movimientos!$D:$D,CONCATENATE("&lt;=",CR$3),Movimientos!$C:$C,"&gt;0")+SUMIFS(Movimientos!$C:$C,Movimientos!$A:$A,$B7,Movimientos!$D:$D,CONCATENATE("&lt;",CR$3),Movimientos!$C:$C,"&lt;0")</f>
        <v>0</v>
      </c>
      <c r="CS7" s="5">
        <f ca="1">SUMIFS(Movimientos!$C:$C,Movimientos!$A:$A,$B7,Movimientos!$D:$D,CONCATENATE("&lt;=",CS$3),Movimientos!$C:$C,"&gt;0")+SUMIFS(Movimientos!$C:$C,Movimientos!$A:$A,$B7,Movimientos!$D:$D,CONCATENATE("&lt;",CS$3),Movimientos!$C:$C,"&lt;0")</f>
        <v>0</v>
      </c>
      <c r="CT7" s="5">
        <f ca="1">SUMIFS(Movimientos!$C:$C,Movimientos!$A:$A,$B7,Movimientos!$D:$D,CONCATENATE("&lt;=",CT$3),Movimientos!$C:$C,"&gt;0")+SUMIFS(Movimientos!$C:$C,Movimientos!$A:$A,$B7,Movimientos!$D:$D,CONCATENATE("&lt;",CT$3),Movimientos!$C:$C,"&lt;0")</f>
        <v>0</v>
      </c>
      <c r="CU7" s="5">
        <f ca="1">SUMIFS(Movimientos!$C:$C,Movimientos!$A:$A,$B7,Movimientos!$D:$D,CONCATENATE("&lt;=",CU$3),Movimientos!$C:$C,"&gt;0")+SUMIFS(Movimientos!$C:$C,Movimientos!$A:$A,$B7,Movimientos!$D:$D,CONCATENATE("&lt;",CU$3),Movimientos!$C:$C,"&lt;0")</f>
        <v>0</v>
      </c>
      <c r="CV7" s="5">
        <f ca="1">SUMIFS(Movimientos!$C:$C,Movimientos!$A:$A,$B7,Movimientos!$D:$D,CONCATENATE("&lt;=",CV$3),Movimientos!$C:$C,"&gt;0")+SUMIFS(Movimientos!$C:$C,Movimientos!$A:$A,$B7,Movimientos!$D:$D,CONCATENATE("&lt;",CV$3),Movimientos!$C:$C,"&lt;0")</f>
        <v>0</v>
      </c>
      <c r="CW7" s="5">
        <f ca="1">SUMIFS(Movimientos!$C:$C,Movimientos!$A:$A,$B7,Movimientos!$D:$D,CONCATENATE("&lt;=",CW$3),Movimientos!$C:$C,"&gt;0")+SUMIFS(Movimientos!$C:$C,Movimientos!$A:$A,$B7,Movimientos!$D:$D,CONCATENATE("&lt;",CW$3),Movimientos!$C:$C,"&lt;0")</f>
        <v>0</v>
      </c>
      <c r="CX7" s="5">
        <f ca="1">SUMIFS(Movimientos!$C:$C,Movimientos!$A:$A,$B7,Movimientos!$D:$D,CONCATENATE("&lt;=",CX$3),Movimientos!$C:$C,"&gt;0")+SUMIFS(Movimientos!$C:$C,Movimientos!$A:$A,$B7,Movimientos!$D:$D,CONCATENATE("&lt;",CX$3),Movimientos!$C:$C,"&lt;0")</f>
        <v>0</v>
      </c>
      <c r="CY7" s="5">
        <f ca="1">SUMIFS(Movimientos!$C:$C,Movimientos!$A:$A,$B7,Movimientos!$D:$D,CONCATENATE("&lt;=",CY$3),Movimientos!$C:$C,"&gt;0")+SUMIFS(Movimientos!$C:$C,Movimientos!$A:$A,$B7,Movimientos!$D:$D,CONCATENATE("&lt;",CY$3),Movimientos!$C:$C,"&lt;0")</f>
        <v>0</v>
      </c>
      <c r="CZ7" s="5">
        <f ca="1">SUMIFS(Movimientos!$C:$C,Movimientos!$A:$A,$B7,Movimientos!$D:$D,CONCATENATE("&lt;=",CZ$3),Movimientos!$C:$C,"&gt;0")+SUMIFS(Movimientos!$C:$C,Movimientos!$A:$A,$B7,Movimientos!$D:$D,CONCATENATE("&lt;",CZ$3),Movimientos!$C:$C,"&lt;0")</f>
        <v>0</v>
      </c>
      <c r="DA7" s="5">
        <f ca="1">SUMIFS(Movimientos!$C:$C,Movimientos!$A:$A,$B7,Movimientos!$D:$D,CONCATENATE("&lt;=",DA$3),Movimientos!$C:$C,"&gt;0")+SUMIFS(Movimientos!$C:$C,Movimientos!$A:$A,$B7,Movimientos!$D:$D,CONCATENATE("&lt;",DA$3),Movimientos!$C:$C,"&lt;0")</f>
        <v>0</v>
      </c>
      <c r="DB7" s="5">
        <f ca="1">SUMIFS(Movimientos!$C:$C,Movimientos!$A:$A,$B7,Movimientos!$D:$D,CONCATENATE("&lt;=",DB$3),Movimientos!$C:$C,"&gt;0")+SUMIFS(Movimientos!$C:$C,Movimientos!$A:$A,$B7,Movimientos!$D:$D,CONCATENATE("&lt;",DB$3),Movimientos!$C:$C,"&lt;0")</f>
        <v>0</v>
      </c>
      <c r="DC7" s="5">
        <f ca="1">SUMIFS(Movimientos!$C:$C,Movimientos!$A:$A,$B7,Movimientos!$D:$D,CONCATENATE("&lt;=",DC$3),Movimientos!$C:$C,"&gt;0")+SUMIFS(Movimientos!$C:$C,Movimientos!$A:$A,$B7,Movimientos!$D:$D,CONCATENATE("&lt;",DC$3),Movimientos!$C:$C,"&lt;0")</f>
        <v>0</v>
      </c>
      <c r="DD7" s="5">
        <f ca="1">SUMIFS(Movimientos!$C:$C,Movimientos!$A:$A,$B7,Movimientos!$D:$D,CONCATENATE("&lt;=",DD$3),Movimientos!$C:$C,"&gt;0")+SUMIFS(Movimientos!$C:$C,Movimientos!$A:$A,$B7,Movimientos!$D:$D,CONCATENATE("&lt;",DD$3),Movimientos!$C:$C,"&lt;0")</f>
        <v>0</v>
      </c>
      <c r="DE7" s="5">
        <f ca="1">SUMIFS(Movimientos!$C:$C,Movimientos!$A:$A,$B7,Movimientos!$D:$D,CONCATENATE("&lt;=",DE$3),Movimientos!$C:$C,"&gt;0")+SUMIFS(Movimientos!$C:$C,Movimientos!$A:$A,$B7,Movimientos!$D:$D,CONCATENATE("&lt;",DE$3),Movimientos!$C:$C,"&lt;0")</f>
        <v>0</v>
      </c>
      <c r="DF7" s="5">
        <f ca="1">SUMIFS(Movimientos!$C:$C,Movimientos!$A:$A,$B7,Movimientos!$D:$D,CONCATENATE("&lt;=",DF$3),Movimientos!$C:$C,"&gt;0")+SUMIFS(Movimientos!$C:$C,Movimientos!$A:$A,$B7,Movimientos!$D:$D,CONCATENATE("&lt;",DF$3),Movimientos!$C:$C,"&lt;0")</f>
        <v>0</v>
      </c>
      <c r="DG7" s="5">
        <f ca="1">SUMIFS(Movimientos!$C:$C,Movimientos!$A:$A,$B7,Movimientos!$D:$D,CONCATENATE("&lt;=",DG$3),Movimientos!$C:$C,"&gt;0")+SUMIFS(Movimientos!$C:$C,Movimientos!$A:$A,$B7,Movimientos!$D:$D,CONCATENATE("&lt;",DG$3),Movimientos!$C:$C,"&lt;0")</f>
        <v>0</v>
      </c>
      <c r="DH7" s="5">
        <f ca="1">SUMIFS(Movimientos!$C:$C,Movimientos!$A:$A,$B7,Movimientos!$D:$D,CONCATENATE("&lt;=",DH$3),Movimientos!$C:$C,"&gt;0")+SUMIFS(Movimientos!$C:$C,Movimientos!$A:$A,$B7,Movimientos!$D:$D,CONCATENATE("&lt;",DH$3),Movimientos!$C:$C,"&lt;0")</f>
        <v>0</v>
      </c>
      <c r="DI7" s="5">
        <f ca="1">SUMIFS(Movimientos!$C:$C,Movimientos!$A:$A,$B7,Movimientos!$D:$D,CONCATENATE("&lt;=",DI$3),Movimientos!$C:$C,"&gt;0")+SUMIFS(Movimientos!$C:$C,Movimientos!$A:$A,$B7,Movimientos!$D:$D,CONCATENATE("&lt;",DI$3),Movimientos!$C:$C,"&lt;0")</f>
        <v>0</v>
      </c>
      <c r="DJ7" s="5">
        <f ca="1">SUMIFS(Movimientos!$C:$C,Movimientos!$A:$A,$B7,Movimientos!$D:$D,CONCATENATE("&lt;=",DJ$3),Movimientos!$C:$C,"&gt;0")+SUMIFS(Movimientos!$C:$C,Movimientos!$A:$A,$B7,Movimientos!$D:$D,CONCATENATE("&lt;",DJ$3),Movimientos!$C:$C,"&lt;0")</f>
        <v>0</v>
      </c>
      <c r="DK7" s="5">
        <f ca="1">SUMIFS(Movimientos!$C:$C,Movimientos!$A:$A,$B7,Movimientos!$D:$D,CONCATENATE("&lt;=",DK$3),Movimientos!$C:$C,"&gt;0")+SUMIFS(Movimientos!$C:$C,Movimientos!$A:$A,$B7,Movimientos!$D:$D,CONCATENATE("&lt;",DK$3),Movimientos!$C:$C,"&lt;0")</f>
        <v>0</v>
      </c>
      <c r="DL7" s="5">
        <f ca="1">SUMIFS(Movimientos!$C:$C,Movimientos!$A:$A,$B7,Movimientos!$D:$D,CONCATENATE("&lt;=",DL$3),Movimientos!$C:$C,"&gt;0")+SUMIFS(Movimientos!$C:$C,Movimientos!$A:$A,$B7,Movimientos!$D:$D,CONCATENATE("&lt;",DL$3),Movimientos!$C:$C,"&lt;0")</f>
        <v>0</v>
      </c>
      <c r="DM7" s="5">
        <f ca="1">SUMIFS(Movimientos!$C:$C,Movimientos!$A:$A,$B7,Movimientos!$D:$D,CONCATENATE("&lt;=",DM$3),Movimientos!$C:$C,"&gt;0")+SUMIFS(Movimientos!$C:$C,Movimientos!$A:$A,$B7,Movimientos!$D:$D,CONCATENATE("&lt;",DM$3),Movimientos!$C:$C,"&lt;0")</f>
        <v>0</v>
      </c>
      <c r="DN7" s="5">
        <f ca="1">SUMIFS(Movimientos!$C:$C,Movimientos!$A:$A,$B7,Movimientos!$D:$D,CONCATENATE("&lt;=",DN$3),Movimientos!$C:$C,"&gt;0")+SUMIFS(Movimientos!$C:$C,Movimientos!$A:$A,$B7,Movimientos!$D:$D,CONCATENATE("&lt;",DN$3),Movimientos!$C:$C,"&lt;0")</f>
        <v>0</v>
      </c>
      <c r="DO7" s="5">
        <f ca="1">SUMIFS(Movimientos!$C:$C,Movimientos!$A:$A,$B7,Movimientos!$D:$D,CONCATENATE("&lt;=",DO$3),Movimientos!$C:$C,"&gt;0")+SUMIFS(Movimientos!$C:$C,Movimientos!$A:$A,$B7,Movimientos!$D:$D,CONCATENATE("&lt;",DO$3),Movimientos!$C:$C,"&lt;0")</f>
        <v>0</v>
      </c>
      <c r="DP7" s="5">
        <f ca="1">SUMIFS(Movimientos!$C:$C,Movimientos!$A:$A,$B7,Movimientos!$D:$D,CONCATENATE("&lt;=",DP$3),Movimientos!$C:$C,"&gt;0")+SUMIFS(Movimientos!$C:$C,Movimientos!$A:$A,$B7,Movimientos!$D:$D,CONCATENATE("&lt;",DP$3),Movimientos!$C:$C,"&lt;0")</f>
        <v>0</v>
      </c>
      <c r="DQ7" s="5">
        <f ca="1">SUMIFS(Movimientos!$C:$C,Movimientos!$A:$A,$B7,Movimientos!$D:$D,CONCATENATE("&lt;=",DQ$3),Movimientos!$C:$C,"&gt;0")+SUMIFS(Movimientos!$C:$C,Movimientos!$A:$A,$B7,Movimientos!$D:$D,CONCATENATE("&lt;",DQ$3),Movimientos!$C:$C,"&lt;0")</f>
        <v>0</v>
      </c>
      <c r="DR7" s="5">
        <f ca="1">SUMIFS(Movimientos!$C:$C,Movimientos!$A:$A,$B7,Movimientos!$D:$D,CONCATENATE("&lt;=",DR$3),Movimientos!$C:$C,"&gt;0")+SUMIFS(Movimientos!$C:$C,Movimientos!$A:$A,$B7,Movimientos!$D:$D,CONCATENATE("&lt;",DR$3),Movimientos!$C:$C,"&lt;0")</f>
        <v>0</v>
      </c>
      <c r="DS7" s="5">
        <f ca="1">SUMIFS(Movimientos!$C:$C,Movimientos!$A:$A,$B7,Movimientos!$D:$D,CONCATENATE("&lt;=",DS$3),Movimientos!$C:$C,"&gt;0")+SUMIFS(Movimientos!$C:$C,Movimientos!$A:$A,$B7,Movimientos!$D:$D,CONCATENATE("&lt;",DS$3),Movimientos!$C:$C,"&lt;0")</f>
        <v>0</v>
      </c>
      <c r="DT7" s="5">
        <f ca="1">SUMIFS(Movimientos!$C:$C,Movimientos!$A:$A,$B7,Movimientos!$D:$D,CONCATENATE("&lt;=",DT$3),Movimientos!$C:$C,"&gt;0")+SUMIFS(Movimientos!$C:$C,Movimientos!$A:$A,$B7,Movimientos!$D:$D,CONCATENATE("&lt;",DT$3),Movimientos!$C:$C,"&lt;0")</f>
        <v>0</v>
      </c>
      <c r="DU7" s="5">
        <f ca="1">SUMIFS(Movimientos!$C:$C,Movimientos!$A:$A,$B7,Movimientos!$D:$D,CONCATENATE("&lt;=",DU$3),Movimientos!$C:$C,"&gt;0")+SUMIFS(Movimientos!$C:$C,Movimientos!$A:$A,$B7,Movimientos!$D:$D,CONCATENATE("&lt;",DU$3),Movimientos!$C:$C,"&lt;0")</f>
        <v>0</v>
      </c>
      <c r="DV7" s="5">
        <f ca="1">SUMIFS(Movimientos!$C:$C,Movimientos!$A:$A,$B7,Movimientos!$D:$D,CONCATENATE("&lt;=",DV$3),Movimientos!$C:$C,"&gt;0")+SUMIFS(Movimientos!$C:$C,Movimientos!$A:$A,$B7,Movimientos!$D:$D,CONCATENATE("&lt;",DV$3),Movimientos!$C:$C,"&lt;0")</f>
        <v>0</v>
      </c>
      <c r="DW7" s="5">
        <f ca="1">SUMIFS(Movimientos!$C:$C,Movimientos!$A:$A,$B7,Movimientos!$D:$D,CONCATENATE("&lt;=",DW$3),Movimientos!$C:$C,"&gt;0")+SUMIFS(Movimientos!$C:$C,Movimientos!$A:$A,$B7,Movimientos!$D:$D,CONCATENATE("&lt;",DW$3),Movimientos!$C:$C,"&lt;0")</f>
        <v>0</v>
      </c>
      <c r="DX7" s="5">
        <f ca="1">SUMIFS(Movimientos!$C:$C,Movimientos!$A:$A,$B7,Movimientos!$D:$D,CONCATENATE("&lt;=",DX$3),Movimientos!$C:$C,"&gt;0")+SUMIFS(Movimientos!$C:$C,Movimientos!$A:$A,$B7,Movimientos!$D:$D,CONCATENATE("&lt;",DX$3),Movimientos!$C:$C,"&lt;0")</f>
        <v>0</v>
      </c>
      <c r="DY7" s="5">
        <f ca="1">SUMIFS(Movimientos!$C:$C,Movimientos!$A:$A,$B7,Movimientos!$D:$D,CONCATENATE("&lt;=",DY$3),Movimientos!$C:$C,"&gt;0")+SUMIFS(Movimientos!$C:$C,Movimientos!$A:$A,$B7,Movimientos!$D:$D,CONCATENATE("&lt;",DY$3),Movimientos!$C:$C,"&lt;0")</f>
        <v>0</v>
      </c>
      <c r="DZ7" s="5">
        <f ca="1">SUMIFS(Movimientos!$C:$C,Movimientos!$A:$A,$B7,Movimientos!$D:$D,CONCATENATE("&lt;=",DZ$3),Movimientos!$C:$C,"&gt;0")+SUMIFS(Movimientos!$C:$C,Movimientos!$A:$A,$B7,Movimientos!$D:$D,CONCATENATE("&lt;",DZ$3),Movimientos!$C:$C,"&lt;0")</f>
        <v>0</v>
      </c>
      <c r="EA7" s="5">
        <f ca="1">SUMIFS(Movimientos!$C:$C,Movimientos!$A:$A,$B7,Movimientos!$D:$D,CONCATENATE("&lt;=",EA$3),Movimientos!$C:$C,"&gt;0")+SUMIFS(Movimientos!$C:$C,Movimientos!$A:$A,$B7,Movimientos!$D:$D,CONCATENATE("&lt;",EA$3),Movimientos!$C:$C,"&lt;0")</f>
        <v>0</v>
      </c>
      <c r="EB7" s="5">
        <f ca="1">SUMIFS(Movimientos!$C:$C,Movimientos!$A:$A,$B7,Movimientos!$D:$D,CONCATENATE("&lt;=",EB$3),Movimientos!$C:$C,"&gt;0")+SUMIFS(Movimientos!$C:$C,Movimientos!$A:$A,$B7,Movimientos!$D:$D,CONCATENATE("&lt;",EB$3),Movimientos!$C:$C,"&lt;0")</f>
        <v>0</v>
      </c>
      <c r="EC7" s="5">
        <f ca="1">SUMIFS(Movimientos!$C:$C,Movimientos!$A:$A,$B7,Movimientos!$D:$D,CONCATENATE("&lt;=",EC$3),Movimientos!$C:$C,"&gt;0")+SUMIFS(Movimientos!$C:$C,Movimientos!$A:$A,$B7,Movimientos!$D:$D,CONCATENATE("&lt;",EC$3),Movimientos!$C:$C,"&lt;0")</f>
        <v>0</v>
      </c>
      <c r="ED7" s="5">
        <f ca="1">SUMIFS(Movimientos!$C:$C,Movimientos!$A:$A,$B7,Movimientos!$D:$D,CONCATENATE("&lt;=",ED$3),Movimientos!$C:$C,"&gt;0")+SUMIFS(Movimientos!$C:$C,Movimientos!$A:$A,$B7,Movimientos!$D:$D,CONCATENATE("&lt;",ED$3),Movimientos!$C:$C,"&lt;0")</f>
        <v>0</v>
      </c>
      <c r="EE7" s="5">
        <f ca="1">SUMIFS(Movimientos!$C:$C,Movimientos!$A:$A,$B7,Movimientos!$D:$D,CONCATENATE("&lt;=",EE$3),Movimientos!$C:$C,"&gt;0")+SUMIFS(Movimientos!$C:$C,Movimientos!$A:$A,$B7,Movimientos!$D:$D,CONCATENATE("&lt;",EE$3),Movimientos!$C:$C,"&lt;0")</f>
        <v>0</v>
      </c>
      <c r="EF7" s="5">
        <f ca="1">SUMIFS(Movimientos!$C:$C,Movimientos!$A:$A,$B7,Movimientos!$D:$D,CONCATENATE("&lt;=",EF$3),Movimientos!$C:$C,"&gt;0")+SUMIFS(Movimientos!$C:$C,Movimientos!$A:$A,$B7,Movimientos!$D:$D,CONCATENATE("&lt;",EF$3),Movimientos!$C:$C,"&lt;0")</f>
        <v>0</v>
      </c>
      <c r="EG7" s="5">
        <f ca="1">SUMIFS(Movimientos!$C:$C,Movimientos!$A:$A,$B7,Movimientos!$D:$D,CONCATENATE("&lt;=",EG$3),Movimientos!$C:$C,"&gt;0")+SUMIFS(Movimientos!$C:$C,Movimientos!$A:$A,$B7,Movimientos!$D:$D,CONCATENATE("&lt;",EG$3),Movimientos!$C:$C,"&lt;0")</f>
        <v>0</v>
      </c>
      <c r="EH7" s="5">
        <f ca="1">SUMIFS(Movimientos!$C:$C,Movimientos!$A:$A,$B7,Movimientos!$D:$D,CONCATENATE("&lt;=",EH$3),Movimientos!$C:$C,"&gt;0")+SUMIFS(Movimientos!$C:$C,Movimientos!$A:$A,$B7,Movimientos!$D:$D,CONCATENATE("&lt;",EH$3),Movimientos!$C:$C,"&lt;0")</f>
        <v>0</v>
      </c>
      <c r="EI7" s="5">
        <f ca="1">SUMIFS(Movimientos!$C:$C,Movimientos!$A:$A,$B7,Movimientos!$D:$D,CONCATENATE("&lt;=",EI$3),Movimientos!$C:$C,"&gt;0")+SUMIFS(Movimientos!$C:$C,Movimientos!$A:$A,$B7,Movimientos!$D:$D,CONCATENATE("&lt;",EI$3),Movimientos!$C:$C,"&lt;0")</f>
        <v>0</v>
      </c>
      <c r="EJ7" s="5">
        <f ca="1">SUMIFS(Movimientos!$C:$C,Movimientos!$A:$A,$B7,Movimientos!$D:$D,CONCATENATE("&lt;=",EJ$3),Movimientos!$C:$C,"&gt;0")+SUMIFS(Movimientos!$C:$C,Movimientos!$A:$A,$B7,Movimientos!$D:$D,CONCATENATE("&lt;",EJ$3),Movimientos!$C:$C,"&lt;0")</f>
        <v>0</v>
      </c>
      <c r="EK7" s="5">
        <f ca="1">SUMIFS(Movimientos!$C:$C,Movimientos!$A:$A,$B7,Movimientos!$D:$D,CONCATENATE("&lt;=",EK$3),Movimientos!$C:$C,"&gt;0")+SUMIFS(Movimientos!$C:$C,Movimientos!$A:$A,$B7,Movimientos!$D:$D,CONCATENATE("&lt;",EK$3),Movimientos!$C:$C,"&lt;0")</f>
        <v>0</v>
      </c>
      <c r="EL7" s="5">
        <f ca="1">SUMIFS(Movimientos!$C:$C,Movimientos!$A:$A,$B7,Movimientos!$D:$D,CONCATENATE("&lt;=",EL$3),Movimientos!$C:$C,"&gt;0")+SUMIFS(Movimientos!$C:$C,Movimientos!$A:$A,$B7,Movimientos!$D:$D,CONCATENATE("&lt;",EL$3),Movimientos!$C:$C,"&lt;0")</f>
        <v>0</v>
      </c>
      <c r="EM7" s="5">
        <f ca="1">SUMIFS(Movimientos!$C:$C,Movimientos!$A:$A,$B7,Movimientos!$D:$D,CONCATENATE("&lt;=",EM$3),Movimientos!$C:$C,"&gt;0")+SUMIFS(Movimientos!$C:$C,Movimientos!$A:$A,$B7,Movimientos!$D:$D,CONCATENATE("&lt;",EM$3),Movimientos!$C:$C,"&lt;0")</f>
        <v>0</v>
      </c>
      <c r="EN7" s="5">
        <f ca="1">SUMIFS(Movimientos!$C:$C,Movimientos!$A:$A,$B7,Movimientos!$D:$D,CONCATENATE("&lt;=",EN$3),Movimientos!$C:$C,"&gt;0")+SUMIFS(Movimientos!$C:$C,Movimientos!$A:$A,$B7,Movimientos!$D:$D,CONCATENATE("&lt;",EN$3),Movimientos!$C:$C,"&lt;0")</f>
        <v>0</v>
      </c>
      <c r="EO7" s="5">
        <f ca="1">SUMIFS(Movimientos!$C:$C,Movimientos!$A:$A,$B7,Movimientos!$D:$D,CONCATENATE("&lt;=",EO$3),Movimientos!$C:$C,"&gt;0")+SUMIFS(Movimientos!$C:$C,Movimientos!$A:$A,$B7,Movimientos!$D:$D,CONCATENATE("&lt;",EO$3),Movimientos!$C:$C,"&lt;0")</f>
        <v>0</v>
      </c>
      <c r="EP7" s="5">
        <f ca="1">SUMIFS(Movimientos!$C:$C,Movimientos!$A:$A,$B7,Movimientos!$D:$D,CONCATENATE("&lt;=",EP$3),Movimientos!$C:$C,"&gt;0")+SUMIFS(Movimientos!$C:$C,Movimientos!$A:$A,$B7,Movimientos!$D:$D,CONCATENATE("&lt;",EP$3),Movimientos!$C:$C,"&lt;0")</f>
        <v>0</v>
      </c>
      <c r="EQ7" s="5">
        <f ca="1">SUMIFS(Movimientos!$C:$C,Movimientos!$A:$A,$B7,Movimientos!$D:$D,CONCATENATE("&lt;=",EQ$3),Movimientos!$C:$C,"&gt;0")+SUMIFS(Movimientos!$C:$C,Movimientos!$A:$A,$B7,Movimientos!$D:$D,CONCATENATE("&lt;",EQ$3),Movimientos!$C:$C,"&lt;0")</f>
        <v>0</v>
      </c>
      <c r="ER7" s="5">
        <f ca="1">SUMIFS(Movimientos!$C:$C,Movimientos!$A:$A,$B7,Movimientos!$D:$D,CONCATENATE("&lt;=",ER$3),Movimientos!$C:$C,"&gt;0")+SUMIFS(Movimientos!$C:$C,Movimientos!$A:$A,$B7,Movimientos!$D:$D,CONCATENATE("&lt;",ER$3),Movimientos!$C:$C,"&lt;0")</f>
        <v>0</v>
      </c>
      <c r="ES7" s="5">
        <f ca="1">SUMIFS(Movimientos!$C:$C,Movimientos!$A:$A,$B7,Movimientos!$D:$D,CONCATENATE("&lt;=",ES$3),Movimientos!$C:$C,"&gt;0")+SUMIFS(Movimientos!$C:$C,Movimientos!$A:$A,$B7,Movimientos!$D:$D,CONCATENATE("&lt;",ES$3),Movimientos!$C:$C,"&lt;0")</f>
        <v>0</v>
      </c>
      <c r="ET7" s="5">
        <f ca="1">SUMIFS(Movimientos!$C:$C,Movimientos!$A:$A,$B7,Movimientos!$D:$D,CONCATENATE("&lt;=",ET$3),Movimientos!$C:$C,"&gt;0")+SUMIFS(Movimientos!$C:$C,Movimientos!$A:$A,$B7,Movimientos!$D:$D,CONCATENATE("&lt;",ET$3),Movimientos!$C:$C,"&lt;0")</f>
        <v>0</v>
      </c>
      <c r="EU7" s="5">
        <f ca="1">SUMIFS(Movimientos!$C:$C,Movimientos!$A:$A,$B7,Movimientos!$D:$D,CONCATENATE("&lt;=",EU$3),Movimientos!$C:$C,"&gt;0")+SUMIFS(Movimientos!$C:$C,Movimientos!$A:$A,$B7,Movimientos!$D:$D,CONCATENATE("&lt;",EU$3),Movimientos!$C:$C,"&lt;0")</f>
        <v>0</v>
      </c>
      <c r="EV7" s="5">
        <f ca="1">SUMIFS(Movimientos!$C:$C,Movimientos!$A:$A,$B7,Movimientos!$D:$D,CONCATENATE("&lt;=",EV$3),Movimientos!$C:$C,"&gt;0")+SUMIFS(Movimientos!$C:$C,Movimientos!$A:$A,$B7,Movimientos!$D:$D,CONCATENATE("&lt;",EV$3),Movimientos!$C:$C,"&lt;0")</f>
        <v>0</v>
      </c>
      <c r="EW7" s="5">
        <f ca="1">SUMIFS(Movimientos!$C:$C,Movimientos!$A:$A,$B7,Movimientos!$D:$D,CONCATENATE("&lt;=",EW$3),Movimientos!$C:$C,"&gt;0")+SUMIFS(Movimientos!$C:$C,Movimientos!$A:$A,$B7,Movimientos!$D:$D,CONCATENATE("&lt;",EW$3),Movimientos!$C:$C,"&lt;0")</f>
        <v>0</v>
      </c>
      <c r="EX7" s="5">
        <f ca="1">SUMIFS(Movimientos!$C:$C,Movimientos!$A:$A,$B7,Movimientos!$D:$D,CONCATENATE("&lt;=",EX$3),Movimientos!$C:$C,"&gt;0")+SUMIFS(Movimientos!$C:$C,Movimientos!$A:$A,$B7,Movimientos!$D:$D,CONCATENATE("&lt;",EX$3),Movimientos!$C:$C,"&lt;0")</f>
        <v>0</v>
      </c>
      <c r="EY7" s="5">
        <f ca="1">SUMIFS(Movimientos!$C:$C,Movimientos!$A:$A,$B7,Movimientos!$D:$D,CONCATENATE("&lt;=",EY$3),Movimientos!$C:$C,"&gt;0")+SUMIFS(Movimientos!$C:$C,Movimientos!$A:$A,$B7,Movimientos!$D:$D,CONCATENATE("&lt;",EY$3),Movimientos!$C:$C,"&lt;0")</f>
        <v>0</v>
      </c>
      <c r="EZ7" s="5">
        <f ca="1">SUMIFS(Movimientos!$C:$C,Movimientos!$A:$A,$B7,Movimientos!$D:$D,CONCATENATE("&lt;=",EZ$3),Movimientos!$C:$C,"&gt;0")+SUMIFS(Movimientos!$C:$C,Movimientos!$A:$A,$B7,Movimientos!$D:$D,CONCATENATE("&lt;",EZ$3),Movimientos!$C:$C,"&lt;0")</f>
        <v>0</v>
      </c>
      <c r="FA7" s="5">
        <f ca="1">SUMIFS(Movimientos!$C:$C,Movimientos!$A:$A,$B7,Movimientos!$D:$D,CONCATENATE("&lt;=",FA$3),Movimientos!$C:$C,"&gt;0")+SUMIFS(Movimientos!$C:$C,Movimientos!$A:$A,$B7,Movimientos!$D:$D,CONCATENATE("&lt;",FA$3),Movimientos!$C:$C,"&lt;0")</f>
        <v>0</v>
      </c>
      <c r="FB7" s="5">
        <f ca="1">SUMIFS(Movimientos!$C:$C,Movimientos!$A:$A,$B7,Movimientos!$D:$D,CONCATENATE("&lt;=",FB$3),Movimientos!$C:$C,"&gt;0")+SUMIFS(Movimientos!$C:$C,Movimientos!$A:$A,$B7,Movimientos!$D:$D,CONCATENATE("&lt;",FB$3),Movimientos!$C:$C,"&lt;0")</f>
        <v>0</v>
      </c>
      <c r="FC7" s="5">
        <f ca="1">SUMIFS(Movimientos!$C:$C,Movimientos!$A:$A,$B7,Movimientos!$D:$D,CONCATENATE("&lt;=",FC$3),Movimientos!$C:$C,"&gt;0")+SUMIFS(Movimientos!$C:$C,Movimientos!$A:$A,$B7,Movimientos!$D:$D,CONCATENATE("&lt;",FC$3),Movimientos!$C:$C,"&lt;0")</f>
        <v>0</v>
      </c>
      <c r="FD7" s="5">
        <f ca="1">SUMIFS(Movimientos!$C:$C,Movimientos!$A:$A,$B7,Movimientos!$D:$D,CONCATENATE("&lt;=",FD$3),Movimientos!$C:$C,"&gt;0")+SUMIFS(Movimientos!$C:$C,Movimientos!$A:$A,$B7,Movimientos!$D:$D,CONCATENATE("&lt;",FD$3),Movimientos!$C:$C,"&lt;0")</f>
        <v>0</v>
      </c>
      <c r="FE7" s="5">
        <f ca="1">SUMIFS(Movimientos!$C:$C,Movimientos!$A:$A,$B7,Movimientos!$D:$D,CONCATENATE("&lt;=",FE$3),Movimientos!$C:$C,"&gt;0")+SUMIFS(Movimientos!$C:$C,Movimientos!$A:$A,$B7,Movimientos!$D:$D,CONCATENATE("&lt;",FE$3),Movimientos!$C:$C,"&lt;0")</f>
        <v>0</v>
      </c>
      <c r="FF7" s="5">
        <f ca="1">SUMIFS(Movimientos!$C:$C,Movimientos!$A:$A,$B7,Movimientos!$D:$D,CONCATENATE("&lt;=",FF$3),Movimientos!$C:$C,"&gt;0")+SUMIFS(Movimientos!$C:$C,Movimientos!$A:$A,$B7,Movimientos!$D:$D,CONCATENATE("&lt;",FF$3),Movimientos!$C:$C,"&lt;0")</f>
        <v>0</v>
      </c>
      <c r="FG7" s="5">
        <f ca="1">SUMIFS(Movimientos!$C:$C,Movimientos!$A:$A,$B7,Movimientos!$D:$D,CONCATENATE("&lt;=",FG$3),Movimientos!$C:$C,"&gt;0")+SUMIFS(Movimientos!$C:$C,Movimientos!$A:$A,$B7,Movimientos!$D:$D,CONCATENATE("&lt;",FG$3),Movimientos!$C:$C,"&lt;0")</f>
        <v>0</v>
      </c>
      <c r="FH7" s="5">
        <f ca="1">SUMIFS(Movimientos!$C:$C,Movimientos!$A:$A,$B7,Movimientos!$D:$D,CONCATENATE("&lt;=",FH$3),Movimientos!$C:$C,"&gt;0")+SUMIFS(Movimientos!$C:$C,Movimientos!$A:$A,$B7,Movimientos!$D:$D,CONCATENATE("&lt;",FH$3),Movimientos!$C:$C,"&lt;0")</f>
        <v>0</v>
      </c>
      <c r="FI7" s="5">
        <f ca="1">SUMIFS(Movimientos!$C:$C,Movimientos!$A:$A,$B7,Movimientos!$D:$D,CONCATENATE("&lt;=",FI$3),Movimientos!$C:$C,"&gt;0")+SUMIFS(Movimientos!$C:$C,Movimientos!$A:$A,$B7,Movimientos!$D:$D,CONCATENATE("&lt;",FI$3),Movimientos!$C:$C,"&lt;0")</f>
        <v>0</v>
      </c>
      <c r="FJ7" s="5">
        <f ca="1">SUMIFS(Movimientos!$C:$C,Movimientos!$A:$A,$B7,Movimientos!$D:$D,CONCATENATE("&lt;=",FJ$3),Movimientos!$C:$C,"&gt;0")+SUMIFS(Movimientos!$C:$C,Movimientos!$A:$A,$B7,Movimientos!$D:$D,CONCATENATE("&lt;",FJ$3),Movimientos!$C:$C,"&lt;0")</f>
        <v>0</v>
      </c>
      <c r="FK7" s="5">
        <f ca="1">SUMIFS(Movimientos!$C:$C,Movimientos!$A:$A,$B7,Movimientos!$D:$D,CONCATENATE("&lt;=",FK$3),Movimientos!$C:$C,"&gt;0")+SUMIFS(Movimientos!$C:$C,Movimientos!$A:$A,$B7,Movimientos!$D:$D,CONCATENATE("&lt;",FK$3),Movimientos!$C:$C,"&lt;0")</f>
        <v>0</v>
      </c>
      <c r="FL7" s="5">
        <f ca="1">SUMIFS(Movimientos!$C:$C,Movimientos!$A:$A,$B7,Movimientos!$D:$D,CONCATENATE("&lt;=",FL$3),Movimientos!$C:$C,"&gt;0")+SUMIFS(Movimientos!$C:$C,Movimientos!$A:$A,$B7,Movimientos!$D:$D,CONCATENATE("&lt;",FL$3),Movimientos!$C:$C,"&lt;0")</f>
        <v>0</v>
      </c>
      <c r="FM7" s="5">
        <f ca="1">SUMIFS(Movimientos!$C:$C,Movimientos!$A:$A,$B7,Movimientos!$D:$D,CONCATENATE("&lt;=",FM$3),Movimientos!$C:$C,"&gt;0")+SUMIFS(Movimientos!$C:$C,Movimientos!$A:$A,$B7,Movimientos!$D:$D,CONCATENATE("&lt;",FM$3),Movimientos!$C:$C,"&lt;0")</f>
        <v>0</v>
      </c>
      <c r="FN7" s="5">
        <f ca="1">SUMIFS(Movimientos!$C:$C,Movimientos!$A:$A,$B7,Movimientos!$D:$D,CONCATENATE("&lt;=",FN$3),Movimientos!$C:$C,"&gt;0")+SUMIFS(Movimientos!$C:$C,Movimientos!$A:$A,$B7,Movimientos!$D:$D,CONCATENATE("&lt;",FN$3),Movimientos!$C:$C,"&lt;0")</f>
        <v>0</v>
      </c>
      <c r="FO7" s="5">
        <f ca="1">SUMIFS(Movimientos!$C:$C,Movimientos!$A:$A,$B7,Movimientos!$D:$D,CONCATENATE("&lt;=",FO$3),Movimientos!$C:$C,"&gt;0")+SUMIFS(Movimientos!$C:$C,Movimientos!$A:$A,$B7,Movimientos!$D:$D,CONCATENATE("&lt;",FO$3),Movimientos!$C:$C,"&lt;0")</f>
        <v>0</v>
      </c>
      <c r="FP7" s="5">
        <f ca="1">SUMIFS(Movimientos!$C:$C,Movimientos!$A:$A,$B7,Movimientos!$D:$D,CONCATENATE("&lt;=",FP$3),Movimientos!$C:$C,"&gt;0")+SUMIFS(Movimientos!$C:$C,Movimientos!$A:$A,$B7,Movimientos!$D:$D,CONCATENATE("&lt;",FP$3),Movimientos!$C:$C,"&lt;0")</f>
        <v>0</v>
      </c>
      <c r="FQ7" s="5">
        <f ca="1">SUMIFS(Movimientos!$C:$C,Movimientos!$A:$A,$B7,Movimientos!$D:$D,CONCATENATE("&lt;=",FQ$3),Movimientos!$C:$C,"&gt;0")+SUMIFS(Movimientos!$C:$C,Movimientos!$A:$A,$B7,Movimientos!$D:$D,CONCATENATE("&lt;",FQ$3),Movimientos!$C:$C,"&lt;0")</f>
        <v>0</v>
      </c>
      <c r="FR7" s="5">
        <f ca="1">SUMIFS(Movimientos!$C:$C,Movimientos!$A:$A,$B7,Movimientos!$D:$D,CONCATENATE("&lt;=",FR$3),Movimientos!$C:$C,"&gt;0")+SUMIFS(Movimientos!$C:$C,Movimientos!$A:$A,$B7,Movimientos!$D:$D,CONCATENATE("&lt;",FR$3),Movimientos!$C:$C,"&lt;0")</f>
        <v>0</v>
      </c>
      <c r="FS7" s="5">
        <f ca="1">SUMIFS(Movimientos!$C:$C,Movimientos!$A:$A,$B7,Movimientos!$D:$D,CONCATENATE("&lt;=",FS$3),Movimientos!$C:$C,"&gt;0")+SUMIFS(Movimientos!$C:$C,Movimientos!$A:$A,$B7,Movimientos!$D:$D,CONCATENATE("&lt;",FS$3),Movimientos!$C:$C,"&lt;0")</f>
        <v>0</v>
      </c>
      <c r="FT7" s="5">
        <f ca="1">SUMIFS(Movimientos!$C:$C,Movimientos!$A:$A,$B7,Movimientos!$D:$D,CONCATENATE("&lt;=",FT$3),Movimientos!$C:$C,"&gt;0")+SUMIFS(Movimientos!$C:$C,Movimientos!$A:$A,$B7,Movimientos!$D:$D,CONCATENATE("&lt;",FT$3),Movimientos!$C:$C,"&lt;0")</f>
        <v>0</v>
      </c>
      <c r="FU7" s="5">
        <f ca="1">SUMIFS(Movimientos!$C:$C,Movimientos!$A:$A,$B7,Movimientos!$D:$D,CONCATENATE("&lt;=",FU$3),Movimientos!$C:$C,"&gt;0")+SUMIFS(Movimientos!$C:$C,Movimientos!$A:$A,$B7,Movimientos!$D:$D,CONCATENATE("&lt;",FU$3),Movimientos!$C:$C,"&lt;0")</f>
        <v>0</v>
      </c>
      <c r="FV7" s="5">
        <f ca="1">SUMIFS(Movimientos!$C:$C,Movimientos!$A:$A,$B7,Movimientos!$D:$D,CONCATENATE("&lt;=",FV$3),Movimientos!$C:$C,"&gt;0")+SUMIFS(Movimientos!$C:$C,Movimientos!$A:$A,$B7,Movimientos!$D:$D,CONCATENATE("&lt;",FV$3),Movimientos!$C:$C,"&lt;0")</f>
        <v>0</v>
      </c>
      <c r="FW7" s="5">
        <f ca="1">SUMIFS(Movimientos!$C:$C,Movimientos!$A:$A,$B7,Movimientos!$D:$D,CONCATENATE("&lt;=",FW$3),Movimientos!$C:$C,"&gt;0")+SUMIFS(Movimientos!$C:$C,Movimientos!$A:$A,$B7,Movimientos!$D:$D,CONCATENATE("&lt;",FW$3),Movimientos!$C:$C,"&lt;0")</f>
        <v>0</v>
      </c>
      <c r="FX7" s="5">
        <f ca="1">SUMIFS(Movimientos!$C:$C,Movimientos!$A:$A,$B7,Movimientos!$D:$D,CONCATENATE("&lt;=",FX$3),Movimientos!$C:$C,"&gt;0")+SUMIFS(Movimientos!$C:$C,Movimientos!$A:$A,$B7,Movimientos!$D:$D,CONCATENATE("&lt;",FX$3),Movimientos!$C:$C,"&lt;0")</f>
        <v>0</v>
      </c>
      <c r="FY7" s="5">
        <f ca="1">SUMIFS(Movimientos!$C:$C,Movimientos!$A:$A,$B7,Movimientos!$D:$D,CONCATENATE("&lt;=",FY$3),Movimientos!$C:$C,"&gt;0")+SUMIFS(Movimientos!$C:$C,Movimientos!$A:$A,$B7,Movimientos!$D:$D,CONCATENATE("&lt;",FY$3),Movimientos!$C:$C,"&lt;0")</f>
        <v>0</v>
      </c>
      <c r="FZ7" s="5">
        <f ca="1">SUMIFS(Movimientos!$C:$C,Movimientos!$A:$A,$B7,Movimientos!$D:$D,CONCATENATE("&lt;=",FZ$3),Movimientos!$C:$C,"&gt;0")+SUMIFS(Movimientos!$C:$C,Movimientos!$A:$A,$B7,Movimientos!$D:$D,CONCATENATE("&lt;",FZ$3),Movimientos!$C:$C,"&lt;0")</f>
        <v>0</v>
      </c>
      <c r="GA7" s="5">
        <f ca="1">SUMIFS(Movimientos!$C:$C,Movimientos!$A:$A,$B7,Movimientos!$D:$D,CONCATENATE("&lt;=",GA$3),Movimientos!$C:$C,"&gt;0")+SUMIFS(Movimientos!$C:$C,Movimientos!$A:$A,$B7,Movimientos!$D:$D,CONCATENATE("&lt;",GA$3),Movimientos!$C:$C,"&lt;0")</f>
        <v>0</v>
      </c>
      <c r="GB7" s="5">
        <f ca="1">SUMIFS(Movimientos!$C:$C,Movimientos!$A:$A,$B7,Movimientos!$D:$D,CONCATENATE("&lt;=",GB$3),Movimientos!$C:$C,"&gt;0")+SUMIFS(Movimientos!$C:$C,Movimientos!$A:$A,$B7,Movimientos!$D:$D,CONCATENATE("&lt;",GB$3),Movimientos!$C:$C,"&lt;0")</f>
        <v>0</v>
      </c>
      <c r="GC7" s="5">
        <f ca="1">SUMIFS(Movimientos!$C:$C,Movimientos!$A:$A,$B7,Movimientos!$D:$D,CONCATENATE("&lt;=",GC$3),Movimientos!$C:$C,"&gt;0")+SUMIFS(Movimientos!$C:$C,Movimientos!$A:$A,$B7,Movimientos!$D:$D,CONCATENATE("&lt;",GC$3),Movimientos!$C:$C,"&lt;0")</f>
        <v>0</v>
      </c>
      <c r="GD7" s="5">
        <f ca="1">SUMIFS(Movimientos!$C:$C,Movimientos!$A:$A,$B7,Movimientos!$D:$D,CONCATENATE("&lt;=",GD$3),Movimientos!$C:$C,"&gt;0")+SUMIFS(Movimientos!$C:$C,Movimientos!$A:$A,$B7,Movimientos!$D:$D,CONCATENATE("&lt;",GD$3),Movimientos!$C:$C,"&lt;0")</f>
        <v>0</v>
      </c>
      <c r="GE7" s="5">
        <f ca="1">SUMIFS(Movimientos!$C:$C,Movimientos!$A:$A,$B7,Movimientos!$D:$D,CONCATENATE("&lt;=",GE$3),Movimientos!$C:$C,"&gt;0")+SUMIFS(Movimientos!$C:$C,Movimientos!$A:$A,$B7,Movimientos!$D:$D,CONCATENATE("&lt;",GE$3),Movimientos!$C:$C,"&lt;0")</f>
        <v>0</v>
      </c>
      <c r="GF7" s="5">
        <f ca="1">SUMIFS(Movimientos!$C:$C,Movimientos!$A:$A,$B7,Movimientos!$D:$D,CONCATENATE("&lt;=",GF$3),Movimientos!$C:$C,"&gt;0")+SUMIFS(Movimientos!$C:$C,Movimientos!$A:$A,$B7,Movimientos!$D:$D,CONCATENATE("&lt;",GF$3),Movimientos!$C:$C,"&lt;0")</f>
        <v>0</v>
      </c>
      <c r="GG7" s="5">
        <f ca="1">SUMIFS(Movimientos!$C:$C,Movimientos!$A:$A,$B7,Movimientos!$D:$D,CONCATENATE("&lt;=",GG$3),Movimientos!$C:$C,"&gt;0")+SUMIFS(Movimientos!$C:$C,Movimientos!$A:$A,$B7,Movimientos!$D:$D,CONCATENATE("&lt;",GG$3),Movimientos!$C:$C,"&lt;0")</f>
        <v>0</v>
      </c>
      <c r="GH7" s="5">
        <f ca="1">SUMIFS(Movimientos!$C:$C,Movimientos!$A:$A,$B7,Movimientos!$D:$D,CONCATENATE("&lt;=",GH$3),Movimientos!$C:$C,"&gt;0")+SUMIFS(Movimientos!$C:$C,Movimientos!$A:$A,$B7,Movimientos!$D:$D,CONCATENATE("&lt;",GH$3),Movimientos!$C:$C,"&lt;0")</f>
        <v>0</v>
      </c>
      <c r="GI7" s="5">
        <f ca="1">SUMIFS(Movimientos!$C:$C,Movimientos!$A:$A,$B7,Movimientos!$D:$D,CONCATENATE("&lt;=",GI$3),Movimientos!$C:$C,"&gt;0")+SUMIFS(Movimientos!$C:$C,Movimientos!$A:$A,$B7,Movimientos!$D:$D,CONCATENATE("&lt;",GI$3),Movimientos!$C:$C,"&lt;0")</f>
        <v>0</v>
      </c>
      <c r="GJ7" s="5">
        <f ca="1">SUMIFS(Movimientos!$C:$C,Movimientos!$A:$A,$B7,Movimientos!$D:$D,CONCATENATE("&lt;=",GJ$3),Movimientos!$C:$C,"&gt;0")+SUMIFS(Movimientos!$C:$C,Movimientos!$A:$A,$B7,Movimientos!$D:$D,CONCATENATE("&lt;",GJ$3),Movimientos!$C:$C,"&lt;0")</f>
        <v>0</v>
      </c>
      <c r="GK7" s="5">
        <f ca="1">SUMIFS(Movimientos!$C:$C,Movimientos!$A:$A,$B7,Movimientos!$D:$D,CONCATENATE("&lt;=",GK$3),Movimientos!$C:$C,"&gt;0")+SUMIFS(Movimientos!$C:$C,Movimientos!$A:$A,$B7,Movimientos!$D:$D,CONCATENATE("&lt;",GK$3),Movimientos!$C:$C,"&lt;0")</f>
        <v>0</v>
      </c>
      <c r="GL7" s="5">
        <f ca="1">SUMIFS(Movimientos!$C:$C,Movimientos!$A:$A,$B7,Movimientos!$D:$D,CONCATENATE("&lt;=",GL$3),Movimientos!$C:$C,"&gt;0")+SUMIFS(Movimientos!$C:$C,Movimientos!$A:$A,$B7,Movimientos!$D:$D,CONCATENATE("&lt;",GL$3),Movimientos!$C:$C,"&lt;0")</f>
        <v>0</v>
      </c>
      <c r="GM7" s="5">
        <f ca="1">SUMIFS(Movimientos!$C:$C,Movimientos!$A:$A,$B7,Movimientos!$D:$D,CONCATENATE("&lt;=",GM$3),Movimientos!$C:$C,"&gt;0")+SUMIFS(Movimientos!$C:$C,Movimientos!$A:$A,$B7,Movimientos!$D:$D,CONCATENATE("&lt;",GM$3),Movimientos!$C:$C,"&lt;0")</f>
        <v>0</v>
      </c>
      <c r="GN7" s="5">
        <f ca="1">SUMIFS(Movimientos!$C:$C,Movimientos!$A:$A,$B7,Movimientos!$D:$D,CONCATENATE("&lt;=",GN$3),Movimientos!$C:$C,"&gt;0")+SUMIFS(Movimientos!$C:$C,Movimientos!$A:$A,$B7,Movimientos!$D:$D,CONCATENATE("&lt;",GN$3),Movimientos!$C:$C,"&lt;0")</f>
        <v>0</v>
      </c>
      <c r="GO7" s="5">
        <f ca="1">SUMIFS(Movimientos!$C:$C,Movimientos!$A:$A,$B7,Movimientos!$D:$D,CONCATENATE("&lt;=",GO$3),Movimientos!$C:$C,"&gt;0")+SUMIFS(Movimientos!$C:$C,Movimientos!$A:$A,$B7,Movimientos!$D:$D,CONCATENATE("&lt;",GO$3),Movimientos!$C:$C,"&lt;0")</f>
        <v>0</v>
      </c>
      <c r="GP7" s="5">
        <f ca="1">SUMIFS(Movimientos!$C:$C,Movimientos!$A:$A,$B7,Movimientos!$D:$D,CONCATENATE("&lt;=",GP$3),Movimientos!$C:$C,"&gt;0")+SUMIFS(Movimientos!$C:$C,Movimientos!$A:$A,$B7,Movimientos!$D:$D,CONCATENATE("&lt;",GP$3),Movimientos!$C:$C,"&lt;0")</f>
        <v>0</v>
      </c>
      <c r="GQ7" s="5">
        <f ca="1">SUMIFS(Movimientos!$C:$C,Movimientos!$A:$A,$B7,Movimientos!$D:$D,CONCATENATE("&lt;=",GQ$3),Movimientos!$C:$C,"&gt;0")+SUMIFS(Movimientos!$C:$C,Movimientos!$A:$A,$B7,Movimientos!$D:$D,CONCATENATE("&lt;",GQ$3),Movimientos!$C:$C,"&lt;0")</f>
        <v>0</v>
      </c>
      <c r="GR7" s="5">
        <f ca="1">SUMIFS(Movimientos!$C:$C,Movimientos!$A:$A,$B7,Movimientos!$D:$D,CONCATENATE("&lt;=",GR$3),Movimientos!$C:$C,"&gt;0")+SUMIFS(Movimientos!$C:$C,Movimientos!$A:$A,$B7,Movimientos!$D:$D,CONCATENATE("&lt;",GR$3),Movimientos!$C:$C,"&lt;0")</f>
        <v>0</v>
      </c>
      <c r="GS7" s="5">
        <f ca="1">SUMIFS(Movimientos!$C:$C,Movimientos!$A:$A,$B7,Movimientos!$D:$D,CONCATENATE("&lt;=",GS$3),Movimientos!$C:$C,"&gt;0")+SUMIFS(Movimientos!$C:$C,Movimientos!$A:$A,$B7,Movimientos!$D:$D,CONCATENATE("&lt;",GS$3),Movimientos!$C:$C,"&lt;0")</f>
        <v>0</v>
      </c>
      <c r="GT7" s="5">
        <f ca="1">SUMIFS(Movimientos!$C:$C,Movimientos!$A:$A,$B7,Movimientos!$D:$D,CONCATENATE("&lt;=",GT$3),Movimientos!$C:$C,"&gt;0")+SUMIFS(Movimientos!$C:$C,Movimientos!$A:$A,$B7,Movimientos!$D:$D,CONCATENATE("&lt;",GT$3),Movimientos!$C:$C,"&lt;0")</f>
        <v>0</v>
      </c>
      <c r="GU7" s="5">
        <f ca="1">SUMIFS(Movimientos!$C:$C,Movimientos!$A:$A,$B7,Movimientos!$D:$D,CONCATENATE("&lt;=",GU$3),Movimientos!$C:$C,"&gt;0")+SUMIFS(Movimientos!$C:$C,Movimientos!$A:$A,$B7,Movimientos!$D:$D,CONCATENATE("&lt;",GU$3),Movimientos!$C:$C,"&lt;0")</f>
        <v>0</v>
      </c>
      <c r="GV7" s="5">
        <f ca="1">SUMIFS(Movimientos!$C:$C,Movimientos!$A:$A,$B7,Movimientos!$D:$D,CONCATENATE("&lt;=",GV$3),Movimientos!$C:$C,"&gt;0")+SUMIFS(Movimientos!$C:$C,Movimientos!$A:$A,$B7,Movimientos!$D:$D,CONCATENATE("&lt;",GV$3),Movimientos!$C:$C,"&lt;0")</f>
        <v>0</v>
      </c>
      <c r="GW7" s="5">
        <f ca="1">SUMIFS(Movimientos!$C:$C,Movimientos!$A:$A,$B7,Movimientos!$D:$D,CONCATENATE("&lt;=",GW$3),Movimientos!$C:$C,"&gt;0")+SUMIFS(Movimientos!$C:$C,Movimientos!$A:$A,$B7,Movimientos!$D:$D,CONCATENATE("&lt;",GW$3),Movimientos!$C:$C,"&lt;0")</f>
        <v>0</v>
      </c>
      <c r="GX7" s="5">
        <f ca="1">SUMIFS(Movimientos!$C:$C,Movimientos!$A:$A,$B7,Movimientos!$D:$D,CONCATENATE("&lt;=",GX$3),Movimientos!$C:$C,"&gt;0")+SUMIFS(Movimientos!$C:$C,Movimientos!$A:$A,$B7,Movimientos!$D:$D,CONCATENATE("&lt;",GX$3),Movimientos!$C:$C,"&lt;0")</f>
        <v>0</v>
      </c>
      <c r="GY7" s="5">
        <f ca="1">SUMIFS(Movimientos!$C:$C,Movimientos!$A:$A,$B7,Movimientos!$D:$D,CONCATENATE("&lt;=",GY$3),Movimientos!$C:$C,"&gt;0")+SUMIFS(Movimientos!$C:$C,Movimientos!$A:$A,$B7,Movimientos!$D:$D,CONCATENATE("&lt;",GY$3),Movimientos!$C:$C,"&lt;0")</f>
        <v>0</v>
      </c>
      <c r="GZ7" s="5">
        <f ca="1">SUMIFS(Movimientos!$C:$C,Movimientos!$A:$A,$B7,Movimientos!$D:$D,CONCATENATE("&lt;=",GZ$3),Movimientos!$C:$C,"&gt;0")+SUMIFS(Movimientos!$C:$C,Movimientos!$A:$A,$B7,Movimientos!$D:$D,CONCATENATE("&lt;",GZ$3),Movimientos!$C:$C,"&lt;0")</f>
        <v>0</v>
      </c>
      <c r="HA7" s="5">
        <f ca="1">SUMIFS(Movimientos!$C:$C,Movimientos!$A:$A,$B7,Movimientos!$D:$D,CONCATENATE("&lt;=",HA$3),Movimientos!$C:$C,"&gt;0")+SUMIFS(Movimientos!$C:$C,Movimientos!$A:$A,$B7,Movimientos!$D:$D,CONCATENATE("&lt;",HA$3),Movimientos!$C:$C,"&lt;0")</f>
        <v>0</v>
      </c>
      <c r="HB7" s="5">
        <f ca="1">SUMIFS(Movimientos!$C:$C,Movimientos!$A:$A,$B7,Movimientos!$D:$D,CONCATENATE("&lt;=",HB$3),Movimientos!$C:$C,"&gt;0")+SUMIFS(Movimientos!$C:$C,Movimientos!$A:$A,$B7,Movimientos!$D:$D,CONCATENATE("&lt;",HB$3),Movimientos!$C:$C,"&lt;0")</f>
        <v>0</v>
      </c>
      <c r="HC7" s="5">
        <f ca="1">SUMIFS(Movimientos!$C:$C,Movimientos!$A:$A,$B7,Movimientos!$D:$D,CONCATENATE("&lt;=",HC$3),Movimientos!$C:$C,"&gt;0")+SUMIFS(Movimientos!$C:$C,Movimientos!$A:$A,$B7,Movimientos!$D:$D,CONCATENATE("&lt;",HC$3),Movimientos!$C:$C,"&lt;0")</f>
        <v>0</v>
      </c>
      <c r="HD7" s="5">
        <f ca="1">SUMIFS(Movimientos!$C:$C,Movimientos!$A:$A,$B7,Movimientos!$D:$D,CONCATENATE("&lt;=",HD$3),Movimientos!$C:$C,"&gt;0")+SUMIFS(Movimientos!$C:$C,Movimientos!$A:$A,$B7,Movimientos!$D:$D,CONCATENATE("&lt;",HD$3),Movimientos!$C:$C,"&lt;0")</f>
        <v>0</v>
      </c>
      <c r="HE7" s="5">
        <f ca="1">SUMIFS(Movimientos!$C:$C,Movimientos!$A:$A,$B7,Movimientos!$D:$D,CONCATENATE("&lt;=",HE$3),Movimientos!$C:$C,"&gt;0")+SUMIFS(Movimientos!$C:$C,Movimientos!$A:$A,$B7,Movimientos!$D:$D,CONCATENATE("&lt;",HE$3),Movimientos!$C:$C,"&lt;0")</f>
        <v>0</v>
      </c>
      <c r="HF7" s="5">
        <f ca="1">SUMIFS(Movimientos!$C:$C,Movimientos!$A:$A,$B7,Movimientos!$D:$D,CONCATENATE("&lt;=",HF$3),Movimientos!$C:$C,"&gt;0")+SUMIFS(Movimientos!$C:$C,Movimientos!$A:$A,$B7,Movimientos!$D:$D,CONCATENATE("&lt;",HF$3),Movimientos!$C:$C,"&lt;0")</f>
        <v>0</v>
      </c>
      <c r="HG7" s="5">
        <f ca="1">SUMIFS(Movimientos!$C:$C,Movimientos!$A:$A,$B7,Movimientos!$D:$D,CONCATENATE("&lt;=",HG$3),Movimientos!$C:$C,"&gt;0")+SUMIFS(Movimientos!$C:$C,Movimientos!$A:$A,$B7,Movimientos!$D:$D,CONCATENATE("&lt;",HG$3),Movimientos!$C:$C,"&lt;0")</f>
        <v>0</v>
      </c>
      <c r="HH7" s="5">
        <f ca="1">SUMIFS(Movimientos!$C:$C,Movimientos!$A:$A,$B7,Movimientos!$D:$D,CONCATENATE("&lt;=",HH$3),Movimientos!$C:$C,"&gt;0")+SUMIFS(Movimientos!$C:$C,Movimientos!$A:$A,$B7,Movimientos!$D:$D,CONCATENATE("&lt;",HH$3),Movimientos!$C:$C,"&lt;0")</f>
        <v>0</v>
      </c>
      <c r="HI7" s="5">
        <f ca="1">SUMIFS(Movimientos!$C:$C,Movimientos!$A:$A,$B7,Movimientos!$D:$D,CONCATENATE("&lt;=",HI$3),Movimientos!$C:$C,"&gt;0")+SUMIFS(Movimientos!$C:$C,Movimientos!$A:$A,$B7,Movimientos!$D:$D,CONCATENATE("&lt;",HI$3),Movimientos!$C:$C,"&lt;0")</f>
        <v>0</v>
      </c>
      <c r="HJ7" s="5">
        <f ca="1">SUMIFS(Movimientos!$C:$C,Movimientos!$A:$A,$B7,Movimientos!$D:$D,CONCATENATE("&lt;=",HJ$3),Movimientos!$C:$C,"&gt;0")+SUMIFS(Movimientos!$C:$C,Movimientos!$A:$A,$B7,Movimientos!$D:$D,CONCATENATE("&lt;",HJ$3),Movimientos!$C:$C,"&lt;0")</f>
        <v>0</v>
      </c>
      <c r="HK7" s="5">
        <f ca="1">SUMIFS(Movimientos!$C:$C,Movimientos!$A:$A,$B7,Movimientos!$D:$D,CONCATENATE("&lt;=",HK$3),Movimientos!$C:$C,"&gt;0")+SUMIFS(Movimientos!$C:$C,Movimientos!$A:$A,$B7,Movimientos!$D:$D,CONCATENATE("&lt;",HK$3),Movimientos!$C:$C,"&lt;0")</f>
        <v>0</v>
      </c>
      <c r="HL7" s="5">
        <f ca="1">SUMIFS(Movimientos!$C:$C,Movimientos!$A:$A,$B7,Movimientos!$D:$D,CONCATENATE("&lt;=",HL$3),Movimientos!$C:$C,"&gt;0")+SUMIFS(Movimientos!$C:$C,Movimientos!$A:$A,$B7,Movimientos!$D:$D,CONCATENATE("&lt;",HL$3),Movimientos!$C:$C,"&lt;0")</f>
        <v>0</v>
      </c>
      <c r="HM7" s="5">
        <f ca="1">SUMIFS(Movimientos!$C:$C,Movimientos!$A:$A,$B7,Movimientos!$D:$D,CONCATENATE("&lt;=",HM$3),Movimientos!$C:$C,"&gt;0")+SUMIFS(Movimientos!$C:$C,Movimientos!$A:$A,$B7,Movimientos!$D:$D,CONCATENATE("&lt;",HM$3),Movimientos!$C:$C,"&lt;0")</f>
        <v>0</v>
      </c>
      <c r="HN7" s="5">
        <f ca="1">SUMIFS(Movimientos!$C:$C,Movimientos!$A:$A,$B7,Movimientos!$D:$D,CONCATENATE("&lt;=",HN$3),Movimientos!$C:$C,"&gt;0")+SUMIFS(Movimientos!$C:$C,Movimientos!$A:$A,$B7,Movimientos!$D:$D,CONCATENATE("&lt;",HN$3),Movimientos!$C:$C,"&lt;0")</f>
        <v>0</v>
      </c>
      <c r="HO7" s="5">
        <f ca="1">SUMIFS(Movimientos!$C:$C,Movimientos!$A:$A,$B7,Movimientos!$D:$D,CONCATENATE("&lt;=",HO$3),Movimientos!$C:$C,"&gt;0")+SUMIFS(Movimientos!$C:$C,Movimientos!$A:$A,$B7,Movimientos!$D:$D,CONCATENATE("&lt;",HO$3),Movimientos!$C:$C,"&lt;0")</f>
        <v>0</v>
      </c>
      <c r="HP7" s="5">
        <f ca="1">SUMIFS(Movimientos!$C:$C,Movimientos!$A:$A,$B7,Movimientos!$D:$D,CONCATENATE("&lt;=",HP$3),Movimientos!$C:$C,"&gt;0")+SUMIFS(Movimientos!$C:$C,Movimientos!$A:$A,$B7,Movimientos!$D:$D,CONCATENATE("&lt;",HP$3),Movimientos!$C:$C,"&lt;0")</f>
        <v>0</v>
      </c>
      <c r="HQ7" s="5">
        <f ca="1">SUMIFS(Movimientos!$C:$C,Movimientos!$A:$A,$B7,Movimientos!$D:$D,CONCATENATE("&lt;=",HQ$3),Movimientos!$C:$C,"&gt;0")+SUMIFS(Movimientos!$C:$C,Movimientos!$A:$A,$B7,Movimientos!$D:$D,CONCATENATE("&lt;",HQ$3),Movimientos!$C:$C,"&lt;0")</f>
        <v>0</v>
      </c>
      <c r="HR7" s="5">
        <f ca="1">SUMIFS(Movimientos!$C:$C,Movimientos!$A:$A,$B7,Movimientos!$D:$D,CONCATENATE("&lt;=",HR$3),Movimientos!$C:$C,"&gt;0")+SUMIFS(Movimientos!$C:$C,Movimientos!$A:$A,$B7,Movimientos!$D:$D,CONCATENATE("&lt;",HR$3),Movimientos!$C:$C,"&lt;0")</f>
        <v>0</v>
      </c>
      <c r="HS7" s="5">
        <f ca="1">SUMIFS(Movimientos!$C:$C,Movimientos!$A:$A,$B7,Movimientos!$D:$D,CONCATENATE("&lt;=",HS$3),Movimientos!$C:$C,"&gt;0")+SUMIFS(Movimientos!$C:$C,Movimientos!$A:$A,$B7,Movimientos!$D:$D,CONCATENATE("&lt;",HS$3),Movimientos!$C:$C,"&lt;0")</f>
        <v>0</v>
      </c>
      <c r="HT7" s="5">
        <f ca="1">SUMIFS(Movimientos!$C:$C,Movimientos!$A:$A,$B7,Movimientos!$D:$D,CONCATENATE("&lt;=",HT$3),Movimientos!$C:$C,"&gt;0")+SUMIFS(Movimientos!$C:$C,Movimientos!$A:$A,$B7,Movimientos!$D:$D,CONCATENATE("&lt;",HT$3),Movimientos!$C:$C,"&lt;0")</f>
        <v>0</v>
      </c>
      <c r="HU7" s="5">
        <f ca="1">SUMIFS(Movimientos!$C:$C,Movimientos!$A:$A,$B7,Movimientos!$D:$D,CONCATENATE("&lt;=",HU$3),Movimientos!$C:$C,"&gt;0")+SUMIFS(Movimientos!$C:$C,Movimientos!$A:$A,$B7,Movimientos!$D:$D,CONCATENATE("&lt;",HU$3),Movimientos!$C:$C,"&lt;0")</f>
        <v>0</v>
      </c>
      <c r="HV7" s="5">
        <f ca="1">SUMIFS(Movimientos!$C:$C,Movimientos!$A:$A,$B7,Movimientos!$D:$D,CONCATENATE("&lt;=",HV$3),Movimientos!$C:$C,"&gt;0")+SUMIFS(Movimientos!$C:$C,Movimientos!$A:$A,$B7,Movimientos!$D:$D,CONCATENATE("&lt;",HV$3),Movimientos!$C:$C,"&lt;0")</f>
        <v>0</v>
      </c>
      <c r="HW7" s="5">
        <f ca="1">SUMIFS(Movimientos!$C:$C,Movimientos!$A:$A,$B7,Movimientos!$D:$D,CONCATENATE("&lt;=",HW$3),Movimientos!$C:$C,"&gt;0")+SUMIFS(Movimientos!$C:$C,Movimientos!$A:$A,$B7,Movimientos!$D:$D,CONCATENATE("&lt;",HW$3),Movimientos!$C:$C,"&lt;0")</f>
        <v>0</v>
      </c>
      <c r="HX7" s="5">
        <f ca="1">SUMIFS(Movimientos!$C:$C,Movimientos!$A:$A,$B7,Movimientos!$D:$D,CONCATENATE("&lt;=",HX$3),Movimientos!$C:$C,"&gt;0")+SUMIFS(Movimientos!$C:$C,Movimientos!$A:$A,$B7,Movimientos!$D:$D,CONCATENATE("&lt;",HX$3),Movimientos!$C:$C,"&lt;0")</f>
        <v>0</v>
      </c>
      <c r="HY7" s="5">
        <f ca="1">SUMIFS(Movimientos!$C:$C,Movimientos!$A:$A,$B7,Movimientos!$D:$D,CONCATENATE("&lt;=",HY$3),Movimientos!$C:$C,"&gt;0")+SUMIFS(Movimientos!$C:$C,Movimientos!$A:$A,$B7,Movimientos!$D:$D,CONCATENATE("&lt;",HY$3),Movimientos!$C:$C,"&lt;0")</f>
        <v>0</v>
      </c>
      <c r="HZ7" s="5">
        <f ca="1">SUMIFS(Movimientos!$C:$C,Movimientos!$A:$A,$B7,Movimientos!$D:$D,CONCATENATE("&lt;=",HZ$3),Movimientos!$C:$C,"&gt;0")+SUMIFS(Movimientos!$C:$C,Movimientos!$A:$A,$B7,Movimientos!$D:$D,CONCATENATE("&lt;",HZ$3),Movimientos!$C:$C,"&lt;0")</f>
        <v>0</v>
      </c>
      <c r="IA7" s="5">
        <f ca="1">SUMIFS(Movimientos!$C:$C,Movimientos!$A:$A,$B7,Movimientos!$D:$D,CONCATENATE("&lt;=",IA$3),Movimientos!$C:$C,"&gt;0")+SUMIFS(Movimientos!$C:$C,Movimientos!$A:$A,$B7,Movimientos!$D:$D,CONCATENATE("&lt;",IA$3),Movimientos!$C:$C,"&lt;0")</f>
        <v>0</v>
      </c>
      <c r="IB7" s="5">
        <f ca="1">SUMIFS(Movimientos!$C:$C,Movimientos!$A:$A,$B7,Movimientos!$D:$D,CONCATENATE("&lt;=",IB$3),Movimientos!$C:$C,"&gt;0")+SUMIFS(Movimientos!$C:$C,Movimientos!$A:$A,$B7,Movimientos!$D:$D,CONCATENATE("&lt;",IB$3),Movimientos!$C:$C,"&lt;0")</f>
        <v>0</v>
      </c>
      <c r="IC7" s="5">
        <f ca="1">SUMIFS(Movimientos!$C:$C,Movimientos!$A:$A,$B7,Movimientos!$D:$D,CONCATENATE("&lt;=",IC$3),Movimientos!$C:$C,"&gt;0")+SUMIFS(Movimientos!$C:$C,Movimientos!$A:$A,$B7,Movimientos!$D:$D,CONCATENATE("&lt;",IC$3),Movimientos!$C:$C,"&lt;0")</f>
        <v>0</v>
      </c>
      <c r="ID7" s="5">
        <f ca="1">SUMIFS(Movimientos!$C:$C,Movimientos!$A:$A,$B7,Movimientos!$D:$D,CONCATENATE("&lt;=",ID$3),Movimientos!$C:$C,"&gt;0")+SUMIFS(Movimientos!$C:$C,Movimientos!$A:$A,$B7,Movimientos!$D:$D,CONCATENATE("&lt;",ID$3),Movimientos!$C:$C,"&lt;0")</f>
        <v>0</v>
      </c>
      <c r="IE7" s="5">
        <f ca="1">SUMIFS(Movimientos!$C:$C,Movimientos!$A:$A,$B7,Movimientos!$D:$D,CONCATENATE("&lt;=",IE$3),Movimientos!$C:$C,"&gt;0")+SUMIFS(Movimientos!$C:$C,Movimientos!$A:$A,$B7,Movimientos!$D:$D,CONCATENATE("&lt;",IE$3),Movimientos!$C:$C,"&lt;0")</f>
        <v>0</v>
      </c>
      <c r="IF7" s="5">
        <f ca="1">SUMIFS(Movimientos!$C:$C,Movimientos!$A:$A,$B7,Movimientos!$D:$D,CONCATENATE("&lt;=",IF$3),Movimientos!$C:$C,"&gt;0")+SUMIFS(Movimientos!$C:$C,Movimientos!$A:$A,$B7,Movimientos!$D:$D,CONCATENATE("&lt;",IF$3),Movimientos!$C:$C,"&lt;0")</f>
        <v>0</v>
      </c>
      <c r="IG7" s="5">
        <f ca="1">SUMIFS(Movimientos!$C:$C,Movimientos!$A:$A,$B7,Movimientos!$D:$D,CONCATENATE("&lt;=",IG$3),Movimientos!$C:$C,"&gt;0")+SUMIFS(Movimientos!$C:$C,Movimientos!$A:$A,$B7,Movimientos!$D:$D,CONCATENATE("&lt;",IG$3),Movimientos!$C:$C,"&lt;0")</f>
        <v>0</v>
      </c>
      <c r="IH7" s="5">
        <f ca="1">SUMIFS(Movimientos!$C:$C,Movimientos!$A:$A,$B7,Movimientos!$D:$D,CONCATENATE("&lt;=",IH$3),Movimientos!$C:$C,"&gt;0")+SUMIFS(Movimientos!$C:$C,Movimientos!$A:$A,$B7,Movimientos!$D:$D,CONCATENATE("&lt;",IH$3),Movimientos!$C:$C,"&lt;0")</f>
        <v>0</v>
      </c>
      <c r="II7" s="5">
        <f ca="1">SUMIFS(Movimientos!$C:$C,Movimientos!$A:$A,$B7,Movimientos!$D:$D,CONCATENATE("&lt;=",II$3),Movimientos!$C:$C,"&gt;0")+SUMIFS(Movimientos!$C:$C,Movimientos!$A:$A,$B7,Movimientos!$D:$D,CONCATENATE("&lt;",II$3),Movimientos!$C:$C,"&lt;0")</f>
        <v>0</v>
      </c>
      <c r="IJ7" s="5">
        <f ca="1">SUMIFS(Movimientos!$C:$C,Movimientos!$A:$A,$B7,Movimientos!$D:$D,CONCATENATE("&lt;=",IJ$3),Movimientos!$C:$C,"&gt;0")+SUMIFS(Movimientos!$C:$C,Movimientos!$A:$A,$B7,Movimientos!$D:$D,CONCATENATE("&lt;",IJ$3),Movimientos!$C:$C,"&lt;0")</f>
        <v>0</v>
      </c>
      <c r="IK7" s="5">
        <f ca="1">SUMIFS(Movimientos!$C:$C,Movimientos!$A:$A,$B7,Movimientos!$D:$D,CONCATENATE("&lt;=",IK$3),Movimientos!$C:$C,"&gt;0")+SUMIFS(Movimientos!$C:$C,Movimientos!$A:$A,$B7,Movimientos!$D:$D,CONCATENATE("&lt;",IK$3),Movimientos!$C:$C,"&lt;0")</f>
        <v>0</v>
      </c>
      <c r="IL7" s="5">
        <f ca="1">SUMIFS(Movimientos!$C:$C,Movimientos!$A:$A,$B7,Movimientos!$D:$D,CONCATENATE("&lt;=",IL$3),Movimientos!$C:$C,"&gt;0")+SUMIFS(Movimientos!$C:$C,Movimientos!$A:$A,$B7,Movimientos!$D:$D,CONCATENATE("&lt;",IL$3),Movimientos!$C:$C,"&lt;0")</f>
        <v>0</v>
      </c>
      <c r="IM7" s="5">
        <f ca="1">SUMIFS(Movimientos!$C:$C,Movimientos!$A:$A,$B7,Movimientos!$D:$D,CONCATENATE("&lt;=",IM$3),Movimientos!$C:$C,"&gt;0")+SUMIFS(Movimientos!$C:$C,Movimientos!$A:$A,$B7,Movimientos!$D:$D,CONCATENATE("&lt;",IM$3),Movimientos!$C:$C,"&lt;0")</f>
        <v>0</v>
      </c>
      <c r="IN7" s="5">
        <f ca="1">SUMIFS(Movimientos!$C:$C,Movimientos!$A:$A,$B7,Movimientos!$D:$D,CONCATENATE("&lt;=",IN$3),Movimientos!$C:$C,"&gt;0")+SUMIFS(Movimientos!$C:$C,Movimientos!$A:$A,$B7,Movimientos!$D:$D,CONCATENATE("&lt;",IN$3),Movimientos!$C:$C,"&lt;0")</f>
        <v>0</v>
      </c>
      <c r="IO7" s="5">
        <f ca="1">SUMIFS(Movimientos!$C:$C,Movimientos!$A:$A,$B7,Movimientos!$D:$D,CONCATENATE("&lt;=",IO$3),Movimientos!$C:$C,"&gt;0")+SUMIFS(Movimientos!$C:$C,Movimientos!$A:$A,$B7,Movimientos!$D:$D,CONCATENATE("&lt;",IO$3),Movimientos!$C:$C,"&lt;0")</f>
        <v>0</v>
      </c>
      <c r="IP7" s="5">
        <f ca="1">SUMIFS(Movimientos!$C:$C,Movimientos!$A:$A,$B7,Movimientos!$D:$D,CONCATENATE("&lt;=",IP$3),Movimientos!$C:$C,"&gt;0")+SUMIFS(Movimientos!$C:$C,Movimientos!$A:$A,$B7,Movimientos!$D:$D,CONCATENATE("&lt;",IP$3),Movimientos!$C:$C,"&lt;0")</f>
        <v>0</v>
      </c>
      <c r="IQ7" s="5">
        <f ca="1">SUMIFS(Movimientos!$C:$C,Movimientos!$A:$A,$B7,Movimientos!$D:$D,CONCATENATE("&lt;=",IQ$3),Movimientos!$C:$C,"&gt;0")+SUMIFS(Movimientos!$C:$C,Movimientos!$A:$A,$B7,Movimientos!$D:$D,CONCATENATE("&lt;",IQ$3),Movimientos!$C:$C,"&lt;0")</f>
        <v>0</v>
      </c>
      <c r="IR7" s="5">
        <f ca="1">SUMIFS(Movimientos!$C:$C,Movimientos!$A:$A,$B7,Movimientos!$D:$D,CONCATENATE("&lt;=",IR$3),Movimientos!$C:$C,"&gt;0")+SUMIFS(Movimientos!$C:$C,Movimientos!$A:$A,$B7,Movimientos!$D:$D,CONCATENATE("&lt;",IR$3),Movimientos!$C:$C,"&lt;0")</f>
        <v>0</v>
      </c>
      <c r="IS7" s="5">
        <f ca="1">SUMIFS(Movimientos!$C:$C,Movimientos!$A:$A,$B7,Movimientos!$D:$D,CONCATENATE("&lt;=",IS$3),Movimientos!$C:$C,"&gt;0")+SUMIFS(Movimientos!$C:$C,Movimientos!$A:$A,$B7,Movimientos!$D:$D,CONCATENATE("&lt;",IS$3),Movimientos!$C:$C,"&lt;0")</f>
        <v>0</v>
      </c>
      <c r="IT7" s="5">
        <f ca="1">SUMIFS(Movimientos!$C:$C,Movimientos!$A:$A,$B7,Movimientos!$D:$D,CONCATENATE("&lt;=",IT$3),Movimientos!$C:$C,"&gt;0")+SUMIFS(Movimientos!$C:$C,Movimientos!$A:$A,$B7,Movimientos!$D:$D,CONCATENATE("&lt;",IT$3),Movimientos!$C:$C,"&lt;0")</f>
        <v>0</v>
      </c>
      <c r="IU7" s="5">
        <f ca="1">SUMIFS(Movimientos!$C:$C,Movimientos!$A:$A,$B7,Movimientos!$D:$D,CONCATENATE("&lt;=",IU$3),Movimientos!$C:$C,"&gt;0")+SUMIFS(Movimientos!$C:$C,Movimientos!$A:$A,$B7,Movimientos!$D:$D,CONCATENATE("&lt;",IU$3),Movimientos!$C:$C,"&lt;0")</f>
        <v>0</v>
      </c>
      <c r="IV7" s="5">
        <f ca="1">SUMIFS(Movimientos!$C:$C,Movimientos!$A:$A,$B7,Movimientos!$D:$D,CONCATENATE("&lt;=",IV$3),Movimientos!$C:$C,"&gt;0")+SUMIFS(Movimientos!$C:$C,Movimientos!$A:$A,$B7,Movimientos!$D:$D,CONCATENATE("&lt;",IV$3),Movimientos!$C:$C,"&lt;0")</f>
        <v>0</v>
      </c>
      <c r="IW7" s="5">
        <f ca="1">SUMIFS(Movimientos!$C:$C,Movimientos!$A:$A,$B7,Movimientos!$D:$D,CONCATENATE("&lt;=",IW$3),Movimientos!$C:$C,"&gt;0")+SUMIFS(Movimientos!$C:$C,Movimientos!$A:$A,$B7,Movimientos!$D:$D,CONCATENATE("&lt;",IW$3),Movimientos!$C:$C,"&lt;0")</f>
        <v>0</v>
      </c>
      <c r="IX7" s="5">
        <f ca="1">SUMIFS(Movimientos!$C:$C,Movimientos!$A:$A,$B7,Movimientos!$D:$D,CONCATENATE("&lt;=",IX$3),Movimientos!$C:$C,"&gt;0")+SUMIFS(Movimientos!$C:$C,Movimientos!$A:$A,$B7,Movimientos!$D:$D,CONCATENATE("&lt;",IX$3),Movimientos!$C:$C,"&lt;0")</f>
        <v>0</v>
      </c>
      <c r="IY7" s="5">
        <f ca="1">SUMIFS(Movimientos!$C:$C,Movimientos!$A:$A,$B7,Movimientos!$D:$D,CONCATENATE("&lt;=",IY$3),Movimientos!$C:$C,"&gt;0")+SUMIFS(Movimientos!$C:$C,Movimientos!$A:$A,$B7,Movimientos!$D:$D,CONCATENATE("&lt;",IY$3),Movimientos!$C:$C,"&lt;0")</f>
        <v>0</v>
      </c>
      <c r="IZ7" s="5">
        <f ca="1">SUMIFS(Movimientos!$C:$C,Movimientos!$A:$A,$B7,Movimientos!$D:$D,CONCATENATE("&lt;=",IZ$3),Movimientos!$C:$C,"&gt;0")+SUMIFS(Movimientos!$C:$C,Movimientos!$A:$A,$B7,Movimientos!$D:$D,CONCATENATE("&lt;",IZ$3),Movimientos!$C:$C,"&lt;0")</f>
        <v>0</v>
      </c>
      <c r="JA7" s="5">
        <f ca="1">SUMIFS(Movimientos!$C:$C,Movimientos!$A:$A,$B7,Movimientos!$D:$D,CONCATENATE("&lt;=",JA$3),Movimientos!$C:$C,"&gt;0")+SUMIFS(Movimientos!$C:$C,Movimientos!$A:$A,$B7,Movimientos!$D:$D,CONCATENATE("&lt;",JA$3),Movimientos!$C:$C,"&lt;0")</f>
        <v>0</v>
      </c>
      <c r="JB7" s="5">
        <f ca="1">SUMIFS(Movimientos!$C:$C,Movimientos!$A:$A,$B7,Movimientos!$D:$D,CONCATENATE("&lt;=",JB$3),Movimientos!$C:$C,"&gt;0")+SUMIFS(Movimientos!$C:$C,Movimientos!$A:$A,$B7,Movimientos!$D:$D,CONCATENATE("&lt;",JB$3),Movimientos!$C:$C,"&lt;0")</f>
        <v>0</v>
      </c>
      <c r="JC7" s="5">
        <f ca="1">SUMIFS(Movimientos!$C:$C,Movimientos!$A:$A,$B7,Movimientos!$D:$D,CONCATENATE("&lt;=",JC$3),Movimientos!$C:$C,"&gt;0")+SUMIFS(Movimientos!$C:$C,Movimientos!$A:$A,$B7,Movimientos!$D:$D,CONCATENATE("&lt;",JC$3),Movimientos!$C:$C,"&lt;0")</f>
        <v>0</v>
      </c>
      <c r="JD7" s="5">
        <f ca="1">SUMIFS(Movimientos!$C:$C,Movimientos!$A:$A,$B7,Movimientos!$D:$D,CONCATENATE("&lt;=",JD$3),Movimientos!$C:$C,"&gt;0")+SUMIFS(Movimientos!$C:$C,Movimientos!$A:$A,$B7,Movimientos!$D:$D,CONCATENATE("&lt;",JD$3),Movimientos!$C:$C,"&lt;0")</f>
        <v>0</v>
      </c>
      <c r="JE7" s="5">
        <f ca="1">SUMIFS(Movimientos!$C:$C,Movimientos!$A:$A,$B7,Movimientos!$D:$D,CONCATENATE("&lt;=",JE$3),Movimientos!$C:$C,"&gt;0")+SUMIFS(Movimientos!$C:$C,Movimientos!$A:$A,$B7,Movimientos!$D:$D,CONCATENATE("&lt;",JE$3),Movimientos!$C:$C,"&lt;0")</f>
        <v>0</v>
      </c>
      <c r="JF7" s="5">
        <f ca="1">SUMIFS(Movimientos!$C:$C,Movimientos!$A:$A,$B7,Movimientos!$D:$D,CONCATENATE("&lt;=",JF$3),Movimientos!$C:$C,"&gt;0")+SUMIFS(Movimientos!$C:$C,Movimientos!$A:$A,$B7,Movimientos!$D:$D,CONCATENATE("&lt;",JF$3),Movimientos!$C:$C,"&lt;0")</f>
        <v>0</v>
      </c>
      <c r="JG7" s="5">
        <f ca="1">SUMIFS(Movimientos!$C:$C,Movimientos!$A:$A,$B7,Movimientos!$D:$D,CONCATENATE("&lt;=",JG$3),Movimientos!$C:$C,"&gt;0")+SUMIFS(Movimientos!$C:$C,Movimientos!$A:$A,$B7,Movimientos!$D:$D,CONCATENATE("&lt;",JG$3),Movimientos!$C:$C,"&lt;0")</f>
        <v>0</v>
      </c>
      <c r="JH7" s="5">
        <f ca="1">SUMIFS(Movimientos!$C:$C,Movimientos!$A:$A,$B7,Movimientos!$D:$D,CONCATENATE("&lt;=",JH$3),Movimientos!$C:$C,"&gt;0")+SUMIFS(Movimientos!$C:$C,Movimientos!$A:$A,$B7,Movimientos!$D:$D,CONCATENATE("&lt;",JH$3),Movimientos!$C:$C,"&lt;0")</f>
        <v>0</v>
      </c>
      <c r="JI7" s="5">
        <f ca="1">SUMIFS(Movimientos!$C:$C,Movimientos!$A:$A,$B7,Movimientos!$D:$D,CONCATENATE("&lt;=",JI$3),Movimientos!$C:$C,"&gt;0")+SUMIFS(Movimientos!$C:$C,Movimientos!$A:$A,$B7,Movimientos!$D:$D,CONCATENATE("&lt;",JI$3),Movimientos!$C:$C,"&lt;0")</f>
        <v>0</v>
      </c>
      <c r="JJ7" s="5">
        <f ca="1">SUMIFS(Movimientos!$C:$C,Movimientos!$A:$A,$B7,Movimientos!$D:$D,CONCATENATE("&lt;=",JJ$3),Movimientos!$C:$C,"&gt;0")+SUMIFS(Movimientos!$C:$C,Movimientos!$A:$A,$B7,Movimientos!$D:$D,CONCATENATE("&lt;",JJ$3),Movimientos!$C:$C,"&lt;0")</f>
        <v>0</v>
      </c>
      <c r="JK7" s="5">
        <f ca="1">SUMIFS(Movimientos!$C:$C,Movimientos!$A:$A,$B7,Movimientos!$D:$D,CONCATENATE("&lt;=",JK$3),Movimientos!$C:$C,"&gt;0")+SUMIFS(Movimientos!$C:$C,Movimientos!$A:$A,$B7,Movimientos!$D:$D,CONCATENATE("&lt;",JK$3),Movimientos!$C:$C,"&lt;0")</f>
        <v>0</v>
      </c>
      <c r="JL7" s="5">
        <f ca="1">SUMIFS(Movimientos!$C:$C,Movimientos!$A:$A,$B7,Movimientos!$D:$D,CONCATENATE("&lt;=",JL$3),Movimientos!$C:$C,"&gt;0")+SUMIFS(Movimientos!$C:$C,Movimientos!$A:$A,$B7,Movimientos!$D:$D,CONCATENATE("&lt;",JL$3),Movimientos!$C:$C,"&lt;0")</f>
        <v>0</v>
      </c>
      <c r="JM7" s="5">
        <f ca="1">SUMIFS(Movimientos!$C:$C,Movimientos!$A:$A,$B7,Movimientos!$D:$D,CONCATENATE("&lt;=",JM$3),Movimientos!$C:$C,"&gt;0")+SUMIFS(Movimientos!$C:$C,Movimientos!$A:$A,$B7,Movimientos!$D:$D,CONCATENATE("&lt;",JM$3),Movimientos!$C:$C,"&lt;0")</f>
        <v>0</v>
      </c>
      <c r="JN7" s="5">
        <f ca="1">SUMIFS(Movimientos!$C:$C,Movimientos!$A:$A,$B7,Movimientos!$D:$D,CONCATENATE("&lt;=",JN$3),Movimientos!$C:$C,"&gt;0")+SUMIFS(Movimientos!$C:$C,Movimientos!$A:$A,$B7,Movimientos!$D:$D,CONCATENATE("&lt;",JN$3),Movimientos!$C:$C,"&lt;0")</f>
        <v>0</v>
      </c>
      <c r="JO7" s="5">
        <f ca="1">SUMIFS(Movimientos!$C:$C,Movimientos!$A:$A,$B7,Movimientos!$D:$D,CONCATENATE("&lt;=",JO$3),Movimientos!$C:$C,"&gt;0")+SUMIFS(Movimientos!$C:$C,Movimientos!$A:$A,$B7,Movimientos!$D:$D,CONCATENATE("&lt;",JO$3),Movimientos!$C:$C,"&lt;0")</f>
        <v>0</v>
      </c>
      <c r="JP7" s="5">
        <f ca="1">SUMIFS(Movimientos!$C:$C,Movimientos!$A:$A,$B7,Movimientos!$D:$D,CONCATENATE("&lt;=",JP$3),Movimientos!$C:$C,"&gt;0")+SUMIFS(Movimientos!$C:$C,Movimientos!$A:$A,$B7,Movimientos!$D:$D,CONCATENATE("&lt;",JP$3),Movimientos!$C:$C,"&lt;0")</f>
        <v>0</v>
      </c>
      <c r="JQ7" s="5">
        <f ca="1">SUMIFS(Movimientos!$C:$C,Movimientos!$A:$A,$B7,Movimientos!$D:$D,CONCATENATE("&lt;=",JQ$3),Movimientos!$C:$C,"&gt;0")+SUMIFS(Movimientos!$C:$C,Movimientos!$A:$A,$B7,Movimientos!$D:$D,CONCATENATE("&lt;",JQ$3),Movimientos!$C:$C,"&lt;0")</f>
        <v>0</v>
      </c>
      <c r="JR7" s="5">
        <f ca="1">SUMIFS(Movimientos!$C:$C,Movimientos!$A:$A,$B7,Movimientos!$D:$D,CONCATENATE("&lt;=",JR$3),Movimientos!$C:$C,"&gt;0")+SUMIFS(Movimientos!$C:$C,Movimientos!$A:$A,$B7,Movimientos!$D:$D,CONCATENATE("&lt;",JR$3),Movimientos!$C:$C,"&lt;0")</f>
        <v>0</v>
      </c>
      <c r="JS7" s="5">
        <f ca="1">SUMIFS(Movimientos!$C:$C,Movimientos!$A:$A,$B7,Movimientos!$D:$D,CONCATENATE("&lt;=",JS$3),Movimientos!$C:$C,"&gt;0")+SUMIFS(Movimientos!$C:$C,Movimientos!$A:$A,$B7,Movimientos!$D:$D,CONCATENATE("&lt;",JS$3),Movimientos!$C:$C,"&lt;0")</f>
        <v>0</v>
      </c>
      <c r="JT7" s="5">
        <f ca="1">SUMIFS(Movimientos!$C:$C,Movimientos!$A:$A,$B7,Movimientos!$D:$D,CONCATENATE("&lt;=",JT$3),Movimientos!$C:$C,"&gt;0")+SUMIFS(Movimientos!$C:$C,Movimientos!$A:$A,$B7,Movimientos!$D:$D,CONCATENATE("&lt;",JT$3),Movimientos!$C:$C,"&lt;0")</f>
        <v>0</v>
      </c>
      <c r="JU7" s="5">
        <f ca="1">SUMIFS(Movimientos!$C:$C,Movimientos!$A:$A,$B7,Movimientos!$D:$D,CONCATENATE("&lt;=",JU$3),Movimientos!$C:$C,"&gt;0")+SUMIFS(Movimientos!$C:$C,Movimientos!$A:$A,$B7,Movimientos!$D:$D,CONCATENATE("&lt;",JU$3),Movimientos!$C:$C,"&lt;0")</f>
        <v>0</v>
      </c>
      <c r="JV7" s="5">
        <f ca="1">SUMIFS(Movimientos!$C:$C,Movimientos!$A:$A,$B7,Movimientos!$D:$D,CONCATENATE("&lt;=",JV$3),Movimientos!$C:$C,"&gt;0")+SUMIFS(Movimientos!$C:$C,Movimientos!$A:$A,$B7,Movimientos!$D:$D,CONCATENATE("&lt;",JV$3),Movimientos!$C:$C,"&lt;0")</f>
        <v>0</v>
      </c>
      <c r="JW7" s="5">
        <f ca="1">SUMIFS(Movimientos!$C:$C,Movimientos!$A:$A,$B7,Movimientos!$D:$D,CONCATENATE("&lt;=",JW$3),Movimientos!$C:$C,"&gt;0")+SUMIFS(Movimientos!$C:$C,Movimientos!$A:$A,$B7,Movimientos!$D:$D,CONCATENATE("&lt;",JW$3),Movimientos!$C:$C,"&lt;0")</f>
        <v>0</v>
      </c>
      <c r="JX7" s="5">
        <f ca="1">SUMIFS(Movimientos!$C:$C,Movimientos!$A:$A,$B7,Movimientos!$D:$D,CONCATENATE("&lt;=",JX$3),Movimientos!$C:$C,"&gt;0")+SUMIFS(Movimientos!$C:$C,Movimientos!$A:$A,$B7,Movimientos!$D:$D,CONCATENATE("&lt;",JX$3),Movimientos!$C:$C,"&lt;0")</f>
        <v>0</v>
      </c>
      <c r="JY7" s="5">
        <f ca="1">SUMIFS(Movimientos!$C:$C,Movimientos!$A:$A,$B7,Movimientos!$D:$D,CONCATENATE("&lt;=",JY$3),Movimientos!$C:$C,"&gt;0")+SUMIFS(Movimientos!$C:$C,Movimientos!$A:$A,$B7,Movimientos!$D:$D,CONCATENATE("&lt;",JY$3),Movimientos!$C:$C,"&lt;0")</f>
        <v>0</v>
      </c>
      <c r="JZ7" s="5">
        <f ca="1">SUMIFS(Movimientos!$C:$C,Movimientos!$A:$A,$B7,Movimientos!$D:$D,CONCATENATE("&lt;=",JZ$3),Movimientos!$C:$C,"&gt;0")+SUMIFS(Movimientos!$C:$C,Movimientos!$A:$A,$B7,Movimientos!$D:$D,CONCATENATE("&lt;",JZ$3),Movimientos!$C:$C,"&lt;0")</f>
        <v>0</v>
      </c>
      <c r="KA7" s="5">
        <f ca="1">SUMIFS(Movimientos!$C:$C,Movimientos!$A:$A,$B7,Movimientos!$D:$D,CONCATENATE("&lt;=",KA$3),Movimientos!$C:$C,"&gt;0")+SUMIFS(Movimientos!$C:$C,Movimientos!$A:$A,$B7,Movimientos!$D:$D,CONCATENATE("&lt;",KA$3),Movimientos!$C:$C,"&lt;0")</f>
        <v>0</v>
      </c>
      <c r="KB7" s="5">
        <f ca="1">SUMIFS(Movimientos!$C:$C,Movimientos!$A:$A,$B7,Movimientos!$D:$D,CONCATENATE("&lt;=",KB$3),Movimientos!$C:$C,"&gt;0")+SUMIFS(Movimientos!$C:$C,Movimientos!$A:$A,$B7,Movimientos!$D:$D,CONCATENATE("&lt;",KB$3),Movimientos!$C:$C,"&lt;0")</f>
        <v>0</v>
      </c>
      <c r="KC7" s="5">
        <f ca="1">SUMIFS(Movimientos!$C:$C,Movimientos!$A:$A,$B7,Movimientos!$D:$D,CONCATENATE("&lt;=",KC$3),Movimientos!$C:$C,"&gt;0")+SUMIFS(Movimientos!$C:$C,Movimientos!$A:$A,$B7,Movimientos!$D:$D,CONCATENATE("&lt;",KC$3),Movimientos!$C:$C,"&lt;0")</f>
        <v>0</v>
      </c>
      <c r="KD7" s="5">
        <f ca="1">SUMIFS(Movimientos!$C:$C,Movimientos!$A:$A,$B7,Movimientos!$D:$D,CONCATENATE("&lt;=",KD$3),Movimientos!$C:$C,"&gt;0")+SUMIFS(Movimientos!$C:$C,Movimientos!$A:$A,$B7,Movimientos!$D:$D,CONCATENATE("&lt;",KD$3),Movimientos!$C:$C,"&lt;0")</f>
        <v>0</v>
      </c>
      <c r="KE7" s="5">
        <f ca="1">SUMIFS(Movimientos!$C:$C,Movimientos!$A:$A,$B7,Movimientos!$D:$D,CONCATENATE("&lt;=",KE$3),Movimientos!$C:$C,"&gt;0")+SUMIFS(Movimientos!$C:$C,Movimientos!$A:$A,$B7,Movimientos!$D:$D,CONCATENATE("&lt;",KE$3),Movimientos!$C:$C,"&lt;0")</f>
        <v>0</v>
      </c>
      <c r="KF7" s="5">
        <f ca="1">SUMIFS(Movimientos!$C:$C,Movimientos!$A:$A,$B7,Movimientos!$D:$D,CONCATENATE("&lt;=",KF$3),Movimientos!$C:$C,"&gt;0")+SUMIFS(Movimientos!$C:$C,Movimientos!$A:$A,$B7,Movimientos!$D:$D,CONCATENATE("&lt;",KF$3),Movimientos!$C:$C,"&lt;0")</f>
        <v>0</v>
      </c>
      <c r="KG7" s="5">
        <f ca="1">SUMIFS(Movimientos!$C:$C,Movimientos!$A:$A,$B7,Movimientos!$D:$D,CONCATENATE("&lt;=",KG$3),Movimientos!$C:$C,"&gt;0")+SUMIFS(Movimientos!$C:$C,Movimientos!$A:$A,$B7,Movimientos!$D:$D,CONCATENATE("&lt;",KG$3),Movimientos!$C:$C,"&lt;0")</f>
        <v>0</v>
      </c>
      <c r="KH7" s="5">
        <f ca="1">SUMIFS(Movimientos!$C:$C,Movimientos!$A:$A,$B7,Movimientos!$D:$D,CONCATENATE("&lt;=",KH$3),Movimientos!$C:$C,"&gt;0")+SUMIFS(Movimientos!$C:$C,Movimientos!$A:$A,$B7,Movimientos!$D:$D,CONCATENATE("&lt;",KH$3),Movimientos!$C:$C,"&lt;0")</f>
        <v>0</v>
      </c>
      <c r="KI7" s="5">
        <f ca="1">SUMIFS(Movimientos!$C:$C,Movimientos!$A:$A,$B7,Movimientos!$D:$D,CONCATENATE("&lt;=",KI$3),Movimientos!$C:$C,"&gt;0")+SUMIFS(Movimientos!$C:$C,Movimientos!$A:$A,$B7,Movimientos!$D:$D,CONCATENATE("&lt;",KI$3),Movimientos!$C:$C,"&lt;0")</f>
        <v>0</v>
      </c>
      <c r="KJ7" s="5">
        <f ca="1">SUMIFS(Movimientos!$C:$C,Movimientos!$A:$A,$B7,Movimientos!$D:$D,CONCATENATE("&lt;=",KJ$3),Movimientos!$C:$C,"&gt;0")+SUMIFS(Movimientos!$C:$C,Movimientos!$A:$A,$B7,Movimientos!$D:$D,CONCATENATE("&lt;",KJ$3),Movimientos!$C:$C,"&lt;0")</f>
        <v>0</v>
      </c>
      <c r="KK7" s="5">
        <f ca="1">SUMIFS(Movimientos!$C:$C,Movimientos!$A:$A,$B7,Movimientos!$D:$D,CONCATENATE("&lt;=",KK$3),Movimientos!$C:$C,"&gt;0")+SUMIFS(Movimientos!$C:$C,Movimientos!$A:$A,$B7,Movimientos!$D:$D,CONCATENATE("&lt;",KK$3),Movimientos!$C:$C,"&lt;0")</f>
        <v>0</v>
      </c>
      <c r="KL7" s="5">
        <f ca="1">SUMIFS(Movimientos!$C:$C,Movimientos!$A:$A,$B7,Movimientos!$D:$D,CONCATENATE("&lt;=",KL$3),Movimientos!$C:$C,"&gt;0")+SUMIFS(Movimientos!$C:$C,Movimientos!$A:$A,$B7,Movimientos!$D:$D,CONCATENATE("&lt;",KL$3),Movimientos!$C:$C,"&lt;0")</f>
        <v>0</v>
      </c>
      <c r="KM7" s="5">
        <f ca="1">SUMIFS(Movimientos!$C:$C,Movimientos!$A:$A,$B7,Movimientos!$D:$D,CONCATENATE("&lt;=",KM$3),Movimientos!$C:$C,"&gt;0")+SUMIFS(Movimientos!$C:$C,Movimientos!$A:$A,$B7,Movimientos!$D:$D,CONCATENATE("&lt;",KM$3),Movimientos!$C:$C,"&lt;0")</f>
        <v>0</v>
      </c>
      <c r="KN7" s="5">
        <f ca="1">SUMIFS(Movimientos!$C:$C,Movimientos!$A:$A,$B7,Movimientos!$D:$D,CONCATENATE("&lt;=",KN$3),Movimientos!$C:$C,"&gt;0")+SUMIFS(Movimientos!$C:$C,Movimientos!$A:$A,$B7,Movimientos!$D:$D,CONCATENATE("&lt;",KN$3),Movimientos!$C:$C,"&lt;0")</f>
        <v>0</v>
      </c>
      <c r="KO7" s="5">
        <f ca="1">SUMIFS(Movimientos!$C:$C,Movimientos!$A:$A,$B7,Movimientos!$D:$D,CONCATENATE("&lt;=",KO$3),Movimientos!$C:$C,"&gt;0")+SUMIFS(Movimientos!$C:$C,Movimientos!$A:$A,$B7,Movimientos!$D:$D,CONCATENATE("&lt;",KO$3),Movimientos!$C:$C,"&lt;0")</f>
        <v>0</v>
      </c>
      <c r="KP7" s="5">
        <f ca="1">SUMIFS(Movimientos!$C:$C,Movimientos!$A:$A,$B7,Movimientos!$D:$D,CONCATENATE("&lt;=",KP$3),Movimientos!$C:$C,"&gt;0")+SUMIFS(Movimientos!$C:$C,Movimientos!$A:$A,$B7,Movimientos!$D:$D,CONCATENATE("&lt;",KP$3),Movimientos!$C:$C,"&lt;0")</f>
        <v>0</v>
      </c>
      <c r="KQ7" s="5">
        <f ca="1">SUMIFS(Movimientos!$C:$C,Movimientos!$A:$A,$B7,Movimientos!$D:$D,CONCATENATE("&lt;=",KQ$3),Movimientos!$C:$C,"&gt;0")+SUMIFS(Movimientos!$C:$C,Movimientos!$A:$A,$B7,Movimientos!$D:$D,CONCATENATE("&lt;",KQ$3),Movimientos!$C:$C,"&lt;0")</f>
        <v>0</v>
      </c>
      <c r="KR7" s="5">
        <f ca="1">SUMIFS(Movimientos!$C:$C,Movimientos!$A:$A,$B7,Movimientos!$D:$D,CONCATENATE("&lt;=",KR$3),Movimientos!$C:$C,"&gt;0")+SUMIFS(Movimientos!$C:$C,Movimientos!$A:$A,$B7,Movimientos!$D:$D,CONCATENATE("&lt;",KR$3),Movimientos!$C:$C,"&lt;0")</f>
        <v>0</v>
      </c>
      <c r="KS7" s="5">
        <f ca="1">SUMIFS(Movimientos!$C:$C,Movimientos!$A:$A,$B7,Movimientos!$D:$D,CONCATENATE("&lt;=",KS$3),Movimientos!$C:$C,"&gt;0")+SUMIFS(Movimientos!$C:$C,Movimientos!$A:$A,$B7,Movimientos!$D:$D,CONCATENATE("&lt;",KS$3),Movimientos!$C:$C,"&lt;0")</f>
        <v>0</v>
      </c>
      <c r="KT7" s="5">
        <f ca="1">SUMIFS(Movimientos!$C:$C,Movimientos!$A:$A,$B7,Movimientos!$D:$D,CONCATENATE("&lt;=",KT$3),Movimientos!$C:$C,"&gt;0")+SUMIFS(Movimientos!$C:$C,Movimientos!$A:$A,$B7,Movimientos!$D:$D,CONCATENATE("&lt;",KT$3),Movimientos!$C:$C,"&lt;0")</f>
        <v>0</v>
      </c>
      <c r="KU7" s="5">
        <f ca="1">SUMIFS(Movimientos!$C:$C,Movimientos!$A:$A,$B7,Movimientos!$D:$D,CONCATENATE("&lt;=",KU$3),Movimientos!$C:$C,"&gt;0")+SUMIFS(Movimientos!$C:$C,Movimientos!$A:$A,$B7,Movimientos!$D:$D,CONCATENATE("&lt;",KU$3),Movimientos!$C:$C,"&lt;0")</f>
        <v>0</v>
      </c>
      <c r="KV7" s="5">
        <f ca="1">SUMIFS(Movimientos!$C:$C,Movimientos!$A:$A,$B7,Movimientos!$D:$D,CONCATENATE("&lt;=",KV$3),Movimientos!$C:$C,"&gt;0")+SUMIFS(Movimientos!$C:$C,Movimientos!$A:$A,$B7,Movimientos!$D:$D,CONCATENATE("&lt;",KV$3),Movimientos!$C:$C,"&lt;0")</f>
        <v>0</v>
      </c>
      <c r="KW7" s="5">
        <f ca="1">SUMIFS(Movimientos!$C:$C,Movimientos!$A:$A,$B7,Movimientos!$D:$D,CONCATENATE("&lt;=",KW$3),Movimientos!$C:$C,"&gt;0")+SUMIFS(Movimientos!$C:$C,Movimientos!$A:$A,$B7,Movimientos!$D:$D,CONCATENATE("&lt;",KW$3),Movimientos!$C:$C,"&lt;0")</f>
        <v>0</v>
      </c>
      <c r="KX7" s="5">
        <f ca="1">SUMIFS(Movimientos!$C:$C,Movimientos!$A:$A,$B7,Movimientos!$D:$D,CONCATENATE("&lt;=",KX$3),Movimientos!$C:$C,"&gt;0")+SUMIFS(Movimientos!$C:$C,Movimientos!$A:$A,$B7,Movimientos!$D:$D,CONCATENATE("&lt;",KX$3),Movimientos!$C:$C,"&lt;0")</f>
        <v>0</v>
      </c>
      <c r="KY7" s="5">
        <f ca="1">SUMIFS(Movimientos!$C:$C,Movimientos!$A:$A,$B7,Movimientos!$D:$D,CONCATENATE("&lt;=",KY$3),Movimientos!$C:$C,"&gt;0")+SUMIFS(Movimientos!$C:$C,Movimientos!$A:$A,$B7,Movimientos!$D:$D,CONCATENATE("&lt;",KY$3),Movimientos!$C:$C,"&lt;0")</f>
        <v>0</v>
      </c>
      <c r="KZ7" s="5">
        <f ca="1">SUMIFS(Movimientos!$C:$C,Movimientos!$A:$A,$B7,Movimientos!$D:$D,CONCATENATE("&lt;=",KZ$3),Movimientos!$C:$C,"&gt;0")+SUMIFS(Movimientos!$C:$C,Movimientos!$A:$A,$B7,Movimientos!$D:$D,CONCATENATE("&lt;",KZ$3),Movimientos!$C:$C,"&lt;0")</f>
        <v>0</v>
      </c>
      <c r="LA7" s="5">
        <f ca="1">SUMIFS(Movimientos!$C:$C,Movimientos!$A:$A,$B7,Movimientos!$D:$D,CONCATENATE("&lt;=",LA$3),Movimientos!$C:$C,"&gt;0")+SUMIFS(Movimientos!$C:$C,Movimientos!$A:$A,$B7,Movimientos!$D:$D,CONCATENATE("&lt;",LA$3),Movimientos!$C:$C,"&lt;0")</f>
        <v>0</v>
      </c>
      <c r="LB7" s="5">
        <f ca="1">SUMIFS(Movimientos!$C:$C,Movimientos!$A:$A,$B7,Movimientos!$D:$D,CONCATENATE("&lt;=",LB$3),Movimientos!$C:$C,"&gt;0")+SUMIFS(Movimientos!$C:$C,Movimientos!$A:$A,$B7,Movimientos!$D:$D,CONCATENATE("&lt;",LB$3),Movimientos!$C:$C,"&lt;0")</f>
        <v>0</v>
      </c>
      <c r="LC7" s="5">
        <f ca="1">SUMIFS(Movimientos!$C:$C,Movimientos!$A:$A,$B7,Movimientos!$D:$D,CONCATENATE("&lt;=",LC$3),Movimientos!$C:$C,"&gt;0")+SUMIFS(Movimientos!$C:$C,Movimientos!$A:$A,$B7,Movimientos!$D:$D,CONCATENATE("&lt;",LC$3),Movimientos!$C:$C,"&lt;0")</f>
        <v>0</v>
      </c>
      <c r="LD7" s="5">
        <f ca="1">SUMIFS(Movimientos!$C:$C,Movimientos!$A:$A,$B7,Movimientos!$D:$D,CONCATENATE("&lt;=",LD$3),Movimientos!$C:$C,"&gt;0")+SUMIFS(Movimientos!$C:$C,Movimientos!$A:$A,$B7,Movimientos!$D:$D,CONCATENATE("&lt;",LD$3),Movimientos!$C:$C,"&lt;0")</f>
        <v>0</v>
      </c>
      <c r="LE7" s="5">
        <f ca="1">SUMIFS(Movimientos!$C:$C,Movimientos!$A:$A,$B7,Movimientos!$D:$D,CONCATENATE("&lt;=",LE$3),Movimientos!$C:$C,"&gt;0")+SUMIFS(Movimientos!$C:$C,Movimientos!$A:$A,$B7,Movimientos!$D:$D,CONCATENATE("&lt;",LE$3),Movimientos!$C:$C,"&lt;0")</f>
        <v>0</v>
      </c>
      <c r="LF7" s="5">
        <f ca="1">SUMIFS(Movimientos!$C:$C,Movimientos!$A:$A,$B7,Movimientos!$D:$D,CONCATENATE("&lt;=",LF$3),Movimientos!$C:$C,"&gt;0")+SUMIFS(Movimientos!$C:$C,Movimientos!$A:$A,$B7,Movimientos!$D:$D,CONCATENATE("&lt;",LF$3),Movimientos!$C:$C,"&lt;0")</f>
        <v>0</v>
      </c>
      <c r="LG7" s="5">
        <f ca="1">SUMIFS(Movimientos!$C:$C,Movimientos!$A:$A,$B7,Movimientos!$D:$D,CONCATENATE("&lt;=",LG$3),Movimientos!$C:$C,"&gt;0")+SUMIFS(Movimientos!$C:$C,Movimientos!$A:$A,$B7,Movimientos!$D:$D,CONCATENATE("&lt;",LG$3),Movimientos!$C:$C,"&lt;0")</f>
        <v>0</v>
      </c>
      <c r="LH7" s="5">
        <f ca="1">SUMIFS(Movimientos!$C:$C,Movimientos!$A:$A,$B7,Movimientos!$D:$D,CONCATENATE("&lt;=",LH$3),Movimientos!$C:$C,"&gt;0")+SUMIFS(Movimientos!$C:$C,Movimientos!$A:$A,$B7,Movimientos!$D:$D,CONCATENATE("&lt;",LH$3),Movimientos!$C:$C,"&lt;0")</f>
        <v>0</v>
      </c>
      <c r="LI7" s="5">
        <f ca="1">SUMIFS(Movimientos!$C:$C,Movimientos!$A:$A,$B7,Movimientos!$D:$D,CONCATENATE("&lt;=",LI$3),Movimientos!$C:$C,"&gt;0")+SUMIFS(Movimientos!$C:$C,Movimientos!$A:$A,$B7,Movimientos!$D:$D,CONCATENATE("&lt;",LI$3),Movimientos!$C:$C,"&lt;0")</f>
        <v>0</v>
      </c>
      <c r="LJ7" s="5">
        <f ca="1">SUMIFS(Movimientos!$C:$C,Movimientos!$A:$A,$B7,Movimientos!$D:$D,CONCATENATE("&lt;=",LJ$3),Movimientos!$C:$C,"&gt;0")+SUMIFS(Movimientos!$C:$C,Movimientos!$A:$A,$B7,Movimientos!$D:$D,CONCATENATE("&lt;",LJ$3),Movimientos!$C:$C,"&lt;0")</f>
        <v>0</v>
      </c>
      <c r="LK7" s="5">
        <f ca="1">SUMIFS(Movimientos!$C:$C,Movimientos!$A:$A,$B7,Movimientos!$D:$D,CONCATENATE("&lt;=",LK$3),Movimientos!$C:$C,"&gt;0")+SUMIFS(Movimientos!$C:$C,Movimientos!$A:$A,$B7,Movimientos!$D:$D,CONCATENATE("&lt;",LK$3),Movimientos!$C:$C,"&lt;0")</f>
        <v>0</v>
      </c>
      <c r="LL7" s="5">
        <f ca="1">SUMIFS(Movimientos!$C:$C,Movimientos!$A:$A,$B7,Movimientos!$D:$D,CONCATENATE("&lt;=",LL$3),Movimientos!$C:$C,"&gt;0")+SUMIFS(Movimientos!$C:$C,Movimientos!$A:$A,$B7,Movimientos!$D:$D,CONCATENATE("&lt;",LL$3),Movimientos!$C:$C,"&lt;0")</f>
        <v>0</v>
      </c>
      <c r="LM7" s="5">
        <f ca="1">SUMIFS(Movimientos!$C:$C,Movimientos!$A:$A,$B7,Movimientos!$D:$D,CONCATENATE("&lt;=",LM$3),Movimientos!$C:$C,"&gt;0")+SUMIFS(Movimientos!$C:$C,Movimientos!$A:$A,$B7,Movimientos!$D:$D,CONCATENATE("&lt;",LM$3),Movimientos!$C:$C,"&lt;0")</f>
        <v>0</v>
      </c>
      <c r="LN7" s="5">
        <f ca="1">SUMIFS(Movimientos!$C:$C,Movimientos!$A:$A,$B7,Movimientos!$D:$D,CONCATENATE("&lt;=",LN$3),Movimientos!$C:$C,"&gt;0")+SUMIFS(Movimientos!$C:$C,Movimientos!$A:$A,$B7,Movimientos!$D:$D,CONCATENATE("&lt;",LN$3),Movimientos!$C:$C,"&lt;0")</f>
        <v>0</v>
      </c>
      <c r="LO7" s="5">
        <f ca="1">SUMIFS(Movimientos!$C:$C,Movimientos!$A:$A,$B7,Movimientos!$D:$D,CONCATENATE("&lt;=",LO$3),Movimientos!$C:$C,"&gt;0")+SUMIFS(Movimientos!$C:$C,Movimientos!$A:$A,$B7,Movimientos!$D:$D,CONCATENATE("&lt;",LO$3),Movimientos!$C:$C,"&lt;0")</f>
        <v>0</v>
      </c>
      <c r="LP7" s="5">
        <f ca="1">SUMIFS(Movimientos!$C:$C,Movimientos!$A:$A,$B7,Movimientos!$D:$D,CONCATENATE("&lt;=",LP$3),Movimientos!$C:$C,"&gt;0")+SUMIFS(Movimientos!$C:$C,Movimientos!$A:$A,$B7,Movimientos!$D:$D,CONCATENATE("&lt;",LP$3),Movimientos!$C:$C,"&lt;0")</f>
        <v>0</v>
      </c>
      <c r="LQ7" s="5">
        <f ca="1">SUMIFS(Movimientos!$C:$C,Movimientos!$A:$A,$B7,Movimientos!$D:$D,CONCATENATE("&lt;=",LQ$3),Movimientos!$C:$C,"&gt;0")+SUMIFS(Movimientos!$C:$C,Movimientos!$A:$A,$B7,Movimientos!$D:$D,CONCATENATE("&lt;",LQ$3),Movimientos!$C:$C,"&lt;0")</f>
        <v>0</v>
      </c>
      <c r="LR7" s="5">
        <f ca="1">SUMIFS(Movimientos!$C:$C,Movimientos!$A:$A,$B7,Movimientos!$D:$D,CONCATENATE("&lt;=",LR$3),Movimientos!$C:$C,"&gt;0")+SUMIFS(Movimientos!$C:$C,Movimientos!$A:$A,$B7,Movimientos!$D:$D,CONCATENATE("&lt;",LR$3),Movimientos!$C:$C,"&lt;0")</f>
        <v>0</v>
      </c>
      <c r="LS7" s="5">
        <f ca="1">SUMIFS(Movimientos!$C:$C,Movimientos!$A:$A,$B7,Movimientos!$D:$D,CONCATENATE("&lt;=",LS$3),Movimientos!$C:$C,"&gt;0")+SUMIFS(Movimientos!$C:$C,Movimientos!$A:$A,$B7,Movimientos!$D:$D,CONCATENATE("&lt;",LS$3),Movimientos!$C:$C,"&lt;0")</f>
        <v>0</v>
      </c>
      <c r="LT7" s="5">
        <f ca="1">SUMIFS(Movimientos!$C:$C,Movimientos!$A:$A,$B7,Movimientos!$D:$D,CONCATENATE("&lt;=",LT$3),Movimientos!$C:$C,"&gt;0")+SUMIFS(Movimientos!$C:$C,Movimientos!$A:$A,$B7,Movimientos!$D:$D,CONCATENATE("&lt;",LT$3),Movimientos!$C:$C,"&lt;0")</f>
        <v>0</v>
      </c>
      <c r="LU7" s="5">
        <f ca="1">SUMIFS(Movimientos!$C:$C,Movimientos!$A:$A,$B7,Movimientos!$D:$D,CONCATENATE("&lt;=",LU$3),Movimientos!$C:$C,"&gt;0")+SUMIFS(Movimientos!$C:$C,Movimientos!$A:$A,$B7,Movimientos!$D:$D,CONCATENATE("&lt;",LU$3),Movimientos!$C:$C,"&lt;0")</f>
        <v>0</v>
      </c>
      <c r="LV7" s="5">
        <f ca="1">SUMIFS(Movimientos!$C:$C,Movimientos!$A:$A,$B7,Movimientos!$D:$D,CONCATENATE("&lt;=",LV$3),Movimientos!$C:$C,"&gt;0")+SUMIFS(Movimientos!$C:$C,Movimientos!$A:$A,$B7,Movimientos!$D:$D,CONCATENATE("&lt;",LV$3),Movimientos!$C:$C,"&lt;0")</f>
        <v>0</v>
      </c>
      <c r="LW7" s="5">
        <f ca="1">SUMIFS(Movimientos!$C:$C,Movimientos!$A:$A,$B7,Movimientos!$D:$D,CONCATENATE("&lt;=",LW$3),Movimientos!$C:$C,"&gt;0")+SUMIFS(Movimientos!$C:$C,Movimientos!$A:$A,$B7,Movimientos!$D:$D,CONCATENATE("&lt;",LW$3),Movimientos!$C:$C,"&lt;0")</f>
        <v>0</v>
      </c>
      <c r="LX7" s="5">
        <f ca="1">SUMIFS(Movimientos!$C:$C,Movimientos!$A:$A,$B7,Movimientos!$D:$D,CONCATENATE("&lt;=",LX$3),Movimientos!$C:$C,"&gt;0")+SUMIFS(Movimientos!$C:$C,Movimientos!$A:$A,$B7,Movimientos!$D:$D,CONCATENATE("&lt;",LX$3),Movimientos!$C:$C,"&lt;0")</f>
        <v>0</v>
      </c>
      <c r="LY7" s="5">
        <f ca="1">SUMIFS(Movimientos!$C:$C,Movimientos!$A:$A,$B7,Movimientos!$D:$D,CONCATENATE("&lt;=",LY$3),Movimientos!$C:$C,"&gt;0")+SUMIFS(Movimientos!$C:$C,Movimientos!$A:$A,$B7,Movimientos!$D:$D,CONCATENATE("&lt;",LY$3),Movimientos!$C:$C,"&lt;0")</f>
        <v>0</v>
      </c>
      <c r="LZ7" s="5">
        <f ca="1">SUMIFS(Movimientos!$C:$C,Movimientos!$A:$A,$B7,Movimientos!$D:$D,CONCATENATE("&lt;=",LZ$3),Movimientos!$C:$C,"&gt;0")+SUMIFS(Movimientos!$C:$C,Movimientos!$A:$A,$B7,Movimientos!$D:$D,CONCATENATE("&lt;",LZ$3),Movimientos!$C:$C,"&lt;0")</f>
        <v>0</v>
      </c>
      <c r="MA7" s="5">
        <f ca="1">SUMIFS(Movimientos!$C:$C,Movimientos!$A:$A,$B7,Movimientos!$D:$D,CONCATENATE("&lt;=",MA$3),Movimientos!$C:$C,"&gt;0")+SUMIFS(Movimientos!$C:$C,Movimientos!$A:$A,$B7,Movimientos!$D:$D,CONCATENATE("&lt;",MA$3),Movimientos!$C:$C,"&lt;0")</f>
        <v>0</v>
      </c>
      <c r="MB7" s="5">
        <f ca="1">SUMIFS(Movimientos!$C:$C,Movimientos!$A:$A,$B7,Movimientos!$D:$D,CONCATENATE("&lt;=",MB$3),Movimientos!$C:$C,"&gt;0")+SUMIFS(Movimientos!$C:$C,Movimientos!$A:$A,$B7,Movimientos!$D:$D,CONCATENATE("&lt;",MB$3),Movimientos!$C:$C,"&lt;0")</f>
        <v>0</v>
      </c>
      <c r="MC7" s="5">
        <f ca="1">SUMIFS(Movimientos!$C:$C,Movimientos!$A:$A,$B7,Movimientos!$D:$D,CONCATENATE("&lt;=",MC$3),Movimientos!$C:$C,"&gt;0")+SUMIFS(Movimientos!$C:$C,Movimientos!$A:$A,$B7,Movimientos!$D:$D,CONCATENATE("&lt;",MC$3),Movimientos!$C:$C,"&lt;0")</f>
        <v>0</v>
      </c>
      <c r="MD7" s="5">
        <f ca="1">SUMIFS(Movimientos!$C:$C,Movimientos!$A:$A,$B7,Movimientos!$D:$D,CONCATENATE("&lt;=",MD$3),Movimientos!$C:$C,"&gt;0")+SUMIFS(Movimientos!$C:$C,Movimientos!$A:$A,$B7,Movimientos!$D:$D,CONCATENATE("&lt;",MD$3),Movimientos!$C:$C,"&lt;0")</f>
        <v>0</v>
      </c>
      <c r="ME7" s="5">
        <f ca="1">SUMIFS(Movimientos!$C:$C,Movimientos!$A:$A,$B7,Movimientos!$D:$D,CONCATENATE("&lt;=",ME$3),Movimientos!$C:$C,"&gt;0")+SUMIFS(Movimientos!$C:$C,Movimientos!$A:$A,$B7,Movimientos!$D:$D,CONCATENATE("&lt;",ME$3),Movimientos!$C:$C,"&lt;0")</f>
        <v>0</v>
      </c>
      <c r="MF7" s="5">
        <f ca="1">SUMIFS(Movimientos!$C:$C,Movimientos!$A:$A,$B7,Movimientos!$D:$D,CONCATENATE("&lt;=",MF$3),Movimientos!$C:$C,"&gt;0")+SUMIFS(Movimientos!$C:$C,Movimientos!$A:$A,$B7,Movimientos!$D:$D,CONCATENATE("&lt;",MF$3),Movimientos!$C:$C,"&lt;0")</f>
        <v>0</v>
      </c>
      <c r="MG7" s="5">
        <f ca="1">SUMIFS(Movimientos!$C:$C,Movimientos!$A:$A,$B7,Movimientos!$D:$D,CONCATENATE("&lt;=",MG$3),Movimientos!$C:$C,"&gt;0")+SUMIFS(Movimientos!$C:$C,Movimientos!$A:$A,$B7,Movimientos!$D:$D,CONCATENATE("&lt;",MG$3),Movimientos!$C:$C,"&lt;0")</f>
        <v>0</v>
      </c>
      <c r="MH7" s="5">
        <f ca="1">SUMIFS(Movimientos!$C:$C,Movimientos!$A:$A,$B7,Movimientos!$D:$D,CONCATENATE("&lt;=",MH$3),Movimientos!$C:$C,"&gt;0")+SUMIFS(Movimientos!$C:$C,Movimientos!$A:$A,$B7,Movimientos!$D:$D,CONCATENATE("&lt;",MH$3),Movimientos!$C:$C,"&lt;0")</f>
        <v>0</v>
      </c>
      <c r="MI7" s="5">
        <f ca="1">SUMIFS(Movimientos!$C:$C,Movimientos!$A:$A,$B7,Movimientos!$D:$D,CONCATENATE("&lt;=",MI$3),Movimientos!$C:$C,"&gt;0")+SUMIFS(Movimientos!$C:$C,Movimientos!$A:$A,$B7,Movimientos!$D:$D,CONCATENATE("&lt;",MI$3),Movimientos!$C:$C,"&lt;0")</f>
        <v>0</v>
      </c>
      <c r="MJ7" s="5">
        <f ca="1">SUMIFS(Movimientos!$C:$C,Movimientos!$A:$A,$B7,Movimientos!$D:$D,CONCATENATE("&lt;=",MJ$3),Movimientos!$C:$C,"&gt;0")+SUMIFS(Movimientos!$C:$C,Movimientos!$A:$A,$B7,Movimientos!$D:$D,CONCATENATE("&lt;",MJ$3),Movimientos!$C:$C,"&lt;0")</f>
        <v>0</v>
      </c>
      <c r="MK7" s="5">
        <f ca="1">SUMIFS(Movimientos!$C:$C,Movimientos!$A:$A,$B7,Movimientos!$D:$D,CONCATENATE("&lt;=",MK$3),Movimientos!$C:$C,"&gt;0")+SUMIFS(Movimientos!$C:$C,Movimientos!$A:$A,$B7,Movimientos!$D:$D,CONCATENATE("&lt;",MK$3),Movimientos!$C:$C,"&lt;0")</f>
        <v>0</v>
      </c>
      <c r="ML7" s="5">
        <f ca="1">SUMIFS(Movimientos!$C:$C,Movimientos!$A:$A,$B7,Movimientos!$D:$D,CONCATENATE("&lt;=",ML$3),Movimientos!$C:$C,"&gt;0")+SUMIFS(Movimientos!$C:$C,Movimientos!$A:$A,$B7,Movimientos!$D:$D,CONCATENATE("&lt;",ML$3),Movimientos!$C:$C,"&lt;0")</f>
        <v>0</v>
      </c>
      <c r="MM7" s="5">
        <f ca="1">SUMIFS(Movimientos!$C:$C,Movimientos!$A:$A,$B7,Movimientos!$D:$D,CONCATENATE("&lt;=",MM$3),Movimientos!$C:$C,"&gt;0")+SUMIFS(Movimientos!$C:$C,Movimientos!$A:$A,$B7,Movimientos!$D:$D,CONCATENATE("&lt;",MM$3),Movimientos!$C:$C,"&lt;0")</f>
        <v>0</v>
      </c>
      <c r="MN7" s="5">
        <f ca="1">SUMIFS(Movimientos!$C:$C,Movimientos!$A:$A,$B7,Movimientos!$D:$D,CONCATENATE("&lt;=",MN$3),Movimientos!$C:$C,"&gt;0")+SUMIFS(Movimientos!$C:$C,Movimientos!$A:$A,$B7,Movimientos!$D:$D,CONCATENATE("&lt;",MN$3),Movimientos!$C:$C,"&lt;0")</f>
        <v>0</v>
      </c>
      <c r="MO7" s="5">
        <f ca="1">SUMIFS(Movimientos!$C:$C,Movimientos!$A:$A,$B7,Movimientos!$D:$D,CONCATENATE("&lt;=",MO$3),Movimientos!$C:$C,"&gt;0")+SUMIFS(Movimientos!$C:$C,Movimientos!$A:$A,$B7,Movimientos!$D:$D,CONCATENATE("&lt;",MO$3),Movimientos!$C:$C,"&lt;0")</f>
        <v>0</v>
      </c>
      <c r="MP7" s="5">
        <f ca="1">SUMIFS(Movimientos!$C:$C,Movimientos!$A:$A,$B7,Movimientos!$D:$D,CONCATENATE("&lt;=",MP$3),Movimientos!$C:$C,"&gt;0")+SUMIFS(Movimientos!$C:$C,Movimientos!$A:$A,$B7,Movimientos!$D:$D,CONCATENATE("&lt;",MP$3),Movimientos!$C:$C,"&lt;0")</f>
        <v>0</v>
      </c>
      <c r="MQ7" s="5">
        <f ca="1">SUMIFS(Movimientos!$C:$C,Movimientos!$A:$A,$B7,Movimientos!$D:$D,CONCATENATE("&lt;=",MQ$3),Movimientos!$C:$C,"&gt;0")+SUMIFS(Movimientos!$C:$C,Movimientos!$A:$A,$B7,Movimientos!$D:$D,CONCATENATE("&lt;",MQ$3),Movimientos!$C:$C,"&lt;0")</f>
        <v>0</v>
      </c>
      <c r="MR7" s="5">
        <f ca="1">SUMIFS(Movimientos!$C:$C,Movimientos!$A:$A,$B7,Movimientos!$D:$D,CONCATENATE("&lt;=",MR$3),Movimientos!$C:$C,"&gt;0")+SUMIFS(Movimientos!$C:$C,Movimientos!$A:$A,$B7,Movimientos!$D:$D,CONCATENATE("&lt;",MR$3),Movimientos!$C:$C,"&lt;0")</f>
        <v>0</v>
      </c>
      <c r="MS7" s="5">
        <f ca="1">SUMIFS(Movimientos!$C:$C,Movimientos!$A:$A,$B7,Movimientos!$D:$D,CONCATENATE("&lt;=",MS$3),Movimientos!$C:$C,"&gt;0")+SUMIFS(Movimientos!$C:$C,Movimientos!$A:$A,$B7,Movimientos!$D:$D,CONCATENATE("&lt;",MS$3),Movimientos!$C:$C,"&lt;0")</f>
        <v>0</v>
      </c>
      <c r="MT7" s="5">
        <f ca="1">SUMIFS(Movimientos!$C:$C,Movimientos!$A:$A,$B7,Movimientos!$D:$D,CONCATENATE("&lt;=",MT$3),Movimientos!$C:$C,"&gt;0")+SUMIFS(Movimientos!$C:$C,Movimientos!$A:$A,$B7,Movimientos!$D:$D,CONCATENATE("&lt;",MT$3),Movimientos!$C:$C,"&lt;0")</f>
        <v>0</v>
      </c>
      <c r="MU7" s="5">
        <f ca="1">SUMIFS(Movimientos!$C:$C,Movimientos!$A:$A,$B7,Movimientos!$D:$D,CONCATENATE("&lt;=",MU$3),Movimientos!$C:$C,"&gt;0")+SUMIFS(Movimientos!$C:$C,Movimientos!$A:$A,$B7,Movimientos!$D:$D,CONCATENATE("&lt;",MU$3),Movimientos!$C:$C,"&lt;0")</f>
        <v>0</v>
      </c>
      <c r="MV7" s="5">
        <f ca="1">SUMIFS(Movimientos!$C:$C,Movimientos!$A:$A,$B7,Movimientos!$D:$D,CONCATENATE("&lt;=",MV$3),Movimientos!$C:$C,"&gt;0")+SUMIFS(Movimientos!$C:$C,Movimientos!$A:$A,$B7,Movimientos!$D:$D,CONCATENATE("&lt;",MV$3),Movimientos!$C:$C,"&lt;0")</f>
        <v>0</v>
      </c>
      <c r="MW7" s="5">
        <f ca="1">SUMIFS(Movimientos!$C:$C,Movimientos!$A:$A,$B7,Movimientos!$D:$D,CONCATENATE("&lt;=",MW$3),Movimientos!$C:$C,"&gt;0")+SUMIFS(Movimientos!$C:$C,Movimientos!$A:$A,$B7,Movimientos!$D:$D,CONCATENATE("&lt;",MW$3),Movimientos!$C:$C,"&lt;0")</f>
        <v>0</v>
      </c>
      <c r="MX7" s="5">
        <f ca="1">SUMIFS(Movimientos!$C:$C,Movimientos!$A:$A,$B7,Movimientos!$D:$D,CONCATENATE("&lt;=",MX$3),Movimientos!$C:$C,"&gt;0")+SUMIFS(Movimientos!$C:$C,Movimientos!$A:$A,$B7,Movimientos!$D:$D,CONCATENATE("&lt;",MX$3),Movimientos!$C:$C,"&lt;0")</f>
        <v>0</v>
      </c>
      <c r="MY7" s="5">
        <f ca="1">SUMIFS(Movimientos!$C:$C,Movimientos!$A:$A,$B7,Movimientos!$D:$D,CONCATENATE("&lt;=",MY$3),Movimientos!$C:$C,"&gt;0")+SUMIFS(Movimientos!$C:$C,Movimientos!$A:$A,$B7,Movimientos!$D:$D,CONCATENATE("&lt;",MY$3),Movimientos!$C:$C,"&lt;0")</f>
        <v>0</v>
      </c>
      <c r="MZ7" s="5">
        <f ca="1">SUMIFS(Movimientos!$C:$C,Movimientos!$A:$A,$B7,Movimientos!$D:$D,CONCATENATE("&lt;=",MZ$3),Movimientos!$C:$C,"&gt;0")+SUMIFS(Movimientos!$C:$C,Movimientos!$A:$A,$B7,Movimientos!$D:$D,CONCATENATE("&lt;",MZ$3),Movimientos!$C:$C,"&lt;0")</f>
        <v>0</v>
      </c>
      <c r="NA7" s="5">
        <f ca="1">SUMIFS(Movimientos!$C:$C,Movimientos!$A:$A,$B7,Movimientos!$D:$D,CONCATENATE("&lt;=",NA$3),Movimientos!$C:$C,"&gt;0")+SUMIFS(Movimientos!$C:$C,Movimientos!$A:$A,$B7,Movimientos!$D:$D,CONCATENATE("&lt;",NA$3),Movimientos!$C:$C,"&lt;0")</f>
        <v>0</v>
      </c>
      <c r="NB7" s="5">
        <f ca="1">SUMIFS(Movimientos!$C:$C,Movimientos!$A:$A,$B7,Movimientos!$D:$D,CONCATENATE("&lt;=",NB$3),Movimientos!$C:$C,"&gt;0")+SUMIFS(Movimientos!$C:$C,Movimientos!$A:$A,$B7,Movimientos!$D:$D,CONCATENATE("&lt;",NB$3),Movimientos!$C:$C,"&lt;0")</f>
        <v>0</v>
      </c>
      <c r="NC7" s="5">
        <f ca="1">SUMIFS(Movimientos!$C:$C,Movimientos!$A:$A,$B7,Movimientos!$D:$D,CONCATENATE("&lt;=",NC$3),Movimientos!$C:$C,"&gt;0")+SUMIFS(Movimientos!$C:$C,Movimientos!$A:$A,$B7,Movimientos!$D:$D,CONCATENATE("&lt;",NC$3),Movimientos!$C:$C,"&lt;0")</f>
        <v>0</v>
      </c>
      <c r="ND7" s="5">
        <f ca="1">SUMIFS(Movimientos!$C:$C,Movimientos!$A:$A,$B7,Movimientos!$D:$D,CONCATENATE("&lt;=",ND$3),Movimientos!$C:$C,"&gt;0")+SUMIFS(Movimientos!$C:$C,Movimientos!$A:$A,$B7,Movimientos!$D:$D,CONCATENATE("&lt;",ND$3),Movimientos!$C:$C,"&lt;0")</f>
        <v>0</v>
      </c>
      <c r="NE7" s="5">
        <f ca="1">SUMIFS(Movimientos!$C:$C,Movimientos!$A:$A,$B7,Movimientos!$D:$D,CONCATENATE("&lt;=",NE$3),Movimientos!$C:$C,"&gt;0")+SUMIFS(Movimientos!$C:$C,Movimientos!$A:$A,$B7,Movimientos!$D:$D,CONCATENATE("&lt;",NE$3),Movimientos!$C:$C,"&lt;0")</f>
        <v>0</v>
      </c>
      <c r="NF7" s="5">
        <f ca="1">SUMIFS(Movimientos!$C:$C,Movimientos!$A:$A,$B7,Movimientos!$D:$D,CONCATENATE("&lt;=",NF$3),Movimientos!$C:$C,"&gt;0")+SUMIFS(Movimientos!$C:$C,Movimientos!$A:$A,$B7,Movimientos!$D:$D,CONCATENATE("&lt;",NF$3),Movimientos!$C:$C,"&lt;0")</f>
        <v>0</v>
      </c>
      <c r="NG7" s="5">
        <f ca="1">SUMIFS(Movimientos!$C:$C,Movimientos!$A:$A,$B7,Movimientos!$D:$D,CONCATENATE("&lt;=",NG$3),Movimientos!$C:$C,"&gt;0")+SUMIFS(Movimientos!$C:$C,Movimientos!$A:$A,$B7,Movimientos!$D:$D,CONCATENATE("&lt;",NG$3),Movimientos!$C:$C,"&lt;0")</f>
        <v>0</v>
      </c>
      <c r="NH7" s="5">
        <f ca="1">SUMIFS(Movimientos!$C:$C,Movimientos!$A:$A,$B7,Movimientos!$D:$D,CONCATENATE("&lt;=",NH$3),Movimientos!$C:$C,"&gt;0")+SUMIFS(Movimientos!$C:$C,Movimientos!$A:$A,$B7,Movimientos!$D:$D,CONCATENATE("&lt;",NH$3),Movimientos!$C:$C,"&lt;0")</f>
        <v>0</v>
      </c>
      <c r="NI7" s="5">
        <f ca="1">SUMIFS(Movimientos!$C:$C,Movimientos!$A:$A,$B7,Movimientos!$D:$D,CONCATENATE("&lt;=",NI$3),Movimientos!$C:$C,"&gt;0")+SUMIFS(Movimientos!$C:$C,Movimientos!$A:$A,$B7,Movimientos!$D:$D,CONCATENATE("&lt;",NI$3),Movimientos!$C:$C,"&lt;0")</f>
        <v>0</v>
      </c>
      <c r="NJ7" s="5">
        <f ca="1">SUMIFS(Movimientos!$C:$C,Movimientos!$A:$A,$B7,Movimientos!$D:$D,CONCATENATE("&lt;=",NJ$3),Movimientos!$C:$C,"&gt;0")+SUMIFS(Movimientos!$C:$C,Movimientos!$A:$A,$B7,Movimientos!$D:$D,CONCATENATE("&lt;",NJ$3),Movimientos!$C:$C,"&lt;0")</f>
        <v>0</v>
      </c>
      <c r="NK7" s="5">
        <f ca="1">SUMIFS(Movimientos!$C:$C,Movimientos!$A:$A,$B7,Movimientos!$D:$D,CONCATENATE("&lt;=",NK$3),Movimientos!$C:$C,"&gt;0")+SUMIFS(Movimientos!$C:$C,Movimientos!$A:$A,$B7,Movimientos!$D:$D,CONCATENATE("&lt;",NK$3),Movimientos!$C:$C,"&lt;0")</f>
        <v>0</v>
      </c>
      <c r="NL7" s="5">
        <f ca="1">SUMIFS(Movimientos!$C:$C,Movimientos!$A:$A,$B7,Movimientos!$D:$D,CONCATENATE("&lt;=",NL$3),Movimientos!$C:$C,"&gt;0")+SUMIFS(Movimientos!$C:$C,Movimientos!$A:$A,$B7,Movimientos!$D:$D,CONCATENATE("&lt;",NL$3),Movimientos!$C:$C,"&lt;0")</f>
        <v>0</v>
      </c>
      <c r="NM7" s="5">
        <f ca="1">SUMIFS(Movimientos!$C:$C,Movimientos!$A:$A,$B7,Movimientos!$D:$D,CONCATENATE("&lt;=",NM$3),Movimientos!$C:$C,"&gt;0")+SUMIFS(Movimientos!$C:$C,Movimientos!$A:$A,$B7,Movimientos!$D:$D,CONCATENATE("&lt;",NM$3),Movimientos!$C:$C,"&lt;0")</f>
        <v>0</v>
      </c>
      <c r="NN7" s="5">
        <f ca="1">SUMIFS(Movimientos!$C:$C,Movimientos!$A:$A,$B7,Movimientos!$D:$D,CONCATENATE("&lt;=",NN$3),Movimientos!$C:$C,"&gt;0")+SUMIFS(Movimientos!$C:$C,Movimientos!$A:$A,$B7,Movimientos!$D:$D,CONCATENATE("&lt;",NN$3),Movimientos!$C:$C,"&lt;0")</f>
        <v>0</v>
      </c>
      <c r="NO7" s="5">
        <f ca="1">SUMIFS(Movimientos!$C:$C,Movimientos!$A:$A,$B7,Movimientos!$D:$D,CONCATENATE("&lt;=",NO$3),Movimientos!$C:$C,"&gt;0")+SUMIFS(Movimientos!$C:$C,Movimientos!$A:$A,$B7,Movimientos!$D:$D,CONCATENATE("&lt;",NO$3),Movimientos!$C:$C,"&lt;0")</f>
        <v>0</v>
      </c>
      <c r="NP7" s="5">
        <f ca="1">SUMIFS(Movimientos!$C:$C,Movimientos!$A:$A,$B7,Movimientos!$D:$D,CONCATENATE("&lt;=",NP$3),Movimientos!$C:$C,"&gt;0")+SUMIFS(Movimientos!$C:$C,Movimientos!$A:$A,$B7,Movimientos!$D:$D,CONCATENATE("&lt;",NP$3),Movimientos!$C:$C,"&lt;0")</f>
        <v>0</v>
      </c>
      <c r="NQ7" s="5">
        <f ca="1">SUMIFS(Movimientos!$C:$C,Movimientos!$A:$A,$B7,Movimientos!$D:$D,CONCATENATE("&lt;=",NQ$3),Movimientos!$C:$C,"&gt;0")+SUMIFS(Movimientos!$C:$C,Movimientos!$A:$A,$B7,Movimientos!$D:$D,CONCATENATE("&lt;",NQ$3),Movimientos!$C:$C,"&lt;0")</f>
        <v>0</v>
      </c>
      <c r="NR7" s="5">
        <f ca="1">SUMIFS(Movimientos!$C:$C,Movimientos!$A:$A,$B7,Movimientos!$D:$D,CONCATENATE("&lt;=",NR$3),Movimientos!$C:$C,"&gt;0")+SUMIFS(Movimientos!$C:$C,Movimientos!$A:$A,$B7,Movimientos!$D:$D,CONCATENATE("&lt;",NR$3),Movimientos!$C:$C,"&lt;0")</f>
        <v>0</v>
      </c>
      <c r="NS7" s="5">
        <f ca="1">SUMIFS(Movimientos!$C:$C,Movimientos!$A:$A,$B7,Movimientos!$D:$D,CONCATENATE("&lt;=",NS$3),Movimientos!$C:$C,"&gt;0")+SUMIFS(Movimientos!$C:$C,Movimientos!$A:$A,$B7,Movimientos!$D:$D,CONCATENATE("&lt;",NS$3),Movimientos!$C:$C,"&lt;0")</f>
        <v>0</v>
      </c>
      <c r="NT7" s="5">
        <f ca="1">SUMIFS(Movimientos!$C:$C,Movimientos!$A:$A,$B7,Movimientos!$D:$D,CONCATENATE("&lt;=",NT$3),Movimientos!$C:$C,"&gt;0")+SUMIFS(Movimientos!$C:$C,Movimientos!$A:$A,$B7,Movimientos!$D:$D,CONCATENATE("&lt;",NT$3),Movimientos!$C:$C,"&lt;0")</f>
        <v>0</v>
      </c>
      <c r="NU7" s="5">
        <f ca="1">SUMIFS(Movimientos!$C:$C,Movimientos!$A:$A,$B7,Movimientos!$D:$D,CONCATENATE("&lt;=",NU$3),Movimientos!$C:$C,"&gt;0")+SUMIFS(Movimientos!$C:$C,Movimientos!$A:$A,$B7,Movimientos!$D:$D,CONCATENATE("&lt;",NU$3),Movimientos!$C:$C,"&lt;0")</f>
        <v>0</v>
      </c>
      <c r="NV7" s="5">
        <f ca="1">SUMIFS(Movimientos!$C:$C,Movimientos!$A:$A,$B7,Movimientos!$D:$D,CONCATENATE("&lt;=",NV$3),Movimientos!$C:$C,"&gt;0")+SUMIFS(Movimientos!$C:$C,Movimientos!$A:$A,$B7,Movimientos!$D:$D,CONCATENATE("&lt;",NV$3),Movimientos!$C:$C,"&lt;0")</f>
        <v>0</v>
      </c>
      <c r="NW7" s="5">
        <f ca="1">SUMIFS(Movimientos!$C:$C,Movimientos!$A:$A,$B7,Movimientos!$D:$D,CONCATENATE("&lt;=",NW$3),Movimientos!$C:$C,"&gt;0")+SUMIFS(Movimientos!$C:$C,Movimientos!$A:$A,$B7,Movimientos!$D:$D,CONCATENATE("&lt;",NW$3),Movimientos!$C:$C,"&lt;0")</f>
        <v>0</v>
      </c>
      <c r="NX7" s="5">
        <f ca="1">SUMIFS(Movimientos!$C:$C,Movimientos!$A:$A,$B7,Movimientos!$D:$D,CONCATENATE("&lt;=",NX$3),Movimientos!$C:$C,"&gt;0")+SUMIFS(Movimientos!$C:$C,Movimientos!$A:$A,$B7,Movimientos!$D:$D,CONCATENATE("&lt;",NX$3),Movimientos!$C:$C,"&lt;0")</f>
        <v>0</v>
      </c>
      <c r="NY7" s="5">
        <f ca="1">SUMIFS(Movimientos!$C:$C,Movimientos!$A:$A,$B7,Movimientos!$D:$D,CONCATENATE("&lt;=",NY$3),Movimientos!$C:$C,"&gt;0")+SUMIFS(Movimientos!$C:$C,Movimientos!$A:$A,$B7,Movimientos!$D:$D,CONCATENATE("&lt;",NY$3),Movimientos!$C:$C,"&lt;0")</f>
        <v>0</v>
      </c>
      <c r="NZ7" s="5">
        <f ca="1">SUMIFS(Movimientos!$C:$C,Movimientos!$A:$A,$B7,Movimientos!$D:$D,CONCATENATE("&lt;=",NZ$3),Movimientos!$C:$C,"&gt;0")+SUMIFS(Movimientos!$C:$C,Movimientos!$A:$A,$B7,Movimientos!$D:$D,CONCATENATE("&lt;",NZ$3),Movimientos!$C:$C,"&lt;0")</f>
        <v>0</v>
      </c>
      <c r="OA7" s="5">
        <f ca="1">SUMIFS(Movimientos!$C:$C,Movimientos!$A:$A,$B7,Movimientos!$D:$D,CONCATENATE("&lt;=",OA$3),Movimientos!$C:$C,"&gt;0")+SUMIFS(Movimientos!$C:$C,Movimientos!$A:$A,$B7,Movimientos!$D:$D,CONCATENATE("&lt;",OA$3),Movimientos!$C:$C,"&lt;0")</f>
        <v>0</v>
      </c>
      <c r="OB7" s="5">
        <f ca="1">SUMIFS(Movimientos!$C:$C,Movimientos!$A:$A,$B7,Movimientos!$D:$D,CONCATENATE("&lt;=",OB$3),Movimientos!$C:$C,"&gt;0")+SUMIFS(Movimientos!$C:$C,Movimientos!$A:$A,$B7,Movimientos!$D:$D,CONCATENATE("&lt;",OB$3),Movimientos!$C:$C,"&lt;0")</f>
        <v>0</v>
      </c>
      <c r="OC7" s="5">
        <f ca="1">SUMIFS(Movimientos!$C:$C,Movimientos!$A:$A,$B7,Movimientos!$D:$D,CONCATENATE("&lt;=",OC$3),Movimientos!$C:$C,"&gt;0")+SUMIFS(Movimientos!$C:$C,Movimientos!$A:$A,$B7,Movimientos!$D:$D,CONCATENATE("&lt;",OC$3),Movimientos!$C:$C,"&lt;0")</f>
        <v>0</v>
      </c>
      <c r="OD7" s="5">
        <f ca="1">SUMIFS(Movimientos!$C:$C,Movimientos!$A:$A,$B7,Movimientos!$D:$D,CONCATENATE("&lt;=",OD$3),Movimientos!$C:$C,"&gt;0")+SUMIFS(Movimientos!$C:$C,Movimientos!$A:$A,$B7,Movimientos!$D:$D,CONCATENATE("&lt;",OD$3),Movimientos!$C:$C,"&lt;0")</f>
        <v>0</v>
      </c>
      <c r="OE7" s="5">
        <f ca="1">SUMIFS(Movimientos!$C:$C,Movimientos!$A:$A,$B7,Movimientos!$D:$D,CONCATENATE("&lt;=",OE$3),Movimientos!$C:$C,"&gt;0")+SUMIFS(Movimientos!$C:$C,Movimientos!$A:$A,$B7,Movimientos!$D:$D,CONCATENATE("&lt;",OE$3),Movimientos!$C:$C,"&lt;0")</f>
        <v>0</v>
      </c>
      <c r="OF7" s="5">
        <f ca="1">SUMIFS(Movimientos!$C:$C,Movimientos!$A:$A,$B7,Movimientos!$D:$D,CONCATENATE("&lt;=",OF$3),Movimientos!$C:$C,"&gt;0")+SUMIFS(Movimientos!$C:$C,Movimientos!$A:$A,$B7,Movimientos!$D:$D,CONCATENATE("&lt;",OF$3),Movimientos!$C:$C,"&lt;0")</f>
        <v>0</v>
      </c>
      <c r="OG7" s="5">
        <f ca="1">SUMIFS(Movimientos!$C:$C,Movimientos!$A:$A,$B7,Movimientos!$D:$D,CONCATENATE("&lt;=",OG$3),Movimientos!$C:$C,"&gt;0")+SUMIFS(Movimientos!$C:$C,Movimientos!$A:$A,$B7,Movimientos!$D:$D,CONCATENATE("&lt;",OG$3),Movimientos!$C:$C,"&lt;0")</f>
        <v>0</v>
      </c>
      <c r="OH7" s="5">
        <f ca="1">SUMIFS(Movimientos!$C:$C,Movimientos!$A:$A,$B7,Movimientos!$D:$D,CONCATENATE("&lt;=",OH$3),Movimientos!$C:$C,"&gt;0")+SUMIFS(Movimientos!$C:$C,Movimientos!$A:$A,$B7,Movimientos!$D:$D,CONCATENATE("&lt;",OH$3),Movimientos!$C:$C,"&lt;0")</f>
        <v>0</v>
      </c>
      <c r="OI7" s="5">
        <f ca="1">SUMIFS(Movimientos!$C:$C,Movimientos!$A:$A,$B7,Movimientos!$D:$D,CONCATENATE("&lt;=",OI$3),Movimientos!$C:$C,"&gt;0")+SUMIFS(Movimientos!$C:$C,Movimientos!$A:$A,$B7,Movimientos!$D:$D,CONCATENATE("&lt;",OI$3),Movimientos!$C:$C,"&lt;0")</f>
        <v>0</v>
      </c>
      <c r="OJ7" s="5">
        <f ca="1">SUMIFS(Movimientos!$C:$C,Movimientos!$A:$A,$B7,Movimientos!$D:$D,CONCATENATE("&lt;=",OJ$3),Movimientos!$C:$C,"&gt;0")+SUMIFS(Movimientos!$C:$C,Movimientos!$A:$A,$B7,Movimientos!$D:$D,CONCATENATE("&lt;",OJ$3),Movimientos!$C:$C,"&lt;0")</f>
        <v>0</v>
      </c>
      <c r="OK7" s="5">
        <f ca="1">SUMIFS(Movimientos!$C:$C,Movimientos!$A:$A,$B7,Movimientos!$D:$D,CONCATENATE("&lt;=",OK$3),Movimientos!$C:$C,"&gt;0")+SUMIFS(Movimientos!$C:$C,Movimientos!$A:$A,$B7,Movimientos!$D:$D,CONCATENATE("&lt;",OK$3),Movimientos!$C:$C,"&lt;0")</f>
        <v>0</v>
      </c>
      <c r="OL7" s="5">
        <f ca="1">SUMIFS(Movimientos!$C:$C,Movimientos!$A:$A,$B7,Movimientos!$D:$D,CONCATENATE("&lt;=",OL$3),Movimientos!$C:$C,"&gt;0")+SUMIFS(Movimientos!$C:$C,Movimientos!$A:$A,$B7,Movimientos!$D:$D,CONCATENATE("&lt;",OL$3),Movimientos!$C:$C,"&lt;0")</f>
        <v>0</v>
      </c>
      <c r="OM7" s="5">
        <f ca="1">SUMIFS(Movimientos!$C:$C,Movimientos!$A:$A,$B7,Movimientos!$D:$D,CONCATENATE("&lt;=",OM$3),Movimientos!$C:$C,"&gt;0")+SUMIFS(Movimientos!$C:$C,Movimientos!$A:$A,$B7,Movimientos!$D:$D,CONCATENATE("&lt;",OM$3),Movimientos!$C:$C,"&lt;0")</f>
        <v>0</v>
      </c>
      <c r="ON7" s="5">
        <f ca="1">SUMIFS(Movimientos!$C:$C,Movimientos!$A:$A,$B7,Movimientos!$D:$D,CONCATENATE("&lt;=",ON$3),Movimientos!$C:$C,"&gt;0")+SUMIFS(Movimientos!$C:$C,Movimientos!$A:$A,$B7,Movimientos!$D:$D,CONCATENATE("&lt;",ON$3),Movimientos!$C:$C,"&lt;0")</f>
        <v>0</v>
      </c>
      <c r="OO7" s="5">
        <f ca="1">SUMIFS(Movimientos!$C:$C,Movimientos!$A:$A,$B7,Movimientos!$D:$D,CONCATENATE("&lt;=",OO$3),Movimientos!$C:$C,"&gt;0")+SUMIFS(Movimientos!$C:$C,Movimientos!$A:$A,$B7,Movimientos!$D:$D,CONCATENATE("&lt;",OO$3),Movimientos!$C:$C,"&lt;0")</f>
        <v>0</v>
      </c>
      <c r="OP7" s="5">
        <f ca="1">SUMIFS(Movimientos!$C:$C,Movimientos!$A:$A,$B7,Movimientos!$D:$D,CONCATENATE("&lt;=",OP$3),Movimientos!$C:$C,"&gt;0")+SUMIFS(Movimientos!$C:$C,Movimientos!$A:$A,$B7,Movimientos!$D:$D,CONCATENATE("&lt;",OP$3),Movimientos!$C:$C,"&lt;0")</f>
        <v>0</v>
      </c>
      <c r="OQ7" s="5">
        <f ca="1">SUMIFS(Movimientos!$C:$C,Movimientos!$A:$A,$B7,Movimientos!$D:$D,CONCATENATE("&lt;=",OQ$3),Movimientos!$C:$C,"&gt;0")+SUMIFS(Movimientos!$C:$C,Movimientos!$A:$A,$B7,Movimientos!$D:$D,CONCATENATE("&lt;",OQ$3),Movimientos!$C:$C,"&lt;0")</f>
        <v>0</v>
      </c>
      <c r="OR7" s="5">
        <f ca="1">SUMIFS(Movimientos!$C:$C,Movimientos!$A:$A,$B7,Movimientos!$D:$D,CONCATENATE("&lt;=",OR$3),Movimientos!$C:$C,"&gt;0")+SUMIFS(Movimientos!$C:$C,Movimientos!$A:$A,$B7,Movimientos!$D:$D,CONCATENATE("&lt;",OR$3),Movimientos!$C:$C,"&lt;0")</f>
        <v>0</v>
      </c>
      <c r="OS7" s="5">
        <f ca="1">SUMIFS(Movimientos!$C:$C,Movimientos!$A:$A,$B7,Movimientos!$D:$D,CONCATENATE("&lt;=",OS$3),Movimientos!$C:$C,"&gt;0")+SUMIFS(Movimientos!$C:$C,Movimientos!$A:$A,$B7,Movimientos!$D:$D,CONCATENATE("&lt;",OS$3),Movimientos!$C:$C,"&lt;0")</f>
        <v>0</v>
      </c>
      <c r="OT7" s="5">
        <f ca="1">SUMIFS(Movimientos!$C:$C,Movimientos!$A:$A,$B7,Movimientos!$D:$D,CONCATENATE("&lt;=",OT$3),Movimientos!$C:$C,"&gt;0")+SUMIFS(Movimientos!$C:$C,Movimientos!$A:$A,$B7,Movimientos!$D:$D,CONCATENATE("&lt;",OT$3),Movimientos!$C:$C,"&lt;0")</f>
        <v>0</v>
      </c>
      <c r="OU7" s="5">
        <f ca="1">SUMIFS(Movimientos!$C:$C,Movimientos!$A:$A,$B7,Movimientos!$D:$D,CONCATENATE("&lt;=",OU$3),Movimientos!$C:$C,"&gt;0")+SUMIFS(Movimientos!$C:$C,Movimientos!$A:$A,$B7,Movimientos!$D:$D,CONCATENATE("&lt;",OU$3),Movimientos!$C:$C,"&lt;0")</f>
        <v>0</v>
      </c>
      <c r="OV7" s="5">
        <f ca="1">SUMIFS(Movimientos!$C:$C,Movimientos!$A:$A,$B7,Movimientos!$D:$D,CONCATENATE("&lt;=",OV$3),Movimientos!$C:$C,"&gt;0")+SUMIFS(Movimientos!$C:$C,Movimientos!$A:$A,$B7,Movimientos!$D:$D,CONCATENATE("&lt;",OV$3),Movimientos!$C:$C,"&lt;0")</f>
        <v>0</v>
      </c>
      <c r="OW7" s="5">
        <f ca="1">SUMIFS(Movimientos!$C:$C,Movimientos!$A:$A,$B7,Movimientos!$D:$D,CONCATENATE("&lt;=",OW$3),Movimientos!$C:$C,"&gt;0")+SUMIFS(Movimientos!$C:$C,Movimientos!$A:$A,$B7,Movimientos!$D:$D,CONCATENATE("&lt;",OW$3),Movimientos!$C:$C,"&lt;0")</f>
        <v>0</v>
      </c>
      <c r="OX7" s="5">
        <f ca="1">SUMIFS(Movimientos!$C:$C,Movimientos!$A:$A,$B7,Movimientos!$D:$D,CONCATENATE("&lt;=",OX$3),Movimientos!$C:$C,"&gt;0")+SUMIFS(Movimientos!$C:$C,Movimientos!$A:$A,$B7,Movimientos!$D:$D,CONCATENATE("&lt;",OX$3),Movimientos!$C:$C,"&lt;0")</f>
        <v>0</v>
      </c>
      <c r="OY7" s="5">
        <f ca="1">SUMIFS(Movimientos!$C:$C,Movimientos!$A:$A,$B7,Movimientos!$D:$D,CONCATENATE("&lt;=",OY$3),Movimientos!$C:$C,"&gt;0")+SUMIFS(Movimientos!$C:$C,Movimientos!$A:$A,$B7,Movimientos!$D:$D,CONCATENATE("&lt;",OY$3),Movimientos!$C:$C,"&lt;0")</f>
        <v>0</v>
      </c>
      <c r="OZ7" s="5">
        <f ca="1">SUMIFS(Movimientos!$C:$C,Movimientos!$A:$A,$B7,Movimientos!$D:$D,CONCATENATE("&lt;=",OZ$3),Movimientos!$C:$C,"&gt;0")+SUMIFS(Movimientos!$C:$C,Movimientos!$A:$A,$B7,Movimientos!$D:$D,CONCATENATE("&lt;",OZ$3),Movimientos!$C:$C,"&lt;0")</f>
        <v>0</v>
      </c>
      <c r="PA7" s="5">
        <f ca="1">SUMIFS(Movimientos!$C:$C,Movimientos!$A:$A,$B7,Movimientos!$D:$D,CONCATENATE("&lt;=",PA$3),Movimientos!$C:$C,"&gt;0")+SUMIFS(Movimientos!$C:$C,Movimientos!$A:$A,$B7,Movimientos!$D:$D,CONCATENATE("&lt;",PA$3),Movimientos!$C:$C,"&lt;0")</f>
        <v>0</v>
      </c>
      <c r="PB7" s="5">
        <f ca="1">SUMIFS(Movimientos!$C:$C,Movimientos!$A:$A,$B7,Movimientos!$D:$D,CONCATENATE("&lt;=",PB$3),Movimientos!$C:$C,"&gt;0")+SUMIFS(Movimientos!$C:$C,Movimientos!$A:$A,$B7,Movimientos!$D:$D,CONCATENATE("&lt;",PB$3),Movimientos!$C:$C,"&lt;0")</f>
        <v>0</v>
      </c>
      <c r="PC7" s="5">
        <f ca="1">SUMIFS(Movimientos!$C:$C,Movimientos!$A:$A,$B7,Movimientos!$D:$D,CONCATENATE("&lt;=",PC$3),Movimientos!$C:$C,"&gt;0")+SUMIFS(Movimientos!$C:$C,Movimientos!$A:$A,$B7,Movimientos!$D:$D,CONCATENATE("&lt;",PC$3),Movimientos!$C:$C,"&lt;0")</f>
        <v>0</v>
      </c>
      <c r="PD7" s="5">
        <f ca="1">SUMIFS(Movimientos!$C:$C,Movimientos!$A:$A,$B7,Movimientos!$D:$D,CONCATENATE("&lt;=",PD$3),Movimientos!$C:$C,"&gt;0")+SUMIFS(Movimientos!$C:$C,Movimientos!$A:$A,$B7,Movimientos!$D:$D,CONCATENATE("&lt;",PD$3),Movimientos!$C:$C,"&lt;0")</f>
        <v>0</v>
      </c>
      <c r="PE7" s="5">
        <f ca="1">SUMIFS(Movimientos!$C:$C,Movimientos!$A:$A,$B7,Movimientos!$D:$D,CONCATENATE("&lt;=",PE$3),Movimientos!$C:$C,"&gt;0")+SUMIFS(Movimientos!$C:$C,Movimientos!$A:$A,$B7,Movimientos!$D:$D,CONCATENATE("&lt;",PE$3),Movimientos!$C:$C,"&lt;0")</f>
        <v>0</v>
      </c>
      <c r="PF7" s="5">
        <f ca="1">SUMIFS(Movimientos!$C:$C,Movimientos!$A:$A,$B7,Movimientos!$D:$D,CONCATENATE("&lt;=",PF$3),Movimientos!$C:$C,"&gt;0")+SUMIFS(Movimientos!$C:$C,Movimientos!$A:$A,$B7,Movimientos!$D:$D,CONCATENATE("&lt;",PF$3),Movimientos!$C:$C,"&lt;0")</f>
        <v>0</v>
      </c>
      <c r="PG7" s="5">
        <f ca="1">SUMIFS(Movimientos!$C:$C,Movimientos!$A:$A,$B7,Movimientos!$D:$D,CONCATENATE("&lt;=",PG$3),Movimientos!$C:$C,"&gt;0")+SUMIFS(Movimientos!$C:$C,Movimientos!$A:$A,$B7,Movimientos!$D:$D,CONCATENATE("&lt;",PG$3),Movimientos!$C:$C,"&lt;0")</f>
        <v>0</v>
      </c>
      <c r="PH7" s="5">
        <f ca="1">SUMIFS(Movimientos!$C:$C,Movimientos!$A:$A,$B7,Movimientos!$D:$D,CONCATENATE("&lt;=",PH$3),Movimientos!$C:$C,"&gt;0")+SUMIFS(Movimientos!$C:$C,Movimientos!$A:$A,$B7,Movimientos!$D:$D,CONCATENATE("&lt;",PH$3),Movimientos!$C:$C,"&lt;0")</f>
        <v>0</v>
      </c>
      <c r="PI7" s="5">
        <f ca="1">SUMIFS(Movimientos!$C:$C,Movimientos!$A:$A,$B7,Movimientos!$D:$D,CONCATENATE("&lt;=",PI$3),Movimientos!$C:$C,"&gt;0")+SUMIFS(Movimientos!$C:$C,Movimientos!$A:$A,$B7,Movimientos!$D:$D,CONCATENATE("&lt;",PI$3),Movimientos!$C:$C,"&lt;0")</f>
        <v>0</v>
      </c>
      <c r="PJ7" s="5">
        <f ca="1">SUMIFS(Movimientos!$C:$C,Movimientos!$A:$A,$B7,Movimientos!$D:$D,CONCATENATE("&lt;=",PJ$3),Movimientos!$C:$C,"&gt;0")+SUMIFS(Movimientos!$C:$C,Movimientos!$A:$A,$B7,Movimientos!$D:$D,CONCATENATE("&lt;",PJ$3),Movimientos!$C:$C,"&lt;0")</f>
        <v>0</v>
      </c>
      <c r="PK7" s="5">
        <f ca="1">SUMIFS(Movimientos!$C:$C,Movimientos!$A:$A,$B7,Movimientos!$D:$D,CONCATENATE("&lt;=",PK$3),Movimientos!$C:$C,"&gt;0")+SUMIFS(Movimientos!$C:$C,Movimientos!$A:$A,$B7,Movimientos!$D:$D,CONCATENATE("&lt;",PK$3),Movimientos!$C:$C,"&lt;0")</f>
        <v>0</v>
      </c>
      <c r="PL7" s="5">
        <f ca="1">SUMIFS(Movimientos!$C:$C,Movimientos!$A:$A,$B7,Movimientos!$D:$D,CONCATENATE("&lt;=",PL$3),Movimientos!$C:$C,"&gt;0")+SUMIFS(Movimientos!$C:$C,Movimientos!$A:$A,$B7,Movimientos!$D:$D,CONCATENATE("&lt;",PL$3),Movimientos!$C:$C,"&lt;0")</f>
        <v>0</v>
      </c>
      <c r="PM7" s="5">
        <f ca="1">SUMIFS(Movimientos!$C:$C,Movimientos!$A:$A,$B7,Movimientos!$D:$D,CONCATENATE("&lt;=",PM$3),Movimientos!$C:$C,"&gt;0")+SUMIFS(Movimientos!$C:$C,Movimientos!$A:$A,$B7,Movimientos!$D:$D,CONCATENATE("&lt;",PM$3),Movimientos!$C:$C,"&lt;0")</f>
        <v>0</v>
      </c>
      <c r="PN7" s="5">
        <f ca="1">SUMIFS(Movimientos!$C:$C,Movimientos!$A:$A,$B7,Movimientos!$D:$D,CONCATENATE("&lt;=",PN$3),Movimientos!$C:$C,"&gt;0")+SUMIFS(Movimientos!$C:$C,Movimientos!$A:$A,$B7,Movimientos!$D:$D,CONCATENATE("&lt;",PN$3),Movimientos!$C:$C,"&lt;0")</f>
        <v>0</v>
      </c>
      <c r="PO7" s="5">
        <f ca="1">SUMIFS(Movimientos!$C:$C,Movimientos!$A:$A,$B7,Movimientos!$D:$D,CONCATENATE("&lt;=",PO$3),Movimientos!$C:$C,"&gt;0")+SUMIFS(Movimientos!$C:$C,Movimientos!$A:$A,$B7,Movimientos!$D:$D,CONCATENATE("&lt;",PO$3),Movimientos!$C:$C,"&lt;0")</f>
        <v>0</v>
      </c>
      <c r="PP7" s="5">
        <f ca="1">SUMIFS(Movimientos!$C:$C,Movimientos!$A:$A,$B7,Movimientos!$D:$D,CONCATENATE("&lt;=",PP$3),Movimientos!$C:$C,"&gt;0")+SUMIFS(Movimientos!$C:$C,Movimientos!$A:$A,$B7,Movimientos!$D:$D,CONCATENATE("&lt;",PP$3),Movimientos!$C:$C,"&lt;0")</f>
        <v>0</v>
      </c>
      <c r="PQ7" s="5">
        <f ca="1">SUMIFS(Movimientos!$C:$C,Movimientos!$A:$A,$B7,Movimientos!$D:$D,CONCATENATE("&lt;=",PQ$3),Movimientos!$C:$C,"&gt;0")+SUMIFS(Movimientos!$C:$C,Movimientos!$A:$A,$B7,Movimientos!$D:$D,CONCATENATE("&lt;",PQ$3),Movimientos!$C:$C,"&lt;0")</f>
        <v>0</v>
      </c>
      <c r="PR7" s="5">
        <f ca="1">SUMIFS(Movimientos!$C:$C,Movimientos!$A:$A,$B7,Movimientos!$D:$D,CONCATENATE("&lt;=",PR$3),Movimientos!$C:$C,"&gt;0")+SUMIFS(Movimientos!$C:$C,Movimientos!$A:$A,$B7,Movimientos!$D:$D,CONCATENATE("&lt;",PR$3),Movimientos!$C:$C,"&lt;0")</f>
        <v>0</v>
      </c>
      <c r="PS7" s="5">
        <f ca="1">SUMIFS(Movimientos!$C:$C,Movimientos!$A:$A,$B7,Movimientos!$D:$D,CONCATENATE("&lt;=",PS$3),Movimientos!$C:$C,"&gt;0")+SUMIFS(Movimientos!$C:$C,Movimientos!$A:$A,$B7,Movimientos!$D:$D,CONCATENATE("&lt;",PS$3),Movimientos!$C:$C,"&lt;0")</f>
        <v>0</v>
      </c>
      <c r="PT7" s="5">
        <f ca="1">SUMIFS(Movimientos!$C:$C,Movimientos!$A:$A,$B7,Movimientos!$D:$D,CONCATENATE("&lt;=",PT$3),Movimientos!$C:$C,"&gt;0")+SUMIFS(Movimientos!$C:$C,Movimientos!$A:$A,$B7,Movimientos!$D:$D,CONCATENATE("&lt;",PT$3),Movimientos!$C:$C,"&lt;0")</f>
        <v>0</v>
      </c>
      <c r="PU7" s="5">
        <f ca="1">SUMIFS(Movimientos!$C:$C,Movimientos!$A:$A,$B7,Movimientos!$D:$D,CONCATENATE("&lt;=",PU$3),Movimientos!$C:$C,"&gt;0")+SUMIFS(Movimientos!$C:$C,Movimientos!$A:$A,$B7,Movimientos!$D:$D,CONCATENATE("&lt;",PU$3),Movimientos!$C:$C,"&lt;0")</f>
        <v>0</v>
      </c>
      <c r="PV7" s="5">
        <f ca="1">SUMIFS(Movimientos!$C:$C,Movimientos!$A:$A,$B7,Movimientos!$D:$D,CONCATENATE("&lt;=",PV$3),Movimientos!$C:$C,"&gt;0")+SUMIFS(Movimientos!$C:$C,Movimientos!$A:$A,$B7,Movimientos!$D:$D,CONCATENATE("&lt;",PV$3),Movimientos!$C:$C,"&lt;0")</f>
        <v>0</v>
      </c>
      <c r="PW7" s="5">
        <f ca="1">SUMIFS(Movimientos!$C:$C,Movimientos!$A:$A,$B7,Movimientos!$D:$D,CONCATENATE("&lt;=",PW$3),Movimientos!$C:$C,"&gt;0")+SUMIFS(Movimientos!$C:$C,Movimientos!$A:$A,$B7,Movimientos!$D:$D,CONCATENATE("&lt;",PW$3),Movimientos!$C:$C,"&lt;0")</f>
        <v>0</v>
      </c>
      <c r="PX7" s="5">
        <f ca="1">SUMIFS(Movimientos!$C:$C,Movimientos!$A:$A,$B7,Movimientos!$D:$D,CONCATENATE("&lt;=",PX$3),Movimientos!$C:$C,"&gt;0")+SUMIFS(Movimientos!$C:$C,Movimientos!$A:$A,$B7,Movimientos!$D:$D,CONCATENATE("&lt;",PX$3),Movimientos!$C:$C,"&lt;0")</f>
        <v>0</v>
      </c>
      <c r="PY7" s="5">
        <f ca="1">SUMIFS(Movimientos!$C:$C,Movimientos!$A:$A,$B7,Movimientos!$D:$D,CONCATENATE("&lt;=",PY$3),Movimientos!$C:$C,"&gt;0")+SUMIFS(Movimientos!$C:$C,Movimientos!$A:$A,$B7,Movimientos!$D:$D,CONCATENATE("&lt;",PY$3),Movimientos!$C:$C,"&lt;0")</f>
        <v>0</v>
      </c>
      <c r="PZ7" s="5">
        <f ca="1">SUMIFS(Movimientos!$C:$C,Movimientos!$A:$A,$B7,Movimientos!$D:$D,CONCATENATE("&lt;=",PZ$3),Movimientos!$C:$C,"&gt;0")+SUMIFS(Movimientos!$C:$C,Movimientos!$A:$A,$B7,Movimientos!$D:$D,CONCATENATE("&lt;",PZ$3),Movimientos!$C:$C,"&lt;0")</f>
        <v>0</v>
      </c>
      <c r="QA7" s="5">
        <f ca="1">SUMIFS(Movimientos!$C:$C,Movimientos!$A:$A,$B7,Movimientos!$D:$D,CONCATENATE("&lt;=",QA$3),Movimientos!$C:$C,"&gt;0")+SUMIFS(Movimientos!$C:$C,Movimientos!$A:$A,$B7,Movimientos!$D:$D,CONCATENATE("&lt;",QA$3),Movimientos!$C:$C,"&lt;0")</f>
        <v>0</v>
      </c>
      <c r="QB7" s="5">
        <f ca="1">SUMIFS(Movimientos!$C:$C,Movimientos!$A:$A,$B7,Movimientos!$D:$D,CONCATENATE("&lt;=",QB$3),Movimientos!$C:$C,"&gt;0")+SUMIFS(Movimientos!$C:$C,Movimientos!$A:$A,$B7,Movimientos!$D:$D,CONCATENATE("&lt;",QB$3),Movimientos!$C:$C,"&lt;0")</f>
        <v>0</v>
      </c>
      <c r="QC7" s="5">
        <f ca="1">SUMIFS(Movimientos!$C:$C,Movimientos!$A:$A,$B7,Movimientos!$D:$D,CONCATENATE("&lt;=",QC$3),Movimientos!$C:$C,"&gt;0")+SUMIFS(Movimientos!$C:$C,Movimientos!$A:$A,$B7,Movimientos!$D:$D,CONCATENATE("&lt;",QC$3),Movimientos!$C:$C,"&lt;0")</f>
        <v>0</v>
      </c>
      <c r="QD7" s="5">
        <f ca="1">SUMIFS(Movimientos!$C:$C,Movimientos!$A:$A,$B7,Movimientos!$D:$D,CONCATENATE("&lt;=",QD$3),Movimientos!$C:$C,"&gt;0")+SUMIFS(Movimientos!$C:$C,Movimientos!$A:$A,$B7,Movimientos!$D:$D,CONCATENATE("&lt;",QD$3),Movimientos!$C:$C,"&lt;0")</f>
        <v>0</v>
      </c>
      <c r="QE7" s="5">
        <f ca="1">SUMIFS(Movimientos!$C:$C,Movimientos!$A:$A,$B7,Movimientos!$D:$D,CONCATENATE("&lt;=",QE$3),Movimientos!$C:$C,"&gt;0")+SUMIFS(Movimientos!$C:$C,Movimientos!$A:$A,$B7,Movimientos!$D:$D,CONCATENATE("&lt;",QE$3),Movimientos!$C:$C,"&lt;0")</f>
        <v>0</v>
      </c>
      <c r="QF7" s="5">
        <f ca="1">SUMIFS(Movimientos!$C:$C,Movimientos!$A:$A,$B7,Movimientos!$D:$D,CONCATENATE("&lt;=",QF$3),Movimientos!$C:$C,"&gt;0")+SUMIFS(Movimientos!$C:$C,Movimientos!$A:$A,$B7,Movimientos!$D:$D,CONCATENATE("&lt;",QF$3),Movimientos!$C:$C,"&lt;0")</f>
        <v>0</v>
      </c>
      <c r="QG7" s="5">
        <f ca="1">SUMIFS(Movimientos!$C:$C,Movimientos!$A:$A,$B7,Movimientos!$D:$D,CONCATENATE("&lt;=",QG$3),Movimientos!$C:$C,"&gt;0")+SUMIFS(Movimientos!$C:$C,Movimientos!$A:$A,$B7,Movimientos!$D:$D,CONCATENATE("&lt;",QG$3),Movimientos!$C:$C,"&lt;0")</f>
        <v>0</v>
      </c>
      <c r="QH7" s="5">
        <f ca="1">SUMIFS(Movimientos!$C:$C,Movimientos!$A:$A,$B7,Movimientos!$D:$D,CONCATENATE("&lt;=",QH$3),Movimientos!$C:$C,"&gt;0")+SUMIFS(Movimientos!$C:$C,Movimientos!$A:$A,$B7,Movimientos!$D:$D,CONCATENATE("&lt;",QH$3),Movimientos!$C:$C,"&lt;0")</f>
        <v>0</v>
      </c>
      <c r="QI7" s="5">
        <f ca="1">SUMIFS(Movimientos!$C:$C,Movimientos!$A:$A,$B7,Movimientos!$D:$D,CONCATENATE("&lt;=",QI$3),Movimientos!$C:$C,"&gt;0")+SUMIFS(Movimientos!$C:$C,Movimientos!$A:$A,$B7,Movimientos!$D:$D,CONCATENATE("&lt;",QI$3),Movimientos!$C:$C,"&lt;0")</f>
        <v>0</v>
      </c>
      <c r="QJ7" s="5">
        <f ca="1">SUMIFS(Movimientos!$C:$C,Movimientos!$A:$A,$B7,Movimientos!$D:$D,CONCATENATE("&lt;=",QJ$3),Movimientos!$C:$C,"&gt;0")+SUMIFS(Movimientos!$C:$C,Movimientos!$A:$A,$B7,Movimientos!$D:$D,CONCATENATE("&lt;",QJ$3),Movimientos!$C:$C,"&lt;0")</f>
        <v>0</v>
      </c>
      <c r="QK7" s="5">
        <f ca="1">SUMIFS(Movimientos!$C:$C,Movimientos!$A:$A,$B7,Movimientos!$D:$D,CONCATENATE("&lt;=",QK$3),Movimientos!$C:$C,"&gt;0")+SUMIFS(Movimientos!$C:$C,Movimientos!$A:$A,$B7,Movimientos!$D:$D,CONCATENATE("&lt;",QK$3),Movimientos!$C:$C,"&lt;0")</f>
        <v>0</v>
      </c>
      <c r="QL7" s="5">
        <f ca="1">SUMIFS(Movimientos!$C:$C,Movimientos!$A:$A,$B7,Movimientos!$D:$D,CONCATENATE("&lt;=",QL$3),Movimientos!$C:$C,"&gt;0")+SUMIFS(Movimientos!$C:$C,Movimientos!$A:$A,$B7,Movimientos!$D:$D,CONCATENATE("&lt;",QL$3),Movimientos!$C:$C,"&lt;0")</f>
        <v>0</v>
      </c>
      <c r="QM7" s="5">
        <f ca="1">SUMIFS(Movimientos!$C:$C,Movimientos!$A:$A,$B7,Movimientos!$D:$D,CONCATENATE("&lt;=",QM$3),Movimientos!$C:$C,"&gt;0")+SUMIFS(Movimientos!$C:$C,Movimientos!$A:$A,$B7,Movimientos!$D:$D,CONCATENATE("&lt;",QM$3),Movimientos!$C:$C,"&lt;0")</f>
        <v>0</v>
      </c>
      <c r="QN7" s="5">
        <f ca="1">SUMIFS(Movimientos!$C:$C,Movimientos!$A:$A,$B7,Movimientos!$D:$D,CONCATENATE("&lt;=",QN$3),Movimientos!$C:$C,"&gt;0")+SUMIFS(Movimientos!$C:$C,Movimientos!$A:$A,$B7,Movimientos!$D:$D,CONCATENATE("&lt;",QN$3),Movimientos!$C:$C,"&lt;0")</f>
        <v>0</v>
      </c>
      <c r="QO7" s="5">
        <f ca="1">SUMIFS(Movimientos!$C:$C,Movimientos!$A:$A,$B7,Movimientos!$D:$D,CONCATENATE("&lt;=",QO$3),Movimientos!$C:$C,"&gt;0")+SUMIFS(Movimientos!$C:$C,Movimientos!$A:$A,$B7,Movimientos!$D:$D,CONCATENATE("&lt;",QO$3),Movimientos!$C:$C,"&lt;0")</f>
        <v>0</v>
      </c>
      <c r="QP7" s="5">
        <f ca="1">SUMIFS(Movimientos!$C:$C,Movimientos!$A:$A,$B7,Movimientos!$D:$D,CONCATENATE("&lt;=",QP$3),Movimientos!$C:$C,"&gt;0")+SUMIFS(Movimientos!$C:$C,Movimientos!$A:$A,$B7,Movimientos!$D:$D,CONCATENATE("&lt;",QP$3),Movimientos!$C:$C,"&lt;0")</f>
        <v>0</v>
      </c>
      <c r="QQ7" s="5">
        <f ca="1">SUMIFS(Movimientos!$C:$C,Movimientos!$A:$A,$B7,Movimientos!$D:$D,CONCATENATE("&lt;=",QQ$3),Movimientos!$C:$C,"&gt;0")+SUMIFS(Movimientos!$C:$C,Movimientos!$A:$A,$B7,Movimientos!$D:$D,CONCATENATE("&lt;",QQ$3),Movimientos!$C:$C,"&lt;0")</f>
        <v>0</v>
      </c>
      <c r="QR7" s="5">
        <f ca="1">SUMIFS(Movimientos!$C:$C,Movimientos!$A:$A,$B7,Movimientos!$D:$D,CONCATENATE("&lt;=",QR$3),Movimientos!$C:$C,"&gt;0")+SUMIFS(Movimientos!$C:$C,Movimientos!$A:$A,$B7,Movimientos!$D:$D,CONCATENATE("&lt;",QR$3),Movimientos!$C:$C,"&lt;0")</f>
        <v>0</v>
      </c>
      <c r="QS7" s="5">
        <f ca="1">SUMIFS(Movimientos!$C:$C,Movimientos!$A:$A,$B7,Movimientos!$D:$D,CONCATENATE("&lt;=",QS$3),Movimientos!$C:$C,"&gt;0")+SUMIFS(Movimientos!$C:$C,Movimientos!$A:$A,$B7,Movimientos!$D:$D,CONCATENATE("&lt;",QS$3),Movimientos!$C:$C,"&lt;0")</f>
        <v>0</v>
      </c>
      <c r="QT7" s="5">
        <f ca="1">SUMIFS(Movimientos!$C:$C,Movimientos!$A:$A,$B7,Movimientos!$D:$D,CONCATENATE("&lt;=",QT$3),Movimientos!$C:$C,"&gt;0")+SUMIFS(Movimientos!$C:$C,Movimientos!$A:$A,$B7,Movimientos!$D:$D,CONCATENATE("&lt;",QT$3),Movimientos!$C:$C,"&lt;0")</f>
        <v>0</v>
      </c>
      <c r="QU7" s="5">
        <f ca="1">SUMIFS(Movimientos!$C:$C,Movimientos!$A:$A,$B7,Movimientos!$D:$D,CONCATENATE("&lt;=",QU$3),Movimientos!$C:$C,"&gt;0")+SUMIFS(Movimientos!$C:$C,Movimientos!$A:$A,$B7,Movimientos!$D:$D,CONCATENATE("&lt;",QU$3),Movimientos!$C:$C,"&lt;0")</f>
        <v>0</v>
      </c>
      <c r="QV7" s="5">
        <f ca="1">SUMIFS(Movimientos!$C:$C,Movimientos!$A:$A,$B7,Movimientos!$D:$D,CONCATENATE("&lt;=",QV$3),Movimientos!$C:$C,"&gt;0")+SUMIFS(Movimientos!$C:$C,Movimientos!$A:$A,$B7,Movimientos!$D:$D,CONCATENATE("&lt;",QV$3),Movimientos!$C:$C,"&lt;0")</f>
        <v>0</v>
      </c>
      <c r="QW7" s="5">
        <f ca="1">SUMIFS(Movimientos!$C:$C,Movimientos!$A:$A,$B7,Movimientos!$D:$D,CONCATENATE("&lt;=",QW$3),Movimientos!$C:$C,"&gt;0")+SUMIFS(Movimientos!$C:$C,Movimientos!$A:$A,$B7,Movimientos!$D:$D,CONCATENATE("&lt;",QW$3),Movimientos!$C:$C,"&lt;0")</f>
        <v>0</v>
      </c>
      <c r="QX7" s="5">
        <f ca="1">SUMIFS(Movimientos!$C:$C,Movimientos!$A:$A,$B7,Movimientos!$D:$D,CONCATENATE("&lt;=",QX$3),Movimientos!$C:$C,"&gt;0")+SUMIFS(Movimientos!$C:$C,Movimientos!$A:$A,$B7,Movimientos!$D:$D,CONCATENATE("&lt;",QX$3),Movimientos!$C:$C,"&lt;0")</f>
        <v>0</v>
      </c>
      <c r="QY7" s="5">
        <f ca="1">SUMIFS(Movimientos!$C:$C,Movimientos!$A:$A,$B7,Movimientos!$D:$D,CONCATENATE("&lt;=",QY$3),Movimientos!$C:$C,"&gt;0")+SUMIFS(Movimientos!$C:$C,Movimientos!$A:$A,$B7,Movimientos!$D:$D,CONCATENATE("&lt;",QY$3),Movimientos!$C:$C,"&lt;0")</f>
        <v>0</v>
      </c>
      <c r="QZ7" s="5">
        <f ca="1">SUMIFS(Movimientos!$C:$C,Movimientos!$A:$A,$B7,Movimientos!$D:$D,CONCATENATE("&lt;=",QZ$3),Movimientos!$C:$C,"&gt;0")+SUMIFS(Movimientos!$C:$C,Movimientos!$A:$A,$B7,Movimientos!$D:$D,CONCATENATE("&lt;",QZ$3),Movimientos!$C:$C,"&lt;0")</f>
        <v>0</v>
      </c>
      <c r="RA7" s="5">
        <f ca="1">SUMIFS(Movimientos!$C:$C,Movimientos!$A:$A,$B7,Movimientos!$D:$D,CONCATENATE("&lt;=",RA$3),Movimientos!$C:$C,"&gt;0")+SUMIFS(Movimientos!$C:$C,Movimientos!$A:$A,$B7,Movimientos!$D:$D,CONCATENATE("&lt;",RA$3),Movimientos!$C:$C,"&lt;0")</f>
        <v>0</v>
      </c>
      <c r="RB7" s="5">
        <f ca="1">SUMIFS(Movimientos!$C:$C,Movimientos!$A:$A,$B7,Movimientos!$D:$D,CONCATENATE("&lt;=",RB$3),Movimientos!$C:$C,"&gt;0")+SUMIFS(Movimientos!$C:$C,Movimientos!$A:$A,$B7,Movimientos!$D:$D,CONCATENATE("&lt;",RB$3),Movimientos!$C:$C,"&lt;0")</f>
        <v>0</v>
      </c>
      <c r="RC7" s="5">
        <f ca="1">SUMIFS(Movimientos!$C:$C,Movimientos!$A:$A,$B7,Movimientos!$D:$D,CONCATENATE("&lt;=",RC$3),Movimientos!$C:$C,"&gt;0")+SUMIFS(Movimientos!$C:$C,Movimientos!$A:$A,$B7,Movimientos!$D:$D,CONCATENATE("&lt;",RC$3),Movimientos!$C:$C,"&lt;0")</f>
        <v>0</v>
      </c>
      <c r="RD7" s="5">
        <f ca="1">SUMIFS(Movimientos!$C:$C,Movimientos!$A:$A,$B7,Movimientos!$D:$D,CONCATENATE("&lt;=",RD$3),Movimientos!$C:$C,"&gt;0")+SUMIFS(Movimientos!$C:$C,Movimientos!$A:$A,$B7,Movimientos!$D:$D,CONCATENATE("&lt;",RD$3),Movimientos!$C:$C,"&lt;0")</f>
        <v>0</v>
      </c>
      <c r="RE7" s="5">
        <f ca="1">SUMIFS(Movimientos!$C:$C,Movimientos!$A:$A,$B7,Movimientos!$D:$D,CONCATENATE("&lt;=",RE$3),Movimientos!$C:$C,"&gt;0")+SUMIFS(Movimientos!$C:$C,Movimientos!$A:$A,$B7,Movimientos!$D:$D,CONCATENATE("&lt;",RE$3),Movimientos!$C:$C,"&lt;0")</f>
        <v>0</v>
      </c>
      <c r="RF7" s="5">
        <f ca="1">SUMIFS(Movimientos!$C:$C,Movimientos!$A:$A,$B7,Movimientos!$D:$D,CONCATENATE("&lt;=",RF$3),Movimientos!$C:$C,"&gt;0")+SUMIFS(Movimientos!$C:$C,Movimientos!$A:$A,$B7,Movimientos!$D:$D,CONCATENATE("&lt;",RF$3),Movimientos!$C:$C,"&lt;0")</f>
        <v>0</v>
      </c>
      <c r="RG7" s="5">
        <f ca="1">SUMIFS(Movimientos!$C:$C,Movimientos!$A:$A,$B7,Movimientos!$D:$D,CONCATENATE("&lt;=",RG$3),Movimientos!$C:$C,"&gt;0")+SUMIFS(Movimientos!$C:$C,Movimientos!$A:$A,$B7,Movimientos!$D:$D,CONCATENATE("&lt;",RG$3),Movimientos!$C:$C,"&lt;0")</f>
        <v>0</v>
      </c>
      <c r="RH7" s="5">
        <f ca="1">SUMIFS(Movimientos!$C:$C,Movimientos!$A:$A,$B7,Movimientos!$D:$D,CONCATENATE("&lt;=",RH$3),Movimientos!$C:$C,"&gt;0")+SUMIFS(Movimientos!$C:$C,Movimientos!$A:$A,$B7,Movimientos!$D:$D,CONCATENATE("&lt;",RH$3),Movimientos!$C:$C,"&lt;0")</f>
        <v>0</v>
      </c>
      <c r="RI7" s="5">
        <f ca="1">SUMIFS(Movimientos!$C:$C,Movimientos!$A:$A,$B7,Movimientos!$D:$D,CONCATENATE("&lt;=",RI$3),Movimientos!$C:$C,"&gt;0")+SUMIFS(Movimientos!$C:$C,Movimientos!$A:$A,$B7,Movimientos!$D:$D,CONCATENATE("&lt;",RI$3),Movimientos!$C:$C,"&lt;0")</f>
        <v>0</v>
      </c>
      <c r="RJ7" s="5">
        <f ca="1">SUMIFS(Movimientos!$C:$C,Movimientos!$A:$A,$B7,Movimientos!$D:$D,CONCATENATE("&lt;=",RJ$3),Movimientos!$C:$C,"&gt;0")+SUMIFS(Movimientos!$C:$C,Movimientos!$A:$A,$B7,Movimientos!$D:$D,CONCATENATE("&lt;",RJ$3),Movimientos!$C:$C,"&lt;0")</f>
        <v>0</v>
      </c>
      <c r="RK7" s="5">
        <f ca="1">SUMIFS(Movimientos!$C:$C,Movimientos!$A:$A,$B7,Movimientos!$D:$D,CONCATENATE("&lt;=",RK$3),Movimientos!$C:$C,"&gt;0")+SUMIFS(Movimientos!$C:$C,Movimientos!$A:$A,$B7,Movimientos!$D:$D,CONCATENATE("&lt;",RK$3),Movimientos!$C:$C,"&lt;0")</f>
        <v>0</v>
      </c>
      <c r="RL7" s="5">
        <f ca="1">SUMIFS(Movimientos!$C:$C,Movimientos!$A:$A,$B7,Movimientos!$D:$D,CONCATENATE("&lt;=",RL$3),Movimientos!$C:$C,"&gt;0")+SUMIFS(Movimientos!$C:$C,Movimientos!$A:$A,$B7,Movimientos!$D:$D,CONCATENATE("&lt;",RL$3),Movimientos!$C:$C,"&lt;0")</f>
        <v>0</v>
      </c>
      <c r="RM7" s="5">
        <f ca="1">SUMIFS(Movimientos!$C:$C,Movimientos!$A:$A,$B7,Movimientos!$D:$D,CONCATENATE("&lt;=",RM$3),Movimientos!$C:$C,"&gt;0")+SUMIFS(Movimientos!$C:$C,Movimientos!$A:$A,$B7,Movimientos!$D:$D,CONCATENATE("&lt;",RM$3),Movimientos!$C:$C,"&lt;0")</f>
        <v>0</v>
      </c>
      <c r="RN7" s="5">
        <f ca="1">SUMIFS(Movimientos!$C:$C,Movimientos!$A:$A,$B7,Movimientos!$D:$D,CONCATENATE("&lt;=",RN$3),Movimientos!$C:$C,"&gt;0")+SUMIFS(Movimientos!$C:$C,Movimientos!$A:$A,$B7,Movimientos!$D:$D,CONCATENATE("&lt;",RN$3),Movimientos!$C:$C,"&lt;0")</f>
        <v>0</v>
      </c>
      <c r="RO7" s="5">
        <f ca="1">SUMIFS(Movimientos!$C:$C,Movimientos!$A:$A,$B7,Movimientos!$D:$D,CONCATENATE("&lt;=",RO$3),Movimientos!$C:$C,"&gt;0")+SUMIFS(Movimientos!$C:$C,Movimientos!$A:$A,$B7,Movimientos!$D:$D,CONCATENATE("&lt;",RO$3),Movimientos!$C:$C,"&lt;0")</f>
        <v>0</v>
      </c>
      <c r="RP7" s="5">
        <f ca="1">SUMIFS(Movimientos!$C:$C,Movimientos!$A:$A,$B7,Movimientos!$D:$D,CONCATENATE("&lt;=",RP$3),Movimientos!$C:$C,"&gt;0")+SUMIFS(Movimientos!$C:$C,Movimientos!$A:$A,$B7,Movimientos!$D:$D,CONCATENATE("&lt;",RP$3),Movimientos!$C:$C,"&lt;0")</f>
        <v>0</v>
      </c>
      <c r="RQ7" s="5">
        <f ca="1">SUMIFS(Movimientos!$C:$C,Movimientos!$A:$A,$B7,Movimientos!$D:$D,CONCATENATE("&lt;=",RQ$3),Movimientos!$C:$C,"&gt;0")+SUMIFS(Movimientos!$C:$C,Movimientos!$A:$A,$B7,Movimientos!$D:$D,CONCATENATE("&lt;",RQ$3),Movimientos!$C:$C,"&lt;0")</f>
        <v>0</v>
      </c>
      <c r="RR7" s="5">
        <f ca="1">SUMIFS(Movimientos!$C:$C,Movimientos!$A:$A,$B7,Movimientos!$D:$D,CONCATENATE("&lt;=",RR$3),Movimientos!$C:$C,"&gt;0")+SUMIFS(Movimientos!$C:$C,Movimientos!$A:$A,$B7,Movimientos!$D:$D,CONCATENATE("&lt;",RR$3),Movimientos!$C:$C,"&lt;0")</f>
        <v>0</v>
      </c>
      <c r="RS7" s="5">
        <f ca="1">SUMIFS(Movimientos!$C:$C,Movimientos!$A:$A,$B7,Movimientos!$D:$D,CONCATENATE("&lt;=",RS$3),Movimientos!$C:$C,"&gt;0")+SUMIFS(Movimientos!$C:$C,Movimientos!$A:$A,$B7,Movimientos!$D:$D,CONCATENATE("&lt;",RS$3),Movimientos!$C:$C,"&lt;0")</f>
        <v>0</v>
      </c>
      <c r="RT7" s="5">
        <f ca="1">SUMIFS(Movimientos!$C:$C,Movimientos!$A:$A,$B7,Movimientos!$D:$D,CONCATENATE("&lt;=",RT$3),Movimientos!$C:$C,"&gt;0")+SUMIFS(Movimientos!$C:$C,Movimientos!$A:$A,$B7,Movimientos!$D:$D,CONCATENATE("&lt;",RT$3),Movimientos!$C:$C,"&lt;0")</f>
        <v>0</v>
      </c>
      <c r="RU7" s="5">
        <f ca="1">SUMIFS(Movimientos!$C:$C,Movimientos!$A:$A,$B7,Movimientos!$D:$D,CONCATENATE("&lt;=",RU$3),Movimientos!$C:$C,"&gt;0")+SUMIFS(Movimientos!$C:$C,Movimientos!$A:$A,$B7,Movimientos!$D:$D,CONCATENATE("&lt;",RU$3),Movimientos!$C:$C,"&lt;0")</f>
        <v>0</v>
      </c>
      <c r="RV7" s="5">
        <f ca="1">SUMIFS(Movimientos!$C:$C,Movimientos!$A:$A,$B7,Movimientos!$D:$D,CONCATENATE("&lt;=",RV$3),Movimientos!$C:$C,"&gt;0")+SUMIFS(Movimientos!$C:$C,Movimientos!$A:$A,$B7,Movimientos!$D:$D,CONCATENATE("&lt;",RV$3),Movimientos!$C:$C,"&lt;0")</f>
        <v>0</v>
      </c>
      <c r="RW7" s="5">
        <f ca="1">SUMIFS(Movimientos!$C:$C,Movimientos!$A:$A,$B7,Movimientos!$D:$D,CONCATENATE("&lt;=",RW$3),Movimientos!$C:$C,"&gt;0")+SUMIFS(Movimientos!$C:$C,Movimientos!$A:$A,$B7,Movimientos!$D:$D,CONCATENATE("&lt;",RW$3),Movimientos!$C:$C,"&lt;0")</f>
        <v>0</v>
      </c>
      <c r="RX7" s="5">
        <f ca="1">SUMIFS(Movimientos!$C:$C,Movimientos!$A:$A,$B7,Movimientos!$D:$D,CONCATENATE("&lt;=",RX$3),Movimientos!$C:$C,"&gt;0")+SUMIFS(Movimientos!$C:$C,Movimientos!$A:$A,$B7,Movimientos!$D:$D,CONCATENATE("&lt;",RX$3),Movimientos!$C:$C,"&lt;0")</f>
        <v>0</v>
      </c>
      <c r="RY7" s="5">
        <f ca="1">SUMIFS(Movimientos!$C:$C,Movimientos!$A:$A,$B7,Movimientos!$D:$D,CONCATENATE("&lt;=",RY$3),Movimientos!$C:$C,"&gt;0")+SUMIFS(Movimientos!$C:$C,Movimientos!$A:$A,$B7,Movimientos!$D:$D,CONCATENATE("&lt;",RY$3),Movimientos!$C:$C,"&lt;0")</f>
        <v>0</v>
      </c>
      <c r="RZ7" s="5">
        <f ca="1">SUMIFS(Movimientos!$C:$C,Movimientos!$A:$A,$B7,Movimientos!$D:$D,CONCATENATE("&lt;=",RZ$3),Movimientos!$C:$C,"&gt;0")+SUMIFS(Movimientos!$C:$C,Movimientos!$A:$A,$B7,Movimientos!$D:$D,CONCATENATE("&lt;",RZ$3),Movimientos!$C:$C,"&lt;0")</f>
        <v>0</v>
      </c>
      <c r="SA7" s="5">
        <f ca="1">SUMIFS(Movimientos!$C:$C,Movimientos!$A:$A,$B7,Movimientos!$D:$D,CONCATENATE("&lt;=",SA$3),Movimientos!$C:$C,"&gt;0")+SUMIFS(Movimientos!$C:$C,Movimientos!$A:$A,$B7,Movimientos!$D:$D,CONCATENATE("&lt;",SA$3),Movimientos!$C:$C,"&lt;0")</f>
        <v>0</v>
      </c>
      <c r="SB7" s="5">
        <f ca="1">SUMIFS(Movimientos!$C:$C,Movimientos!$A:$A,$B7,Movimientos!$D:$D,CONCATENATE("&lt;=",SB$3),Movimientos!$C:$C,"&gt;0")+SUMIFS(Movimientos!$C:$C,Movimientos!$A:$A,$B7,Movimientos!$D:$D,CONCATENATE("&lt;",SB$3),Movimientos!$C:$C,"&lt;0")</f>
        <v>0</v>
      </c>
      <c r="SC7" s="5">
        <f ca="1">SUMIFS(Movimientos!$C:$C,Movimientos!$A:$A,$B7,Movimientos!$D:$D,CONCATENATE("&lt;=",SC$3),Movimientos!$C:$C,"&gt;0")+SUMIFS(Movimientos!$C:$C,Movimientos!$A:$A,$B7,Movimientos!$D:$D,CONCATENATE("&lt;",SC$3),Movimientos!$C:$C,"&lt;0")</f>
        <v>0</v>
      </c>
      <c r="SD7" s="5">
        <f ca="1">SUMIFS(Movimientos!$C:$C,Movimientos!$A:$A,$B7,Movimientos!$D:$D,CONCATENATE("&lt;=",SD$3),Movimientos!$C:$C,"&gt;0")+SUMIFS(Movimientos!$C:$C,Movimientos!$A:$A,$B7,Movimientos!$D:$D,CONCATENATE("&lt;",SD$3),Movimientos!$C:$C,"&lt;0")</f>
        <v>0</v>
      </c>
      <c r="SE7" s="5">
        <f ca="1">SUMIFS(Movimientos!$C:$C,Movimientos!$A:$A,$B7,Movimientos!$D:$D,CONCATENATE("&lt;=",SE$3),Movimientos!$C:$C,"&gt;0")+SUMIFS(Movimientos!$C:$C,Movimientos!$A:$A,$B7,Movimientos!$D:$D,CONCATENATE("&lt;",SE$3),Movimientos!$C:$C,"&lt;0")</f>
        <v>0</v>
      </c>
      <c r="SF7" s="5">
        <f ca="1">SUMIFS(Movimientos!$C:$C,Movimientos!$A:$A,$B7,Movimientos!$D:$D,CONCATENATE("&lt;=",SF$3),Movimientos!$C:$C,"&gt;0")+SUMIFS(Movimientos!$C:$C,Movimientos!$A:$A,$B7,Movimientos!$D:$D,CONCATENATE("&lt;",SF$3),Movimientos!$C:$C,"&lt;0")</f>
        <v>0</v>
      </c>
      <c r="SG7" s="5">
        <f ca="1">SUMIFS(Movimientos!$C:$C,Movimientos!$A:$A,$B7,Movimientos!$D:$D,CONCATENATE("&lt;=",SG$3),Movimientos!$C:$C,"&gt;0")+SUMIFS(Movimientos!$C:$C,Movimientos!$A:$A,$B7,Movimientos!$D:$D,CONCATENATE("&lt;",SG$3),Movimientos!$C:$C,"&lt;0")</f>
        <v>0</v>
      </c>
      <c r="SH7" s="5">
        <f ca="1">SUMIFS(Movimientos!$C:$C,Movimientos!$A:$A,$B7,Movimientos!$D:$D,CONCATENATE("&lt;=",SH$3),Movimientos!$C:$C,"&gt;0")+SUMIFS(Movimientos!$C:$C,Movimientos!$A:$A,$B7,Movimientos!$D:$D,CONCATENATE("&lt;",SH$3),Movimientos!$C:$C,"&lt;0")</f>
        <v>0</v>
      </c>
      <c r="SI7" s="5">
        <f ca="1">SUMIFS(Movimientos!$C:$C,Movimientos!$A:$A,$B7,Movimientos!$D:$D,CONCATENATE("&lt;=",SI$3),Movimientos!$C:$C,"&gt;0")+SUMIFS(Movimientos!$C:$C,Movimientos!$A:$A,$B7,Movimientos!$D:$D,CONCATENATE("&lt;",SI$3),Movimientos!$C:$C,"&lt;0")</f>
        <v>0</v>
      </c>
      <c r="SJ7" s="5">
        <f ca="1">SUMIFS(Movimientos!$C:$C,Movimientos!$A:$A,$B7,Movimientos!$D:$D,CONCATENATE("&lt;=",SJ$3),Movimientos!$C:$C,"&gt;0")+SUMIFS(Movimientos!$C:$C,Movimientos!$A:$A,$B7,Movimientos!$D:$D,CONCATENATE("&lt;",SJ$3),Movimientos!$C:$C,"&lt;0")</f>
        <v>0</v>
      </c>
      <c r="SK7" s="5">
        <f ca="1">SUMIFS(Movimientos!$C:$C,Movimientos!$A:$A,$B7,Movimientos!$D:$D,CONCATENATE("&lt;=",SK$3),Movimientos!$C:$C,"&gt;0")+SUMIFS(Movimientos!$C:$C,Movimientos!$A:$A,$B7,Movimientos!$D:$D,CONCATENATE("&lt;",SK$3),Movimientos!$C:$C,"&lt;0")</f>
        <v>0</v>
      </c>
      <c r="SL7" s="5">
        <f ca="1">SUMIFS(Movimientos!$C:$C,Movimientos!$A:$A,$B7,Movimientos!$D:$D,CONCATENATE("&lt;=",SL$3),Movimientos!$C:$C,"&gt;0")+SUMIFS(Movimientos!$C:$C,Movimientos!$A:$A,$B7,Movimientos!$D:$D,CONCATENATE("&lt;",SL$3),Movimientos!$C:$C,"&lt;0")</f>
        <v>0</v>
      </c>
      <c r="SM7" s="5">
        <f ca="1">SUMIFS(Movimientos!$C:$C,Movimientos!$A:$A,$B7,Movimientos!$D:$D,CONCATENATE("&lt;=",SM$3),Movimientos!$C:$C,"&gt;0")+SUMIFS(Movimientos!$C:$C,Movimientos!$A:$A,$B7,Movimientos!$D:$D,CONCATENATE("&lt;",SM$3),Movimientos!$C:$C,"&lt;0")</f>
        <v>0</v>
      </c>
      <c r="SN7" s="5">
        <f ca="1">SUMIFS(Movimientos!$C:$C,Movimientos!$A:$A,$B7,Movimientos!$D:$D,CONCATENATE("&lt;=",SN$3),Movimientos!$C:$C,"&gt;0")+SUMIFS(Movimientos!$C:$C,Movimientos!$A:$A,$B7,Movimientos!$D:$D,CONCATENATE("&lt;",SN$3),Movimientos!$C:$C,"&lt;0")</f>
        <v>0</v>
      </c>
      <c r="SO7" s="5">
        <f ca="1">SUMIFS(Movimientos!$C:$C,Movimientos!$A:$A,$B7,Movimientos!$D:$D,CONCATENATE("&lt;=",SO$3),Movimientos!$C:$C,"&gt;0")+SUMIFS(Movimientos!$C:$C,Movimientos!$A:$A,$B7,Movimientos!$D:$D,CONCATENATE("&lt;",SO$3),Movimientos!$C:$C,"&lt;0")</f>
        <v>0</v>
      </c>
      <c r="SP7" s="5">
        <f ca="1">SUMIFS(Movimientos!$C:$C,Movimientos!$A:$A,$B7,Movimientos!$D:$D,CONCATENATE("&lt;=",SP$3),Movimientos!$C:$C,"&gt;0")+SUMIFS(Movimientos!$C:$C,Movimientos!$A:$A,$B7,Movimientos!$D:$D,CONCATENATE("&lt;",SP$3),Movimientos!$C:$C,"&lt;0")</f>
        <v>0</v>
      </c>
      <c r="SQ7" s="5">
        <f ca="1">SUMIFS(Movimientos!$C:$C,Movimientos!$A:$A,$B7,Movimientos!$D:$D,CONCATENATE("&lt;=",SQ$3),Movimientos!$C:$C,"&gt;0")+SUMIFS(Movimientos!$C:$C,Movimientos!$A:$A,$B7,Movimientos!$D:$D,CONCATENATE("&lt;",SQ$3),Movimientos!$C:$C,"&lt;0")</f>
        <v>0</v>
      </c>
      <c r="SR7" s="5">
        <f ca="1">SUMIFS(Movimientos!$C:$C,Movimientos!$A:$A,$B7,Movimientos!$D:$D,CONCATENATE("&lt;=",SR$3),Movimientos!$C:$C,"&gt;0")+SUMIFS(Movimientos!$C:$C,Movimientos!$A:$A,$B7,Movimientos!$D:$D,CONCATENATE("&lt;",SR$3),Movimientos!$C:$C,"&lt;0")</f>
        <v>0</v>
      </c>
      <c r="SS7" s="5">
        <f ca="1">SUMIFS(Movimientos!$C:$C,Movimientos!$A:$A,$B7,Movimientos!$D:$D,CONCATENATE("&lt;=",SS$3),Movimientos!$C:$C,"&gt;0")+SUMIFS(Movimientos!$C:$C,Movimientos!$A:$A,$B7,Movimientos!$D:$D,CONCATENATE("&lt;",SS$3),Movimientos!$C:$C,"&lt;0")</f>
        <v>0</v>
      </c>
      <c r="ST7" s="5">
        <f ca="1">SUMIFS(Movimientos!$C:$C,Movimientos!$A:$A,$B7,Movimientos!$D:$D,CONCATENATE("&lt;=",ST$3),Movimientos!$C:$C,"&gt;0")+SUMIFS(Movimientos!$C:$C,Movimientos!$A:$A,$B7,Movimientos!$D:$D,CONCATENATE("&lt;",ST$3),Movimientos!$C:$C,"&lt;0")</f>
        <v>0</v>
      </c>
      <c r="SU7" s="5">
        <f ca="1">SUMIFS(Movimientos!$C:$C,Movimientos!$A:$A,$B7,Movimientos!$D:$D,CONCATENATE("&lt;=",SU$3),Movimientos!$C:$C,"&gt;0")+SUMIFS(Movimientos!$C:$C,Movimientos!$A:$A,$B7,Movimientos!$D:$D,CONCATENATE("&lt;",SU$3),Movimientos!$C:$C,"&lt;0")</f>
        <v>0</v>
      </c>
      <c r="SV7" s="5">
        <f ca="1">SUMIFS(Movimientos!$C:$C,Movimientos!$A:$A,$B7,Movimientos!$D:$D,CONCATENATE("&lt;=",SV$3),Movimientos!$C:$C,"&gt;0")+SUMIFS(Movimientos!$C:$C,Movimientos!$A:$A,$B7,Movimientos!$D:$D,CONCATENATE("&lt;",SV$3),Movimientos!$C:$C,"&lt;0")</f>
        <v>0</v>
      </c>
      <c r="SW7" s="5">
        <f ca="1">SUMIFS(Movimientos!$C:$C,Movimientos!$A:$A,$B7,Movimientos!$D:$D,CONCATENATE("&lt;=",SW$3),Movimientos!$C:$C,"&gt;0")+SUMIFS(Movimientos!$C:$C,Movimientos!$A:$A,$B7,Movimientos!$D:$D,CONCATENATE("&lt;",SW$3),Movimientos!$C:$C,"&lt;0")</f>
        <v>0</v>
      </c>
      <c r="SX7" s="5">
        <f ca="1">SUMIFS(Movimientos!$C:$C,Movimientos!$A:$A,$B7,Movimientos!$D:$D,CONCATENATE("&lt;=",SX$3),Movimientos!$C:$C,"&gt;0")+SUMIFS(Movimientos!$C:$C,Movimientos!$A:$A,$B7,Movimientos!$D:$D,CONCATENATE("&lt;",SX$3),Movimientos!$C:$C,"&lt;0")</f>
        <v>0</v>
      </c>
      <c r="SY7" s="5">
        <f ca="1">SUMIFS(Movimientos!$C:$C,Movimientos!$A:$A,$B7,Movimientos!$D:$D,CONCATENATE("&lt;=",SY$3),Movimientos!$C:$C,"&gt;0")+SUMIFS(Movimientos!$C:$C,Movimientos!$A:$A,$B7,Movimientos!$D:$D,CONCATENATE("&lt;",SY$3),Movimientos!$C:$C,"&lt;0")</f>
        <v>0</v>
      </c>
      <c r="SZ7" s="5">
        <f ca="1">SUMIFS(Movimientos!$C:$C,Movimientos!$A:$A,$B7,Movimientos!$D:$D,CONCATENATE("&lt;=",SZ$3),Movimientos!$C:$C,"&gt;0")+SUMIFS(Movimientos!$C:$C,Movimientos!$A:$A,$B7,Movimientos!$D:$D,CONCATENATE("&lt;",SZ$3),Movimientos!$C:$C,"&lt;0")</f>
        <v>0</v>
      </c>
      <c r="TA7" s="5">
        <f ca="1">SUMIFS(Movimientos!$C:$C,Movimientos!$A:$A,$B7,Movimientos!$D:$D,CONCATENATE("&lt;=",TA$3),Movimientos!$C:$C,"&gt;0")+SUMIFS(Movimientos!$C:$C,Movimientos!$A:$A,$B7,Movimientos!$D:$D,CONCATENATE("&lt;",TA$3),Movimientos!$C:$C,"&lt;0")</f>
        <v>0</v>
      </c>
      <c r="TB7" s="5">
        <f ca="1">SUMIFS(Movimientos!$C:$C,Movimientos!$A:$A,$B7,Movimientos!$D:$D,CONCATENATE("&lt;=",TB$3),Movimientos!$C:$C,"&gt;0")+SUMIFS(Movimientos!$C:$C,Movimientos!$A:$A,$B7,Movimientos!$D:$D,CONCATENATE("&lt;",TB$3),Movimientos!$C:$C,"&lt;0")</f>
        <v>0</v>
      </c>
      <c r="TC7" s="5">
        <f ca="1">SUMIFS(Movimientos!$C:$C,Movimientos!$A:$A,$B7,Movimientos!$D:$D,CONCATENATE("&lt;=",TC$3),Movimientos!$C:$C,"&gt;0")+SUMIFS(Movimientos!$C:$C,Movimientos!$A:$A,$B7,Movimientos!$D:$D,CONCATENATE("&lt;",TC$3),Movimientos!$C:$C,"&lt;0")</f>
        <v>0</v>
      </c>
      <c r="TD7" s="5">
        <f ca="1">SUMIFS(Movimientos!$C:$C,Movimientos!$A:$A,$B7,Movimientos!$D:$D,CONCATENATE("&lt;=",TD$3),Movimientos!$C:$C,"&gt;0")+SUMIFS(Movimientos!$C:$C,Movimientos!$A:$A,$B7,Movimientos!$D:$D,CONCATENATE("&lt;",TD$3),Movimientos!$C:$C,"&lt;0")</f>
        <v>0</v>
      </c>
      <c r="TE7" s="5">
        <f ca="1">SUMIFS(Movimientos!$C:$C,Movimientos!$A:$A,$B7,Movimientos!$D:$D,CONCATENATE("&lt;=",TE$3),Movimientos!$C:$C,"&gt;0")+SUMIFS(Movimientos!$C:$C,Movimientos!$A:$A,$B7,Movimientos!$D:$D,CONCATENATE("&lt;",TE$3),Movimientos!$C:$C,"&lt;0")</f>
        <v>0</v>
      </c>
      <c r="TF7" s="5">
        <f ca="1">SUMIFS(Movimientos!$C:$C,Movimientos!$A:$A,$B7,Movimientos!$D:$D,CONCATENATE("&lt;=",TF$3),Movimientos!$C:$C,"&gt;0")+SUMIFS(Movimientos!$C:$C,Movimientos!$A:$A,$B7,Movimientos!$D:$D,CONCATENATE("&lt;",TF$3),Movimientos!$C:$C,"&lt;0")</f>
        <v>0</v>
      </c>
    </row>
    <row r="8" spans="1:526">
      <c r="A8" s="31" t="s">
        <v>48</v>
      </c>
      <c r="B8" s="4">
        <f>Cartera!B8</f>
        <v>0</v>
      </c>
      <c r="C8" s="4">
        <f>Cartera!C8</f>
        <v>0</v>
      </c>
      <c r="D8" s="5">
        <f ca="1">SUMIFS(Movimientos!$C:$C,Movimientos!$A:$A,$B8,Movimientos!$D:$D,CONCATENATE("&lt;=",D$3),Movimientos!$C:$C,"&gt;0")+SUMIFS(Movimientos!$C:$C,Movimientos!$A:$A,$B8,Movimientos!$D:$D,CONCATENATE("&lt;",D$3),Movimientos!$C:$C,"&lt;0")</f>
        <v>0</v>
      </c>
      <c r="E8" s="5">
        <f ca="1">SUMIFS(Movimientos!$C:$C,Movimientos!$A:$A,$B8,Movimientos!$D:$D,CONCATENATE("&lt;=",E$3),Movimientos!$C:$C,"&gt;0")+SUMIFS(Movimientos!$C:$C,Movimientos!$A:$A,$B8,Movimientos!$D:$D,CONCATENATE("&lt;",E$3),Movimientos!$C:$C,"&lt;0")</f>
        <v>0</v>
      </c>
      <c r="F8" s="5">
        <f ca="1">SUMIFS(Movimientos!$C:$C,Movimientos!$A:$A,$B8,Movimientos!$D:$D,CONCATENATE("&lt;=",F$3),Movimientos!$C:$C,"&gt;0")+SUMIFS(Movimientos!$C:$C,Movimientos!$A:$A,$B8,Movimientos!$D:$D,CONCATENATE("&lt;",F$3),Movimientos!$C:$C,"&lt;0")</f>
        <v>0</v>
      </c>
      <c r="G8" s="5">
        <f ca="1">SUMIFS(Movimientos!$C:$C,Movimientos!$A:$A,$B8,Movimientos!$D:$D,CONCATENATE("&lt;=",G$3),Movimientos!$C:$C,"&gt;0")+SUMIFS(Movimientos!$C:$C,Movimientos!$A:$A,$B8,Movimientos!$D:$D,CONCATENATE("&lt;",G$3),Movimientos!$C:$C,"&lt;0")</f>
        <v>0</v>
      </c>
      <c r="H8" s="5">
        <f ca="1">SUMIFS(Movimientos!$C:$C,Movimientos!$A:$A,$B8,Movimientos!$D:$D,CONCATENATE("&lt;=",H$3),Movimientos!$C:$C,"&gt;0")+SUMIFS(Movimientos!$C:$C,Movimientos!$A:$A,$B8,Movimientos!$D:$D,CONCATENATE("&lt;",H$3),Movimientos!$C:$C,"&lt;0")</f>
        <v>0</v>
      </c>
      <c r="I8" s="5">
        <f ca="1">SUMIFS(Movimientos!$C:$C,Movimientos!$A:$A,$B8,Movimientos!$D:$D,CONCATENATE("&lt;=",I$3),Movimientos!$C:$C,"&gt;0")+SUMIFS(Movimientos!$C:$C,Movimientos!$A:$A,$B8,Movimientos!$D:$D,CONCATENATE("&lt;",I$3),Movimientos!$C:$C,"&lt;0")</f>
        <v>0</v>
      </c>
      <c r="J8" s="5">
        <f ca="1">SUMIFS(Movimientos!$C:$C,Movimientos!$A:$A,$B8,Movimientos!$D:$D,CONCATENATE("&lt;=",J$3),Movimientos!$C:$C,"&gt;0")+SUMIFS(Movimientos!$C:$C,Movimientos!$A:$A,$B8,Movimientos!$D:$D,CONCATENATE("&lt;",J$3),Movimientos!$C:$C,"&lt;0")</f>
        <v>0</v>
      </c>
      <c r="K8" s="5">
        <f ca="1">SUMIFS(Movimientos!$C:$C,Movimientos!$A:$A,$B8,Movimientos!$D:$D,CONCATENATE("&lt;=",K$3),Movimientos!$C:$C,"&gt;0")+SUMIFS(Movimientos!$C:$C,Movimientos!$A:$A,$B8,Movimientos!$D:$D,CONCATENATE("&lt;",K$3),Movimientos!$C:$C,"&lt;0")</f>
        <v>0</v>
      </c>
      <c r="L8" s="5">
        <f ca="1">SUMIFS(Movimientos!$C:$C,Movimientos!$A:$A,$B8,Movimientos!$D:$D,CONCATENATE("&lt;=",L$3),Movimientos!$C:$C,"&gt;0")+SUMIFS(Movimientos!$C:$C,Movimientos!$A:$A,$B8,Movimientos!$D:$D,CONCATENATE("&lt;",L$3),Movimientos!$C:$C,"&lt;0")</f>
        <v>0</v>
      </c>
      <c r="M8" s="5">
        <f ca="1">SUMIFS(Movimientos!$C:$C,Movimientos!$A:$A,$B8,Movimientos!$D:$D,CONCATENATE("&lt;=",M$3),Movimientos!$C:$C,"&gt;0")+SUMIFS(Movimientos!$C:$C,Movimientos!$A:$A,$B8,Movimientos!$D:$D,CONCATENATE("&lt;",M$3),Movimientos!$C:$C,"&lt;0")</f>
        <v>0</v>
      </c>
      <c r="N8" s="5">
        <f ca="1">SUMIFS(Movimientos!$C:$C,Movimientos!$A:$A,$B8,Movimientos!$D:$D,CONCATENATE("&lt;=",N$3),Movimientos!$C:$C,"&gt;0")+SUMIFS(Movimientos!$C:$C,Movimientos!$A:$A,$B8,Movimientos!$D:$D,CONCATENATE("&lt;",N$3),Movimientos!$C:$C,"&lt;0")</f>
        <v>0</v>
      </c>
      <c r="O8" s="5">
        <f ca="1">SUMIFS(Movimientos!$C:$C,Movimientos!$A:$A,$B8,Movimientos!$D:$D,CONCATENATE("&lt;=",O$3),Movimientos!$C:$C,"&gt;0")+SUMIFS(Movimientos!$C:$C,Movimientos!$A:$A,$B8,Movimientos!$D:$D,CONCATENATE("&lt;",O$3),Movimientos!$C:$C,"&lt;0")</f>
        <v>0</v>
      </c>
      <c r="P8" s="5">
        <f ca="1">SUMIFS(Movimientos!$C:$C,Movimientos!$A:$A,$B8,Movimientos!$D:$D,CONCATENATE("&lt;=",P$3),Movimientos!$C:$C,"&gt;0")+SUMIFS(Movimientos!$C:$C,Movimientos!$A:$A,$B8,Movimientos!$D:$D,CONCATENATE("&lt;",P$3),Movimientos!$C:$C,"&lt;0")</f>
        <v>0</v>
      </c>
      <c r="Q8" s="5">
        <f ca="1">SUMIFS(Movimientos!$C:$C,Movimientos!$A:$A,$B8,Movimientos!$D:$D,CONCATENATE("&lt;=",Q$3),Movimientos!$C:$C,"&gt;0")+SUMIFS(Movimientos!$C:$C,Movimientos!$A:$A,$B8,Movimientos!$D:$D,CONCATENATE("&lt;",Q$3),Movimientos!$C:$C,"&lt;0")</f>
        <v>0</v>
      </c>
      <c r="R8" s="5">
        <f ca="1">SUMIFS(Movimientos!$C:$C,Movimientos!$A:$A,$B8,Movimientos!$D:$D,CONCATENATE("&lt;=",R$3),Movimientos!$C:$C,"&gt;0")+SUMIFS(Movimientos!$C:$C,Movimientos!$A:$A,$B8,Movimientos!$D:$D,CONCATENATE("&lt;",R$3),Movimientos!$C:$C,"&lt;0")</f>
        <v>0</v>
      </c>
      <c r="S8" s="5">
        <f ca="1">SUMIFS(Movimientos!$C:$C,Movimientos!$A:$A,$B8,Movimientos!$D:$D,CONCATENATE("&lt;=",S$3),Movimientos!$C:$C,"&gt;0")+SUMIFS(Movimientos!$C:$C,Movimientos!$A:$A,$B8,Movimientos!$D:$D,CONCATENATE("&lt;",S$3),Movimientos!$C:$C,"&lt;0")</f>
        <v>0</v>
      </c>
      <c r="T8" s="5">
        <f ca="1">SUMIFS(Movimientos!$C:$C,Movimientos!$A:$A,$B8,Movimientos!$D:$D,CONCATENATE("&lt;=",T$3),Movimientos!$C:$C,"&gt;0")+SUMIFS(Movimientos!$C:$C,Movimientos!$A:$A,$B8,Movimientos!$D:$D,CONCATENATE("&lt;",T$3),Movimientos!$C:$C,"&lt;0")</f>
        <v>0</v>
      </c>
      <c r="U8" s="5">
        <f ca="1">SUMIFS(Movimientos!$C:$C,Movimientos!$A:$A,$B8,Movimientos!$D:$D,CONCATENATE("&lt;=",U$3),Movimientos!$C:$C,"&gt;0")+SUMIFS(Movimientos!$C:$C,Movimientos!$A:$A,$B8,Movimientos!$D:$D,CONCATENATE("&lt;",U$3),Movimientos!$C:$C,"&lt;0")</f>
        <v>0</v>
      </c>
      <c r="V8" s="5">
        <f ca="1">SUMIFS(Movimientos!$C:$C,Movimientos!$A:$A,$B8,Movimientos!$D:$D,CONCATENATE("&lt;=",V$3),Movimientos!$C:$C,"&gt;0")+SUMIFS(Movimientos!$C:$C,Movimientos!$A:$A,$B8,Movimientos!$D:$D,CONCATENATE("&lt;",V$3),Movimientos!$C:$C,"&lt;0")</f>
        <v>0</v>
      </c>
      <c r="W8" s="5">
        <f ca="1">SUMIFS(Movimientos!$C:$C,Movimientos!$A:$A,$B8,Movimientos!$D:$D,CONCATENATE("&lt;=",W$3),Movimientos!$C:$C,"&gt;0")+SUMIFS(Movimientos!$C:$C,Movimientos!$A:$A,$B8,Movimientos!$D:$D,CONCATENATE("&lt;",W$3),Movimientos!$C:$C,"&lt;0")</f>
        <v>0</v>
      </c>
      <c r="X8" s="5">
        <f ca="1">SUMIFS(Movimientos!$C:$C,Movimientos!$A:$A,$B8,Movimientos!$D:$D,CONCATENATE("&lt;=",X$3),Movimientos!$C:$C,"&gt;0")+SUMIFS(Movimientos!$C:$C,Movimientos!$A:$A,$B8,Movimientos!$D:$D,CONCATENATE("&lt;",X$3),Movimientos!$C:$C,"&lt;0")</f>
        <v>0</v>
      </c>
      <c r="Y8" s="5">
        <f ca="1">SUMIFS(Movimientos!$C:$C,Movimientos!$A:$A,$B8,Movimientos!$D:$D,CONCATENATE("&lt;=",Y$3),Movimientos!$C:$C,"&gt;0")+SUMIFS(Movimientos!$C:$C,Movimientos!$A:$A,$B8,Movimientos!$D:$D,CONCATENATE("&lt;",Y$3),Movimientos!$C:$C,"&lt;0")</f>
        <v>0</v>
      </c>
      <c r="Z8" s="5">
        <f ca="1">SUMIFS(Movimientos!$C:$C,Movimientos!$A:$A,$B8,Movimientos!$D:$D,CONCATENATE("&lt;=",Z$3),Movimientos!$C:$C,"&gt;0")+SUMIFS(Movimientos!$C:$C,Movimientos!$A:$A,$B8,Movimientos!$D:$D,CONCATENATE("&lt;",Z$3),Movimientos!$C:$C,"&lt;0")</f>
        <v>0</v>
      </c>
      <c r="AA8" s="5">
        <f ca="1">SUMIFS(Movimientos!$C:$C,Movimientos!$A:$A,$B8,Movimientos!$D:$D,CONCATENATE("&lt;=",AA$3),Movimientos!$C:$C,"&gt;0")+SUMIFS(Movimientos!$C:$C,Movimientos!$A:$A,$B8,Movimientos!$D:$D,CONCATENATE("&lt;",AA$3),Movimientos!$C:$C,"&lt;0")</f>
        <v>0</v>
      </c>
      <c r="AB8" s="5">
        <f ca="1">SUMIFS(Movimientos!$C:$C,Movimientos!$A:$A,$B8,Movimientos!$D:$D,CONCATENATE("&lt;=",AB$3),Movimientos!$C:$C,"&gt;0")+SUMIFS(Movimientos!$C:$C,Movimientos!$A:$A,$B8,Movimientos!$D:$D,CONCATENATE("&lt;",AB$3),Movimientos!$C:$C,"&lt;0")</f>
        <v>0</v>
      </c>
      <c r="AC8" s="5">
        <f ca="1">SUMIFS(Movimientos!$C:$C,Movimientos!$A:$A,$B8,Movimientos!$D:$D,CONCATENATE("&lt;=",AC$3),Movimientos!$C:$C,"&gt;0")+SUMIFS(Movimientos!$C:$C,Movimientos!$A:$A,$B8,Movimientos!$D:$D,CONCATENATE("&lt;",AC$3),Movimientos!$C:$C,"&lt;0")</f>
        <v>0</v>
      </c>
      <c r="AD8" s="5">
        <f ca="1">SUMIFS(Movimientos!$C:$C,Movimientos!$A:$A,$B8,Movimientos!$D:$D,CONCATENATE("&lt;=",AD$3),Movimientos!$C:$C,"&gt;0")+SUMIFS(Movimientos!$C:$C,Movimientos!$A:$A,$B8,Movimientos!$D:$D,CONCATENATE("&lt;",AD$3),Movimientos!$C:$C,"&lt;0")</f>
        <v>0</v>
      </c>
      <c r="AE8" s="5">
        <f ca="1">SUMIFS(Movimientos!$C:$C,Movimientos!$A:$A,$B8,Movimientos!$D:$D,CONCATENATE("&lt;=",AE$3),Movimientos!$C:$C,"&gt;0")+SUMIFS(Movimientos!$C:$C,Movimientos!$A:$A,$B8,Movimientos!$D:$D,CONCATENATE("&lt;",AE$3),Movimientos!$C:$C,"&lt;0")</f>
        <v>0</v>
      </c>
      <c r="AF8" s="5">
        <f ca="1">SUMIFS(Movimientos!$C:$C,Movimientos!$A:$A,$B8,Movimientos!$D:$D,CONCATENATE("&lt;=",AF$3),Movimientos!$C:$C,"&gt;0")+SUMIFS(Movimientos!$C:$C,Movimientos!$A:$A,$B8,Movimientos!$D:$D,CONCATENATE("&lt;",AF$3),Movimientos!$C:$C,"&lt;0")</f>
        <v>0</v>
      </c>
      <c r="AG8" s="5">
        <f ca="1">SUMIFS(Movimientos!$C:$C,Movimientos!$A:$A,$B8,Movimientos!$D:$D,CONCATENATE("&lt;=",AG$3),Movimientos!$C:$C,"&gt;0")+SUMIFS(Movimientos!$C:$C,Movimientos!$A:$A,$B8,Movimientos!$D:$D,CONCATENATE("&lt;",AG$3),Movimientos!$C:$C,"&lt;0")</f>
        <v>0</v>
      </c>
      <c r="AH8" s="5">
        <f ca="1">SUMIFS(Movimientos!$C:$C,Movimientos!$A:$A,$B8,Movimientos!$D:$D,CONCATENATE("&lt;=",AH$3),Movimientos!$C:$C,"&gt;0")+SUMIFS(Movimientos!$C:$C,Movimientos!$A:$A,$B8,Movimientos!$D:$D,CONCATENATE("&lt;",AH$3),Movimientos!$C:$C,"&lt;0")</f>
        <v>0</v>
      </c>
      <c r="AI8" s="5">
        <f ca="1">SUMIFS(Movimientos!$C:$C,Movimientos!$A:$A,$B8,Movimientos!$D:$D,CONCATENATE("&lt;=",AI$3),Movimientos!$C:$C,"&gt;0")+SUMIFS(Movimientos!$C:$C,Movimientos!$A:$A,$B8,Movimientos!$D:$D,CONCATENATE("&lt;",AI$3),Movimientos!$C:$C,"&lt;0")</f>
        <v>0</v>
      </c>
      <c r="AJ8" s="5">
        <f ca="1">SUMIFS(Movimientos!$C:$C,Movimientos!$A:$A,$B8,Movimientos!$D:$D,CONCATENATE("&lt;=",AJ$3),Movimientos!$C:$C,"&gt;0")+SUMIFS(Movimientos!$C:$C,Movimientos!$A:$A,$B8,Movimientos!$D:$D,CONCATENATE("&lt;",AJ$3),Movimientos!$C:$C,"&lt;0")</f>
        <v>0</v>
      </c>
      <c r="AK8" s="5">
        <f ca="1">SUMIFS(Movimientos!$C:$C,Movimientos!$A:$A,$B8,Movimientos!$D:$D,CONCATENATE("&lt;=",AK$3),Movimientos!$C:$C,"&gt;0")+SUMIFS(Movimientos!$C:$C,Movimientos!$A:$A,$B8,Movimientos!$D:$D,CONCATENATE("&lt;",AK$3),Movimientos!$C:$C,"&lt;0")</f>
        <v>0</v>
      </c>
      <c r="AL8" s="5">
        <f ca="1">SUMIFS(Movimientos!$C:$C,Movimientos!$A:$A,$B8,Movimientos!$D:$D,CONCATENATE("&lt;=",AL$3),Movimientos!$C:$C,"&gt;0")+SUMIFS(Movimientos!$C:$C,Movimientos!$A:$A,$B8,Movimientos!$D:$D,CONCATENATE("&lt;",AL$3),Movimientos!$C:$C,"&lt;0")</f>
        <v>0</v>
      </c>
      <c r="AM8" s="5">
        <f ca="1">SUMIFS(Movimientos!$C:$C,Movimientos!$A:$A,$B8,Movimientos!$D:$D,CONCATENATE("&lt;=",AM$3),Movimientos!$C:$C,"&gt;0")+SUMIFS(Movimientos!$C:$C,Movimientos!$A:$A,$B8,Movimientos!$D:$D,CONCATENATE("&lt;",AM$3),Movimientos!$C:$C,"&lt;0")</f>
        <v>0</v>
      </c>
      <c r="AN8" s="5">
        <f ca="1">SUMIFS(Movimientos!$C:$C,Movimientos!$A:$A,$B8,Movimientos!$D:$D,CONCATENATE("&lt;=",AN$3),Movimientos!$C:$C,"&gt;0")+SUMIFS(Movimientos!$C:$C,Movimientos!$A:$A,$B8,Movimientos!$D:$D,CONCATENATE("&lt;",AN$3),Movimientos!$C:$C,"&lt;0")</f>
        <v>0</v>
      </c>
      <c r="AO8" s="5">
        <f ca="1">SUMIFS(Movimientos!$C:$C,Movimientos!$A:$A,$B8,Movimientos!$D:$D,CONCATENATE("&lt;=",AO$3),Movimientos!$C:$C,"&gt;0")+SUMIFS(Movimientos!$C:$C,Movimientos!$A:$A,$B8,Movimientos!$D:$D,CONCATENATE("&lt;",AO$3),Movimientos!$C:$C,"&lt;0")</f>
        <v>0</v>
      </c>
      <c r="AP8" s="5">
        <f ca="1">SUMIFS(Movimientos!$C:$C,Movimientos!$A:$A,$B8,Movimientos!$D:$D,CONCATENATE("&lt;=",AP$3),Movimientos!$C:$C,"&gt;0")+SUMIFS(Movimientos!$C:$C,Movimientos!$A:$A,$B8,Movimientos!$D:$D,CONCATENATE("&lt;",AP$3),Movimientos!$C:$C,"&lt;0")</f>
        <v>0</v>
      </c>
      <c r="AQ8" s="5">
        <f ca="1">SUMIFS(Movimientos!$C:$C,Movimientos!$A:$A,$B8,Movimientos!$D:$D,CONCATENATE("&lt;=",AQ$3),Movimientos!$C:$C,"&gt;0")+SUMIFS(Movimientos!$C:$C,Movimientos!$A:$A,$B8,Movimientos!$D:$D,CONCATENATE("&lt;",AQ$3),Movimientos!$C:$C,"&lt;0")</f>
        <v>0</v>
      </c>
      <c r="AR8" s="5">
        <f ca="1">SUMIFS(Movimientos!$C:$C,Movimientos!$A:$A,$B8,Movimientos!$D:$D,CONCATENATE("&lt;=",AR$3),Movimientos!$C:$C,"&gt;0")+SUMIFS(Movimientos!$C:$C,Movimientos!$A:$A,$B8,Movimientos!$D:$D,CONCATENATE("&lt;",AR$3),Movimientos!$C:$C,"&lt;0")</f>
        <v>0</v>
      </c>
      <c r="AS8" s="5">
        <f ca="1">SUMIFS(Movimientos!$C:$C,Movimientos!$A:$A,$B8,Movimientos!$D:$D,CONCATENATE("&lt;=",AS$3),Movimientos!$C:$C,"&gt;0")+SUMIFS(Movimientos!$C:$C,Movimientos!$A:$A,$B8,Movimientos!$D:$D,CONCATENATE("&lt;",AS$3),Movimientos!$C:$C,"&lt;0")</f>
        <v>0</v>
      </c>
      <c r="AT8" s="5">
        <f ca="1">SUMIFS(Movimientos!$C:$C,Movimientos!$A:$A,$B8,Movimientos!$D:$D,CONCATENATE("&lt;=",AT$3),Movimientos!$C:$C,"&gt;0")+SUMIFS(Movimientos!$C:$C,Movimientos!$A:$A,$B8,Movimientos!$D:$D,CONCATENATE("&lt;",AT$3),Movimientos!$C:$C,"&lt;0")</f>
        <v>0</v>
      </c>
      <c r="AU8" s="5">
        <f ca="1">SUMIFS(Movimientos!$C:$C,Movimientos!$A:$A,$B8,Movimientos!$D:$D,CONCATENATE("&lt;=",AU$3),Movimientos!$C:$C,"&gt;0")+SUMIFS(Movimientos!$C:$C,Movimientos!$A:$A,$B8,Movimientos!$D:$D,CONCATENATE("&lt;",AU$3),Movimientos!$C:$C,"&lt;0")</f>
        <v>0</v>
      </c>
      <c r="AV8" s="5">
        <f ca="1">SUMIFS(Movimientos!$C:$C,Movimientos!$A:$A,$B8,Movimientos!$D:$D,CONCATENATE("&lt;=",AV$3),Movimientos!$C:$C,"&gt;0")+SUMIFS(Movimientos!$C:$C,Movimientos!$A:$A,$B8,Movimientos!$D:$D,CONCATENATE("&lt;",AV$3),Movimientos!$C:$C,"&lt;0")</f>
        <v>0</v>
      </c>
      <c r="AW8" s="5">
        <f ca="1">SUMIFS(Movimientos!$C:$C,Movimientos!$A:$A,$B8,Movimientos!$D:$D,CONCATENATE("&lt;=",AW$3),Movimientos!$C:$C,"&gt;0")+SUMIFS(Movimientos!$C:$C,Movimientos!$A:$A,$B8,Movimientos!$D:$D,CONCATENATE("&lt;",AW$3),Movimientos!$C:$C,"&lt;0")</f>
        <v>0</v>
      </c>
      <c r="AX8" s="5">
        <f ca="1">SUMIFS(Movimientos!$C:$C,Movimientos!$A:$A,$B8,Movimientos!$D:$D,CONCATENATE("&lt;=",AX$3),Movimientos!$C:$C,"&gt;0")+SUMIFS(Movimientos!$C:$C,Movimientos!$A:$A,$B8,Movimientos!$D:$D,CONCATENATE("&lt;",AX$3),Movimientos!$C:$C,"&lt;0")</f>
        <v>0</v>
      </c>
      <c r="AY8" s="5">
        <f ca="1">SUMIFS(Movimientos!$C:$C,Movimientos!$A:$A,$B8,Movimientos!$D:$D,CONCATENATE("&lt;=",AY$3),Movimientos!$C:$C,"&gt;0")+SUMIFS(Movimientos!$C:$C,Movimientos!$A:$A,$B8,Movimientos!$D:$D,CONCATENATE("&lt;",AY$3),Movimientos!$C:$C,"&lt;0")</f>
        <v>0</v>
      </c>
      <c r="AZ8" s="5">
        <f ca="1">SUMIFS(Movimientos!$C:$C,Movimientos!$A:$A,$B8,Movimientos!$D:$D,CONCATENATE("&lt;=",AZ$3),Movimientos!$C:$C,"&gt;0")+SUMIFS(Movimientos!$C:$C,Movimientos!$A:$A,$B8,Movimientos!$D:$D,CONCATENATE("&lt;",AZ$3),Movimientos!$C:$C,"&lt;0")</f>
        <v>0</v>
      </c>
      <c r="BA8" s="5">
        <f ca="1">SUMIFS(Movimientos!$C:$C,Movimientos!$A:$A,$B8,Movimientos!$D:$D,CONCATENATE("&lt;=",BA$3),Movimientos!$C:$C,"&gt;0")+SUMIFS(Movimientos!$C:$C,Movimientos!$A:$A,$B8,Movimientos!$D:$D,CONCATENATE("&lt;",BA$3),Movimientos!$C:$C,"&lt;0")</f>
        <v>0</v>
      </c>
      <c r="BB8" s="5">
        <f ca="1">SUMIFS(Movimientos!$C:$C,Movimientos!$A:$A,$B8,Movimientos!$D:$D,CONCATENATE("&lt;=",BB$3),Movimientos!$C:$C,"&gt;0")+SUMIFS(Movimientos!$C:$C,Movimientos!$A:$A,$B8,Movimientos!$D:$D,CONCATENATE("&lt;",BB$3),Movimientos!$C:$C,"&lt;0")</f>
        <v>0</v>
      </c>
      <c r="BC8" s="5">
        <f ca="1">SUMIFS(Movimientos!$C:$C,Movimientos!$A:$A,$B8,Movimientos!$D:$D,CONCATENATE("&lt;=",BC$3),Movimientos!$C:$C,"&gt;0")+SUMIFS(Movimientos!$C:$C,Movimientos!$A:$A,$B8,Movimientos!$D:$D,CONCATENATE("&lt;",BC$3),Movimientos!$C:$C,"&lt;0")</f>
        <v>0</v>
      </c>
      <c r="BD8" s="5">
        <f ca="1">SUMIFS(Movimientos!$C:$C,Movimientos!$A:$A,$B8,Movimientos!$D:$D,CONCATENATE("&lt;=",BD$3),Movimientos!$C:$C,"&gt;0")+SUMIFS(Movimientos!$C:$C,Movimientos!$A:$A,$B8,Movimientos!$D:$D,CONCATENATE("&lt;",BD$3),Movimientos!$C:$C,"&lt;0")</f>
        <v>0</v>
      </c>
      <c r="BE8" s="5">
        <f ca="1">SUMIFS(Movimientos!$C:$C,Movimientos!$A:$A,$B8,Movimientos!$D:$D,CONCATENATE("&lt;=",BE$3),Movimientos!$C:$C,"&gt;0")+SUMIFS(Movimientos!$C:$C,Movimientos!$A:$A,$B8,Movimientos!$D:$D,CONCATENATE("&lt;",BE$3),Movimientos!$C:$C,"&lt;0")</f>
        <v>0</v>
      </c>
      <c r="BF8" s="5">
        <f ca="1">SUMIFS(Movimientos!$C:$C,Movimientos!$A:$A,$B8,Movimientos!$D:$D,CONCATENATE("&lt;=",BF$3),Movimientos!$C:$C,"&gt;0")+SUMIFS(Movimientos!$C:$C,Movimientos!$A:$A,$B8,Movimientos!$D:$D,CONCATENATE("&lt;",BF$3),Movimientos!$C:$C,"&lt;0")</f>
        <v>0</v>
      </c>
      <c r="BG8" s="5">
        <f ca="1">SUMIFS(Movimientos!$C:$C,Movimientos!$A:$A,$B8,Movimientos!$D:$D,CONCATENATE("&lt;=",BG$3),Movimientos!$C:$C,"&gt;0")+SUMIFS(Movimientos!$C:$C,Movimientos!$A:$A,$B8,Movimientos!$D:$D,CONCATENATE("&lt;",BG$3),Movimientos!$C:$C,"&lt;0")</f>
        <v>0</v>
      </c>
      <c r="BH8" s="5">
        <f ca="1">SUMIFS(Movimientos!$C:$C,Movimientos!$A:$A,$B8,Movimientos!$D:$D,CONCATENATE("&lt;=",BH$3),Movimientos!$C:$C,"&gt;0")+SUMIFS(Movimientos!$C:$C,Movimientos!$A:$A,$B8,Movimientos!$D:$D,CONCATENATE("&lt;",BH$3),Movimientos!$C:$C,"&lt;0")</f>
        <v>0</v>
      </c>
      <c r="BI8" s="5">
        <f ca="1">SUMIFS(Movimientos!$C:$C,Movimientos!$A:$A,$B8,Movimientos!$D:$D,CONCATENATE("&lt;=",BI$3),Movimientos!$C:$C,"&gt;0")+SUMIFS(Movimientos!$C:$C,Movimientos!$A:$A,$B8,Movimientos!$D:$D,CONCATENATE("&lt;",BI$3),Movimientos!$C:$C,"&lt;0")</f>
        <v>0</v>
      </c>
      <c r="BJ8" s="5">
        <f ca="1">SUMIFS(Movimientos!$C:$C,Movimientos!$A:$A,$B8,Movimientos!$D:$D,CONCATENATE("&lt;=",BJ$3),Movimientos!$C:$C,"&gt;0")+SUMIFS(Movimientos!$C:$C,Movimientos!$A:$A,$B8,Movimientos!$D:$D,CONCATENATE("&lt;",BJ$3),Movimientos!$C:$C,"&lt;0")</f>
        <v>0</v>
      </c>
      <c r="BK8" s="5">
        <f ca="1">SUMIFS(Movimientos!$C:$C,Movimientos!$A:$A,$B8,Movimientos!$D:$D,CONCATENATE("&lt;=",BK$3),Movimientos!$C:$C,"&gt;0")+SUMIFS(Movimientos!$C:$C,Movimientos!$A:$A,$B8,Movimientos!$D:$D,CONCATENATE("&lt;",BK$3),Movimientos!$C:$C,"&lt;0")</f>
        <v>0</v>
      </c>
      <c r="BL8" s="5">
        <f ca="1">SUMIFS(Movimientos!$C:$C,Movimientos!$A:$A,$B8,Movimientos!$D:$D,CONCATENATE("&lt;=",BL$3),Movimientos!$C:$C,"&gt;0")+SUMIFS(Movimientos!$C:$C,Movimientos!$A:$A,$B8,Movimientos!$D:$D,CONCATENATE("&lt;",BL$3),Movimientos!$C:$C,"&lt;0")</f>
        <v>0</v>
      </c>
      <c r="BM8" s="5">
        <f ca="1">SUMIFS(Movimientos!$C:$C,Movimientos!$A:$A,$B8,Movimientos!$D:$D,CONCATENATE("&lt;=",BM$3),Movimientos!$C:$C,"&gt;0")+SUMIFS(Movimientos!$C:$C,Movimientos!$A:$A,$B8,Movimientos!$D:$D,CONCATENATE("&lt;",BM$3),Movimientos!$C:$C,"&lt;0")</f>
        <v>0</v>
      </c>
      <c r="BN8" s="5">
        <f ca="1">SUMIFS(Movimientos!$C:$C,Movimientos!$A:$A,$B8,Movimientos!$D:$D,CONCATENATE("&lt;=",BN$3),Movimientos!$C:$C,"&gt;0")+SUMIFS(Movimientos!$C:$C,Movimientos!$A:$A,$B8,Movimientos!$D:$D,CONCATENATE("&lt;",BN$3),Movimientos!$C:$C,"&lt;0")</f>
        <v>0</v>
      </c>
      <c r="BO8" s="5">
        <f ca="1">SUMIFS(Movimientos!$C:$C,Movimientos!$A:$A,$B8,Movimientos!$D:$D,CONCATENATE("&lt;=",BO$3),Movimientos!$C:$C,"&gt;0")+SUMIFS(Movimientos!$C:$C,Movimientos!$A:$A,$B8,Movimientos!$D:$D,CONCATENATE("&lt;",BO$3),Movimientos!$C:$C,"&lt;0")</f>
        <v>0</v>
      </c>
      <c r="BP8" s="5">
        <f ca="1">SUMIFS(Movimientos!$C:$C,Movimientos!$A:$A,$B8,Movimientos!$D:$D,CONCATENATE("&lt;=",BP$3),Movimientos!$C:$C,"&gt;0")+SUMIFS(Movimientos!$C:$C,Movimientos!$A:$A,$B8,Movimientos!$D:$D,CONCATENATE("&lt;",BP$3),Movimientos!$C:$C,"&lt;0")</f>
        <v>0</v>
      </c>
      <c r="BQ8" s="5">
        <f ca="1">SUMIFS(Movimientos!$C:$C,Movimientos!$A:$A,$B8,Movimientos!$D:$D,CONCATENATE("&lt;=",BQ$3),Movimientos!$C:$C,"&gt;0")+SUMIFS(Movimientos!$C:$C,Movimientos!$A:$A,$B8,Movimientos!$D:$D,CONCATENATE("&lt;",BQ$3),Movimientos!$C:$C,"&lt;0")</f>
        <v>0</v>
      </c>
      <c r="BR8" s="5">
        <f ca="1">SUMIFS(Movimientos!$C:$C,Movimientos!$A:$A,$B8,Movimientos!$D:$D,CONCATENATE("&lt;=",BR$3),Movimientos!$C:$C,"&gt;0")+SUMIFS(Movimientos!$C:$C,Movimientos!$A:$A,$B8,Movimientos!$D:$D,CONCATENATE("&lt;",BR$3),Movimientos!$C:$C,"&lt;0")</f>
        <v>0</v>
      </c>
      <c r="BS8" s="5">
        <f ca="1">SUMIFS(Movimientos!$C:$C,Movimientos!$A:$A,$B8,Movimientos!$D:$D,CONCATENATE("&lt;=",BS$3),Movimientos!$C:$C,"&gt;0")+SUMIFS(Movimientos!$C:$C,Movimientos!$A:$A,$B8,Movimientos!$D:$D,CONCATENATE("&lt;",BS$3),Movimientos!$C:$C,"&lt;0")</f>
        <v>0</v>
      </c>
      <c r="BT8" s="5">
        <f ca="1">SUMIFS(Movimientos!$C:$C,Movimientos!$A:$A,$B8,Movimientos!$D:$D,CONCATENATE("&lt;=",BT$3),Movimientos!$C:$C,"&gt;0")+SUMIFS(Movimientos!$C:$C,Movimientos!$A:$A,$B8,Movimientos!$D:$D,CONCATENATE("&lt;",BT$3),Movimientos!$C:$C,"&lt;0")</f>
        <v>0</v>
      </c>
      <c r="BU8" s="5">
        <f ca="1">SUMIFS(Movimientos!$C:$C,Movimientos!$A:$A,$B8,Movimientos!$D:$D,CONCATENATE("&lt;=",BU$3),Movimientos!$C:$C,"&gt;0")+SUMIFS(Movimientos!$C:$C,Movimientos!$A:$A,$B8,Movimientos!$D:$D,CONCATENATE("&lt;",BU$3),Movimientos!$C:$C,"&lt;0")</f>
        <v>0</v>
      </c>
      <c r="BV8" s="5">
        <f ca="1">SUMIFS(Movimientos!$C:$C,Movimientos!$A:$A,$B8,Movimientos!$D:$D,CONCATENATE("&lt;=",BV$3),Movimientos!$C:$C,"&gt;0")+SUMIFS(Movimientos!$C:$C,Movimientos!$A:$A,$B8,Movimientos!$D:$D,CONCATENATE("&lt;",BV$3),Movimientos!$C:$C,"&lt;0")</f>
        <v>0</v>
      </c>
      <c r="BW8" s="5">
        <f ca="1">SUMIFS(Movimientos!$C:$C,Movimientos!$A:$A,$B8,Movimientos!$D:$D,CONCATENATE("&lt;=",BW$3),Movimientos!$C:$C,"&gt;0")+SUMIFS(Movimientos!$C:$C,Movimientos!$A:$A,$B8,Movimientos!$D:$D,CONCATENATE("&lt;",BW$3),Movimientos!$C:$C,"&lt;0")</f>
        <v>0</v>
      </c>
      <c r="BX8" s="5">
        <f ca="1">SUMIFS(Movimientos!$C:$C,Movimientos!$A:$A,$B8,Movimientos!$D:$D,CONCATENATE("&lt;=",BX$3),Movimientos!$C:$C,"&gt;0")+SUMIFS(Movimientos!$C:$C,Movimientos!$A:$A,$B8,Movimientos!$D:$D,CONCATENATE("&lt;",BX$3),Movimientos!$C:$C,"&lt;0")</f>
        <v>0</v>
      </c>
      <c r="BY8" s="5">
        <f ca="1">SUMIFS(Movimientos!$C:$C,Movimientos!$A:$A,$B8,Movimientos!$D:$D,CONCATENATE("&lt;=",BY$3),Movimientos!$C:$C,"&gt;0")+SUMIFS(Movimientos!$C:$C,Movimientos!$A:$A,$B8,Movimientos!$D:$D,CONCATENATE("&lt;",BY$3),Movimientos!$C:$C,"&lt;0")</f>
        <v>0</v>
      </c>
      <c r="BZ8" s="5">
        <f ca="1">SUMIFS(Movimientos!$C:$C,Movimientos!$A:$A,$B8,Movimientos!$D:$D,CONCATENATE("&lt;=",BZ$3),Movimientos!$C:$C,"&gt;0")+SUMIFS(Movimientos!$C:$C,Movimientos!$A:$A,$B8,Movimientos!$D:$D,CONCATENATE("&lt;",BZ$3),Movimientos!$C:$C,"&lt;0")</f>
        <v>0</v>
      </c>
      <c r="CA8" s="5">
        <f ca="1">SUMIFS(Movimientos!$C:$C,Movimientos!$A:$A,$B8,Movimientos!$D:$D,CONCATENATE("&lt;=",CA$3),Movimientos!$C:$C,"&gt;0")+SUMIFS(Movimientos!$C:$C,Movimientos!$A:$A,$B8,Movimientos!$D:$D,CONCATENATE("&lt;",CA$3),Movimientos!$C:$C,"&lt;0")</f>
        <v>0</v>
      </c>
      <c r="CB8" s="5">
        <f ca="1">SUMIFS(Movimientos!$C:$C,Movimientos!$A:$A,$B8,Movimientos!$D:$D,CONCATENATE("&lt;=",CB$3),Movimientos!$C:$C,"&gt;0")+SUMIFS(Movimientos!$C:$C,Movimientos!$A:$A,$B8,Movimientos!$D:$D,CONCATENATE("&lt;",CB$3),Movimientos!$C:$C,"&lt;0")</f>
        <v>0</v>
      </c>
      <c r="CC8" s="5">
        <f ca="1">SUMIFS(Movimientos!$C:$C,Movimientos!$A:$A,$B8,Movimientos!$D:$D,CONCATENATE("&lt;=",CC$3),Movimientos!$C:$C,"&gt;0")+SUMIFS(Movimientos!$C:$C,Movimientos!$A:$A,$B8,Movimientos!$D:$D,CONCATENATE("&lt;",CC$3),Movimientos!$C:$C,"&lt;0")</f>
        <v>0</v>
      </c>
      <c r="CD8" s="5">
        <f ca="1">SUMIFS(Movimientos!$C:$C,Movimientos!$A:$A,$B8,Movimientos!$D:$D,CONCATENATE("&lt;=",CD$3),Movimientos!$C:$C,"&gt;0")+SUMIFS(Movimientos!$C:$C,Movimientos!$A:$A,$B8,Movimientos!$D:$D,CONCATENATE("&lt;",CD$3),Movimientos!$C:$C,"&lt;0")</f>
        <v>0</v>
      </c>
      <c r="CE8" s="5">
        <f ca="1">SUMIFS(Movimientos!$C:$C,Movimientos!$A:$A,$B8,Movimientos!$D:$D,CONCATENATE("&lt;=",CE$3),Movimientos!$C:$C,"&gt;0")+SUMIFS(Movimientos!$C:$C,Movimientos!$A:$A,$B8,Movimientos!$D:$D,CONCATENATE("&lt;",CE$3),Movimientos!$C:$C,"&lt;0")</f>
        <v>0</v>
      </c>
      <c r="CF8" s="5">
        <f ca="1">SUMIFS(Movimientos!$C:$C,Movimientos!$A:$A,$B8,Movimientos!$D:$D,CONCATENATE("&lt;=",CF$3),Movimientos!$C:$C,"&gt;0")+SUMIFS(Movimientos!$C:$C,Movimientos!$A:$A,$B8,Movimientos!$D:$D,CONCATENATE("&lt;",CF$3),Movimientos!$C:$C,"&lt;0")</f>
        <v>0</v>
      </c>
      <c r="CG8" s="5">
        <f ca="1">SUMIFS(Movimientos!$C:$C,Movimientos!$A:$A,$B8,Movimientos!$D:$D,CONCATENATE("&lt;=",CG$3),Movimientos!$C:$C,"&gt;0")+SUMIFS(Movimientos!$C:$C,Movimientos!$A:$A,$B8,Movimientos!$D:$D,CONCATENATE("&lt;",CG$3),Movimientos!$C:$C,"&lt;0")</f>
        <v>0</v>
      </c>
      <c r="CH8" s="5">
        <f ca="1">SUMIFS(Movimientos!$C:$C,Movimientos!$A:$A,$B8,Movimientos!$D:$D,CONCATENATE("&lt;=",CH$3),Movimientos!$C:$C,"&gt;0")+SUMIFS(Movimientos!$C:$C,Movimientos!$A:$A,$B8,Movimientos!$D:$D,CONCATENATE("&lt;",CH$3),Movimientos!$C:$C,"&lt;0")</f>
        <v>0</v>
      </c>
      <c r="CI8" s="5">
        <f ca="1">SUMIFS(Movimientos!$C:$C,Movimientos!$A:$A,$B8,Movimientos!$D:$D,CONCATENATE("&lt;=",CI$3),Movimientos!$C:$C,"&gt;0")+SUMIFS(Movimientos!$C:$C,Movimientos!$A:$A,$B8,Movimientos!$D:$D,CONCATENATE("&lt;",CI$3),Movimientos!$C:$C,"&lt;0")</f>
        <v>0</v>
      </c>
      <c r="CJ8" s="5">
        <f ca="1">SUMIFS(Movimientos!$C:$C,Movimientos!$A:$A,$B8,Movimientos!$D:$D,CONCATENATE("&lt;=",CJ$3),Movimientos!$C:$C,"&gt;0")+SUMIFS(Movimientos!$C:$C,Movimientos!$A:$A,$B8,Movimientos!$D:$D,CONCATENATE("&lt;",CJ$3),Movimientos!$C:$C,"&lt;0")</f>
        <v>0</v>
      </c>
      <c r="CK8" s="5">
        <f ca="1">SUMIFS(Movimientos!$C:$C,Movimientos!$A:$A,$B8,Movimientos!$D:$D,CONCATENATE("&lt;=",CK$3),Movimientos!$C:$C,"&gt;0")+SUMIFS(Movimientos!$C:$C,Movimientos!$A:$A,$B8,Movimientos!$D:$D,CONCATENATE("&lt;",CK$3),Movimientos!$C:$C,"&lt;0")</f>
        <v>0</v>
      </c>
      <c r="CL8" s="5">
        <f ca="1">SUMIFS(Movimientos!$C:$C,Movimientos!$A:$A,$B8,Movimientos!$D:$D,CONCATENATE("&lt;=",CL$3),Movimientos!$C:$C,"&gt;0")+SUMIFS(Movimientos!$C:$C,Movimientos!$A:$A,$B8,Movimientos!$D:$D,CONCATENATE("&lt;",CL$3),Movimientos!$C:$C,"&lt;0")</f>
        <v>0</v>
      </c>
      <c r="CM8" s="5">
        <f ca="1">SUMIFS(Movimientos!$C:$C,Movimientos!$A:$A,$B8,Movimientos!$D:$D,CONCATENATE("&lt;=",CM$3),Movimientos!$C:$C,"&gt;0")+SUMIFS(Movimientos!$C:$C,Movimientos!$A:$A,$B8,Movimientos!$D:$D,CONCATENATE("&lt;",CM$3),Movimientos!$C:$C,"&lt;0")</f>
        <v>0</v>
      </c>
      <c r="CN8" s="5">
        <f ca="1">SUMIFS(Movimientos!$C:$C,Movimientos!$A:$A,$B8,Movimientos!$D:$D,CONCATENATE("&lt;=",CN$3),Movimientos!$C:$C,"&gt;0")+SUMIFS(Movimientos!$C:$C,Movimientos!$A:$A,$B8,Movimientos!$D:$D,CONCATENATE("&lt;",CN$3),Movimientos!$C:$C,"&lt;0")</f>
        <v>0</v>
      </c>
      <c r="CO8" s="5">
        <f ca="1">SUMIFS(Movimientos!$C:$C,Movimientos!$A:$A,$B8,Movimientos!$D:$D,CONCATENATE("&lt;=",CO$3),Movimientos!$C:$C,"&gt;0")+SUMIFS(Movimientos!$C:$C,Movimientos!$A:$A,$B8,Movimientos!$D:$D,CONCATENATE("&lt;",CO$3),Movimientos!$C:$C,"&lt;0")</f>
        <v>0</v>
      </c>
      <c r="CP8" s="5">
        <f ca="1">SUMIFS(Movimientos!$C:$C,Movimientos!$A:$A,$B8,Movimientos!$D:$D,CONCATENATE("&lt;=",CP$3),Movimientos!$C:$C,"&gt;0")+SUMIFS(Movimientos!$C:$C,Movimientos!$A:$A,$B8,Movimientos!$D:$D,CONCATENATE("&lt;",CP$3),Movimientos!$C:$C,"&lt;0")</f>
        <v>0</v>
      </c>
      <c r="CQ8" s="5">
        <f ca="1">SUMIFS(Movimientos!$C:$C,Movimientos!$A:$A,$B8,Movimientos!$D:$D,CONCATENATE("&lt;=",CQ$3),Movimientos!$C:$C,"&gt;0")+SUMIFS(Movimientos!$C:$C,Movimientos!$A:$A,$B8,Movimientos!$D:$D,CONCATENATE("&lt;",CQ$3),Movimientos!$C:$C,"&lt;0")</f>
        <v>0</v>
      </c>
      <c r="CR8" s="5">
        <f ca="1">SUMIFS(Movimientos!$C:$C,Movimientos!$A:$A,$B8,Movimientos!$D:$D,CONCATENATE("&lt;=",CR$3),Movimientos!$C:$C,"&gt;0")+SUMIFS(Movimientos!$C:$C,Movimientos!$A:$A,$B8,Movimientos!$D:$D,CONCATENATE("&lt;",CR$3),Movimientos!$C:$C,"&lt;0")</f>
        <v>0</v>
      </c>
      <c r="CS8" s="5">
        <f ca="1">SUMIFS(Movimientos!$C:$C,Movimientos!$A:$A,$B8,Movimientos!$D:$D,CONCATENATE("&lt;=",CS$3),Movimientos!$C:$C,"&gt;0")+SUMIFS(Movimientos!$C:$C,Movimientos!$A:$A,$B8,Movimientos!$D:$D,CONCATENATE("&lt;",CS$3),Movimientos!$C:$C,"&lt;0")</f>
        <v>0</v>
      </c>
      <c r="CT8" s="5">
        <f ca="1">SUMIFS(Movimientos!$C:$C,Movimientos!$A:$A,$B8,Movimientos!$D:$D,CONCATENATE("&lt;=",CT$3),Movimientos!$C:$C,"&gt;0")+SUMIFS(Movimientos!$C:$C,Movimientos!$A:$A,$B8,Movimientos!$D:$D,CONCATENATE("&lt;",CT$3),Movimientos!$C:$C,"&lt;0")</f>
        <v>0</v>
      </c>
      <c r="CU8" s="5">
        <f ca="1">SUMIFS(Movimientos!$C:$C,Movimientos!$A:$A,$B8,Movimientos!$D:$D,CONCATENATE("&lt;=",CU$3),Movimientos!$C:$C,"&gt;0")+SUMIFS(Movimientos!$C:$C,Movimientos!$A:$A,$B8,Movimientos!$D:$D,CONCATENATE("&lt;",CU$3),Movimientos!$C:$C,"&lt;0")</f>
        <v>0</v>
      </c>
      <c r="CV8" s="5">
        <f ca="1">SUMIFS(Movimientos!$C:$C,Movimientos!$A:$A,$B8,Movimientos!$D:$D,CONCATENATE("&lt;=",CV$3),Movimientos!$C:$C,"&gt;0")+SUMIFS(Movimientos!$C:$C,Movimientos!$A:$A,$B8,Movimientos!$D:$D,CONCATENATE("&lt;",CV$3),Movimientos!$C:$C,"&lt;0")</f>
        <v>0</v>
      </c>
      <c r="CW8" s="5">
        <f ca="1">SUMIFS(Movimientos!$C:$C,Movimientos!$A:$A,$B8,Movimientos!$D:$D,CONCATENATE("&lt;=",CW$3),Movimientos!$C:$C,"&gt;0")+SUMIFS(Movimientos!$C:$C,Movimientos!$A:$A,$B8,Movimientos!$D:$D,CONCATENATE("&lt;",CW$3),Movimientos!$C:$C,"&lt;0")</f>
        <v>0</v>
      </c>
      <c r="CX8" s="5">
        <f ca="1">SUMIFS(Movimientos!$C:$C,Movimientos!$A:$A,$B8,Movimientos!$D:$D,CONCATENATE("&lt;=",CX$3),Movimientos!$C:$C,"&gt;0")+SUMIFS(Movimientos!$C:$C,Movimientos!$A:$A,$B8,Movimientos!$D:$D,CONCATENATE("&lt;",CX$3),Movimientos!$C:$C,"&lt;0")</f>
        <v>0</v>
      </c>
      <c r="CY8" s="5">
        <f ca="1">SUMIFS(Movimientos!$C:$C,Movimientos!$A:$A,$B8,Movimientos!$D:$D,CONCATENATE("&lt;=",CY$3),Movimientos!$C:$C,"&gt;0")+SUMIFS(Movimientos!$C:$C,Movimientos!$A:$A,$B8,Movimientos!$D:$D,CONCATENATE("&lt;",CY$3),Movimientos!$C:$C,"&lt;0")</f>
        <v>0</v>
      </c>
      <c r="CZ8" s="5">
        <f ca="1">SUMIFS(Movimientos!$C:$C,Movimientos!$A:$A,$B8,Movimientos!$D:$D,CONCATENATE("&lt;=",CZ$3),Movimientos!$C:$C,"&gt;0")+SUMIFS(Movimientos!$C:$C,Movimientos!$A:$A,$B8,Movimientos!$D:$D,CONCATENATE("&lt;",CZ$3),Movimientos!$C:$C,"&lt;0")</f>
        <v>0</v>
      </c>
      <c r="DA8" s="5">
        <f ca="1">SUMIFS(Movimientos!$C:$C,Movimientos!$A:$A,$B8,Movimientos!$D:$D,CONCATENATE("&lt;=",DA$3),Movimientos!$C:$C,"&gt;0")+SUMIFS(Movimientos!$C:$C,Movimientos!$A:$A,$B8,Movimientos!$D:$D,CONCATENATE("&lt;",DA$3),Movimientos!$C:$C,"&lt;0")</f>
        <v>0</v>
      </c>
      <c r="DB8" s="5">
        <f ca="1">SUMIFS(Movimientos!$C:$C,Movimientos!$A:$A,$B8,Movimientos!$D:$D,CONCATENATE("&lt;=",DB$3),Movimientos!$C:$C,"&gt;0")+SUMIFS(Movimientos!$C:$C,Movimientos!$A:$A,$B8,Movimientos!$D:$D,CONCATENATE("&lt;",DB$3),Movimientos!$C:$C,"&lt;0")</f>
        <v>0</v>
      </c>
      <c r="DC8" s="5">
        <f ca="1">SUMIFS(Movimientos!$C:$C,Movimientos!$A:$A,$B8,Movimientos!$D:$D,CONCATENATE("&lt;=",DC$3),Movimientos!$C:$C,"&gt;0")+SUMIFS(Movimientos!$C:$C,Movimientos!$A:$A,$B8,Movimientos!$D:$D,CONCATENATE("&lt;",DC$3),Movimientos!$C:$C,"&lt;0")</f>
        <v>0</v>
      </c>
      <c r="DD8" s="5">
        <f ca="1">SUMIFS(Movimientos!$C:$C,Movimientos!$A:$A,$B8,Movimientos!$D:$D,CONCATENATE("&lt;=",DD$3),Movimientos!$C:$C,"&gt;0")+SUMIFS(Movimientos!$C:$C,Movimientos!$A:$A,$B8,Movimientos!$D:$D,CONCATENATE("&lt;",DD$3),Movimientos!$C:$C,"&lt;0")</f>
        <v>0</v>
      </c>
      <c r="DE8" s="5">
        <f ca="1">SUMIFS(Movimientos!$C:$C,Movimientos!$A:$A,$B8,Movimientos!$D:$D,CONCATENATE("&lt;=",DE$3),Movimientos!$C:$C,"&gt;0")+SUMIFS(Movimientos!$C:$C,Movimientos!$A:$A,$B8,Movimientos!$D:$D,CONCATENATE("&lt;",DE$3),Movimientos!$C:$C,"&lt;0")</f>
        <v>0</v>
      </c>
      <c r="DF8" s="5">
        <f ca="1">SUMIFS(Movimientos!$C:$C,Movimientos!$A:$A,$B8,Movimientos!$D:$D,CONCATENATE("&lt;=",DF$3),Movimientos!$C:$C,"&gt;0")+SUMIFS(Movimientos!$C:$C,Movimientos!$A:$A,$B8,Movimientos!$D:$D,CONCATENATE("&lt;",DF$3),Movimientos!$C:$C,"&lt;0")</f>
        <v>0</v>
      </c>
      <c r="DG8" s="5">
        <f ca="1">SUMIFS(Movimientos!$C:$C,Movimientos!$A:$A,$B8,Movimientos!$D:$D,CONCATENATE("&lt;=",DG$3),Movimientos!$C:$C,"&gt;0")+SUMIFS(Movimientos!$C:$C,Movimientos!$A:$A,$B8,Movimientos!$D:$D,CONCATENATE("&lt;",DG$3),Movimientos!$C:$C,"&lt;0")</f>
        <v>0</v>
      </c>
      <c r="DH8" s="5">
        <f ca="1">SUMIFS(Movimientos!$C:$C,Movimientos!$A:$A,$B8,Movimientos!$D:$D,CONCATENATE("&lt;=",DH$3),Movimientos!$C:$C,"&gt;0")+SUMIFS(Movimientos!$C:$C,Movimientos!$A:$A,$B8,Movimientos!$D:$D,CONCATENATE("&lt;",DH$3),Movimientos!$C:$C,"&lt;0")</f>
        <v>0</v>
      </c>
      <c r="DI8" s="5">
        <f ca="1">SUMIFS(Movimientos!$C:$C,Movimientos!$A:$A,$B8,Movimientos!$D:$D,CONCATENATE("&lt;=",DI$3),Movimientos!$C:$C,"&gt;0")+SUMIFS(Movimientos!$C:$C,Movimientos!$A:$A,$B8,Movimientos!$D:$D,CONCATENATE("&lt;",DI$3),Movimientos!$C:$C,"&lt;0")</f>
        <v>0</v>
      </c>
      <c r="DJ8" s="5">
        <f ca="1">SUMIFS(Movimientos!$C:$C,Movimientos!$A:$A,$B8,Movimientos!$D:$D,CONCATENATE("&lt;=",DJ$3),Movimientos!$C:$C,"&gt;0")+SUMIFS(Movimientos!$C:$C,Movimientos!$A:$A,$B8,Movimientos!$D:$D,CONCATENATE("&lt;",DJ$3),Movimientos!$C:$C,"&lt;0")</f>
        <v>0</v>
      </c>
      <c r="DK8" s="5">
        <f ca="1">SUMIFS(Movimientos!$C:$C,Movimientos!$A:$A,$B8,Movimientos!$D:$D,CONCATENATE("&lt;=",DK$3),Movimientos!$C:$C,"&gt;0")+SUMIFS(Movimientos!$C:$C,Movimientos!$A:$A,$B8,Movimientos!$D:$D,CONCATENATE("&lt;",DK$3),Movimientos!$C:$C,"&lt;0")</f>
        <v>0</v>
      </c>
      <c r="DL8" s="5">
        <f ca="1">SUMIFS(Movimientos!$C:$C,Movimientos!$A:$A,$B8,Movimientos!$D:$D,CONCATENATE("&lt;=",DL$3),Movimientos!$C:$C,"&gt;0")+SUMIFS(Movimientos!$C:$C,Movimientos!$A:$A,$B8,Movimientos!$D:$D,CONCATENATE("&lt;",DL$3),Movimientos!$C:$C,"&lt;0")</f>
        <v>0</v>
      </c>
      <c r="DM8" s="5">
        <f ca="1">SUMIFS(Movimientos!$C:$C,Movimientos!$A:$A,$B8,Movimientos!$D:$D,CONCATENATE("&lt;=",DM$3),Movimientos!$C:$C,"&gt;0")+SUMIFS(Movimientos!$C:$C,Movimientos!$A:$A,$B8,Movimientos!$D:$D,CONCATENATE("&lt;",DM$3),Movimientos!$C:$C,"&lt;0")</f>
        <v>0</v>
      </c>
      <c r="DN8" s="5">
        <f ca="1">SUMIFS(Movimientos!$C:$C,Movimientos!$A:$A,$B8,Movimientos!$D:$D,CONCATENATE("&lt;=",DN$3),Movimientos!$C:$C,"&gt;0")+SUMIFS(Movimientos!$C:$C,Movimientos!$A:$A,$B8,Movimientos!$D:$D,CONCATENATE("&lt;",DN$3),Movimientos!$C:$C,"&lt;0")</f>
        <v>0</v>
      </c>
      <c r="DO8" s="5">
        <f ca="1">SUMIFS(Movimientos!$C:$C,Movimientos!$A:$A,$B8,Movimientos!$D:$D,CONCATENATE("&lt;=",DO$3),Movimientos!$C:$C,"&gt;0")+SUMIFS(Movimientos!$C:$C,Movimientos!$A:$A,$B8,Movimientos!$D:$D,CONCATENATE("&lt;",DO$3),Movimientos!$C:$C,"&lt;0")</f>
        <v>0</v>
      </c>
      <c r="DP8" s="5">
        <f ca="1">SUMIFS(Movimientos!$C:$C,Movimientos!$A:$A,$B8,Movimientos!$D:$D,CONCATENATE("&lt;=",DP$3),Movimientos!$C:$C,"&gt;0")+SUMIFS(Movimientos!$C:$C,Movimientos!$A:$A,$B8,Movimientos!$D:$D,CONCATENATE("&lt;",DP$3),Movimientos!$C:$C,"&lt;0")</f>
        <v>0</v>
      </c>
      <c r="DQ8" s="5">
        <f ca="1">SUMIFS(Movimientos!$C:$C,Movimientos!$A:$A,$B8,Movimientos!$D:$D,CONCATENATE("&lt;=",DQ$3),Movimientos!$C:$C,"&gt;0")+SUMIFS(Movimientos!$C:$C,Movimientos!$A:$A,$B8,Movimientos!$D:$D,CONCATENATE("&lt;",DQ$3),Movimientos!$C:$C,"&lt;0")</f>
        <v>0</v>
      </c>
      <c r="DR8" s="5">
        <f ca="1">SUMIFS(Movimientos!$C:$C,Movimientos!$A:$A,$B8,Movimientos!$D:$D,CONCATENATE("&lt;=",DR$3),Movimientos!$C:$C,"&gt;0")+SUMIFS(Movimientos!$C:$C,Movimientos!$A:$A,$B8,Movimientos!$D:$D,CONCATENATE("&lt;",DR$3),Movimientos!$C:$C,"&lt;0")</f>
        <v>0</v>
      </c>
      <c r="DS8" s="5">
        <f ca="1">SUMIFS(Movimientos!$C:$C,Movimientos!$A:$A,$B8,Movimientos!$D:$D,CONCATENATE("&lt;=",DS$3),Movimientos!$C:$C,"&gt;0")+SUMIFS(Movimientos!$C:$C,Movimientos!$A:$A,$B8,Movimientos!$D:$D,CONCATENATE("&lt;",DS$3),Movimientos!$C:$C,"&lt;0")</f>
        <v>0</v>
      </c>
      <c r="DT8" s="5">
        <f ca="1">SUMIFS(Movimientos!$C:$C,Movimientos!$A:$A,$B8,Movimientos!$D:$D,CONCATENATE("&lt;=",DT$3),Movimientos!$C:$C,"&gt;0")+SUMIFS(Movimientos!$C:$C,Movimientos!$A:$A,$B8,Movimientos!$D:$D,CONCATENATE("&lt;",DT$3),Movimientos!$C:$C,"&lt;0")</f>
        <v>0</v>
      </c>
      <c r="DU8" s="5">
        <f ca="1">SUMIFS(Movimientos!$C:$C,Movimientos!$A:$A,$B8,Movimientos!$D:$D,CONCATENATE("&lt;=",DU$3),Movimientos!$C:$C,"&gt;0")+SUMIFS(Movimientos!$C:$C,Movimientos!$A:$A,$B8,Movimientos!$D:$D,CONCATENATE("&lt;",DU$3),Movimientos!$C:$C,"&lt;0")</f>
        <v>0</v>
      </c>
      <c r="DV8" s="5">
        <f ca="1">SUMIFS(Movimientos!$C:$C,Movimientos!$A:$A,$B8,Movimientos!$D:$D,CONCATENATE("&lt;=",DV$3),Movimientos!$C:$C,"&gt;0")+SUMIFS(Movimientos!$C:$C,Movimientos!$A:$A,$B8,Movimientos!$D:$D,CONCATENATE("&lt;",DV$3),Movimientos!$C:$C,"&lt;0")</f>
        <v>0</v>
      </c>
      <c r="DW8" s="5">
        <f ca="1">SUMIFS(Movimientos!$C:$C,Movimientos!$A:$A,$B8,Movimientos!$D:$D,CONCATENATE("&lt;=",DW$3),Movimientos!$C:$C,"&gt;0")+SUMIFS(Movimientos!$C:$C,Movimientos!$A:$A,$B8,Movimientos!$D:$D,CONCATENATE("&lt;",DW$3),Movimientos!$C:$C,"&lt;0")</f>
        <v>0</v>
      </c>
      <c r="DX8" s="5">
        <f ca="1">SUMIFS(Movimientos!$C:$C,Movimientos!$A:$A,$B8,Movimientos!$D:$D,CONCATENATE("&lt;=",DX$3),Movimientos!$C:$C,"&gt;0")+SUMIFS(Movimientos!$C:$C,Movimientos!$A:$A,$B8,Movimientos!$D:$D,CONCATENATE("&lt;",DX$3),Movimientos!$C:$C,"&lt;0")</f>
        <v>0</v>
      </c>
      <c r="DY8" s="5">
        <f ca="1">SUMIFS(Movimientos!$C:$C,Movimientos!$A:$A,$B8,Movimientos!$D:$D,CONCATENATE("&lt;=",DY$3),Movimientos!$C:$C,"&gt;0")+SUMIFS(Movimientos!$C:$C,Movimientos!$A:$A,$B8,Movimientos!$D:$D,CONCATENATE("&lt;",DY$3),Movimientos!$C:$C,"&lt;0")</f>
        <v>0</v>
      </c>
      <c r="DZ8" s="5">
        <f ca="1">SUMIFS(Movimientos!$C:$C,Movimientos!$A:$A,$B8,Movimientos!$D:$D,CONCATENATE("&lt;=",DZ$3),Movimientos!$C:$C,"&gt;0")+SUMIFS(Movimientos!$C:$C,Movimientos!$A:$A,$B8,Movimientos!$D:$D,CONCATENATE("&lt;",DZ$3),Movimientos!$C:$C,"&lt;0")</f>
        <v>0</v>
      </c>
      <c r="EA8" s="5">
        <f ca="1">SUMIFS(Movimientos!$C:$C,Movimientos!$A:$A,$B8,Movimientos!$D:$D,CONCATENATE("&lt;=",EA$3),Movimientos!$C:$C,"&gt;0")+SUMIFS(Movimientos!$C:$C,Movimientos!$A:$A,$B8,Movimientos!$D:$D,CONCATENATE("&lt;",EA$3),Movimientos!$C:$C,"&lt;0")</f>
        <v>0</v>
      </c>
      <c r="EB8" s="5">
        <f ca="1">SUMIFS(Movimientos!$C:$C,Movimientos!$A:$A,$B8,Movimientos!$D:$D,CONCATENATE("&lt;=",EB$3),Movimientos!$C:$C,"&gt;0")+SUMIFS(Movimientos!$C:$C,Movimientos!$A:$A,$B8,Movimientos!$D:$D,CONCATENATE("&lt;",EB$3),Movimientos!$C:$C,"&lt;0")</f>
        <v>0</v>
      </c>
      <c r="EC8" s="5">
        <f ca="1">SUMIFS(Movimientos!$C:$C,Movimientos!$A:$A,$B8,Movimientos!$D:$D,CONCATENATE("&lt;=",EC$3),Movimientos!$C:$C,"&gt;0")+SUMIFS(Movimientos!$C:$C,Movimientos!$A:$A,$B8,Movimientos!$D:$D,CONCATENATE("&lt;",EC$3),Movimientos!$C:$C,"&lt;0")</f>
        <v>0</v>
      </c>
      <c r="ED8" s="5">
        <f ca="1">SUMIFS(Movimientos!$C:$C,Movimientos!$A:$A,$B8,Movimientos!$D:$D,CONCATENATE("&lt;=",ED$3),Movimientos!$C:$C,"&gt;0")+SUMIFS(Movimientos!$C:$C,Movimientos!$A:$A,$B8,Movimientos!$D:$D,CONCATENATE("&lt;",ED$3),Movimientos!$C:$C,"&lt;0")</f>
        <v>0</v>
      </c>
      <c r="EE8" s="5">
        <f ca="1">SUMIFS(Movimientos!$C:$C,Movimientos!$A:$A,$B8,Movimientos!$D:$D,CONCATENATE("&lt;=",EE$3),Movimientos!$C:$C,"&gt;0")+SUMIFS(Movimientos!$C:$C,Movimientos!$A:$A,$B8,Movimientos!$D:$D,CONCATENATE("&lt;",EE$3),Movimientos!$C:$C,"&lt;0")</f>
        <v>0</v>
      </c>
      <c r="EF8" s="5">
        <f ca="1">SUMIFS(Movimientos!$C:$C,Movimientos!$A:$A,$B8,Movimientos!$D:$D,CONCATENATE("&lt;=",EF$3),Movimientos!$C:$C,"&gt;0")+SUMIFS(Movimientos!$C:$C,Movimientos!$A:$A,$B8,Movimientos!$D:$D,CONCATENATE("&lt;",EF$3),Movimientos!$C:$C,"&lt;0")</f>
        <v>0</v>
      </c>
      <c r="EG8" s="5">
        <f ca="1">SUMIFS(Movimientos!$C:$C,Movimientos!$A:$A,$B8,Movimientos!$D:$D,CONCATENATE("&lt;=",EG$3),Movimientos!$C:$C,"&gt;0")+SUMIFS(Movimientos!$C:$C,Movimientos!$A:$A,$B8,Movimientos!$D:$D,CONCATENATE("&lt;",EG$3),Movimientos!$C:$C,"&lt;0")</f>
        <v>0</v>
      </c>
      <c r="EH8" s="5">
        <f ca="1">SUMIFS(Movimientos!$C:$C,Movimientos!$A:$A,$B8,Movimientos!$D:$D,CONCATENATE("&lt;=",EH$3),Movimientos!$C:$C,"&gt;0")+SUMIFS(Movimientos!$C:$C,Movimientos!$A:$A,$B8,Movimientos!$D:$D,CONCATENATE("&lt;",EH$3),Movimientos!$C:$C,"&lt;0")</f>
        <v>0</v>
      </c>
      <c r="EI8" s="5">
        <f ca="1">SUMIFS(Movimientos!$C:$C,Movimientos!$A:$A,$B8,Movimientos!$D:$D,CONCATENATE("&lt;=",EI$3),Movimientos!$C:$C,"&gt;0")+SUMIFS(Movimientos!$C:$C,Movimientos!$A:$A,$B8,Movimientos!$D:$D,CONCATENATE("&lt;",EI$3),Movimientos!$C:$C,"&lt;0")</f>
        <v>0</v>
      </c>
      <c r="EJ8" s="5">
        <f ca="1">SUMIFS(Movimientos!$C:$C,Movimientos!$A:$A,$B8,Movimientos!$D:$D,CONCATENATE("&lt;=",EJ$3),Movimientos!$C:$C,"&gt;0")+SUMIFS(Movimientos!$C:$C,Movimientos!$A:$A,$B8,Movimientos!$D:$D,CONCATENATE("&lt;",EJ$3),Movimientos!$C:$C,"&lt;0")</f>
        <v>0</v>
      </c>
      <c r="EK8" s="5">
        <f ca="1">SUMIFS(Movimientos!$C:$C,Movimientos!$A:$A,$B8,Movimientos!$D:$D,CONCATENATE("&lt;=",EK$3),Movimientos!$C:$C,"&gt;0")+SUMIFS(Movimientos!$C:$C,Movimientos!$A:$A,$B8,Movimientos!$D:$D,CONCATENATE("&lt;",EK$3),Movimientos!$C:$C,"&lt;0")</f>
        <v>0</v>
      </c>
      <c r="EL8" s="5">
        <f ca="1">SUMIFS(Movimientos!$C:$C,Movimientos!$A:$A,$B8,Movimientos!$D:$D,CONCATENATE("&lt;=",EL$3),Movimientos!$C:$C,"&gt;0")+SUMIFS(Movimientos!$C:$C,Movimientos!$A:$A,$B8,Movimientos!$D:$D,CONCATENATE("&lt;",EL$3),Movimientos!$C:$C,"&lt;0")</f>
        <v>0</v>
      </c>
      <c r="EM8" s="5">
        <f ca="1">SUMIFS(Movimientos!$C:$C,Movimientos!$A:$A,$B8,Movimientos!$D:$D,CONCATENATE("&lt;=",EM$3),Movimientos!$C:$C,"&gt;0")+SUMIFS(Movimientos!$C:$C,Movimientos!$A:$A,$B8,Movimientos!$D:$D,CONCATENATE("&lt;",EM$3),Movimientos!$C:$C,"&lt;0")</f>
        <v>0</v>
      </c>
      <c r="EN8" s="5">
        <f ca="1">SUMIFS(Movimientos!$C:$C,Movimientos!$A:$A,$B8,Movimientos!$D:$D,CONCATENATE("&lt;=",EN$3),Movimientos!$C:$C,"&gt;0")+SUMIFS(Movimientos!$C:$C,Movimientos!$A:$A,$B8,Movimientos!$D:$D,CONCATENATE("&lt;",EN$3),Movimientos!$C:$C,"&lt;0")</f>
        <v>0</v>
      </c>
      <c r="EO8" s="5">
        <f ca="1">SUMIFS(Movimientos!$C:$C,Movimientos!$A:$A,$B8,Movimientos!$D:$D,CONCATENATE("&lt;=",EO$3),Movimientos!$C:$C,"&gt;0")+SUMIFS(Movimientos!$C:$C,Movimientos!$A:$A,$B8,Movimientos!$D:$D,CONCATENATE("&lt;",EO$3),Movimientos!$C:$C,"&lt;0")</f>
        <v>0</v>
      </c>
      <c r="EP8" s="5">
        <f ca="1">SUMIFS(Movimientos!$C:$C,Movimientos!$A:$A,$B8,Movimientos!$D:$D,CONCATENATE("&lt;=",EP$3),Movimientos!$C:$C,"&gt;0")+SUMIFS(Movimientos!$C:$C,Movimientos!$A:$A,$B8,Movimientos!$D:$D,CONCATENATE("&lt;",EP$3),Movimientos!$C:$C,"&lt;0")</f>
        <v>0</v>
      </c>
      <c r="EQ8" s="5">
        <f ca="1">SUMIFS(Movimientos!$C:$C,Movimientos!$A:$A,$B8,Movimientos!$D:$D,CONCATENATE("&lt;=",EQ$3),Movimientos!$C:$C,"&gt;0")+SUMIFS(Movimientos!$C:$C,Movimientos!$A:$A,$B8,Movimientos!$D:$D,CONCATENATE("&lt;",EQ$3),Movimientos!$C:$C,"&lt;0")</f>
        <v>0</v>
      </c>
      <c r="ER8" s="5">
        <f ca="1">SUMIFS(Movimientos!$C:$C,Movimientos!$A:$A,$B8,Movimientos!$D:$D,CONCATENATE("&lt;=",ER$3),Movimientos!$C:$C,"&gt;0")+SUMIFS(Movimientos!$C:$C,Movimientos!$A:$A,$B8,Movimientos!$D:$D,CONCATENATE("&lt;",ER$3),Movimientos!$C:$C,"&lt;0")</f>
        <v>0</v>
      </c>
      <c r="ES8" s="5">
        <f ca="1">SUMIFS(Movimientos!$C:$C,Movimientos!$A:$A,$B8,Movimientos!$D:$D,CONCATENATE("&lt;=",ES$3),Movimientos!$C:$C,"&gt;0")+SUMIFS(Movimientos!$C:$C,Movimientos!$A:$A,$B8,Movimientos!$D:$D,CONCATENATE("&lt;",ES$3),Movimientos!$C:$C,"&lt;0")</f>
        <v>0</v>
      </c>
      <c r="ET8" s="5">
        <f ca="1">SUMIFS(Movimientos!$C:$C,Movimientos!$A:$A,$B8,Movimientos!$D:$D,CONCATENATE("&lt;=",ET$3),Movimientos!$C:$C,"&gt;0")+SUMIFS(Movimientos!$C:$C,Movimientos!$A:$A,$B8,Movimientos!$D:$D,CONCATENATE("&lt;",ET$3),Movimientos!$C:$C,"&lt;0")</f>
        <v>0</v>
      </c>
      <c r="EU8" s="5">
        <f ca="1">SUMIFS(Movimientos!$C:$C,Movimientos!$A:$A,$B8,Movimientos!$D:$D,CONCATENATE("&lt;=",EU$3),Movimientos!$C:$C,"&gt;0")+SUMIFS(Movimientos!$C:$C,Movimientos!$A:$A,$B8,Movimientos!$D:$D,CONCATENATE("&lt;",EU$3),Movimientos!$C:$C,"&lt;0")</f>
        <v>0</v>
      </c>
      <c r="EV8" s="5">
        <f ca="1">SUMIFS(Movimientos!$C:$C,Movimientos!$A:$A,$B8,Movimientos!$D:$D,CONCATENATE("&lt;=",EV$3),Movimientos!$C:$C,"&gt;0")+SUMIFS(Movimientos!$C:$C,Movimientos!$A:$A,$B8,Movimientos!$D:$D,CONCATENATE("&lt;",EV$3),Movimientos!$C:$C,"&lt;0")</f>
        <v>0</v>
      </c>
      <c r="EW8" s="5">
        <f ca="1">SUMIFS(Movimientos!$C:$C,Movimientos!$A:$A,$B8,Movimientos!$D:$D,CONCATENATE("&lt;=",EW$3),Movimientos!$C:$C,"&gt;0")+SUMIFS(Movimientos!$C:$C,Movimientos!$A:$A,$B8,Movimientos!$D:$D,CONCATENATE("&lt;",EW$3),Movimientos!$C:$C,"&lt;0")</f>
        <v>0</v>
      </c>
      <c r="EX8" s="5">
        <f ca="1">SUMIFS(Movimientos!$C:$C,Movimientos!$A:$A,$B8,Movimientos!$D:$D,CONCATENATE("&lt;=",EX$3),Movimientos!$C:$C,"&gt;0")+SUMIFS(Movimientos!$C:$C,Movimientos!$A:$A,$B8,Movimientos!$D:$D,CONCATENATE("&lt;",EX$3),Movimientos!$C:$C,"&lt;0")</f>
        <v>0</v>
      </c>
      <c r="EY8" s="5">
        <f ca="1">SUMIFS(Movimientos!$C:$C,Movimientos!$A:$A,$B8,Movimientos!$D:$D,CONCATENATE("&lt;=",EY$3),Movimientos!$C:$C,"&gt;0")+SUMIFS(Movimientos!$C:$C,Movimientos!$A:$A,$B8,Movimientos!$D:$D,CONCATENATE("&lt;",EY$3),Movimientos!$C:$C,"&lt;0")</f>
        <v>0</v>
      </c>
      <c r="EZ8" s="5">
        <f ca="1">SUMIFS(Movimientos!$C:$C,Movimientos!$A:$A,$B8,Movimientos!$D:$D,CONCATENATE("&lt;=",EZ$3),Movimientos!$C:$C,"&gt;0")+SUMIFS(Movimientos!$C:$C,Movimientos!$A:$A,$B8,Movimientos!$D:$D,CONCATENATE("&lt;",EZ$3),Movimientos!$C:$C,"&lt;0")</f>
        <v>0</v>
      </c>
      <c r="FA8" s="5">
        <f ca="1">SUMIFS(Movimientos!$C:$C,Movimientos!$A:$A,$B8,Movimientos!$D:$D,CONCATENATE("&lt;=",FA$3),Movimientos!$C:$C,"&gt;0")+SUMIFS(Movimientos!$C:$C,Movimientos!$A:$A,$B8,Movimientos!$D:$D,CONCATENATE("&lt;",FA$3),Movimientos!$C:$C,"&lt;0")</f>
        <v>0</v>
      </c>
      <c r="FB8" s="5">
        <f ca="1">SUMIFS(Movimientos!$C:$C,Movimientos!$A:$A,$B8,Movimientos!$D:$D,CONCATENATE("&lt;=",FB$3),Movimientos!$C:$C,"&gt;0")+SUMIFS(Movimientos!$C:$C,Movimientos!$A:$A,$B8,Movimientos!$D:$D,CONCATENATE("&lt;",FB$3),Movimientos!$C:$C,"&lt;0")</f>
        <v>0</v>
      </c>
      <c r="FC8" s="5">
        <f ca="1">SUMIFS(Movimientos!$C:$C,Movimientos!$A:$A,$B8,Movimientos!$D:$D,CONCATENATE("&lt;=",FC$3),Movimientos!$C:$C,"&gt;0")+SUMIFS(Movimientos!$C:$C,Movimientos!$A:$A,$B8,Movimientos!$D:$D,CONCATENATE("&lt;",FC$3),Movimientos!$C:$C,"&lt;0")</f>
        <v>0</v>
      </c>
      <c r="FD8" s="5">
        <f ca="1">SUMIFS(Movimientos!$C:$C,Movimientos!$A:$A,$B8,Movimientos!$D:$D,CONCATENATE("&lt;=",FD$3),Movimientos!$C:$C,"&gt;0")+SUMIFS(Movimientos!$C:$C,Movimientos!$A:$A,$B8,Movimientos!$D:$D,CONCATENATE("&lt;",FD$3),Movimientos!$C:$C,"&lt;0")</f>
        <v>0</v>
      </c>
      <c r="FE8" s="5">
        <f ca="1">SUMIFS(Movimientos!$C:$C,Movimientos!$A:$A,$B8,Movimientos!$D:$D,CONCATENATE("&lt;=",FE$3),Movimientos!$C:$C,"&gt;0")+SUMIFS(Movimientos!$C:$C,Movimientos!$A:$A,$B8,Movimientos!$D:$D,CONCATENATE("&lt;",FE$3),Movimientos!$C:$C,"&lt;0")</f>
        <v>0</v>
      </c>
      <c r="FF8" s="5">
        <f ca="1">SUMIFS(Movimientos!$C:$C,Movimientos!$A:$A,$B8,Movimientos!$D:$D,CONCATENATE("&lt;=",FF$3),Movimientos!$C:$C,"&gt;0")+SUMIFS(Movimientos!$C:$C,Movimientos!$A:$A,$B8,Movimientos!$D:$D,CONCATENATE("&lt;",FF$3),Movimientos!$C:$C,"&lt;0")</f>
        <v>0</v>
      </c>
      <c r="FG8" s="5">
        <f ca="1">SUMIFS(Movimientos!$C:$C,Movimientos!$A:$A,$B8,Movimientos!$D:$D,CONCATENATE("&lt;=",FG$3),Movimientos!$C:$C,"&gt;0")+SUMIFS(Movimientos!$C:$C,Movimientos!$A:$A,$B8,Movimientos!$D:$D,CONCATENATE("&lt;",FG$3),Movimientos!$C:$C,"&lt;0")</f>
        <v>0</v>
      </c>
      <c r="FH8" s="5">
        <f ca="1">SUMIFS(Movimientos!$C:$C,Movimientos!$A:$A,$B8,Movimientos!$D:$D,CONCATENATE("&lt;=",FH$3),Movimientos!$C:$C,"&gt;0")+SUMIFS(Movimientos!$C:$C,Movimientos!$A:$A,$B8,Movimientos!$D:$D,CONCATENATE("&lt;",FH$3),Movimientos!$C:$C,"&lt;0")</f>
        <v>0</v>
      </c>
      <c r="FI8" s="5">
        <f ca="1">SUMIFS(Movimientos!$C:$C,Movimientos!$A:$A,$B8,Movimientos!$D:$D,CONCATENATE("&lt;=",FI$3),Movimientos!$C:$C,"&gt;0")+SUMIFS(Movimientos!$C:$C,Movimientos!$A:$A,$B8,Movimientos!$D:$D,CONCATENATE("&lt;",FI$3),Movimientos!$C:$C,"&lt;0")</f>
        <v>0</v>
      </c>
      <c r="FJ8" s="5">
        <f ca="1">SUMIFS(Movimientos!$C:$C,Movimientos!$A:$A,$B8,Movimientos!$D:$D,CONCATENATE("&lt;=",FJ$3),Movimientos!$C:$C,"&gt;0")+SUMIFS(Movimientos!$C:$C,Movimientos!$A:$A,$B8,Movimientos!$D:$D,CONCATENATE("&lt;",FJ$3),Movimientos!$C:$C,"&lt;0")</f>
        <v>0</v>
      </c>
      <c r="FK8" s="5">
        <f ca="1">SUMIFS(Movimientos!$C:$C,Movimientos!$A:$A,$B8,Movimientos!$D:$D,CONCATENATE("&lt;=",FK$3),Movimientos!$C:$C,"&gt;0")+SUMIFS(Movimientos!$C:$C,Movimientos!$A:$A,$B8,Movimientos!$D:$D,CONCATENATE("&lt;",FK$3),Movimientos!$C:$C,"&lt;0")</f>
        <v>0</v>
      </c>
      <c r="FL8" s="5">
        <f ca="1">SUMIFS(Movimientos!$C:$C,Movimientos!$A:$A,$B8,Movimientos!$D:$D,CONCATENATE("&lt;=",FL$3),Movimientos!$C:$C,"&gt;0")+SUMIFS(Movimientos!$C:$C,Movimientos!$A:$A,$B8,Movimientos!$D:$D,CONCATENATE("&lt;",FL$3),Movimientos!$C:$C,"&lt;0")</f>
        <v>0</v>
      </c>
      <c r="FM8" s="5">
        <f ca="1">SUMIFS(Movimientos!$C:$C,Movimientos!$A:$A,$B8,Movimientos!$D:$D,CONCATENATE("&lt;=",FM$3),Movimientos!$C:$C,"&gt;0")+SUMIFS(Movimientos!$C:$C,Movimientos!$A:$A,$B8,Movimientos!$D:$D,CONCATENATE("&lt;",FM$3),Movimientos!$C:$C,"&lt;0")</f>
        <v>0</v>
      </c>
      <c r="FN8" s="5">
        <f ca="1">SUMIFS(Movimientos!$C:$C,Movimientos!$A:$A,$B8,Movimientos!$D:$D,CONCATENATE("&lt;=",FN$3),Movimientos!$C:$C,"&gt;0")+SUMIFS(Movimientos!$C:$C,Movimientos!$A:$A,$B8,Movimientos!$D:$D,CONCATENATE("&lt;",FN$3),Movimientos!$C:$C,"&lt;0")</f>
        <v>0</v>
      </c>
      <c r="FO8" s="5">
        <f ca="1">SUMIFS(Movimientos!$C:$C,Movimientos!$A:$A,$B8,Movimientos!$D:$D,CONCATENATE("&lt;=",FO$3),Movimientos!$C:$C,"&gt;0")+SUMIFS(Movimientos!$C:$C,Movimientos!$A:$A,$B8,Movimientos!$D:$D,CONCATENATE("&lt;",FO$3),Movimientos!$C:$C,"&lt;0")</f>
        <v>0</v>
      </c>
      <c r="FP8" s="5">
        <f ca="1">SUMIFS(Movimientos!$C:$C,Movimientos!$A:$A,$B8,Movimientos!$D:$D,CONCATENATE("&lt;=",FP$3),Movimientos!$C:$C,"&gt;0")+SUMIFS(Movimientos!$C:$C,Movimientos!$A:$A,$B8,Movimientos!$D:$D,CONCATENATE("&lt;",FP$3),Movimientos!$C:$C,"&lt;0")</f>
        <v>0</v>
      </c>
      <c r="FQ8" s="5">
        <f ca="1">SUMIFS(Movimientos!$C:$C,Movimientos!$A:$A,$B8,Movimientos!$D:$D,CONCATENATE("&lt;=",FQ$3),Movimientos!$C:$C,"&gt;0")+SUMIFS(Movimientos!$C:$C,Movimientos!$A:$A,$B8,Movimientos!$D:$D,CONCATENATE("&lt;",FQ$3),Movimientos!$C:$C,"&lt;0")</f>
        <v>0</v>
      </c>
      <c r="FR8" s="5">
        <f ca="1">SUMIFS(Movimientos!$C:$C,Movimientos!$A:$A,$B8,Movimientos!$D:$D,CONCATENATE("&lt;=",FR$3),Movimientos!$C:$C,"&gt;0")+SUMIFS(Movimientos!$C:$C,Movimientos!$A:$A,$B8,Movimientos!$D:$D,CONCATENATE("&lt;",FR$3),Movimientos!$C:$C,"&lt;0")</f>
        <v>0</v>
      </c>
      <c r="FS8" s="5">
        <f ca="1">SUMIFS(Movimientos!$C:$C,Movimientos!$A:$A,$B8,Movimientos!$D:$D,CONCATENATE("&lt;=",FS$3),Movimientos!$C:$C,"&gt;0")+SUMIFS(Movimientos!$C:$C,Movimientos!$A:$A,$B8,Movimientos!$D:$D,CONCATENATE("&lt;",FS$3),Movimientos!$C:$C,"&lt;0")</f>
        <v>0</v>
      </c>
      <c r="FT8" s="5">
        <f ca="1">SUMIFS(Movimientos!$C:$C,Movimientos!$A:$A,$B8,Movimientos!$D:$D,CONCATENATE("&lt;=",FT$3),Movimientos!$C:$C,"&gt;0")+SUMIFS(Movimientos!$C:$C,Movimientos!$A:$A,$B8,Movimientos!$D:$D,CONCATENATE("&lt;",FT$3),Movimientos!$C:$C,"&lt;0")</f>
        <v>0</v>
      </c>
      <c r="FU8" s="5">
        <f ca="1">SUMIFS(Movimientos!$C:$C,Movimientos!$A:$A,$B8,Movimientos!$D:$D,CONCATENATE("&lt;=",FU$3),Movimientos!$C:$C,"&gt;0")+SUMIFS(Movimientos!$C:$C,Movimientos!$A:$A,$B8,Movimientos!$D:$D,CONCATENATE("&lt;",FU$3),Movimientos!$C:$C,"&lt;0")</f>
        <v>0</v>
      </c>
      <c r="FV8" s="5">
        <f ca="1">SUMIFS(Movimientos!$C:$C,Movimientos!$A:$A,$B8,Movimientos!$D:$D,CONCATENATE("&lt;=",FV$3),Movimientos!$C:$C,"&gt;0")+SUMIFS(Movimientos!$C:$C,Movimientos!$A:$A,$B8,Movimientos!$D:$D,CONCATENATE("&lt;",FV$3),Movimientos!$C:$C,"&lt;0")</f>
        <v>0</v>
      </c>
      <c r="FW8" s="5">
        <f ca="1">SUMIFS(Movimientos!$C:$C,Movimientos!$A:$A,$B8,Movimientos!$D:$D,CONCATENATE("&lt;=",FW$3),Movimientos!$C:$C,"&gt;0")+SUMIFS(Movimientos!$C:$C,Movimientos!$A:$A,$B8,Movimientos!$D:$D,CONCATENATE("&lt;",FW$3),Movimientos!$C:$C,"&lt;0")</f>
        <v>0</v>
      </c>
      <c r="FX8" s="5">
        <f ca="1">SUMIFS(Movimientos!$C:$C,Movimientos!$A:$A,$B8,Movimientos!$D:$D,CONCATENATE("&lt;=",FX$3),Movimientos!$C:$C,"&gt;0")+SUMIFS(Movimientos!$C:$C,Movimientos!$A:$A,$B8,Movimientos!$D:$D,CONCATENATE("&lt;",FX$3),Movimientos!$C:$C,"&lt;0")</f>
        <v>0</v>
      </c>
      <c r="FY8" s="5">
        <f ca="1">SUMIFS(Movimientos!$C:$C,Movimientos!$A:$A,$B8,Movimientos!$D:$D,CONCATENATE("&lt;=",FY$3),Movimientos!$C:$C,"&gt;0")+SUMIFS(Movimientos!$C:$C,Movimientos!$A:$A,$B8,Movimientos!$D:$D,CONCATENATE("&lt;",FY$3),Movimientos!$C:$C,"&lt;0")</f>
        <v>0</v>
      </c>
      <c r="FZ8" s="5">
        <f ca="1">SUMIFS(Movimientos!$C:$C,Movimientos!$A:$A,$B8,Movimientos!$D:$D,CONCATENATE("&lt;=",FZ$3),Movimientos!$C:$C,"&gt;0")+SUMIFS(Movimientos!$C:$C,Movimientos!$A:$A,$B8,Movimientos!$D:$D,CONCATENATE("&lt;",FZ$3),Movimientos!$C:$C,"&lt;0")</f>
        <v>0</v>
      </c>
      <c r="GA8" s="5">
        <f ca="1">SUMIFS(Movimientos!$C:$C,Movimientos!$A:$A,$B8,Movimientos!$D:$D,CONCATENATE("&lt;=",GA$3),Movimientos!$C:$C,"&gt;0")+SUMIFS(Movimientos!$C:$C,Movimientos!$A:$A,$B8,Movimientos!$D:$D,CONCATENATE("&lt;",GA$3),Movimientos!$C:$C,"&lt;0")</f>
        <v>0</v>
      </c>
      <c r="GB8" s="5">
        <f ca="1">SUMIFS(Movimientos!$C:$C,Movimientos!$A:$A,$B8,Movimientos!$D:$D,CONCATENATE("&lt;=",GB$3),Movimientos!$C:$C,"&gt;0")+SUMIFS(Movimientos!$C:$C,Movimientos!$A:$A,$B8,Movimientos!$D:$D,CONCATENATE("&lt;",GB$3),Movimientos!$C:$C,"&lt;0")</f>
        <v>0</v>
      </c>
      <c r="GC8" s="5">
        <f ca="1">SUMIFS(Movimientos!$C:$C,Movimientos!$A:$A,$B8,Movimientos!$D:$D,CONCATENATE("&lt;=",GC$3),Movimientos!$C:$C,"&gt;0")+SUMIFS(Movimientos!$C:$C,Movimientos!$A:$A,$B8,Movimientos!$D:$D,CONCATENATE("&lt;",GC$3),Movimientos!$C:$C,"&lt;0")</f>
        <v>0</v>
      </c>
      <c r="GD8" s="5">
        <f ca="1">SUMIFS(Movimientos!$C:$C,Movimientos!$A:$A,$B8,Movimientos!$D:$D,CONCATENATE("&lt;=",GD$3),Movimientos!$C:$C,"&gt;0")+SUMIFS(Movimientos!$C:$C,Movimientos!$A:$A,$B8,Movimientos!$D:$D,CONCATENATE("&lt;",GD$3),Movimientos!$C:$C,"&lt;0")</f>
        <v>0</v>
      </c>
      <c r="GE8" s="5">
        <f ca="1">SUMIFS(Movimientos!$C:$C,Movimientos!$A:$A,$B8,Movimientos!$D:$D,CONCATENATE("&lt;=",GE$3),Movimientos!$C:$C,"&gt;0")+SUMIFS(Movimientos!$C:$C,Movimientos!$A:$A,$B8,Movimientos!$D:$D,CONCATENATE("&lt;",GE$3),Movimientos!$C:$C,"&lt;0")</f>
        <v>0</v>
      </c>
      <c r="GF8" s="5">
        <f ca="1">SUMIFS(Movimientos!$C:$C,Movimientos!$A:$A,$B8,Movimientos!$D:$D,CONCATENATE("&lt;=",GF$3),Movimientos!$C:$C,"&gt;0")+SUMIFS(Movimientos!$C:$C,Movimientos!$A:$A,$B8,Movimientos!$D:$D,CONCATENATE("&lt;",GF$3),Movimientos!$C:$C,"&lt;0")</f>
        <v>0</v>
      </c>
      <c r="GG8" s="5">
        <f ca="1">SUMIFS(Movimientos!$C:$C,Movimientos!$A:$A,$B8,Movimientos!$D:$D,CONCATENATE("&lt;=",GG$3),Movimientos!$C:$C,"&gt;0")+SUMIFS(Movimientos!$C:$C,Movimientos!$A:$A,$B8,Movimientos!$D:$D,CONCATENATE("&lt;",GG$3),Movimientos!$C:$C,"&lt;0")</f>
        <v>0</v>
      </c>
      <c r="GH8" s="5">
        <f ca="1">SUMIFS(Movimientos!$C:$C,Movimientos!$A:$A,$B8,Movimientos!$D:$D,CONCATENATE("&lt;=",GH$3),Movimientos!$C:$C,"&gt;0")+SUMIFS(Movimientos!$C:$C,Movimientos!$A:$A,$B8,Movimientos!$D:$D,CONCATENATE("&lt;",GH$3),Movimientos!$C:$C,"&lt;0")</f>
        <v>0</v>
      </c>
      <c r="GI8" s="5">
        <f ca="1">SUMIFS(Movimientos!$C:$C,Movimientos!$A:$A,$B8,Movimientos!$D:$D,CONCATENATE("&lt;=",GI$3),Movimientos!$C:$C,"&gt;0")+SUMIFS(Movimientos!$C:$C,Movimientos!$A:$A,$B8,Movimientos!$D:$D,CONCATENATE("&lt;",GI$3),Movimientos!$C:$C,"&lt;0")</f>
        <v>0</v>
      </c>
      <c r="GJ8" s="5">
        <f ca="1">SUMIFS(Movimientos!$C:$C,Movimientos!$A:$A,$B8,Movimientos!$D:$D,CONCATENATE("&lt;=",GJ$3),Movimientos!$C:$C,"&gt;0")+SUMIFS(Movimientos!$C:$C,Movimientos!$A:$A,$B8,Movimientos!$D:$D,CONCATENATE("&lt;",GJ$3),Movimientos!$C:$C,"&lt;0")</f>
        <v>0</v>
      </c>
      <c r="GK8" s="5">
        <f ca="1">SUMIFS(Movimientos!$C:$C,Movimientos!$A:$A,$B8,Movimientos!$D:$D,CONCATENATE("&lt;=",GK$3),Movimientos!$C:$C,"&gt;0")+SUMIFS(Movimientos!$C:$C,Movimientos!$A:$A,$B8,Movimientos!$D:$D,CONCATENATE("&lt;",GK$3),Movimientos!$C:$C,"&lt;0")</f>
        <v>0</v>
      </c>
      <c r="GL8" s="5">
        <f ca="1">SUMIFS(Movimientos!$C:$C,Movimientos!$A:$A,$B8,Movimientos!$D:$D,CONCATENATE("&lt;=",GL$3),Movimientos!$C:$C,"&gt;0")+SUMIFS(Movimientos!$C:$C,Movimientos!$A:$A,$B8,Movimientos!$D:$D,CONCATENATE("&lt;",GL$3),Movimientos!$C:$C,"&lt;0")</f>
        <v>0</v>
      </c>
      <c r="GM8" s="5">
        <f ca="1">SUMIFS(Movimientos!$C:$C,Movimientos!$A:$A,$B8,Movimientos!$D:$D,CONCATENATE("&lt;=",GM$3),Movimientos!$C:$C,"&gt;0")+SUMIFS(Movimientos!$C:$C,Movimientos!$A:$A,$B8,Movimientos!$D:$D,CONCATENATE("&lt;",GM$3),Movimientos!$C:$C,"&lt;0")</f>
        <v>0</v>
      </c>
      <c r="GN8" s="5">
        <f ca="1">SUMIFS(Movimientos!$C:$C,Movimientos!$A:$A,$B8,Movimientos!$D:$D,CONCATENATE("&lt;=",GN$3),Movimientos!$C:$C,"&gt;0")+SUMIFS(Movimientos!$C:$C,Movimientos!$A:$A,$B8,Movimientos!$D:$D,CONCATENATE("&lt;",GN$3),Movimientos!$C:$C,"&lt;0")</f>
        <v>0</v>
      </c>
      <c r="GO8" s="5">
        <f ca="1">SUMIFS(Movimientos!$C:$C,Movimientos!$A:$A,$B8,Movimientos!$D:$D,CONCATENATE("&lt;=",GO$3),Movimientos!$C:$C,"&gt;0")+SUMIFS(Movimientos!$C:$C,Movimientos!$A:$A,$B8,Movimientos!$D:$D,CONCATENATE("&lt;",GO$3),Movimientos!$C:$C,"&lt;0")</f>
        <v>0</v>
      </c>
      <c r="GP8" s="5">
        <f ca="1">SUMIFS(Movimientos!$C:$C,Movimientos!$A:$A,$B8,Movimientos!$D:$D,CONCATENATE("&lt;=",GP$3),Movimientos!$C:$C,"&gt;0")+SUMIFS(Movimientos!$C:$C,Movimientos!$A:$A,$B8,Movimientos!$D:$D,CONCATENATE("&lt;",GP$3),Movimientos!$C:$C,"&lt;0")</f>
        <v>0</v>
      </c>
      <c r="GQ8" s="5">
        <f ca="1">SUMIFS(Movimientos!$C:$C,Movimientos!$A:$A,$B8,Movimientos!$D:$D,CONCATENATE("&lt;=",GQ$3),Movimientos!$C:$C,"&gt;0")+SUMIFS(Movimientos!$C:$C,Movimientos!$A:$A,$B8,Movimientos!$D:$D,CONCATENATE("&lt;",GQ$3),Movimientos!$C:$C,"&lt;0")</f>
        <v>0</v>
      </c>
      <c r="GR8" s="5">
        <f ca="1">SUMIFS(Movimientos!$C:$C,Movimientos!$A:$A,$B8,Movimientos!$D:$D,CONCATENATE("&lt;=",GR$3),Movimientos!$C:$C,"&gt;0")+SUMIFS(Movimientos!$C:$C,Movimientos!$A:$A,$B8,Movimientos!$D:$D,CONCATENATE("&lt;",GR$3),Movimientos!$C:$C,"&lt;0")</f>
        <v>0</v>
      </c>
      <c r="GS8" s="5">
        <f ca="1">SUMIFS(Movimientos!$C:$C,Movimientos!$A:$A,$B8,Movimientos!$D:$D,CONCATENATE("&lt;=",GS$3),Movimientos!$C:$C,"&gt;0")+SUMIFS(Movimientos!$C:$C,Movimientos!$A:$A,$B8,Movimientos!$D:$D,CONCATENATE("&lt;",GS$3),Movimientos!$C:$C,"&lt;0")</f>
        <v>0</v>
      </c>
      <c r="GT8" s="5">
        <f ca="1">SUMIFS(Movimientos!$C:$C,Movimientos!$A:$A,$B8,Movimientos!$D:$D,CONCATENATE("&lt;=",GT$3),Movimientos!$C:$C,"&gt;0")+SUMIFS(Movimientos!$C:$C,Movimientos!$A:$A,$B8,Movimientos!$D:$D,CONCATENATE("&lt;",GT$3),Movimientos!$C:$C,"&lt;0")</f>
        <v>0</v>
      </c>
      <c r="GU8" s="5">
        <f ca="1">SUMIFS(Movimientos!$C:$C,Movimientos!$A:$A,$B8,Movimientos!$D:$D,CONCATENATE("&lt;=",GU$3),Movimientos!$C:$C,"&gt;0")+SUMIFS(Movimientos!$C:$C,Movimientos!$A:$A,$B8,Movimientos!$D:$D,CONCATENATE("&lt;",GU$3),Movimientos!$C:$C,"&lt;0")</f>
        <v>0</v>
      </c>
      <c r="GV8" s="5">
        <f ca="1">SUMIFS(Movimientos!$C:$C,Movimientos!$A:$A,$B8,Movimientos!$D:$D,CONCATENATE("&lt;=",GV$3),Movimientos!$C:$C,"&gt;0")+SUMIFS(Movimientos!$C:$C,Movimientos!$A:$A,$B8,Movimientos!$D:$D,CONCATENATE("&lt;",GV$3),Movimientos!$C:$C,"&lt;0")</f>
        <v>0</v>
      </c>
      <c r="GW8" s="5">
        <f ca="1">SUMIFS(Movimientos!$C:$C,Movimientos!$A:$A,$B8,Movimientos!$D:$D,CONCATENATE("&lt;=",GW$3),Movimientos!$C:$C,"&gt;0")+SUMIFS(Movimientos!$C:$C,Movimientos!$A:$A,$B8,Movimientos!$D:$D,CONCATENATE("&lt;",GW$3),Movimientos!$C:$C,"&lt;0")</f>
        <v>0</v>
      </c>
      <c r="GX8" s="5">
        <f ca="1">SUMIFS(Movimientos!$C:$C,Movimientos!$A:$A,$B8,Movimientos!$D:$D,CONCATENATE("&lt;=",GX$3),Movimientos!$C:$C,"&gt;0")+SUMIFS(Movimientos!$C:$C,Movimientos!$A:$A,$B8,Movimientos!$D:$D,CONCATENATE("&lt;",GX$3),Movimientos!$C:$C,"&lt;0")</f>
        <v>0</v>
      </c>
      <c r="GY8" s="5">
        <f ca="1">SUMIFS(Movimientos!$C:$C,Movimientos!$A:$A,$B8,Movimientos!$D:$D,CONCATENATE("&lt;=",GY$3),Movimientos!$C:$C,"&gt;0")+SUMIFS(Movimientos!$C:$C,Movimientos!$A:$A,$B8,Movimientos!$D:$D,CONCATENATE("&lt;",GY$3),Movimientos!$C:$C,"&lt;0")</f>
        <v>0</v>
      </c>
      <c r="GZ8" s="5">
        <f ca="1">SUMIFS(Movimientos!$C:$C,Movimientos!$A:$A,$B8,Movimientos!$D:$D,CONCATENATE("&lt;=",GZ$3),Movimientos!$C:$C,"&gt;0")+SUMIFS(Movimientos!$C:$C,Movimientos!$A:$A,$B8,Movimientos!$D:$D,CONCATENATE("&lt;",GZ$3),Movimientos!$C:$C,"&lt;0")</f>
        <v>0</v>
      </c>
      <c r="HA8" s="5">
        <f ca="1">SUMIFS(Movimientos!$C:$C,Movimientos!$A:$A,$B8,Movimientos!$D:$D,CONCATENATE("&lt;=",HA$3),Movimientos!$C:$C,"&gt;0")+SUMIFS(Movimientos!$C:$C,Movimientos!$A:$A,$B8,Movimientos!$D:$D,CONCATENATE("&lt;",HA$3),Movimientos!$C:$C,"&lt;0")</f>
        <v>0</v>
      </c>
      <c r="HB8" s="5">
        <f ca="1">SUMIFS(Movimientos!$C:$C,Movimientos!$A:$A,$B8,Movimientos!$D:$D,CONCATENATE("&lt;=",HB$3),Movimientos!$C:$C,"&gt;0")+SUMIFS(Movimientos!$C:$C,Movimientos!$A:$A,$B8,Movimientos!$D:$D,CONCATENATE("&lt;",HB$3),Movimientos!$C:$C,"&lt;0")</f>
        <v>0</v>
      </c>
      <c r="HC8" s="5">
        <f ca="1">SUMIFS(Movimientos!$C:$C,Movimientos!$A:$A,$B8,Movimientos!$D:$D,CONCATENATE("&lt;=",HC$3),Movimientos!$C:$C,"&gt;0")+SUMIFS(Movimientos!$C:$C,Movimientos!$A:$A,$B8,Movimientos!$D:$D,CONCATENATE("&lt;",HC$3),Movimientos!$C:$C,"&lt;0")</f>
        <v>0</v>
      </c>
      <c r="HD8" s="5">
        <f ca="1">SUMIFS(Movimientos!$C:$C,Movimientos!$A:$A,$B8,Movimientos!$D:$D,CONCATENATE("&lt;=",HD$3),Movimientos!$C:$C,"&gt;0")+SUMIFS(Movimientos!$C:$C,Movimientos!$A:$A,$B8,Movimientos!$D:$D,CONCATENATE("&lt;",HD$3),Movimientos!$C:$C,"&lt;0")</f>
        <v>0</v>
      </c>
      <c r="HE8" s="5">
        <f ca="1">SUMIFS(Movimientos!$C:$C,Movimientos!$A:$A,$B8,Movimientos!$D:$D,CONCATENATE("&lt;=",HE$3),Movimientos!$C:$C,"&gt;0")+SUMIFS(Movimientos!$C:$C,Movimientos!$A:$A,$B8,Movimientos!$D:$D,CONCATENATE("&lt;",HE$3),Movimientos!$C:$C,"&lt;0")</f>
        <v>0</v>
      </c>
      <c r="HF8" s="5">
        <f ca="1">SUMIFS(Movimientos!$C:$C,Movimientos!$A:$A,$B8,Movimientos!$D:$D,CONCATENATE("&lt;=",HF$3),Movimientos!$C:$C,"&gt;0")+SUMIFS(Movimientos!$C:$C,Movimientos!$A:$A,$B8,Movimientos!$D:$D,CONCATENATE("&lt;",HF$3),Movimientos!$C:$C,"&lt;0")</f>
        <v>0</v>
      </c>
      <c r="HG8" s="5">
        <f ca="1">SUMIFS(Movimientos!$C:$C,Movimientos!$A:$A,$B8,Movimientos!$D:$D,CONCATENATE("&lt;=",HG$3),Movimientos!$C:$C,"&gt;0")+SUMIFS(Movimientos!$C:$C,Movimientos!$A:$A,$B8,Movimientos!$D:$D,CONCATENATE("&lt;",HG$3),Movimientos!$C:$C,"&lt;0")</f>
        <v>0</v>
      </c>
      <c r="HH8" s="5">
        <f ca="1">SUMIFS(Movimientos!$C:$C,Movimientos!$A:$A,$B8,Movimientos!$D:$D,CONCATENATE("&lt;=",HH$3),Movimientos!$C:$C,"&gt;0")+SUMIFS(Movimientos!$C:$C,Movimientos!$A:$A,$B8,Movimientos!$D:$D,CONCATENATE("&lt;",HH$3),Movimientos!$C:$C,"&lt;0")</f>
        <v>0</v>
      </c>
      <c r="HI8" s="5">
        <f ca="1">SUMIFS(Movimientos!$C:$C,Movimientos!$A:$A,$B8,Movimientos!$D:$D,CONCATENATE("&lt;=",HI$3),Movimientos!$C:$C,"&gt;0")+SUMIFS(Movimientos!$C:$C,Movimientos!$A:$A,$B8,Movimientos!$D:$D,CONCATENATE("&lt;",HI$3),Movimientos!$C:$C,"&lt;0")</f>
        <v>0</v>
      </c>
      <c r="HJ8" s="5">
        <f ca="1">SUMIFS(Movimientos!$C:$C,Movimientos!$A:$A,$B8,Movimientos!$D:$D,CONCATENATE("&lt;=",HJ$3),Movimientos!$C:$C,"&gt;0")+SUMIFS(Movimientos!$C:$C,Movimientos!$A:$A,$B8,Movimientos!$D:$D,CONCATENATE("&lt;",HJ$3),Movimientos!$C:$C,"&lt;0")</f>
        <v>0</v>
      </c>
      <c r="HK8" s="5">
        <f ca="1">SUMIFS(Movimientos!$C:$C,Movimientos!$A:$A,$B8,Movimientos!$D:$D,CONCATENATE("&lt;=",HK$3),Movimientos!$C:$C,"&gt;0")+SUMIFS(Movimientos!$C:$C,Movimientos!$A:$A,$B8,Movimientos!$D:$D,CONCATENATE("&lt;",HK$3),Movimientos!$C:$C,"&lt;0")</f>
        <v>0</v>
      </c>
      <c r="HL8" s="5">
        <f ca="1">SUMIFS(Movimientos!$C:$C,Movimientos!$A:$A,$B8,Movimientos!$D:$D,CONCATENATE("&lt;=",HL$3),Movimientos!$C:$C,"&gt;0")+SUMIFS(Movimientos!$C:$C,Movimientos!$A:$A,$B8,Movimientos!$D:$D,CONCATENATE("&lt;",HL$3),Movimientos!$C:$C,"&lt;0")</f>
        <v>0</v>
      </c>
      <c r="HM8" s="5">
        <f ca="1">SUMIFS(Movimientos!$C:$C,Movimientos!$A:$A,$B8,Movimientos!$D:$D,CONCATENATE("&lt;=",HM$3),Movimientos!$C:$C,"&gt;0")+SUMIFS(Movimientos!$C:$C,Movimientos!$A:$A,$B8,Movimientos!$D:$D,CONCATENATE("&lt;",HM$3),Movimientos!$C:$C,"&lt;0")</f>
        <v>0</v>
      </c>
      <c r="HN8" s="5">
        <f ca="1">SUMIFS(Movimientos!$C:$C,Movimientos!$A:$A,$B8,Movimientos!$D:$D,CONCATENATE("&lt;=",HN$3),Movimientos!$C:$C,"&gt;0")+SUMIFS(Movimientos!$C:$C,Movimientos!$A:$A,$B8,Movimientos!$D:$D,CONCATENATE("&lt;",HN$3),Movimientos!$C:$C,"&lt;0")</f>
        <v>0</v>
      </c>
      <c r="HO8" s="5">
        <f ca="1">SUMIFS(Movimientos!$C:$C,Movimientos!$A:$A,$B8,Movimientos!$D:$D,CONCATENATE("&lt;=",HO$3),Movimientos!$C:$C,"&gt;0")+SUMIFS(Movimientos!$C:$C,Movimientos!$A:$A,$B8,Movimientos!$D:$D,CONCATENATE("&lt;",HO$3),Movimientos!$C:$C,"&lt;0")</f>
        <v>0</v>
      </c>
      <c r="HP8" s="5">
        <f ca="1">SUMIFS(Movimientos!$C:$C,Movimientos!$A:$A,$B8,Movimientos!$D:$D,CONCATENATE("&lt;=",HP$3),Movimientos!$C:$C,"&gt;0")+SUMIFS(Movimientos!$C:$C,Movimientos!$A:$A,$B8,Movimientos!$D:$D,CONCATENATE("&lt;",HP$3),Movimientos!$C:$C,"&lt;0")</f>
        <v>0</v>
      </c>
      <c r="HQ8" s="5">
        <f ca="1">SUMIFS(Movimientos!$C:$C,Movimientos!$A:$A,$B8,Movimientos!$D:$D,CONCATENATE("&lt;=",HQ$3),Movimientos!$C:$C,"&gt;0")+SUMIFS(Movimientos!$C:$C,Movimientos!$A:$A,$B8,Movimientos!$D:$D,CONCATENATE("&lt;",HQ$3),Movimientos!$C:$C,"&lt;0")</f>
        <v>0</v>
      </c>
      <c r="HR8" s="5">
        <f ca="1">SUMIFS(Movimientos!$C:$C,Movimientos!$A:$A,$B8,Movimientos!$D:$D,CONCATENATE("&lt;=",HR$3),Movimientos!$C:$C,"&gt;0")+SUMIFS(Movimientos!$C:$C,Movimientos!$A:$A,$B8,Movimientos!$D:$D,CONCATENATE("&lt;",HR$3),Movimientos!$C:$C,"&lt;0")</f>
        <v>0</v>
      </c>
      <c r="HS8" s="5">
        <f ca="1">SUMIFS(Movimientos!$C:$C,Movimientos!$A:$A,$B8,Movimientos!$D:$D,CONCATENATE("&lt;=",HS$3),Movimientos!$C:$C,"&gt;0")+SUMIFS(Movimientos!$C:$C,Movimientos!$A:$A,$B8,Movimientos!$D:$D,CONCATENATE("&lt;",HS$3),Movimientos!$C:$C,"&lt;0")</f>
        <v>0</v>
      </c>
      <c r="HT8" s="5">
        <f ca="1">SUMIFS(Movimientos!$C:$C,Movimientos!$A:$A,$B8,Movimientos!$D:$D,CONCATENATE("&lt;=",HT$3),Movimientos!$C:$C,"&gt;0")+SUMIFS(Movimientos!$C:$C,Movimientos!$A:$A,$B8,Movimientos!$D:$D,CONCATENATE("&lt;",HT$3),Movimientos!$C:$C,"&lt;0")</f>
        <v>0</v>
      </c>
      <c r="HU8" s="5">
        <f ca="1">SUMIFS(Movimientos!$C:$C,Movimientos!$A:$A,$B8,Movimientos!$D:$D,CONCATENATE("&lt;=",HU$3),Movimientos!$C:$C,"&gt;0")+SUMIFS(Movimientos!$C:$C,Movimientos!$A:$A,$B8,Movimientos!$D:$D,CONCATENATE("&lt;",HU$3),Movimientos!$C:$C,"&lt;0")</f>
        <v>0</v>
      </c>
      <c r="HV8" s="5">
        <f ca="1">SUMIFS(Movimientos!$C:$C,Movimientos!$A:$A,$B8,Movimientos!$D:$D,CONCATENATE("&lt;=",HV$3),Movimientos!$C:$C,"&gt;0")+SUMIFS(Movimientos!$C:$C,Movimientos!$A:$A,$B8,Movimientos!$D:$D,CONCATENATE("&lt;",HV$3),Movimientos!$C:$C,"&lt;0")</f>
        <v>0</v>
      </c>
      <c r="HW8" s="5">
        <f ca="1">SUMIFS(Movimientos!$C:$C,Movimientos!$A:$A,$B8,Movimientos!$D:$D,CONCATENATE("&lt;=",HW$3),Movimientos!$C:$C,"&gt;0")+SUMIFS(Movimientos!$C:$C,Movimientos!$A:$A,$B8,Movimientos!$D:$D,CONCATENATE("&lt;",HW$3),Movimientos!$C:$C,"&lt;0")</f>
        <v>0</v>
      </c>
      <c r="HX8" s="5">
        <f ca="1">SUMIFS(Movimientos!$C:$C,Movimientos!$A:$A,$B8,Movimientos!$D:$D,CONCATENATE("&lt;=",HX$3),Movimientos!$C:$C,"&gt;0")+SUMIFS(Movimientos!$C:$C,Movimientos!$A:$A,$B8,Movimientos!$D:$D,CONCATENATE("&lt;",HX$3),Movimientos!$C:$C,"&lt;0")</f>
        <v>0</v>
      </c>
      <c r="HY8" s="5">
        <f ca="1">SUMIFS(Movimientos!$C:$C,Movimientos!$A:$A,$B8,Movimientos!$D:$D,CONCATENATE("&lt;=",HY$3),Movimientos!$C:$C,"&gt;0")+SUMIFS(Movimientos!$C:$C,Movimientos!$A:$A,$B8,Movimientos!$D:$D,CONCATENATE("&lt;",HY$3),Movimientos!$C:$C,"&lt;0")</f>
        <v>0</v>
      </c>
      <c r="HZ8" s="5">
        <f ca="1">SUMIFS(Movimientos!$C:$C,Movimientos!$A:$A,$B8,Movimientos!$D:$D,CONCATENATE("&lt;=",HZ$3),Movimientos!$C:$C,"&gt;0")+SUMIFS(Movimientos!$C:$C,Movimientos!$A:$A,$B8,Movimientos!$D:$D,CONCATENATE("&lt;",HZ$3),Movimientos!$C:$C,"&lt;0")</f>
        <v>0</v>
      </c>
      <c r="IA8" s="5">
        <f ca="1">SUMIFS(Movimientos!$C:$C,Movimientos!$A:$A,$B8,Movimientos!$D:$D,CONCATENATE("&lt;=",IA$3),Movimientos!$C:$C,"&gt;0")+SUMIFS(Movimientos!$C:$C,Movimientos!$A:$A,$B8,Movimientos!$D:$D,CONCATENATE("&lt;",IA$3),Movimientos!$C:$C,"&lt;0")</f>
        <v>0</v>
      </c>
      <c r="IB8" s="5">
        <f ca="1">SUMIFS(Movimientos!$C:$C,Movimientos!$A:$A,$B8,Movimientos!$D:$D,CONCATENATE("&lt;=",IB$3),Movimientos!$C:$C,"&gt;0")+SUMIFS(Movimientos!$C:$C,Movimientos!$A:$A,$B8,Movimientos!$D:$D,CONCATENATE("&lt;",IB$3),Movimientos!$C:$C,"&lt;0")</f>
        <v>0</v>
      </c>
      <c r="IC8" s="5">
        <f ca="1">SUMIFS(Movimientos!$C:$C,Movimientos!$A:$A,$B8,Movimientos!$D:$D,CONCATENATE("&lt;=",IC$3),Movimientos!$C:$C,"&gt;0")+SUMIFS(Movimientos!$C:$C,Movimientos!$A:$A,$B8,Movimientos!$D:$D,CONCATENATE("&lt;",IC$3),Movimientos!$C:$C,"&lt;0")</f>
        <v>0</v>
      </c>
      <c r="ID8" s="5">
        <f ca="1">SUMIFS(Movimientos!$C:$C,Movimientos!$A:$A,$B8,Movimientos!$D:$D,CONCATENATE("&lt;=",ID$3),Movimientos!$C:$C,"&gt;0")+SUMIFS(Movimientos!$C:$C,Movimientos!$A:$A,$B8,Movimientos!$D:$D,CONCATENATE("&lt;",ID$3),Movimientos!$C:$C,"&lt;0")</f>
        <v>0</v>
      </c>
      <c r="IE8" s="5">
        <f ca="1">SUMIFS(Movimientos!$C:$C,Movimientos!$A:$A,$B8,Movimientos!$D:$D,CONCATENATE("&lt;=",IE$3),Movimientos!$C:$C,"&gt;0")+SUMIFS(Movimientos!$C:$C,Movimientos!$A:$A,$B8,Movimientos!$D:$D,CONCATENATE("&lt;",IE$3),Movimientos!$C:$C,"&lt;0")</f>
        <v>0</v>
      </c>
      <c r="IF8" s="5">
        <f ca="1">SUMIFS(Movimientos!$C:$C,Movimientos!$A:$A,$B8,Movimientos!$D:$D,CONCATENATE("&lt;=",IF$3),Movimientos!$C:$C,"&gt;0")+SUMIFS(Movimientos!$C:$C,Movimientos!$A:$A,$B8,Movimientos!$D:$D,CONCATENATE("&lt;",IF$3),Movimientos!$C:$C,"&lt;0")</f>
        <v>0</v>
      </c>
      <c r="IG8" s="5">
        <f ca="1">SUMIFS(Movimientos!$C:$C,Movimientos!$A:$A,$B8,Movimientos!$D:$D,CONCATENATE("&lt;=",IG$3),Movimientos!$C:$C,"&gt;0")+SUMIFS(Movimientos!$C:$C,Movimientos!$A:$A,$B8,Movimientos!$D:$D,CONCATENATE("&lt;",IG$3),Movimientos!$C:$C,"&lt;0")</f>
        <v>0</v>
      </c>
      <c r="IH8" s="5">
        <f ca="1">SUMIFS(Movimientos!$C:$C,Movimientos!$A:$A,$B8,Movimientos!$D:$D,CONCATENATE("&lt;=",IH$3),Movimientos!$C:$C,"&gt;0")+SUMIFS(Movimientos!$C:$C,Movimientos!$A:$A,$B8,Movimientos!$D:$D,CONCATENATE("&lt;",IH$3),Movimientos!$C:$C,"&lt;0")</f>
        <v>0</v>
      </c>
      <c r="II8" s="5">
        <f ca="1">SUMIFS(Movimientos!$C:$C,Movimientos!$A:$A,$B8,Movimientos!$D:$D,CONCATENATE("&lt;=",II$3),Movimientos!$C:$C,"&gt;0")+SUMIFS(Movimientos!$C:$C,Movimientos!$A:$A,$B8,Movimientos!$D:$D,CONCATENATE("&lt;",II$3),Movimientos!$C:$C,"&lt;0")</f>
        <v>0</v>
      </c>
      <c r="IJ8" s="5">
        <f ca="1">SUMIFS(Movimientos!$C:$C,Movimientos!$A:$A,$B8,Movimientos!$D:$D,CONCATENATE("&lt;=",IJ$3),Movimientos!$C:$C,"&gt;0")+SUMIFS(Movimientos!$C:$C,Movimientos!$A:$A,$B8,Movimientos!$D:$D,CONCATENATE("&lt;",IJ$3),Movimientos!$C:$C,"&lt;0")</f>
        <v>0</v>
      </c>
      <c r="IK8" s="5">
        <f ca="1">SUMIFS(Movimientos!$C:$C,Movimientos!$A:$A,$B8,Movimientos!$D:$D,CONCATENATE("&lt;=",IK$3),Movimientos!$C:$C,"&gt;0")+SUMIFS(Movimientos!$C:$C,Movimientos!$A:$A,$B8,Movimientos!$D:$D,CONCATENATE("&lt;",IK$3),Movimientos!$C:$C,"&lt;0")</f>
        <v>0</v>
      </c>
      <c r="IL8" s="5">
        <f ca="1">SUMIFS(Movimientos!$C:$C,Movimientos!$A:$A,$B8,Movimientos!$D:$D,CONCATENATE("&lt;=",IL$3),Movimientos!$C:$C,"&gt;0")+SUMIFS(Movimientos!$C:$C,Movimientos!$A:$A,$B8,Movimientos!$D:$D,CONCATENATE("&lt;",IL$3),Movimientos!$C:$C,"&lt;0")</f>
        <v>0</v>
      </c>
      <c r="IM8" s="5">
        <f ca="1">SUMIFS(Movimientos!$C:$C,Movimientos!$A:$A,$B8,Movimientos!$D:$D,CONCATENATE("&lt;=",IM$3),Movimientos!$C:$C,"&gt;0")+SUMIFS(Movimientos!$C:$C,Movimientos!$A:$A,$B8,Movimientos!$D:$D,CONCATENATE("&lt;",IM$3),Movimientos!$C:$C,"&lt;0")</f>
        <v>0</v>
      </c>
      <c r="IN8" s="5">
        <f ca="1">SUMIFS(Movimientos!$C:$C,Movimientos!$A:$A,$B8,Movimientos!$D:$D,CONCATENATE("&lt;=",IN$3),Movimientos!$C:$C,"&gt;0")+SUMIFS(Movimientos!$C:$C,Movimientos!$A:$A,$B8,Movimientos!$D:$D,CONCATENATE("&lt;",IN$3),Movimientos!$C:$C,"&lt;0")</f>
        <v>0</v>
      </c>
      <c r="IO8" s="5">
        <f ca="1">SUMIFS(Movimientos!$C:$C,Movimientos!$A:$A,$B8,Movimientos!$D:$D,CONCATENATE("&lt;=",IO$3),Movimientos!$C:$C,"&gt;0")+SUMIFS(Movimientos!$C:$C,Movimientos!$A:$A,$B8,Movimientos!$D:$D,CONCATENATE("&lt;",IO$3),Movimientos!$C:$C,"&lt;0")</f>
        <v>0</v>
      </c>
      <c r="IP8" s="5">
        <f ca="1">SUMIFS(Movimientos!$C:$C,Movimientos!$A:$A,$B8,Movimientos!$D:$D,CONCATENATE("&lt;=",IP$3),Movimientos!$C:$C,"&gt;0")+SUMIFS(Movimientos!$C:$C,Movimientos!$A:$A,$B8,Movimientos!$D:$D,CONCATENATE("&lt;",IP$3),Movimientos!$C:$C,"&lt;0")</f>
        <v>0</v>
      </c>
      <c r="IQ8" s="5">
        <f ca="1">SUMIFS(Movimientos!$C:$C,Movimientos!$A:$A,$B8,Movimientos!$D:$D,CONCATENATE("&lt;=",IQ$3),Movimientos!$C:$C,"&gt;0")+SUMIFS(Movimientos!$C:$C,Movimientos!$A:$A,$B8,Movimientos!$D:$D,CONCATENATE("&lt;",IQ$3),Movimientos!$C:$C,"&lt;0")</f>
        <v>0</v>
      </c>
      <c r="IR8" s="5">
        <f ca="1">SUMIFS(Movimientos!$C:$C,Movimientos!$A:$A,$B8,Movimientos!$D:$D,CONCATENATE("&lt;=",IR$3),Movimientos!$C:$C,"&gt;0")+SUMIFS(Movimientos!$C:$C,Movimientos!$A:$A,$B8,Movimientos!$D:$D,CONCATENATE("&lt;",IR$3),Movimientos!$C:$C,"&lt;0")</f>
        <v>0</v>
      </c>
      <c r="IS8" s="5">
        <f ca="1">SUMIFS(Movimientos!$C:$C,Movimientos!$A:$A,$B8,Movimientos!$D:$D,CONCATENATE("&lt;=",IS$3),Movimientos!$C:$C,"&gt;0")+SUMIFS(Movimientos!$C:$C,Movimientos!$A:$A,$B8,Movimientos!$D:$D,CONCATENATE("&lt;",IS$3),Movimientos!$C:$C,"&lt;0")</f>
        <v>0</v>
      </c>
      <c r="IT8" s="5">
        <f ca="1">SUMIFS(Movimientos!$C:$C,Movimientos!$A:$A,$B8,Movimientos!$D:$D,CONCATENATE("&lt;=",IT$3),Movimientos!$C:$C,"&gt;0")+SUMIFS(Movimientos!$C:$C,Movimientos!$A:$A,$B8,Movimientos!$D:$D,CONCATENATE("&lt;",IT$3),Movimientos!$C:$C,"&lt;0")</f>
        <v>0</v>
      </c>
      <c r="IU8" s="5">
        <f ca="1">SUMIFS(Movimientos!$C:$C,Movimientos!$A:$A,$B8,Movimientos!$D:$D,CONCATENATE("&lt;=",IU$3),Movimientos!$C:$C,"&gt;0")+SUMIFS(Movimientos!$C:$C,Movimientos!$A:$A,$B8,Movimientos!$D:$D,CONCATENATE("&lt;",IU$3),Movimientos!$C:$C,"&lt;0")</f>
        <v>0</v>
      </c>
      <c r="IV8" s="5">
        <f ca="1">SUMIFS(Movimientos!$C:$C,Movimientos!$A:$A,$B8,Movimientos!$D:$D,CONCATENATE("&lt;=",IV$3),Movimientos!$C:$C,"&gt;0")+SUMIFS(Movimientos!$C:$C,Movimientos!$A:$A,$B8,Movimientos!$D:$D,CONCATENATE("&lt;",IV$3),Movimientos!$C:$C,"&lt;0")</f>
        <v>0</v>
      </c>
      <c r="IW8" s="5">
        <f ca="1">SUMIFS(Movimientos!$C:$C,Movimientos!$A:$A,$B8,Movimientos!$D:$D,CONCATENATE("&lt;=",IW$3),Movimientos!$C:$C,"&gt;0")+SUMIFS(Movimientos!$C:$C,Movimientos!$A:$A,$B8,Movimientos!$D:$D,CONCATENATE("&lt;",IW$3),Movimientos!$C:$C,"&lt;0")</f>
        <v>0</v>
      </c>
      <c r="IX8" s="5">
        <f ca="1">SUMIFS(Movimientos!$C:$C,Movimientos!$A:$A,$B8,Movimientos!$D:$D,CONCATENATE("&lt;=",IX$3),Movimientos!$C:$C,"&gt;0")+SUMIFS(Movimientos!$C:$C,Movimientos!$A:$A,$B8,Movimientos!$D:$D,CONCATENATE("&lt;",IX$3),Movimientos!$C:$C,"&lt;0")</f>
        <v>0</v>
      </c>
      <c r="IY8" s="5">
        <f ca="1">SUMIFS(Movimientos!$C:$C,Movimientos!$A:$A,$B8,Movimientos!$D:$D,CONCATENATE("&lt;=",IY$3),Movimientos!$C:$C,"&gt;0")+SUMIFS(Movimientos!$C:$C,Movimientos!$A:$A,$B8,Movimientos!$D:$D,CONCATENATE("&lt;",IY$3),Movimientos!$C:$C,"&lt;0")</f>
        <v>0</v>
      </c>
      <c r="IZ8" s="5">
        <f ca="1">SUMIFS(Movimientos!$C:$C,Movimientos!$A:$A,$B8,Movimientos!$D:$D,CONCATENATE("&lt;=",IZ$3),Movimientos!$C:$C,"&gt;0")+SUMIFS(Movimientos!$C:$C,Movimientos!$A:$A,$B8,Movimientos!$D:$D,CONCATENATE("&lt;",IZ$3),Movimientos!$C:$C,"&lt;0")</f>
        <v>0</v>
      </c>
      <c r="JA8" s="5">
        <f ca="1">SUMIFS(Movimientos!$C:$C,Movimientos!$A:$A,$B8,Movimientos!$D:$D,CONCATENATE("&lt;=",JA$3),Movimientos!$C:$C,"&gt;0")+SUMIFS(Movimientos!$C:$C,Movimientos!$A:$A,$B8,Movimientos!$D:$D,CONCATENATE("&lt;",JA$3),Movimientos!$C:$C,"&lt;0")</f>
        <v>0</v>
      </c>
      <c r="JB8" s="5">
        <f ca="1">SUMIFS(Movimientos!$C:$C,Movimientos!$A:$A,$B8,Movimientos!$D:$D,CONCATENATE("&lt;=",JB$3),Movimientos!$C:$C,"&gt;0")+SUMIFS(Movimientos!$C:$C,Movimientos!$A:$A,$B8,Movimientos!$D:$D,CONCATENATE("&lt;",JB$3),Movimientos!$C:$C,"&lt;0")</f>
        <v>0</v>
      </c>
      <c r="JC8" s="5">
        <f ca="1">SUMIFS(Movimientos!$C:$C,Movimientos!$A:$A,$B8,Movimientos!$D:$D,CONCATENATE("&lt;=",JC$3),Movimientos!$C:$C,"&gt;0")+SUMIFS(Movimientos!$C:$C,Movimientos!$A:$A,$B8,Movimientos!$D:$D,CONCATENATE("&lt;",JC$3),Movimientos!$C:$C,"&lt;0")</f>
        <v>0</v>
      </c>
      <c r="JD8" s="5">
        <f ca="1">SUMIFS(Movimientos!$C:$C,Movimientos!$A:$A,$B8,Movimientos!$D:$D,CONCATENATE("&lt;=",JD$3),Movimientos!$C:$C,"&gt;0")+SUMIFS(Movimientos!$C:$C,Movimientos!$A:$A,$B8,Movimientos!$D:$D,CONCATENATE("&lt;",JD$3),Movimientos!$C:$C,"&lt;0")</f>
        <v>0</v>
      </c>
      <c r="JE8" s="5">
        <f ca="1">SUMIFS(Movimientos!$C:$C,Movimientos!$A:$A,$B8,Movimientos!$D:$D,CONCATENATE("&lt;=",JE$3),Movimientos!$C:$C,"&gt;0")+SUMIFS(Movimientos!$C:$C,Movimientos!$A:$A,$B8,Movimientos!$D:$D,CONCATENATE("&lt;",JE$3),Movimientos!$C:$C,"&lt;0")</f>
        <v>0</v>
      </c>
      <c r="JF8" s="5">
        <f ca="1">SUMIFS(Movimientos!$C:$C,Movimientos!$A:$A,$B8,Movimientos!$D:$D,CONCATENATE("&lt;=",JF$3),Movimientos!$C:$C,"&gt;0")+SUMIFS(Movimientos!$C:$C,Movimientos!$A:$A,$B8,Movimientos!$D:$D,CONCATENATE("&lt;",JF$3),Movimientos!$C:$C,"&lt;0")</f>
        <v>0</v>
      </c>
      <c r="JG8" s="5">
        <f ca="1">SUMIFS(Movimientos!$C:$C,Movimientos!$A:$A,$B8,Movimientos!$D:$D,CONCATENATE("&lt;=",JG$3),Movimientos!$C:$C,"&gt;0")+SUMIFS(Movimientos!$C:$C,Movimientos!$A:$A,$B8,Movimientos!$D:$D,CONCATENATE("&lt;",JG$3),Movimientos!$C:$C,"&lt;0")</f>
        <v>0</v>
      </c>
      <c r="JH8" s="5">
        <f ca="1">SUMIFS(Movimientos!$C:$C,Movimientos!$A:$A,$B8,Movimientos!$D:$D,CONCATENATE("&lt;=",JH$3),Movimientos!$C:$C,"&gt;0")+SUMIFS(Movimientos!$C:$C,Movimientos!$A:$A,$B8,Movimientos!$D:$D,CONCATENATE("&lt;",JH$3),Movimientos!$C:$C,"&lt;0")</f>
        <v>0</v>
      </c>
      <c r="JI8" s="5">
        <f ca="1">SUMIFS(Movimientos!$C:$C,Movimientos!$A:$A,$B8,Movimientos!$D:$D,CONCATENATE("&lt;=",JI$3),Movimientos!$C:$C,"&gt;0")+SUMIFS(Movimientos!$C:$C,Movimientos!$A:$A,$B8,Movimientos!$D:$D,CONCATENATE("&lt;",JI$3),Movimientos!$C:$C,"&lt;0")</f>
        <v>0</v>
      </c>
      <c r="JJ8" s="5">
        <f ca="1">SUMIFS(Movimientos!$C:$C,Movimientos!$A:$A,$B8,Movimientos!$D:$D,CONCATENATE("&lt;=",JJ$3),Movimientos!$C:$C,"&gt;0")+SUMIFS(Movimientos!$C:$C,Movimientos!$A:$A,$B8,Movimientos!$D:$D,CONCATENATE("&lt;",JJ$3),Movimientos!$C:$C,"&lt;0")</f>
        <v>0</v>
      </c>
      <c r="JK8" s="5">
        <f ca="1">SUMIFS(Movimientos!$C:$C,Movimientos!$A:$A,$B8,Movimientos!$D:$D,CONCATENATE("&lt;=",JK$3),Movimientos!$C:$C,"&gt;0")+SUMIFS(Movimientos!$C:$C,Movimientos!$A:$A,$B8,Movimientos!$D:$D,CONCATENATE("&lt;",JK$3),Movimientos!$C:$C,"&lt;0")</f>
        <v>0</v>
      </c>
      <c r="JL8" s="5">
        <f ca="1">SUMIFS(Movimientos!$C:$C,Movimientos!$A:$A,$B8,Movimientos!$D:$D,CONCATENATE("&lt;=",JL$3),Movimientos!$C:$C,"&gt;0")+SUMIFS(Movimientos!$C:$C,Movimientos!$A:$A,$B8,Movimientos!$D:$D,CONCATENATE("&lt;",JL$3),Movimientos!$C:$C,"&lt;0")</f>
        <v>0</v>
      </c>
      <c r="JM8" s="5">
        <f ca="1">SUMIFS(Movimientos!$C:$C,Movimientos!$A:$A,$B8,Movimientos!$D:$D,CONCATENATE("&lt;=",JM$3),Movimientos!$C:$C,"&gt;0")+SUMIFS(Movimientos!$C:$C,Movimientos!$A:$A,$B8,Movimientos!$D:$D,CONCATENATE("&lt;",JM$3),Movimientos!$C:$C,"&lt;0")</f>
        <v>0</v>
      </c>
      <c r="JN8" s="5">
        <f ca="1">SUMIFS(Movimientos!$C:$C,Movimientos!$A:$A,$B8,Movimientos!$D:$D,CONCATENATE("&lt;=",JN$3),Movimientos!$C:$C,"&gt;0")+SUMIFS(Movimientos!$C:$C,Movimientos!$A:$A,$B8,Movimientos!$D:$D,CONCATENATE("&lt;",JN$3),Movimientos!$C:$C,"&lt;0")</f>
        <v>0</v>
      </c>
      <c r="JO8" s="5">
        <f ca="1">SUMIFS(Movimientos!$C:$C,Movimientos!$A:$A,$B8,Movimientos!$D:$D,CONCATENATE("&lt;=",JO$3),Movimientos!$C:$C,"&gt;0")+SUMIFS(Movimientos!$C:$C,Movimientos!$A:$A,$B8,Movimientos!$D:$D,CONCATENATE("&lt;",JO$3),Movimientos!$C:$C,"&lt;0")</f>
        <v>0</v>
      </c>
      <c r="JP8" s="5">
        <f ca="1">SUMIFS(Movimientos!$C:$C,Movimientos!$A:$A,$B8,Movimientos!$D:$D,CONCATENATE("&lt;=",JP$3),Movimientos!$C:$C,"&gt;0")+SUMIFS(Movimientos!$C:$C,Movimientos!$A:$A,$B8,Movimientos!$D:$D,CONCATENATE("&lt;",JP$3),Movimientos!$C:$C,"&lt;0")</f>
        <v>0</v>
      </c>
      <c r="JQ8" s="5">
        <f ca="1">SUMIFS(Movimientos!$C:$C,Movimientos!$A:$A,$B8,Movimientos!$D:$D,CONCATENATE("&lt;=",JQ$3),Movimientos!$C:$C,"&gt;0")+SUMIFS(Movimientos!$C:$C,Movimientos!$A:$A,$B8,Movimientos!$D:$D,CONCATENATE("&lt;",JQ$3),Movimientos!$C:$C,"&lt;0")</f>
        <v>0</v>
      </c>
      <c r="JR8" s="5">
        <f ca="1">SUMIFS(Movimientos!$C:$C,Movimientos!$A:$A,$B8,Movimientos!$D:$D,CONCATENATE("&lt;=",JR$3),Movimientos!$C:$C,"&gt;0")+SUMIFS(Movimientos!$C:$C,Movimientos!$A:$A,$B8,Movimientos!$D:$D,CONCATENATE("&lt;",JR$3),Movimientos!$C:$C,"&lt;0")</f>
        <v>0</v>
      </c>
      <c r="JS8" s="5">
        <f ca="1">SUMIFS(Movimientos!$C:$C,Movimientos!$A:$A,$B8,Movimientos!$D:$D,CONCATENATE("&lt;=",JS$3),Movimientos!$C:$C,"&gt;0")+SUMIFS(Movimientos!$C:$C,Movimientos!$A:$A,$B8,Movimientos!$D:$D,CONCATENATE("&lt;",JS$3),Movimientos!$C:$C,"&lt;0")</f>
        <v>0</v>
      </c>
      <c r="JT8" s="5">
        <f ca="1">SUMIFS(Movimientos!$C:$C,Movimientos!$A:$A,$B8,Movimientos!$D:$D,CONCATENATE("&lt;=",JT$3),Movimientos!$C:$C,"&gt;0")+SUMIFS(Movimientos!$C:$C,Movimientos!$A:$A,$B8,Movimientos!$D:$D,CONCATENATE("&lt;",JT$3),Movimientos!$C:$C,"&lt;0")</f>
        <v>0</v>
      </c>
      <c r="JU8" s="5">
        <f ca="1">SUMIFS(Movimientos!$C:$C,Movimientos!$A:$A,$B8,Movimientos!$D:$D,CONCATENATE("&lt;=",JU$3),Movimientos!$C:$C,"&gt;0")+SUMIFS(Movimientos!$C:$C,Movimientos!$A:$A,$B8,Movimientos!$D:$D,CONCATENATE("&lt;",JU$3),Movimientos!$C:$C,"&lt;0")</f>
        <v>0</v>
      </c>
      <c r="JV8" s="5">
        <f ca="1">SUMIFS(Movimientos!$C:$C,Movimientos!$A:$A,$B8,Movimientos!$D:$D,CONCATENATE("&lt;=",JV$3),Movimientos!$C:$C,"&gt;0")+SUMIFS(Movimientos!$C:$C,Movimientos!$A:$A,$B8,Movimientos!$D:$D,CONCATENATE("&lt;",JV$3),Movimientos!$C:$C,"&lt;0")</f>
        <v>0</v>
      </c>
      <c r="JW8" s="5">
        <f ca="1">SUMIFS(Movimientos!$C:$C,Movimientos!$A:$A,$B8,Movimientos!$D:$D,CONCATENATE("&lt;=",JW$3),Movimientos!$C:$C,"&gt;0")+SUMIFS(Movimientos!$C:$C,Movimientos!$A:$A,$B8,Movimientos!$D:$D,CONCATENATE("&lt;",JW$3),Movimientos!$C:$C,"&lt;0")</f>
        <v>0</v>
      </c>
      <c r="JX8" s="5">
        <f ca="1">SUMIFS(Movimientos!$C:$C,Movimientos!$A:$A,$B8,Movimientos!$D:$D,CONCATENATE("&lt;=",JX$3),Movimientos!$C:$C,"&gt;0")+SUMIFS(Movimientos!$C:$C,Movimientos!$A:$A,$B8,Movimientos!$D:$D,CONCATENATE("&lt;",JX$3),Movimientos!$C:$C,"&lt;0")</f>
        <v>0</v>
      </c>
      <c r="JY8" s="5">
        <f ca="1">SUMIFS(Movimientos!$C:$C,Movimientos!$A:$A,$B8,Movimientos!$D:$D,CONCATENATE("&lt;=",JY$3),Movimientos!$C:$C,"&gt;0")+SUMIFS(Movimientos!$C:$C,Movimientos!$A:$A,$B8,Movimientos!$D:$D,CONCATENATE("&lt;",JY$3),Movimientos!$C:$C,"&lt;0")</f>
        <v>0</v>
      </c>
      <c r="JZ8" s="5">
        <f ca="1">SUMIFS(Movimientos!$C:$C,Movimientos!$A:$A,$B8,Movimientos!$D:$D,CONCATENATE("&lt;=",JZ$3),Movimientos!$C:$C,"&gt;0")+SUMIFS(Movimientos!$C:$C,Movimientos!$A:$A,$B8,Movimientos!$D:$D,CONCATENATE("&lt;",JZ$3),Movimientos!$C:$C,"&lt;0")</f>
        <v>0</v>
      </c>
      <c r="KA8" s="5">
        <f ca="1">SUMIFS(Movimientos!$C:$C,Movimientos!$A:$A,$B8,Movimientos!$D:$D,CONCATENATE("&lt;=",KA$3),Movimientos!$C:$C,"&gt;0")+SUMIFS(Movimientos!$C:$C,Movimientos!$A:$A,$B8,Movimientos!$D:$D,CONCATENATE("&lt;",KA$3),Movimientos!$C:$C,"&lt;0")</f>
        <v>0</v>
      </c>
      <c r="KB8" s="5">
        <f ca="1">SUMIFS(Movimientos!$C:$C,Movimientos!$A:$A,$B8,Movimientos!$D:$D,CONCATENATE("&lt;=",KB$3),Movimientos!$C:$C,"&gt;0")+SUMIFS(Movimientos!$C:$C,Movimientos!$A:$A,$B8,Movimientos!$D:$D,CONCATENATE("&lt;",KB$3),Movimientos!$C:$C,"&lt;0")</f>
        <v>0</v>
      </c>
      <c r="KC8" s="5">
        <f ca="1">SUMIFS(Movimientos!$C:$C,Movimientos!$A:$A,$B8,Movimientos!$D:$D,CONCATENATE("&lt;=",KC$3),Movimientos!$C:$C,"&gt;0")+SUMIFS(Movimientos!$C:$C,Movimientos!$A:$A,$B8,Movimientos!$D:$D,CONCATENATE("&lt;",KC$3),Movimientos!$C:$C,"&lt;0")</f>
        <v>0</v>
      </c>
      <c r="KD8" s="5">
        <f ca="1">SUMIFS(Movimientos!$C:$C,Movimientos!$A:$A,$B8,Movimientos!$D:$D,CONCATENATE("&lt;=",KD$3),Movimientos!$C:$C,"&gt;0")+SUMIFS(Movimientos!$C:$C,Movimientos!$A:$A,$B8,Movimientos!$D:$D,CONCATENATE("&lt;",KD$3),Movimientos!$C:$C,"&lt;0")</f>
        <v>0</v>
      </c>
      <c r="KE8" s="5">
        <f ca="1">SUMIFS(Movimientos!$C:$C,Movimientos!$A:$A,$B8,Movimientos!$D:$D,CONCATENATE("&lt;=",KE$3),Movimientos!$C:$C,"&gt;0")+SUMIFS(Movimientos!$C:$C,Movimientos!$A:$A,$B8,Movimientos!$D:$D,CONCATENATE("&lt;",KE$3),Movimientos!$C:$C,"&lt;0")</f>
        <v>0</v>
      </c>
      <c r="KF8" s="5">
        <f ca="1">SUMIFS(Movimientos!$C:$C,Movimientos!$A:$A,$B8,Movimientos!$D:$D,CONCATENATE("&lt;=",KF$3),Movimientos!$C:$C,"&gt;0")+SUMIFS(Movimientos!$C:$C,Movimientos!$A:$A,$B8,Movimientos!$D:$D,CONCATENATE("&lt;",KF$3),Movimientos!$C:$C,"&lt;0")</f>
        <v>0</v>
      </c>
      <c r="KG8" s="5">
        <f ca="1">SUMIFS(Movimientos!$C:$C,Movimientos!$A:$A,$B8,Movimientos!$D:$D,CONCATENATE("&lt;=",KG$3),Movimientos!$C:$C,"&gt;0")+SUMIFS(Movimientos!$C:$C,Movimientos!$A:$A,$B8,Movimientos!$D:$D,CONCATENATE("&lt;",KG$3),Movimientos!$C:$C,"&lt;0")</f>
        <v>0</v>
      </c>
      <c r="KH8" s="5">
        <f ca="1">SUMIFS(Movimientos!$C:$C,Movimientos!$A:$A,$B8,Movimientos!$D:$D,CONCATENATE("&lt;=",KH$3),Movimientos!$C:$C,"&gt;0")+SUMIFS(Movimientos!$C:$C,Movimientos!$A:$A,$B8,Movimientos!$D:$D,CONCATENATE("&lt;",KH$3),Movimientos!$C:$C,"&lt;0")</f>
        <v>0</v>
      </c>
      <c r="KI8" s="5">
        <f ca="1">SUMIFS(Movimientos!$C:$C,Movimientos!$A:$A,$B8,Movimientos!$D:$D,CONCATENATE("&lt;=",KI$3),Movimientos!$C:$C,"&gt;0")+SUMIFS(Movimientos!$C:$C,Movimientos!$A:$A,$B8,Movimientos!$D:$D,CONCATENATE("&lt;",KI$3),Movimientos!$C:$C,"&lt;0")</f>
        <v>0</v>
      </c>
      <c r="KJ8" s="5">
        <f ca="1">SUMIFS(Movimientos!$C:$C,Movimientos!$A:$A,$B8,Movimientos!$D:$D,CONCATENATE("&lt;=",KJ$3),Movimientos!$C:$C,"&gt;0")+SUMIFS(Movimientos!$C:$C,Movimientos!$A:$A,$B8,Movimientos!$D:$D,CONCATENATE("&lt;",KJ$3),Movimientos!$C:$C,"&lt;0")</f>
        <v>0</v>
      </c>
      <c r="KK8" s="5">
        <f ca="1">SUMIFS(Movimientos!$C:$C,Movimientos!$A:$A,$B8,Movimientos!$D:$D,CONCATENATE("&lt;=",KK$3),Movimientos!$C:$C,"&gt;0")+SUMIFS(Movimientos!$C:$C,Movimientos!$A:$A,$B8,Movimientos!$D:$D,CONCATENATE("&lt;",KK$3),Movimientos!$C:$C,"&lt;0")</f>
        <v>0</v>
      </c>
      <c r="KL8" s="5">
        <f ca="1">SUMIFS(Movimientos!$C:$C,Movimientos!$A:$A,$B8,Movimientos!$D:$D,CONCATENATE("&lt;=",KL$3),Movimientos!$C:$C,"&gt;0")+SUMIFS(Movimientos!$C:$C,Movimientos!$A:$A,$B8,Movimientos!$D:$D,CONCATENATE("&lt;",KL$3),Movimientos!$C:$C,"&lt;0")</f>
        <v>0</v>
      </c>
      <c r="KM8" s="5">
        <f ca="1">SUMIFS(Movimientos!$C:$C,Movimientos!$A:$A,$B8,Movimientos!$D:$D,CONCATENATE("&lt;=",KM$3),Movimientos!$C:$C,"&gt;0")+SUMIFS(Movimientos!$C:$C,Movimientos!$A:$A,$B8,Movimientos!$D:$D,CONCATENATE("&lt;",KM$3),Movimientos!$C:$C,"&lt;0")</f>
        <v>0</v>
      </c>
      <c r="KN8" s="5">
        <f ca="1">SUMIFS(Movimientos!$C:$C,Movimientos!$A:$A,$B8,Movimientos!$D:$D,CONCATENATE("&lt;=",KN$3),Movimientos!$C:$C,"&gt;0")+SUMIFS(Movimientos!$C:$C,Movimientos!$A:$A,$B8,Movimientos!$D:$D,CONCATENATE("&lt;",KN$3),Movimientos!$C:$C,"&lt;0")</f>
        <v>0</v>
      </c>
      <c r="KO8" s="5">
        <f ca="1">SUMIFS(Movimientos!$C:$C,Movimientos!$A:$A,$B8,Movimientos!$D:$D,CONCATENATE("&lt;=",KO$3),Movimientos!$C:$C,"&gt;0")+SUMIFS(Movimientos!$C:$C,Movimientos!$A:$A,$B8,Movimientos!$D:$D,CONCATENATE("&lt;",KO$3),Movimientos!$C:$C,"&lt;0")</f>
        <v>0</v>
      </c>
      <c r="KP8" s="5">
        <f ca="1">SUMIFS(Movimientos!$C:$C,Movimientos!$A:$A,$B8,Movimientos!$D:$D,CONCATENATE("&lt;=",KP$3),Movimientos!$C:$C,"&gt;0")+SUMIFS(Movimientos!$C:$C,Movimientos!$A:$A,$B8,Movimientos!$D:$D,CONCATENATE("&lt;",KP$3),Movimientos!$C:$C,"&lt;0")</f>
        <v>0</v>
      </c>
      <c r="KQ8" s="5">
        <f ca="1">SUMIFS(Movimientos!$C:$C,Movimientos!$A:$A,$B8,Movimientos!$D:$D,CONCATENATE("&lt;=",KQ$3),Movimientos!$C:$C,"&gt;0")+SUMIFS(Movimientos!$C:$C,Movimientos!$A:$A,$B8,Movimientos!$D:$D,CONCATENATE("&lt;",KQ$3),Movimientos!$C:$C,"&lt;0")</f>
        <v>0</v>
      </c>
      <c r="KR8" s="5">
        <f ca="1">SUMIFS(Movimientos!$C:$C,Movimientos!$A:$A,$B8,Movimientos!$D:$D,CONCATENATE("&lt;=",KR$3),Movimientos!$C:$C,"&gt;0")+SUMIFS(Movimientos!$C:$C,Movimientos!$A:$A,$B8,Movimientos!$D:$D,CONCATENATE("&lt;",KR$3),Movimientos!$C:$C,"&lt;0")</f>
        <v>0</v>
      </c>
      <c r="KS8" s="5">
        <f ca="1">SUMIFS(Movimientos!$C:$C,Movimientos!$A:$A,$B8,Movimientos!$D:$D,CONCATENATE("&lt;=",KS$3),Movimientos!$C:$C,"&gt;0")+SUMIFS(Movimientos!$C:$C,Movimientos!$A:$A,$B8,Movimientos!$D:$D,CONCATENATE("&lt;",KS$3),Movimientos!$C:$C,"&lt;0")</f>
        <v>0</v>
      </c>
      <c r="KT8" s="5">
        <f ca="1">SUMIFS(Movimientos!$C:$C,Movimientos!$A:$A,$B8,Movimientos!$D:$D,CONCATENATE("&lt;=",KT$3),Movimientos!$C:$C,"&gt;0")+SUMIFS(Movimientos!$C:$C,Movimientos!$A:$A,$B8,Movimientos!$D:$D,CONCATENATE("&lt;",KT$3),Movimientos!$C:$C,"&lt;0")</f>
        <v>0</v>
      </c>
      <c r="KU8" s="5">
        <f ca="1">SUMIFS(Movimientos!$C:$C,Movimientos!$A:$A,$B8,Movimientos!$D:$D,CONCATENATE("&lt;=",KU$3),Movimientos!$C:$C,"&gt;0")+SUMIFS(Movimientos!$C:$C,Movimientos!$A:$A,$B8,Movimientos!$D:$D,CONCATENATE("&lt;",KU$3),Movimientos!$C:$C,"&lt;0")</f>
        <v>0</v>
      </c>
      <c r="KV8" s="5">
        <f ca="1">SUMIFS(Movimientos!$C:$C,Movimientos!$A:$A,$B8,Movimientos!$D:$D,CONCATENATE("&lt;=",KV$3),Movimientos!$C:$C,"&gt;0")+SUMIFS(Movimientos!$C:$C,Movimientos!$A:$A,$B8,Movimientos!$D:$D,CONCATENATE("&lt;",KV$3),Movimientos!$C:$C,"&lt;0")</f>
        <v>0</v>
      </c>
      <c r="KW8" s="5">
        <f ca="1">SUMIFS(Movimientos!$C:$C,Movimientos!$A:$A,$B8,Movimientos!$D:$D,CONCATENATE("&lt;=",KW$3),Movimientos!$C:$C,"&gt;0")+SUMIFS(Movimientos!$C:$C,Movimientos!$A:$A,$B8,Movimientos!$D:$D,CONCATENATE("&lt;",KW$3),Movimientos!$C:$C,"&lt;0")</f>
        <v>0</v>
      </c>
      <c r="KX8" s="5">
        <f ca="1">SUMIFS(Movimientos!$C:$C,Movimientos!$A:$A,$B8,Movimientos!$D:$D,CONCATENATE("&lt;=",KX$3),Movimientos!$C:$C,"&gt;0")+SUMIFS(Movimientos!$C:$C,Movimientos!$A:$A,$B8,Movimientos!$D:$D,CONCATENATE("&lt;",KX$3),Movimientos!$C:$C,"&lt;0")</f>
        <v>0</v>
      </c>
      <c r="KY8" s="5">
        <f ca="1">SUMIFS(Movimientos!$C:$C,Movimientos!$A:$A,$B8,Movimientos!$D:$D,CONCATENATE("&lt;=",KY$3),Movimientos!$C:$C,"&gt;0")+SUMIFS(Movimientos!$C:$C,Movimientos!$A:$A,$B8,Movimientos!$D:$D,CONCATENATE("&lt;",KY$3),Movimientos!$C:$C,"&lt;0")</f>
        <v>0</v>
      </c>
      <c r="KZ8" s="5">
        <f ca="1">SUMIFS(Movimientos!$C:$C,Movimientos!$A:$A,$B8,Movimientos!$D:$D,CONCATENATE("&lt;=",KZ$3),Movimientos!$C:$C,"&gt;0")+SUMIFS(Movimientos!$C:$C,Movimientos!$A:$A,$B8,Movimientos!$D:$D,CONCATENATE("&lt;",KZ$3),Movimientos!$C:$C,"&lt;0")</f>
        <v>0</v>
      </c>
      <c r="LA8" s="5">
        <f ca="1">SUMIFS(Movimientos!$C:$C,Movimientos!$A:$A,$B8,Movimientos!$D:$D,CONCATENATE("&lt;=",LA$3),Movimientos!$C:$C,"&gt;0")+SUMIFS(Movimientos!$C:$C,Movimientos!$A:$A,$B8,Movimientos!$D:$D,CONCATENATE("&lt;",LA$3),Movimientos!$C:$C,"&lt;0")</f>
        <v>0</v>
      </c>
      <c r="LB8" s="5">
        <f ca="1">SUMIFS(Movimientos!$C:$C,Movimientos!$A:$A,$B8,Movimientos!$D:$D,CONCATENATE("&lt;=",LB$3),Movimientos!$C:$C,"&gt;0")+SUMIFS(Movimientos!$C:$C,Movimientos!$A:$A,$B8,Movimientos!$D:$D,CONCATENATE("&lt;",LB$3),Movimientos!$C:$C,"&lt;0")</f>
        <v>0</v>
      </c>
      <c r="LC8" s="5">
        <f ca="1">SUMIFS(Movimientos!$C:$C,Movimientos!$A:$A,$B8,Movimientos!$D:$D,CONCATENATE("&lt;=",LC$3),Movimientos!$C:$C,"&gt;0")+SUMIFS(Movimientos!$C:$C,Movimientos!$A:$A,$B8,Movimientos!$D:$D,CONCATENATE("&lt;",LC$3),Movimientos!$C:$C,"&lt;0")</f>
        <v>0</v>
      </c>
      <c r="LD8" s="5">
        <f ca="1">SUMIFS(Movimientos!$C:$C,Movimientos!$A:$A,$B8,Movimientos!$D:$D,CONCATENATE("&lt;=",LD$3),Movimientos!$C:$C,"&gt;0")+SUMIFS(Movimientos!$C:$C,Movimientos!$A:$A,$B8,Movimientos!$D:$D,CONCATENATE("&lt;",LD$3),Movimientos!$C:$C,"&lt;0")</f>
        <v>0</v>
      </c>
      <c r="LE8" s="5">
        <f ca="1">SUMIFS(Movimientos!$C:$C,Movimientos!$A:$A,$B8,Movimientos!$D:$D,CONCATENATE("&lt;=",LE$3),Movimientos!$C:$C,"&gt;0")+SUMIFS(Movimientos!$C:$C,Movimientos!$A:$A,$B8,Movimientos!$D:$D,CONCATENATE("&lt;",LE$3),Movimientos!$C:$C,"&lt;0")</f>
        <v>0</v>
      </c>
      <c r="LF8" s="5">
        <f ca="1">SUMIFS(Movimientos!$C:$C,Movimientos!$A:$A,$B8,Movimientos!$D:$D,CONCATENATE("&lt;=",LF$3),Movimientos!$C:$C,"&gt;0")+SUMIFS(Movimientos!$C:$C,Movimientos!$A:$A,$B8,Movimientos!$D:$D,CONCATENATE("&lt;",LF$3),Movimientos!$C:$C,"&lt;0")</f>
        <v>0</v>
      </c>
      <c r="LG8" s="5">
        <f ca="1">SUMIFS(Movimientos!$C:$C,Movimientos!$A:$A,$B8,Movimientos!$D:$D,CONCATENATE("&lt;=",LG$3),Movimientos!$C:$C,"&gt;0")+SUMIFS(Movimientos!$C:$C,Movimientos!$A:$A,$B8,Movimientos!$D:$D,CONCATENATE("&lt;",LG$3),Movimientos!$C:$C,"&lt;0")</f>
        <v>0</v>
      </c>
      <c r="LH8" s="5">
        <f ca="1">SUMIFS(Movimientos!$C:$C,Movimientos!$A:$A,$B8,Movimientos!$D:$D,CONCATENATE("&lt;=",LH$3),Movimientos!$C:$C,"&gt;0")+SUMIFS(Movimientos!$C:$C,Movimientos!$A:$A,$B8,Movimientos!$D:$D,CONCATENATE("&lt;",LH$3),Movimientos!$C:$C,"&lt;0")</f>
        <v>0</v>
      </c>
      <c r="LI8" s="5">
        <f ca="1">SUMIFS(Movimientos!$C:$C,Movimientos!$A:$A,$B8,Movimientos!$D:$D,CONCATENATE("&lt;=",LI$3),Movimientos!$C:$C,"&gt;0")+SUMIFS(Movimientos!$C:$C,Movimientos!$A:$A,$B8,Movimientos!$D:$D,CONCATENATE("&lt;",LI$3),Movimientos!$C:$C,"&lt;0")</f>
        <v>0</v>
      </c>
      <c r="LJ8" s="5">
        <f ca="1">SUMIFS(Movimientos!$C:$C,Movimientos!$A:$A,$B8,Movimientos!$D:$D,CONCATENATE("&lt;=",LJ$3),Movimientos!$C:$C,"&gt;0")+SUMIFS(Movimientos!$C:$C,Movimientos!$A:$A,$B8,Movimientos!$D:$D,CONCATENATE("&lt;",LJ$3),Movimientos!$C:$C,"&lt;0")</f>
        <v>0</v>
      </c>
      <c r="LK8" s="5">
        <f ca="1">SUMIFS(Movimientos!$C:$C,Movimientos!$A:$A,$B8,Movimientos!$D:$D,CONCATENATE("&lt;=",LK$3),Movimientos!$C:$C,"&gt;0")+SUMIFS(Movimientos!$C:$C,Movimientos!$A:$A,$B8,Movimientos!$D:$D,CONCATENATE("&lt;",LK$3),Movimientos!$C:$C,"&lt;0")</f>
        <v>0</v>
      </c>
      <c r="LL8" s="5">
        <f ca="1">SUMIFS(Movimientos!$C:$C,Movimientos!$A:$A,$B8,Movimientos!$D:$D,CONCATENATE("&lt;=",LL$3),Movimientos!$C:$C,"&gt;0")+SUMIFS(Movimientos!$C:$C,Movimientos!$A:$A,$B8,Movimientos!$D:$D,CONCATENATE("&lt;",LL$3),Movimientos!$C:$C,"&lt;0")</f>
        <v>0</v>
      </c>
      <c r="LM8" s="5">
        <f ca="1">SUMIFS(Movimientos!$C:$C,Movimientos!$A:$A,$B8,Movimientos!$D:$D,CONCATENATE("&lt;=",LM$3),Movimientos!$C:$C,"&gt;0")+SUMIFS(Movimientos!$C:$C,Movimientos!$A:$A,$B8,Movimientos!$D:$D,CONCATENATE("&lt;",LM$3),Movimientos!$C:$C,"&lt;0")</f>
        <v>0</v>
      </c>
      <c r="LN8" s="5">
        <f ca="1">SUMIFS(Movimientos!$C:$C,Movimientos!$A:$A,$B8,Movimientos!$D:$D,CONCATENATE("&lt;=",LN$3),Movimientos!$C:$C,"&gt;0")+SUMIFS(Movimientos!$C:$C,Movimientos!$A:$A,$B8,Movimientos!$D:$D,CONCATENATE("&lt;",LN$3),Movimientos!$C:$C,"&lt;0")</f>
        <v>0</v>
      </c>
      <c r="LO8" s="5">
        <f ca="1">SUMIFS(Movimientos!$C:$C,Movimientos!$A:$A,$B8,Movimientos!$D:$D,CONCATENATE("&lt;=",LO$3),Movimientos!$C:$C,"&gt;0")+SUMIFS(Movimientos!$C:$C,Movimientos!$A:$A,$B8,Movimientos!$D:$D,CONCATENATE("&lt;",LO$3),Movimientos!$C:$C,"&lt;0")</f>
        <v>0</v>
      </c>
      <c r="LP8" s="5">
        <f ca="1">SUMIFS(Movimientos!$C:$C,Movimientos!$A:$A,$B8,Movimientos!$D:$D,CONCATENATE("&lt;=",LP$3),Movimientos!$C:$C,"&gt;0")+SUMIFS(Movimientos!$C:$C,Movimientos!$A:$A,$B8,Movimientos!$D:$D,CONCATENATE("&lt;",LP$3),Movimientos!$C:$C,"&lt;0")</f>
        <v>0</v>
      </c>
      <c r="LQ8" s="5">
        <f ca="1">SUMIFS(Movimientos!$C:$C,Movimientos!$A:$A,$B8,Movimientos!$D:$D,CONCATENATE("&lt;=",LQ$3),Movimientos!$C:$C,"&gt;0")+SUMIFS(Movimientos!$C:$C,Movimientos!$A:$A,$B8,Movimientos!$D:$D,CONCATENATE("&lt;",LQ$3),Movimientos!$C:$C,"&lt;0")</f>
        <v>0</v>
      </c>
      <c r="LR8" s="5">
        <f ca="1">SUMIFS(Movimientos!$C:$C,Movimientos!$A:$A,$B8,Movimientos!$D:$D,CONCATENATE("&lt;=",LR$3),Movimientos!$C:$C,"&gt;0")+SUMIFS(Movimientos!$C:$C,Movimientos!$A:$A,$B8,Movimientos!$D:$D,CONCATENATE("&lt;",LR$3),Movimientos!$C:$C,"&lt;0")</f>
        <v>0</v>
      </c>
      <c r="LS8" s="5">
        <f ca="1">SUMIFS(Movimientos!$C:$C,Movimientos!$A:$A,$B8,Movimientos!$D:$D,CONCATENATE("&lt;=",LS$3),Movimientos!$C:$C,"&gt;0")+SUMIFS(Movimientos!$C:$C,Movimientos!$A:$A,$B8,Movimientos!$D:$D,CONCATENATE("&lt;",LS$3),Movimientos!$C:$C,"&lt;0")</f>
        <v>0</v>
      </c>
      <c r="LT8" s="5">
        <f ca="1">SUMIFS(Movimientos!$C:$C,Movimientos!$A:$A,$B8,Movimientos!$D:$D,CONCATENATE("&lt;=",LT$3),Movimientos!$C:$C,"&gt;0")+SUMIFS(Movimientos!$C:$C,Movimientos!$A:$A,$B8,Movimientos!$D:$D,CONCATENATE("&lt;",LT$3),Movimientos!$C:$C,"&lt;0")</f>
        <v>0</v>
      </c>
      <c r="LU8" s="5">
        <f ca="1">SUMIFS(Movimientos!$C:$C,Movimientos!$A:$A,$B8,Movimientos!$D:$D,CONCATENATE("&lt;=",LU$3),Movimientos!$C:$C,"&gt;0")+SUMIFS(Movimientos!$C:$C,Movimientos!$A:$A,$B8,Movimientos!$D:$D,CONCATENATE("&lt;",LU$3),Movimientos!$C:$C,"&lt;0")</f>
        <v>0</v>
      </c>
      <c r="LV8" s="5">
        <f ca="1">SUMIFS(Movimientos!$C:$C,Movimientos!$A:$A,$B8,Movimientos!$D:$D,CONCATENATE("&lt;=",LV$3),Movimientos!$C:$C,"&gt;0")+SUMIFS(Movimientos!$C:$C,Movimientos!$A:$A,$B8,Movimientos!$D:$D,CONCATENATE("&lt;",LV$3),Movimientos!$C:$C,"&lt;0")</f>
        <v>0</v>
      </c>
      <c r="LW8" s="5">
        <f ca="1">SUMIFS(Movimientos!$C:$C,Movimientos!$A:$A,$B8,Movimientos!$D:$D,CONCATENATE("&lt;=",LW$3),Movimientos!$C:$C,"&gt;0")+SUMIFS(Movimientos!$C:$C,Movimientos!$A:$A,$B8,Movimientos!$D:$D,CONCATENATE("&lt;",LW$3),Movimientos!$C:$C,"&lt;0")</f>
        <v>0</v>
      </c>
      <c r="LX8" s="5">
        <f ca="1">SUMIFS(Movimientos!$C:$C,Movimientos!$A:$A,$B8,Movimientos!$D:$D,CONCATENATE("&lt;=",LX$3),Movimientos!$C:$C,"&gt;0")+SUMIFS(Movimientos!$C:$C,Movimientos!$A:$A,$B8,Movimientos!$D:$D,CONCATENATE("&lt;",LX$3),Movimientos!$C:$C,"&lt;0")</f>
        <v>0</v>
      </c>
      <c r="LY8" s="5">
        <f ca="1">SUMIFS(Movimientos!$C:$C,Movimientos!$A:$A,$B8,Movimientos!$D:$D,CONCATENATE("&lt;=",LY$3),Movimientos!$C:$C,"&gt;0")+SUMIFS(Movimientos!$C:$C,Movimientos!$A:$A,$B8,Movimientos!$D:$D,CONCATENATE("&lt;",LY$3),Movimientos!$C:$C,"&lt;0")</f>
        <v>0</v>
      </c>
      <c r="LZ8" s="5">
        <f ca="1">SUMIFS(Movimientos!$C:$C,Movimientos!$A:$A,$B8,Movimientos!$D:$D,CONCATENATE("&lt;=",LZ$3),Movimientos!$C:$C,"&gt;0")+SUMIFS(Movimientos!$C:$C,Movimientos!$A:$A,$B8,Movimientos!$D:$D,CONCATENATE("&lt;",LZ$3),Movimientos!$C:$C,"&lt;0")</f>
        <v>0</v>
      </c>
      <c r="MA8" s="5">
        <f ca="1">SUMIFS(Movimientos!$C:$C,Movimientos!$A:$A,$B8,Movimientos!$D:$D,CONCATENATE("&lt;=",MA$3),Movimientos!$C:$C,"&gt;0")+SUMIFS(Movimientos!$C:$C,Movimientos!$A:$A,$B8,Movimientos!$D:$D,CONCATENATE("&lt;",MA$3),Movimientos!$C:$C,"&lt;0")</f>
        <v>0</v>
      </c>
      <c r="MB8" s="5">
        <f ca="1">SUMIFS(Movimientos!$C:$C,Movimientos!$A:$A,$B8,Movimientos!$D:$D,CONCATENATE("&lt;=",MB$3),Movimientos!$C:$C,"&gt;0")+SUMIFS(Movimientos!$C:$C,Movimientos!$A:$A,$B8,Movimientos!$D:$D,CONCATENATE("&lt;",MB$3),Movimientos!$C:$C,"&lt;0")</f>
        <v>0</v>
      </c>
      <c r="MC8" s="5">
        <f ca="1">SUMIFS(Movimientos!$C:$C,Movimientos!$A:$A,$B8,Movimientos!$D:$D,CONCATENATE("&lt;=",MC$3),Movimientos!$C:$C,"&gt;0")+SUMIFS(Movimientos!$C:$C,Movimientos!$A:$A,$B8,Movimientos!$D:$D,CONCATENATE("&lt;",MC$3),Movimientos!$C:$C,"&lt;0")</f>
        <v>0</v>
      </c>
      <c r="MD8" s="5">
        <f ca="1">SUMIFS(Movimientos!$C:$C,Movimientos!$A:$A,$B8,Movimientos!$D:$D,CONCATENATE("&lt;=",MD$3),Movimientos!$C:$C,"&gt;0")+SUMIFS(Movimientos!$C:$C,Movimientos!$A:$A,$B8,Movimientos!$D:$D,CONCATENATE("&lt;",MD$3),Movimientos!$C:$C,"&lt;0")</f>
        <v>0</v>
      </c>
      <c r="ME8" s="5">
        <f ca="1">SUMIFS(Movimientos!$C:$C,Movimientos!$A:$A,$B8,Movimientos!$D:$D,CONCATENATE("&lt;=",ME$3),Movimientos!$C:$C,"&gt;0")+SUMIFS(Movimientos!$C:$C,Movimientos!$A:$A,$B8,Movimientos!$D:$D,CONCATENATE("&lt;",ME$3),Movimientos!$C:$C,"&lt;0")</f>
        <v>0</v>
      </c>
      <c r="MF8" s="5">
        <f ca="1">SUMIFS(Movimientos!$C:$C,Movimientos!$A:$A,$B8,Movimientos!$D:$D,CONCATENATE("&lt;=",MF$3),Movimientos!$C:$C,"&gt;0")+SUMIFS(Movimientos!$C:$C,Movimientos!$A:$A,$B8,Movimientos!$D:$D,CONCATENATE("&lt;",MF$3),Movimientos!$C:$C,"&lt;0")</f>
        <v>0</v>
      </c>
      <c r="MG8" s="5">
        <f ca="1">SUMIFS(Movimientos!$C:$C,Movimientos!$A:$A,$B8,Movimientos!$D:$D,CONCATENATE("&lt;=",MG$3),Movimientos!$C:$C,"&gt;0")+SUMIFS(Movimientos!$C:$C,Movimientos!$A:$A,$B8,Movimientos!$D:$D,CONCATENATE("&lt;",MG$3),Movimientos!$C:$C,"&lt;0")</f>
        <v>0</v>
      </c>
      <c r="MH8" s="5">
        <f ca="1">SUMIFS(Movimientos!$C:$C,Movimientos!$A:$A,$B8,Movimientos!$D:$D,CONCATENATE("&lt;=",MH$3),Movimientos!$C:$C,"&gt;0")+SUMIFS(Movimientos!$C:$C,Movimientos!$A:$A,$B8,Movimientos!$D:$D,CONCATENATE("&lt;",MH$3),Movimientos!$C:$C,"&lt;0")</f>
        <v>0</v>
      </c>
      <c r="MI8" s="5">
        <f ca="1">SUMIFS(Movimientos!$C:$C,Movimientos!$A:$A,$B8,Movimientos!$D:$D,CONCATENATE("&lt;=",MI$3),Movimientos!$C:$C,"&gt;0")+SUMIFS(Movimientos!$C:$C,Movimientos!$A:$A,$B8,Movimientos!$D:$D,CONCATENATE("&lt;",MI$3),Movimientos!$C:$C,"&lt;0")</f>
        <v>0</v>
      </c>
      <c r="MJ8" s="5">
        <f ca="1">SUMIFS(Movimientos!$C:$C,Movimientos!$A:$A,$B8,Movimientos!$D:$D,CONCATENATE("&lt;=",MJ$3),Movimientos!$C:$C,"&gt;0")+SUMIFS(Movimientos!$C:$C,Movimientos!$A:$A,$B8,Movimientos!$D:$D,CONCATENATE("&lt;",MJ$3),Movimientos!$C:$C,"&lt;0")</f>
        <v>0</v>
      </c>
      <c r="MK8" s="5">
        <f ca="1">SUMIFS(Movimientos!$C:$C,Movimientos!$A:$A,$B8,Movimientos!$D:$D,CONCATENATE("&lt;=",MK$3),Movimientos!$C:$C,"&gt;0")+SUMIFS(Movimientos!$C:$C,Movimientos!$A:$A,$B8,Movimientos!$D:$D,CONCATENATE("&lt;",MK$3),Movimientos!$C:$C,"&lt;0")</f>
        <v>0</v>
      </c>
      <c r="ML8" s="5">
        <f ca="1">SUMIFS(Movimientos!$C:$C,Movimientos!$A:$A,$B8,Movimientos!$D:$D,CONCATENATE("&lt;=",ML$3),Movimientos!$C:$C,"&gt;0")+SUMIFS(Movimientos!$C:$C,Movimientos!$A:$A,$B8,Movimientos!$D:$D,CONCATENATE("&lt;",ML$3),Movimientos!$C:$C,"&lt;0")</f>
        <v>0</v>
      </c>
      <c r="MM8" s="5">
        <f ca="1">SUMIFS(Movimientos!$C:$C,Movimientos!$A:$A,$B8,Movimientos!$D:$D,CONCATENATE("&lt;=",MM$3),Movimientos!$C:$C,"&gt;0")+SUMIFS(Movimientos!$C:$C,Movimientos!$A:$A,$B8,Movimientos!$D:$D,CONCATENATE("&lt;",MM$3),Movimientos!$C:$C,"&lt;0")</f>
        <v>0</v>
      </c>
      <c r="MN8" s="5">
        <f ca="1">SUMIFS(Movimientos!$C:$C,Movimientos!$A:$A,$B8,Movimientos!$D:$D,CONCATENATE("&lt;=",MN$3),Movimientos!$C:$C,"&gt;0")+SUMIFS(Movimientos!$C:$C,Movimientos!$A:$A,$B8,Movimientos!$D:$D,CONCATENATE("&lt;",MN$3),Movimientos!$C:$C,"&lt;0")</f>
        <v>0</v>
      </c>
      <c r="MO8" s="5">
        <f ca="1">SUMIFS(Movimientos!$C:$C,Movimientos!$A:$A,$B8,Movimientos!$D:$D,CONCATENATE("&lt;=",MO$3),Movimientos!$C:$C,"&gt;0")+SUMIFS(Movimientos!$C:$C,Movimientos!$A:$A,$B8,Movimientos!$D:$D,CONCATENATE("&lt;",MO$3),Movimientos!$C:$C,"&lt;0")</f>
        <v>0</v>
      </c>
      <c r="MP8" s="5">
        <f ca="1">SUMIFS(Movimientos!$C:$C,Movimientos!$A:$A,$B8,Movimientos!$D:$D,CONCATENATE("&lt;=",MP$3),Movimientos!$C:$C,"&gt;0")+SUMIFS(Movimientos!$C:$C,Movimientos!$A:$A,$B8,Movimientos!$D:$D,CONCATENATE("&lt;",MP$3),Movimientos!$C:$C,"&lt;0")</f>
        <v>0</v>
      </c>
      <c r="MQ8" s="5">
        <f ca="1">SUMIFS(Movimientos!$C:$C,Movimientos!$A:$A,$B8,Movimientos!$D:$D,CONCATENATE("&lt;=",MQ$3),Movimientos!$C:$C,"&gt;0")+SUMIFS(Movimientos!$C:$C,Movimientos!$A:$A,$B8,Movimientos!$D:$D,CONCATENATE("&lt;",MQ$3),Movimientos!$C:$C,"&lt;0")</f>
        <v>0</v>
      </c>
      <c r="MR8" s="5">
        <f ca="1">SUMIFS(Movimientos!$C:$C,Movimientos!$A:$A,$B8,Movimientos!$D:$D,CONCATENATE("&lt;=",MR$3),Movimientos!$C:$C,"&gt;0")+SUMIFS(Movimientos!$C:$C,Movimientos!$A:$A,$B8,Movimientos!$D:$D,CONCATENATE("&lt;",MR$3),Movimientos!$C:$C,"&lt;0")</f>
        <v>0</v>
      </c>
      <c r="MS8" s="5">
        <f ca="1">SUMIFS(Movimientos!$C:$C,Movimientos!$A:$A,$B8,Movimientos!$D:$D,CONCATENATE("&lt;=",MS$3),Movimientos!$C:$C,"&gt;0")+SUMIFS(Movimientos!$C:$C,Movimientos!$A:$A,$B8,Movimientos!$D:$D,CONCATENATE("&lt;",MS$3),Movimientos!$C:$C,"&lt;0")</f>
        <v>0</v>
      </c>
      <c r="MT8" s="5">
        <f ca="1">SUMIFS(Movimientos!$C:$C,Movimientos!$A:$A,$B8,Movimientos!$D:$D,CONCATENATE("&lt;=",MT$3),Movimientos!$C:$C,"&gt;0")+SUMIFS(Movimientos!$C:$C,Movimientos!$A:$A,$B8,Movimientos!$D:$D,CONCATENATE("&lt;",MT$3),Movimientos!$C:$C,"&lt;0")</f>
        <v>0</v>
      </c>
      <c r="MU8" s="5">
        <f ca="1">SUMIFS(Movimientos!$C:$C,Movimientos!$A:$A,$B8,Movimientos!$D:$D,CONCATENATE("&lt;=",MU$3),Movimientos!$C:$C,"&gt;0")+SUMIFS(Movimientos!$C:$C,Movimientos!$A:$A,$B8,Movimientos!$D:$D,CONCATENATE("&lt;",MU$3),Movimientos!$C:$C,"&lt;0")</f>
        <v>0</v>
      </c>
      <c r="MV8" s="5">
        <f ca="1">SUMIFS(Movimientos!$C:$C,Movimientos!$A:$A,$B8,Movimientos!$D:$D,CONCATENATE("&lt;=",MV$3),Movimientos!$C:$C,"&gt;0")+SUMIFS(Movimientos!$C:$C,Movimientos!$A:$A,$B8,Movimientos!$D:$D,CONCATENATE("&lt;",MV$3),Movimientos!$C:$C,"&lt;0")</f>
        <v>0</v>
      </c>
      <c r="MW8" s="5">
        <f ca="1">SUMIFS(Movimientos!$C:$C,Movimientos!$A:$A,$B8,Movimientos!$D:$D,CONCATENATE("&lt;=",MW$3),Movimientos!$C:$C,"&gt;0")+SUMIFS(Movimientos!$C:$C,Movimientos!$A:$A,$B8,Movimientos!$D:$D,CONCATENATE("&lt;",MW$3),Movimientos!$C:$C,"&lt;0")</f>
        <v>0</v>
      </c>
      <c r="MX8" s="5">
        <f ca="1">SUMIFS(Movimientos!$C:$C,Movimientos!$A:$A,$B8,Movimientos!$D:$D,CONCATENATE("&lt;=",MX$3),Movimientos!$C:$C,"&gt;0")+SUMIFS(Movimientos!$C:$C,Movimientos!$A:$A,$B8,Movimientos!$D:$D,CONCATENATE("&lt;",MX$3),Movimientos!$C:$C,"&lt;0")</f>
        <v>0</v>
      </c>
      <c r="MY8" s="5">
        <f ca="1">SUMIFS(Movimientos!$C:$C,Movimientos!$A:$A,$B8,Movimientos!$D:$D,CONCATENATE("&lt;=",MY$3),Movimientos!$C:$C,"&gt;0")+SUMIFS(Movimientos!$C:$C,Movimientos!$A:$A,$B8,Movimientos!$D:$D,CONCATENATE("&lt;",MY$3),Movimientos!$C:$C,"&lt;0")</f>
        <v>0</v>
      </c>
      <c r="MZ8" s="5">
        <f ca="1">SUMIFS(Movimientos!$C:$C,Movimientos!$A:$A,$B8,Movimientos!$D:$D,CONCATENATE("&lt;=",MZ$3),Movimientos!$C:$C,"&gt;0")+SUMIFS(Movimientos!$C:$C,Movimientos!$A:$A,$B8,Movimientos!$D:$D,CONCATENATE("&lt;",MZ$3),Movimientos!$C:$C,"&lt;0")</f>
        <v>0</v>
      </c>
      <c r="NA8" s="5">
        <f ca="1">SUMIFS(Movimientos!$C:$C,Movimientos!$A:$A,$B8,Movimientos!$D:$D,CONCATENATE("&lt;=",NA$3),Movimientos!$C:$C,"&gt;0")+SUMIFS(Movimientos!$C:$C,Movimientos!$A:$A,$B8,Movimientos!$D:$D,CONCATENATE("&lt;",NA$3),Movimientos!$C:$C,"&lt;0")</f>
        <v>0</v>
      </c>
      <c r="NB8" s="5">
        <f ca="1">SUMIFS(Movimientos!$C:$C,Movimientos!$A:$A,$B8,Movimientos!$D:$D,CONCATENATE("&lt;=",NB$3),Movimientos!$C:$C,"&gt;0")+SUMIFS(Movimientos!$C:$C,Movimientos!$A:$A,$B8,Movimientos!$D:$D,CONCATENATE("&lt;",NB$3),Movimientos!$C:$C,"&lt;0")</f>
        <v>0</v>
      </c>
      <c r="NC8" s="5">
        <f ca="1">SUMIFS(Movimientos!$C:$C,Movimientos!$A:$A,$B8,Movimientos!$D:$D,CONCATENATE("&lt;=",NC$3),Movimientos!$C:$C,"&gt;0")+SUMIFS(Movimientos!$C:$C,Movimientos!$A:$A,$B8,Movimientos!$D:$D,CONCATENATE("&lt;",NC$3),Movimientos!$C:$C,"&lt;0")</f>
        <v>0</v>
      </c>
      <c r="ND8" s="5">
        <f ca="1">SUMIFS(Movimientos!$C:$C,Movimientos!$A:$A,$B8,Movimientos!$D:$D,CONCATENATE("&lt;=",ND$3),Movimientos!$C:$C,"&gt;0")+SUMIFS(Movimientos!$C:$C,Movimientos!$A:$A,$B8,Movimientos!$D:$D,CONCATENATE("&lt;",ND$3),Movimientos!$C:$C,"&lt;0")</f>
        <v>0</v>
      </c>
      <c r="NE8" s="5">
        <f ca="1">SUMIFS(Movimientos!$C:$C,Movimientos!$A:$A,$B8,Movimientos!$D:$D,CONCATENATE("&lt;=",NE$3),Movimientos!$C:$C,"&gt;0")+SUMIFS(Movimientos!$C:$C,Movimientos!$A:$A,$B8,Movimientos!$D:$D,CONCATENATE("&lt;",NE$3),Movimientos!$C:$C,"&lt;0")</f>
        <v>0</v>
      </c>
      <c r="NF8" s="5">
        <f ca="1">SUMIFS(Movimientos!$C:$C,Movimientos!$A:$A,$B8,Movimientos!$D:$D,CONCATENATE("&lt;=",NF$3),Movimientos!$C:$C,"&gt;0")+SUMIFS(Movimientos!$C:$C,Movimientos!$A:$A,$B8,Movimientos!$D:$D,CONCATENATE("&lt;",NF$3),Movimientos!$C:$C,"&lt;0")</f>
        <v>0</v>
      </c>
      <c r="NG8" s="5">
        <f ca="1">SUMIFS(Movimientos!$C:$C,Movimientos!$A:$A,$B8,Movimientos!$D:$D,CONCATENATE("&lt;=",NG$3),Movimientos!$C:$C,"&gt;0")+SUMIFS(Movimientos!$C:$C,Movimientos!$A:$A,$B8,Movimientos!$D:$D,CONCATENATE("&lt;",NG$3),Movimientos!$C:$C,"&lt;0")</f>
        <v>0</v>
      </c>
      <c r="NH8" s="5">
        <f ca="1">SUMIFS(Movimientos!$C:$C,Movimientos!$A:$A,$B8,Movimientos!$D:$D,CONCATENATE("&lt;=",NH$3),Movimientos!$C:$C,"&gt;0")+SUMIFS(Movimientos!$C:$C,Movimientos!$A:$A,$B8,Movimientos!$D:$D,CONCATENATE("&lt;",NH$3),Movimientos!$C:$C,"&lt;0")</f>
        <v>0</v>
      </c>
      <c r="NI8" s="5">
        <f ca="1">SUMIFS(Movimientos!$C:$C,Movimientos!$A:$A,$B8,Movimientos!$D:$D,CONCATENATE("&lt;=",NI$3),Movimientos!$C:$C,"&gt;0")+SUMIFS(Movimientos!$C:$C,Movimientos!$A:$A,$B8,Movimientos!$D:$D,CONCATENATE("&lt;",NI$3),Movimientos!$C:$C,"&lt;0")</f>
        <v>0</v>
      </c>
      <c r="NJ8" s="5">
        <f ca="1">SUMIFS(Movimientos!$C:$C,Movimientos!$A:$A,$B8,Movimientos!$D:$D,CONCATENATE("&lt;=",NJ$3),Movimientos!$C:$C,"&gt;0")+SUMIFS(Movimientos!$C:$C,Movimientos!$A:$A,$B8,Movimientos!$D:$D,CONCATENATE("&lt;",NJ$3),Movimientos!$C:$C,"&lt;0")</f>
        <v>0</v>
      </c>
      <c r="NK8" s="5">
        <f ca="1">SUMIFS(Movimientos!$C:$C,Movimientos!$A:$A,$B8,Movimientos!$D:$D,CONCATENATE("&lt;=",NK$3),Movimientos!$C:$C,"&gt;0")+SUMIFS(Movimientos!$C:$C,Movimientos!$A:$A,$B8,Movimientos!$D:$D,CONCATENATE("&lt;",NK$3),Movimientos!$C:$C,"&lt;0")</f>
        <v>0</v>
      </c>
      <c r="NL8" s="5">
        <f ca="1">SUMIFS(Movimientos!$C:$C,Movimientos!$A:$A,$B8,Movimientos!$D:$D,CONCATENATE("&lt;=",NL$3),Movimientos!$C:$C,"&gt;0")+SUMIFS(Movimientos!$C:$C,Movimientos!$A:$A,$B8,Movimientos!$D:$D,CONCATENATE("&lt;",NL$3),Movimientos!$C:$C,"&lt;0")</f>
        <v>0</v>
      </c>
      <c r="NM8" s="5">
        <f ca="1">SUMIFS(Movimientos!$C:$C,Movimientos!$A:$A,$B8,Movimientos!$D:$D,CONCATENATE("&lt;=",NM$3),Movimientos!$C:$C,"&gt;0")+SUMIFS(Movimientos!$C:$C,Movimientos!$A:$A,$B8,Movimientos!$D:$D,CONCATENATE("&lt;",NM$3),Movimientos!$C:$C,"&lt;0")</f>
        <v>0</v>
      </c>
      <c r="NN8" s="5">
        <f ca="1">SUMIFS(Movimientos!$C:$C,Movimientos!$A:$A,$B8,Movimientos!$D:$D,CONCATENATE("&lt;=",NN$3),Movimientos!$C:$C,"&gt;0")+SUMIFS(Movimientos!$C:$C,Movimientos!$A:$A,$B8,Movimientos!$D:$D,CONCATENATE("&lt;",NN$3),Movimientos!$C:$C,"&lt;0")</f>
        <v>0</v>
      </c>
      <c r="NO8" s="5">
        <f ca="1">SUMIFS(Movimientos!$C:$C,Movimientos!$A:$A,$B8,Movimientos!$D:$D,CONCATENATE("&lt;=",NO$3),Movimientos!$C:$C,"&gt;0")+SUMIFS(Movimientos!$C:$C,Movimientos!$A:$A,$B8,Movimientos!$D:$D,CONCATENATE("&lt;",NO$3),Movimientos!$C:$C,"&lt;0")</f>
        <v>0</v>
      </c>
      <c r="NP8" s="5">
        <f ca="1">SUMIFS(Movimientos!$C:$C,Movimientos!$A:$A,$B8,Movimientos!$D:$D,CONCATENATE("&lt;=",NP$3),Movimientos!$C:$C,"&gt;0")+SUMIFS(Movimientos!$C:$C,Movimientos!$A:$A,$B8,Movimientos!$D:$D,CONCATENATE("&lt;",NP$3),Movimientos!$C:$C,"&lt;0")</f>
        <v>0</v>
      </c>
      <c r="NQ8" s="5">
        <f ca="1">SUMIFS(Movimientos!$C:$C,Movimientos!$A:$A,$B8,Movimientos!$D:$D,CONCATENATE("&lt;=",NQ$3),Movimientos!$C:$C,"&gt;0")+SUMIFS(Movimientos!$C:$C,Movimientos!$A:$A,$B8,Movimientos!$D:$D,CONCATENATE("&lt;",NQ$3),Movimientos!$C:$C,"&lt;0")</f>
        <v>0</v>
      </c>
      <c r="NR8" s="5">
        <f ca="1">SUMIFS(Movimientos!$C:$C,Movimientos!$A:$A,$B8,Movimientos!$D:$D,CONCATENATE("&lt;=",NR$3),Movimientos!$C:$C,"&gt;0")+SUMIFS(Movimientos!$C:$C,Movimientos!$A:$A,$B8,Movimientos!$D:$D,CONCATENATE("&lt;",NR$3),Movimientos!$C:$C,"&lt;0")</f>
        <v>0</v>
      </c>
      <c r="NS8" s="5">
        <f ca="1">SUMIFS(Movimientos!$C:$C,Movimientos!$A:$A,$B8,Movimientos!$D:$D,CONCATENATE("&lt;=",NS$3),Movimientos!$C:$C,"&gt;0")+SUMIFS(Movimientos!$C:$C,Movimientos!$A:$A,$B8,Movimientos!$D:$D,CONCATENATE("&lt;",NS$3),Movimientos!$C:$C,"&lt;0")</f>
        <v>0</v>
      </c>
      <c r="NT8" s="5">
        <f ca="1">SUMIFS(Movimientos!$C:$C,Movimientos!$A:$A,$B8,Movimientos!$D:$D,CONCATENATE("&lt;=",NT$3),Movimientos!$C:$C,"&gt;0")+SUMIFS(Movimientos!$C:$C,Movimientos!$A:$A,$B8,Movimientos!$D:$D,CONCATENATE("&lt;",NT$3),Movimientos!$C:$C,"&lt;0")</f>
        <v>0</v>
      </c>
      <c r="NU8" s="5">
        <f ca="1">SUMIFS(Movimientos!$C:$C,Movimientos!$A:$A,$B8,Movimientos!$D:$D,CONCATENATE("&lt;=",NU$3),Movimientos!$C:$C,"&gt;0")+SUMIFS(Movimientos!$C:$C,Movimientos!$A:$A,$B8,Movimientos!$D:$D,CONCATENATE("&lt;",NU$3),Movimientos!$C:$C,"&lt;0")</f>
        <v>0</v>
      </c>
      <c r="NV8" s="5">
        <f ca="1">SUMIFS(Movimientos!$C:$C,Movimientos!$A:$A,$B8,Movimientos!$D:$D,CONCATENATE("&lt;=",NV$3),Movimientos!$C:$C,"&gt;0")+SUMIFS(Movimientos!$C:$C,Movimientos!$A:$A,$B8,Movimientos!$D:$D,CONCATENATE("&lt;",NV$3),Movimientos!$C:$C,"&lt;0")</f>
        <v>0</v>
      </c>
      <c r="NW8" s="5">
        <f ca="1">SUMIFS(Movimientos!$C:$C,Movimientos!$A:$A,$B8,Movimientos!$D:$D,CONCATENATE("&lt;=",NW$3),Movimientos!$C:$C,"&gt;0")+SUMIFS(Movimientos!$C:$C,Movimientos!$A:$A,$B8,Movimientos!$D:$D,CONCATENATE("&lt;",NW$3),Movimientos!$C:$C,"&lt;0")</f>
        <v>0</v>
      </c>
      <c r="NX8" s="5">
        <f ca="1">SUMIFS(Movimientos!$C:$C,Movimientos!$A:$A,$B8,Movimientos!$D:$D,CONCATENATE("&lt;=",NX$3),Movimientos!$C:$C,"&gt;0")+SUMIFS(Movimientos!$C:$C,Movimientos!$A:$A,$B8,Movimientos!$D:$D,CONCATENATE("&lt;",NX$3),Movimientos!$C:$C,"&lt;0")</f>
        <v>0</v>
      </c>
      <c r="NY8" s="5">
        <f ca="1">SUMIFS(Movimientos!$C:$C,Movimientos!$A:$A,$B8,Movimientos!$D:$D,CONCATENATE("&lt;=",NY$3),Movimientos!$C:$C,"&gt;0")+SUMIFS(Movimientos!$C:$C,Movimientos!$A:$A,$B8,Movimientos!$D:$D,CONCATENATE("&lt;",NY$3),Movimientos!$C:$C,"&lt;0")</f>
        <v>0</v>
      </c>
      <c r="NZ8" s="5">
        <f ca="1">SUMIFS(Movimientos!$C:$C,Movimientos!$A:$A,$B8,Movimientos!$D:$D,CONCATENATE("&lt;=",NZ$3),Movimientos!$C:$C,"&gt;0")+SUMIFS(Movimientos!$C:$C,Movimientos!$A:$A,$B8,Movimientos!$D:$D,CONCATENATE("&lt;",NZ$3),Movimientos!$C:$C,"&lt;0")</f>
        <v>0</v>
      </c>
      <c r="OA8" s="5">
        <f ca="1">SUMIFS(Movimientos!$C:$C,Movimientos!$A:$A,$B8,Movimientos!$D:$D,CONCATENATE("&lt;=",OA$3),Movimientos!$C:$C,"&gt;0")+SUMIFS(Movimientos!$C:$C,Movimientos!$A:$A,$B8,Movimientos!$D:$D,CONCATENATE("&lt;",OA$3),Movimientos!$C:$C,"&lt;0")</f>
        <v>0</v>
      </c>
      <c r="OB8" s="5">
        <f ca="1">SUMIFS(Movimientos!$C:$C,Movimientos!$A:$A,$B8,Movimientos!$D:$D,CONCATENATE("&lt;=",OB$3),Movimientos!$C:$C,"&gt;0")+SUMIFS(Movimientos!$C:$C,Movimientos!$A:$A,$B8,Movimientos!$D:$D,CONCATENATE("&lt;",OB$3),Movimientos!$C:$C,"&lt;0")</f>
        <v>0</v>
      </c>
      <c r="OC8" s="5">
        <f ca="1">SUMIFS(Movimientos!$C:$C,Movimientos!$A:$A,$B8,Movimientos!$D:$D,CONCATENATE("&lt;=",OC$3),Movimientos!$C:$C,"&gt;0")+SUMIFS(Movimientos!$C:$C,Movimientos!$A:$A,$B8,Movimientos!$D:$D,CONCATENATE("&lt;",OC$3),Movimientos!$C:$C,"&lt;0")</f>
        <v>0</v>
      </c>
      <c r="OD8" s="5">
        <f ca="1">SUMIFS(Movimientos!$C:$C,Movimientos!$A:$A,$B8,Movimientos!$D:$D,CONCATENATE("&lt;=",OD$3),Movimientos!$C:$C,"&gt;0")+SUMIFS(Movimientos!$C:$C,Movimientos!$A:$A,$B8,Movimientos!$D:$D,CONCATENATE("&lt;",OD$3),Movimientos!$C:$C,"&lt;0")</f>
        <v>0</v>
      </c>
      <c r="OE8" s="5">
        <f ca="1">SUMIFS(Movimientos!$C:$C,Movimientos!$A:$A,$B8,Movimientos!$D:$D,CONCATENATE("&lt;=",OE$3),Movimientos!$C:$C,"&gt;0")+SUMIFS(Movimientos!$C:$C,Movimientos!$A:$A,$B8,Movimientos!$D:$D,CONCATENATE("&lt;",OE$3),Movimientos!$C:$C,"&lt;0")</f>
        <v>0</v>
      </c>
      <c r="OF8" s="5">
        <f ca="1">SUMIFS(Movimientos!$C:$C,Movimientos!$A:$A,$B8,Movimientos!$D:$D,CONCATENATE("&lt;=",OF$3),Movimientos!$C:$C,"&gt;0")+SUMIFS(Movimientos!$C:$C,Movimientos!$A:$A,$B8,Movimientos!$D:$D,CONCATENATE("&lt;",OF$3),Movimientos!$C:$C,"&lt;0")</f>
        <v>0</v>
      </c>
      <c r="OG8" s="5">
        <f ca="1">SUMIFS(Movimientos!$C:$C,Movimientos!$A:$A,$B8,Movimientos!$D:$D,CONCATENATE("&lt;=",OG$3),Movimientos!$C:$C,"&gt;0")+SUMIFS(Movimientos!$C:$C,Movimientos!$A:$A,$B8,Movimientos!$D:$D,CONCATENATE("&lt;",OG$3),Movimientos!$C:$C,"&lt;0")</f>
        <v>0</v>
      </c>
      <c r="OH8" s="5">
        <f ca="1">SUMIFS(Movimientos!$C:$C,Movimientos!$A:$A,$B8,Movimientos!$D:$D,CONCATENATE("&lt;=",OH$3),Movimientos!$C:$C,"&gt;0")+SUMIFS(Movimientos!$C:$C,Movimientos!$A:$A,$B8,Movimientos!$D:$D,CONCATENATE("&lt;",OH$3),Movimientos!$C:$C,"&lt;0")</f>
        <v>0</v>
      </c>
      <c r="OI8" s="5">
        <f ca="1">SUMIFS(Movimientos!$C:$C,Movimientos!$A:$A,$B8,Movimientos!$D:$D,CONCATENATE("&lt;=",OI$3),Movimientos!$C:$C,"&gt;0")+SUMIFS(Movimientos!$C:$C,Movimientos!$A:$A,$B8,Movimientos!$D:$D,CONCATENATE("&lt;",OI$3),Movimientos!$C:$C,"&lt;0")</f>
        <v>0</v>
      </c>
      <c r="OJ8" s="5">
        <f ca="1">SUMIFS(Movimientos!$C:$C,Movimientos!$A:$A,$B8,Movimientos!$D:$D,CONCATENATE("&lt;=",OJ$3),Movimientos!$C:$C,"&gt;0")+SUMIFS(Movimientos!$C:$C,Movimientos!$A:$A,$B8,Movimientos!$D:$D,CONCATENATE("&lt;",OJ$3),Movimientos!$C:$C,"&lt;0")</f>
        <v>0</v>
      </c>
      <c r="OK8" s="5">
        <f ca="1">SUMIFS(Movimientos!$C:$C,Movimientos!$A:$A,$B8,Movimientos!$D:$D,CONCATENATE("&lt;=",OK$3),Movimientos!$C:$C,"&gt;0")+SUMIFS(Movimientos!$C:$C,Movimientos!$A:$A,$B8,Movimientos!$D:$D,CONCATENATE("&lt;",OK$3),Movimientos!$C:$C,"&lt;0")</f>
        <v>0</v>
      </c>
      <c r="OL8" s="5">
        <f ca="1">SUMIFS(Movimientos!$C:$C,Movimientos!$A:$A,$B8,Movimientos!$D:$D,CONCATENATE("&lt;=",OL$3),Movimientos!$C:$C,"&gt;0")+SUMIFS(Movimientos!$C:$C,Movimientos!$A:$A,$B8,Movimientos!$D:$D,CONCATENATE("&lt;",OL$3),Movimientos!$C:$C,"&lt;0")</f>
        <v>0</v>
      </c>
      <c r="OM8" s="5">
        <f ca="1">SUMIFS(Movimientos!$C:$C,Movimientos!$A:$A,$B8,Movimientos!$D:$D,CONCATENATE("&lt;=",OM$3),Movimientos!$C:$C,"&gt;0")+SUMIFS(Movimientos!$C:$C,Movimientos!$A:$A,$B8,Movimientos!$D:$D,CONCATENATE("&lt;",OM$3),Movimientos!$C:$C,"&lt;0")</f>
        <v>0</v>
      </c>
      <c r="ON8" s="5">
        <f ca="1">SUMIFS(Movimientos!$C:$C,Movimientos!$A:$A,$B8,Movimientos!$D:$D,CONCATENATE("&lt;=",ON$3),Movimientos!$C:$C,"&gt;0")+SUMIFS(Movimientos!$C:$C,Movimientos!$A:$A,$B8,Movimientos!$D:$D,CONCATENATE("&lt;",ON$3),Movimientos!$C:$C,"&lt;0")</f>
        <v>0</v>
      </c>
      <c r="OO8" s="5">
        <f ca="1">SUMIFS(Movimientos!$C:$C,Movimientos!$A:$A,$B8,Movimientos!$D:$D,CONCATENATE("&lt;=",OO$3),Movimientos!$C:$C,"&gt;0")+SUMIFS(Movimientos!$C:$C,Movimientos!$A:$A,$B8,Movimientos!$D:$D,CONCATENATE("&lt;",OO$3),Movimientos!$C:$C,"&lt;0")</f>
        <v>0</v>
      </c>
      <c r="OP8" s="5">
        <f ca="1">SUMIFS(Movimientos!$C:$C,Movimientos!$A:$A,$B8,Movimientos!$D:$D,CONCATENATE("&lt;=",OP$3),Movimientos!$C:$C,"&gt;0")+SUMIFS(Movimientos!$C:$C,Movimientos!$A:$A,$B8,Movimientos!$D:$D,CONCATENATE("&lt;",OP$3),Movimientos!$C:$C,"&lt;0")</f>
        <v>0</v>
      </c>
      <c r="OQ8" s="5">
        <f ca="1">SUMIFS(Movimientos!$C:$C,Movimientos!$A:$A,$B8,Movimientos!$D:$D,CONCATENATE("&lt;=",OQ$3),Movimientos!$C:$C,"&gt;0")+SUMIFS(Movimientos!$C:$C,Movimientos!$A:$A,$B8,Movimientos!$D:$D,CONCATENATE("&lt;",OQ$3),Movimientos!$C:$C,"&lt;0")</f>
        <v>0</v>
      </c>
      <c r="OR8" s="5">
        <f ca="1">SUMIFS(Movimientos!$C:$C,Movimientos!$A:$A,$B8,Movimientos!$D:$D,CONCATENATE("&lt;=",OR$3),Movimientos!$C:$C,"&gt;0")+SUMIFS(Movimientos!$C:$C,Movimientos!$A:$A,$B8,Movimientos!$D:$D,CONCATENATE("&lt;",OR$3),Movimientos!$C:$C,"&lt;0")</f>
        <v>0</v>
      </c>
      <c r="OS8" s="5">
        <f ca="1">SUMIFS(Movimientos!$C:$C,Movimientos!$A:$A,$B8,Movimientos!$D:$D,CONCATENATE("&lt;=",OS$3),Movimientos!$C:$C,"&gt;0")+SUMIFS(Movimientos!$C:$C,Movimientos!$A:$A,$B8,Movimientos!$D:$D,CONCATENATE("&lt;",OS$3),Movimientos!$C:$C,"&lt;0")</f>
        <v>0</v>
      </c>
      <c r="OT8" s="5">
        <f ca="1">SUMIFS(Movimientos!$C:$C,Movimientos!$A:$A,$B8,Movimientos!$D:$D,CONCATENATE("&lt;=",OT$3),Movimientos!$C:$C,"&gt;0")+SUMIFS(Movimientos!$C:$C,Movimientos!$A:$A,$B8,Movimientos!$D:$D,CONCATENATE("&lt;",OT$3),Movimientos!$C:$C,"&lt;0")</f>
        <v>0</v>
      </c>
      <c r="OU8" s="5">
        <f ca="1">SUMIFS(Movimientos!$C:$C,Movimientos!$A:$A,$B8,Movimientos!$D:$D,CONCATENATE("&lt;=",OU$3),Movimientos!$C:$C,"&gt;0")+SUMIFS(Movimientos!$C:$C,Movimientos!$A:$A,$B8,Movimientos!$D:$D,CONCATENATE("&lt;",OU$3),Movimientos!$C:$C,"&lt;0")</f>
        <v>0</v>
      </c>
      <c r="OV8" s="5">
        <f ca="1">SUMIFS(Movimientos!$C:$C,Movimientos!$A:$A,$B8,Movimientos!$D:$D,CONCATENATE("&lt;=",OV$3),Movimientos!$C:$C,"&gt;0")+SUMIFS(Movimientos!$C:$C,Movimientos!$A:$A,$B8,Movimientos!$D:$D,CONCATENATE("&lt;",OV$3),Movimientos!$C:$C,"&lt;0")</f>
        <v>0</v>
      </c>
      <c r="OW8" s="5">
        <f ca="1">SUMIFS(Movimientos!$C:$C,Movimientos!$A:$A,$B8,Movimientos!$D:$D,CONCATENATE("&lt;=",OW$3),Movimientos!$C:$C,"&gt;0")+SUMIFS(Movimientos!$C:$C,Movimientos!$A:$A,$B8,Movimientos!$D:$D,CONCATENATE("&lt;",OW$3),Movimientos!$C:$C,"&lt;0")</f>
        <v>0</v>
      </c>
      <c r="OX8" s="5">
        <f ca="1">SUMIFS(Movimientos!$C:$C,Movimientos!$A:$A,$B8,Movimientos!$D:$D,CONCATENATE("&lt;=",OX$3),Movimientos!$C:$C,"&gt;0")+SUMIFS(Movimientos!$C:$C,Movimientos!$A:$A,$B8,Movimientos!$D:$D,CONCATENATE("&lt;",OX$3),Movimientos!$C:$C,"&lt;0")</f>
        <v>0</v>
      </c>
      <c r="OY8" s="5">
        <f ca="1">SUMIFS(Movimientos!$C:$C,Movimientos!$A:$A,$B8,Movimientos!$D:$D,CONCATENATE("&lt;=",OY$3),Movimientos!$C:$C,"&gt;0")+SUMIFS(Movimientos!$C:$C,Movimientos!$A:$A,$B8,Movimientos!$D:$D,CONCATENATE("&lt;",OY$3),Movimientos!$C:$C,"&lt;0")</f>
        <v>0</v>
      </c>
      <c r="OZ8" s="5">
        <f ca="1">SUMIFS(Movimientos!$C:$C,Movimientos!$A:$A,$B8,Movimientos!$D:$D,CONCATENATE("&lt;=",OZ$3),Movimientos!$C:$C,"&gt;0")+SUMIFS(Movimientos!$C:$C,Movimientos!$A:$A,$B8,Movimientos!$D:$D,CONCATENATE("&lt;",OZ$3),Movimientos!$C:$C,"&lt;0")</f>
        <v>0</v>
      </c>
      <c r="PA8" s="5">
        <f ca="1">SUMIFS(Movimientos!$C:$C,Movimientos!$A:$A,$B8,Movimientos!$D:$D,CONCATENATE("&lt;=",PA$3),Movimientos!$C:$C,"&gt;0")+SUMIFS(Movimientos!$C:$C,Movimientos!$A:$A,$B8,Movimientos!$D:$D,CONCATENATE("&lt;",PA$3),Movimientos!$C:$C,"&lt;0")</f>
        <v>0</v>
      </c>
      <c r="PB8" s="5">
        <f ca="1">SUMIFS(Movimientos!$C:$C,Movimientos!$A:$A,$B8,Movimientos!$D:$D,CONCATENATE("&lt;=",PB$3),Movimientos!$C:$C,"&gt;0")+SUMIFS(Movimientos!$C:$C,Movimientos!$A:$A,$B8,Movimientos!$D:$D,CONCATENATE("&lt;",PB$3),Movimientos!$C:$C,"&lt;0")</f>
        <v>0</v>
      </c>
      <c r="PC8" s="5">
        <f ca="1">SUMIFS(Movimientos!$C:$C,Movimientos!$A:$A,$B8,Movimientos!$D:$D,CONCATENATE("&lt;=",PC$3),Movimientos!$C:$C,"&gt;0")+SUMIFS(Movimientos!$C:$C,Movimientos!$A:$A,$B8,Movimientos!$D:$D,CONCATENATE("&lt;",PC$3),Movimientos!$C:$C,"&lt;0")</f>
        <v>0</v>
      </c>
      <c r="PD8" s="5">
        <f ca="1">SUMIFS(Movimientos!$C:$C,Movimientos!$A:$A,$B8,Movimientos!$D:$D,CONCATENATE("&lt;=",PD$3),Movimientos!$C:$C,"&gt;0")+SUMIFS(Movimientos!$C:$C,Movimientos!$A:$A,$B8,Movimientos!$D:$D,CONCATENATE("&lt;",PD$3),Movimientos!$C:$C,"&lt;0")</f>
        <v>0</v>
      </c>
      <c r="PE8" s="5">
        <f ca="1">SUMIFS(Movimientos!$C:$C,Movimientos!$A:$A,$B8,Movimientos!$D:$D,CONCATENATE("&lt;=",PE$3),Movimientos!$C:$C,"&gt;0")+SUMIFS(Movimientos!$C:$C,Movimientos!$A:$A,$B8,Movimientos!$D:$D,CONCATENATE("&lt;",PE$3),Movimientos!$C:$C,"&lt;0")</f>
        <v>0</v>
      </c>
      <c r="PF8" s="5">
        <f ca="1">SUMIFS(Movimientos!$C:$C,Movimientos!$A:$A,$B8,Movimientos!$D:$D,CONCATENATE("&lt;=",PF$3),Movimientos!$C:$C,"&gt;0")+SUMIFS(Movimientos!$C:$C,Movimientos!$A:$A,$B8,Movimientos!$D:$D,CONCATENATE("&lt;",PF$3),Movimientos!$C:$C,"&lt;0")</f>
        <v>0</v>
      </c>
      <c r="PG8" s="5">
        <f ca="1">SUMIFS(Movimientos!$C:$C,Movimientos!$A:$A,$B8,Movimientos!$D:$D,CONCATENATE("&lt;=",PG$3),Movimientos!$C:$C,"&gt;0")+SUMIFS(Movimientos!$C:$C,Movimientos!$A:$A,$B8,Movimientos!$D:$D,CONCATENATE("&lt;",PG$3),Movimientos!$C:$C,"&lt;0")</f>
        <v>0</v>
      </c>
      <c r="PH8" s="5">
        <f ca="1">SUMIFS(Movimientos!$C:$C,Movimientos!$A:$A,$B8,Movimientos!$D:$D,CONCATENATE("&lt;=",PH$3),Movimientos!$C:$C,"&gt;0")+SUMIFS(Movimientos!$C:$C,Movimientos!$A:$A,$B8,Movimientos!$D:$D,CONCATENATE("&lt;",PH$3),Movimientos!$C:$C,"&lt;0")</f>
        <v>0</v>
      </c>
      <c r="PI8" s="5">
        <f ca="1">SUMIFS(Movimientos!$C:$C,Movimientos!$A:$A,$B8,Movimientos!$D:$D,CONCATENATE("&lt;=",PI$3),Movimientos!$C:$C,"&gt;0")+SUMIFS(Movimientos!$C:$C,Movimientos!$A:$A,$B8,Movimientos!$D:$D,CONCATENATE("&lt;",PI$3),Movimientos!$C:$C,"&lt;0")</f>
        <v>0</v>
      </c>
      <c r="PJ8" s="5">
        <f ca="1">SUMIFS(Movimientos!$C:$C,Movimientos!$A:$A,$B8,Movimientos!$D:$D,CONCATENATE("&lt;=",PJ$3),Movimientos!$C:$C,"&gt;0")+SUMIFS(Movimientos!$C:$C,Movimientos!$A:$A,$B8,Movimientos!$D:$D,CONCATENATE("&lt;",PJ$3),Movimientos!$C:$C,"&lt;0")</f>
        <v>0</v>
      </c>
      <c r="PK8" s="5">
        <f ca="1">SUMIFS(Movimientos!$C:$C,Movimientos!$A:$A,$B8,Movimientos!$D:$D,CONCATENATE("&lt;=",PK$3),Movimientos!$C:$C,"&gt;0")+SUMIFS(Movimientos!$C:$C,Movimientos!$A:$A,$B8,Movimientos!$D:$D,CONCATENATE("&lt;",PK$3),Movimientos!$C:$C,"&lt;0")</f>
        <v>0</v>
      </c>
      <c r="PL8" s="5">
        <f ca="1">SUMIFS(Movimientos!$C:$C,Movimientos!$A:$A,$B8,Movimientos!$D:$D,CONCATENATE("&lt;=",PL$3),Movimientos!$C:$C,"&gt;0")+SUMIFS(Movimientos!$C:$C,Movimientos!$A:$A,$B8,Movimientos!$D:$D,CONCATENATE("&lt;",PL$3),Movimientos!$C:$C,"&lt;0")</f>
        <v>0</v>
      </c>
      <c r="PM8" s="5">
        <f ca="1">SUMIFS(Movimientos!$C:$C,Movimientos!$A:$A,$B8,Movimientos!$D:$D,CONCATENATE("&lt;=",PM$3),Movimientos!$C:$C,"&gt;0")+SUMIFS(Movimientos!$C:$C,Movimientos!$A:$A,$B8,Movimientos!$D:$D,CONCATENATE("&lt;",PM$3),Movimientos!$C:$C,"&lt;0")</f>
        <v>0</v>
      </c>
      <c r="PN8" s="5">
        <f ca="1">SUMIFS(Movimientos!$C:$C,Movimientos!$A:$A,$B8,Movimientos!$D:$D,CONCATENATE("&lt;=",PN$3),Movimientos!$C:$C,"&gt;0")+SUMIFS(Movimientos!$C:$C,Movimientos!$A:$A,$B8,Movimientos!$D:$D,CONCATENATE("&lt;",PN$3),Movimientos!$C:$C,"&lt;0")</f>
        <v>0</v>
      </c>
      <c r="PO8" s="5">
        <f ca="1">SUMIFS(Movimientos!$C:$C,Movimientos!$A:$A,$B8,Movimientos!$D:$D,CONCATENATE("&lt;=",PO$3),Movimientos!$C:$C,"&gt;0")+SUMIFS(Movimientos!$C:$C,Movimientos!$A:$A,$B8,Movimientos!$D:$D,CONCATENATE("&lt;",PO$3),Movimientos!$C:$C,"&lt;0")</f>
        <v>0</v>
      </c>
      <c r="PP8" s="5">
        <f ca="1">SUMIFS(Movimientos!$C:$C,Movimientos!$A:$A,$B8,Movimientos!$D:$D,CONCATENATE("&lt;=",PP$3),Movimientos!$C:$C,"&gt;0")+SUMIFS(Movimientos!$C:$C,Movimientos!$A:$A,$B8,Movimientos!$D:$D,CONCATENATE("&lt;",PP$3),Movimientos!$C:$C,"&lt;0")</f>
        <v>0</v>
      </c>
      <c r="PQ8" s="5">
        <f ca="1">SUMIFS(Movimientos!$C:$C,Movimientos!$A:$A,$B8,Movimientos!$D:$D,CONCATENATE("&lt;=",PQ$3),Movimientos!$C:$C,"&gt;0")+SUMIFS(Movimientos!$C:$C,Movimientos!$A:$A,$B8,Movimientos!$D:$D,CONCATENATE("&lt;",PQ$3),Movimientos!$C:$C,"&lt;0")</f>
        <v>0</v>
      </c>
      <c r="PR8" s="5">
        <f ca="1">SUMIFS(Movimientos!$C:$C,Movimientos!$A:$A,$B8,Movimientos!$D:$D,CONCATENATE("&lt;=",PR$3),Movimientos!$C:$C,"&gt;0")+SUMIFS(Movimientos!$C:$C,Movimientos!$A:$A,$B8,Movimientos!$D:$D,CONCATENATE("&lt;",PR$3),Movimientos!$C:$C,"&lt;0")</f>
        <v>0</v>
      </c>
      <c r="PS8" s="5">
        <f ca="1">SUMIFS(Movimientos!$C:$C,Movimientos!$A:$A,$B8,Movimientos!$D:$D,CONCATENATE("&lt;=",PS$3),Movimientos!$C:$C,"&gt;0")+SUMIFS(Movimientos!$C:$C,Movimientos!$A:$A,$B8,Movimientos!$D:$D,CONCATENATE("&lt;",PS$3),Movimientos!$C:$C,"&lt;0")</f>
        <v>0</v>
      </c>
      <c r="PT8" s="5">
        <f ca="1">SUMIFS(Movimientos!$C:$C,Movimientos!$A:$A,$B8,Movimientos!$D:$D,CONCATENATE("&lt;=",PT$3),Movimientos!$C:$C,"&gt;0")+SUMIFS(Movimientos!$C:$C,Movimientos!$A:$A,$B8,Movimientos!$D:$D,CONCATENATE("&lt;",PT$3),Movimientos!$C:$C,"&lt;0")</f>
        <v>0</v>
      </c>
      <c r="PU8" s="5">
        <f ca="1">SUMIFS(Movimientos!$C:$C,Movimientos!$A:$A,$B8,Movimientos!$D:$D,CONCATENATE("&lt;=",PU$3),Movimientos!$C:$C,"&gt;0")+SUMIFS(Movimientos!$C:$C,Movimientos!$A:$A,$B8,Movimientos!$D:$D,CONCATENATE("&lt;",PU$3),Movimientos!$C:$C,"&lt;0")</f>
        <v>0</v>
      </c>
      <c r="PV8" s="5">
        <f ca="1">SUMIFS(Movimientos!$C:$C,Movimientos!$A:$A,$B8,Movimientos!$D:$D,CONCATENATE("&lt;=",PV$3),Movimientos!$C:$C,"&gt;0")+SUMIFS(Movimientos!$C:$C,Movimientos!$A:$A,$B8,Movimientos!$D:$D,CONCATENATE("&lt;",PV$3),Movimientos!$C:$C,"&lt;0")</f>
        <v>0</v>
      </c>
      <c r="PW8" s="5">
        <f ca="1">SUMIFS(Movimientos!$C:$C,Movimientos!$A:$A,$B8,Movimientos!$D:$D,CONCATENATE("&lt;=",PW$3),Movimientos!$C:$C,"&gt;0")+SUMIFS(Movimientos!$C:$C,Movimientos!$A:$A,$B8,Movimientos!$D:$D,CONCATENATE("&lt;",PW$3),Movimientos!$C:$C,"&lt;0")</f>
        <v>0</v>
      </c>
      <c r="PX8" s="5">
        <f ca="1">SUMIFS(Movimientos!$C:$C,Movimientos!$A:$A,$B8,Movimientos!$D:$D,CONCATENATE("&lt;=",PX$3),Movimientos!$C:$C,"&gt;0")+SUMIFS(Movimientos!$C:$C,Movimientos!$A:$A,$B8,Movimientos!$D:$D,CONCATENATE("&lt;",PX$3),Movimientos!$C:$C,"&lt;0")</f>
        <v>0</v>
      </c>
      <c r="PY8" s="5">
        <f ca="1">SUMIFS(Movimientos!$C:$C,Movimientos!$A:$A,$B8,Movimientos!$D:$D,CONCATENATE("&lt;=",PY$3),Movimientos!$C:$C,"&gt;0")+SUMIFS(Movimientos!$C:$C,Movimientos!$A:$A,$B8,Movimientos!$D:$D,CONCATENATE("&lt;",PY$3),Movimientos!$C:$C,"&lt;0")</f>
        <v>0</v>
      </c>
      <c r="PZ8" s="5">
        <f ca="1">SUMIFS(Movimientos!$C:$C,Movimientos!$A:$A,$B8,Movimientos!$D:$D,CONCATENATE("&lt;=",PZ$3),Movimientos!$C:$C,"&gt;0")+SUMIFS(Movimientos!$C:$C,Movimientos!$A:$A,$B8,Movimientos!$D:$D,CONCATENATE("&lt;",PZ$3),Movimientos!$C:$C,"&lt;0")</f>
        <v>0</v>
      </c>
      <c r="QA8" s="5">
        <f ca="1">SUMIFS(Movimientos!$C:$C,Movimientos!$A:$A,$B8,Movimientos!$D:$D,CONCATENATE("&lt;=",QA$3),Movimientos!$C:$C,"&gt;0")+SUMIFS(Movimientos!$C:$C,Movimientos!$A:$A,$B8,Movimientos!$D:$D,CONCATENATE("&lt;",QA$3),Movimientos!$C:$C,"&lt;0")</f>
        <v>0</v>
      </c>
      <c r="QB8" s="5">
        <f ca="1">SUMIFS(Movimientos!$C:$C,Movimientos!$A:$A,$B8,Movimientos!$D:$D,CONCATENATE("&lt;=",QB$3),Movimientos!$C:$C,"&gt;0")+SUMIFS(Movimientos!$C:$C,Movimientos!$A:$A,$B8,Movimientos!$D:$D,CONCATENATE("&lt;",QB$3),Movimientos!$C:$C,"&lt;0")</f>
        <v>0</v>
      </c>
      <c r="QC8" s="5">
        <f ca="1">SUMIFS(Movimientos!$C:$C,Movimientos!$A:$A,$B8,Movimientos!$D:$D,CONCATENATE("&lt;=",QC$3),Movimientos!$C:$C,"&gt;0")+SUMIFS(Movimientos!$C:$C,Movimientos!$A:$A,$B8,Movimientos!$D:$D,CONCATENATE("&lt;",QC$3),Movimientos!$C:$C,"&lt;0")</f>
        <v>0</v>
      </c>
      <c r="QD8" s="5">
        <f ca="1">SUMIFS(Movimientos!$C:$C,Movimientos!$A:$A,$B8,Movimientos!$D:$D,CONCATENATE("&lt;=",QD$3),Movimientos!$C:$C,"&gt;0")+SUMIFS(Movimientos!$C:$C,Movimientos!$A:$A,$B8,Movimientos!$D:$D,CONCATENATE("&lt;",QD$3),Movimientos!$C:$C,"&lt;0")</f>
        <v>0</v>
      </c>
      <c r="QE8" s="5">
        <f ca="1">SUMIFS(Movimientos!$C:$C,Movimientos!$A:$A,$B8,Movimientos!$D:$D,CONCATENATE("&lt;=",QE$3),Movimientos!$C:$C,"&gt;0")+SUMIFS(Movimientos!$C:$C,Movimientos!$A:$A,$B8,Movimientos!$D:$D,CONCATENATE("&lt;",QE$3),Movimientos!$C:$C,"&lt;0")</f>
        <v>0</v>
      </c>
      <c r="QF8" s="5">
        <f ca="1">SUMIFS(Movimientos!$C:$C,Movimientos!$A:$A,$B8,Movimientos!$D:$D,CONCATENATE("&lt;=",QF$3),Movimientos!$C:$C,"&gt;0")+SUMIFS(Movimientos!$C:$C,Movimientos!$A:$A,$B8,Movimientos!$D:$D,CONCATENATE("&lt;",QF$3),Movimientos!$C:$C,"&lt;0")</f>
        <v>0</v>
      </c>
      <c r="QG8" s="5">
        <f ca="1">SUMIFS(Movimientos!$C:$C,Movimientos!$A:$A,$B8,Movimientos!$D:$D,CONCATENATE("&lt;=",QG$3),Movimientos!$C:$C,"&gt;0")+SUMIFS(Movimientos!$C:$C,Movimientos!$A:$A,$B8,Movimientos!$D:$D,CONCATENATE("&lt;",QG$3),Movimientos!$C:$C,"&lt;0")</f>
        <v>0</v>
      </c>
      <c r="QH8" s="5">
        <f ca="1">SUMIFS(Movimientos!$C:$C,Movimientos!$A:$A,$B8,Movimientos!$D:$D,CONCATENATE("&lt;=",QH$3),Movimientos!$C:$C,"&gt;0")+SUMIFS(Movimientos!$C:$C,Movimientos!$A:$A,$B8,Movimientos!$D:$D,CONCATENATE("&lt;",QH$3),Movimientos!$C:$C,"&lt;0")</f>
        <v>0</v>
      </c>
      <c r="QI8" s="5">
        <f ca="1">SUMIFS(Movimientos!$C:$C,Movimientos!$A:$A,$B8,Movimientos!$D:$D,CONCATENATE("&lt;=",QI$3),Movimientos!$C:$C,"&gt;0")+SUMIFS(Movimientos!$C:$C,Movimientos!$A:$A,$B8,Movimientos!$D:$D,CONCATENATE("&lt;",QI$3),Movimientos!$C:$C,"&lt;0")</f>
        <v>0</v>
      </c>
      <c r="QJ8" s="5">
        <f ca="1">SUMIFS(Movimientos!$C:$C,Movimientos!$A:$A,$B8,Movimientos!$D:$D,CONCATENATE("&lt;=",QJ$3),Movimientos!$C:$C,"&gt;0")+SUMIFS(Movimientos!$C:$C,Movimientos!$A:$A,$B8,Movimientos!$D:$D,CONCATENATE("&lt;",QJ$3),Movimientos!$C:$C,"&lt;0")</f>
        <v>0</v>
      </c>
      <c r="QK8" s="5">
        <f ca="1">SUMIFS(Movimientos!$C:$C,Movimientos!$A:$A,$B8,Movimientos!$D:$D,CONCATENATE("&lt;=",QK$3),Movimientos!$C:$C,"&gt;0")+SUMIFS(Movimientos!$C:$C,Movimientos!$A:$A,$B8,Movimientos!$D:$D,CONCATENATE("&lt;",QK$3),Movimientos!$C:$C,"&lt;0")</f>
        <v>0</v>
      </c>
      <c r="QL8" s="5">
        <f ca="1">SUMIFS(Movimientos!$C:$C,Movimientos!$A:$A,$B8,Movimientos!$D:$D,CONCATENATE("&lt;=",QL$3),Movimientos!$C:$C,"&gt;0")+SUMIFS(Movimientos!$C:$C,Movimientos!$A:$A,$B8,Movimientos!$D:$D,CONCATENATE("&lt;",QL$3),Movimientos!$C:$C,"&lt;0")</f>
        <v>0</v>
      </c>
      <c r="QM8" s="5">
        <f ca="1">SUMIFS(Movimientos!$C:$C,Movimientos!$A:$A,$B8,Movimientos!$D:$D,CONCATENATE("&lt;=",QM$3),Movimientos!$C:$C,"&gt;0")+SUMIFS(Movimientos!$C:$C,Movimientos!$A:$A,$B8,Movimientos!$D:$D,CONCATENATE("&lt;",QM$3),Movimientos!$C:$C,"&lt;0")</f>
        <v>0</v>
      </c>
      <c r="QN8" s="5">
        <f ca="1">SUMIFS(Movimientos!$C:$C,Movimientos!$A:$A,$B8,Movimientos!$D:$D,CONCATENATE("&lt;=",QN$3),Movimientos!$C:$C,"&gt;0")+SUMIFS(Movimientos!$C:$C,Movimientos!$A:$A,$B8,Movimientos!$D:$D,CONCATENATE("&lt;",QN$3),Movimientos!$C:$C,"&lt;0")</f>
        <v>0</v>
      </c>
      <c r="QO8" s="5">
        <f ca="1">SUMIFS(Movimientos!$C:$C,Movimientos!$A:$A,$B8,Movimientos!$D:$D,CONCATENATE("&lt;=",QO$3),Movimientos!$C:$C,"&gt;0")+SUMIFS(Movimientos!$C:$C,Movimientos!$A:$A,$B8,Movimientos!$D:$D,CONCATENATE("&lt;",QO$3),Movimientos!$C:$C,"&lt;0")</f>
        <v>0</v>
      </c>
      <c r="QP8" s="5">
        <f ca="1">SUMIFS(Movimientos!$C:$C,Movimientos!$A:$A,$B8,Movimientos!$D:$D,CONCATENATE("&lt;=",QP$3),Movimientos!$C:$C,"&gt;0")+SUMIFS(Movimientos!$C:$C,Movimientos!$A:$A,$B8,Movimientos!$D:$D,CONCATENATE("&lt;",QP$3),Movimientos!$C:$C,"&lt;0")</f>
        <v>0</v>
      </c>
      <c r="QQ8" s="5">
        <f ca="1">SUMIFS(Movimientos!$C:$C,Movimientos!$A:$A,$B8,Movimientos!$D:$D,CONCATENATE("&lt;=",QQ$3),Movimientos!$C:$C,"&gt;0")+SUMIFS(Movimientos!$C:$C,Movimientos!$A:$A,$B8,Movimientos!$D:$D,CONCATENATE("&lt;",QQ$3),Movimientos!$C:$C,"&lt;0")</f>
        <v>0</v>
      </c>
      <c r="QR8" s="5">
        <f ca="1">SUMIFS(Movimientos!$C:$C,Movimientos!$A:$A,$B8,Movimientos!$D:$D,CONCATENATE("&lt;=",QR$3),Movimientos!$C:$C,"&gt;0")+SUMIFS(Movimientos!$C:$C,Movimientos!$A:$A,$B8,Movimientos!$D:$D,CONCATENATE("&lt;",QR$3),Movimientos!$C:$C,"&lt;0")</f>
        <v>0</v>
      </c>
      <c r="QS8" s="5">
        <f ca="1">SUMIFS(Movimientos!$C:$C,Movimientos!$A:$A,$B8,Movimientos!$D:$D,CONCATENATE("&lt;=",QS$3),Movimientos!$C:$C,"&gt;0")+SUMIFS(Movimientos!$C:$C,Movimientos!$A:$A,$B8,Movimientos!$D:$D,CONCATENATE("&lt;",QS$3),Movimientos!$C:$C,"&lt;0")</f>
        <v>0</v>
      </c>
      <c r="QT8" s="5">
        <f ca="1">SUMIFS(Movimientos!$C:$C,Movimientos!$A:$A,$B8,Movimientos!$D:$D,CONCATENATE("&lt;=",QT$3),Movimientos!$C:$C,"&gt;0")+SUMIFS(Movimientos!$C:$C,Movimientos!$A:$A,$B8,Movimientos!$D:$D,CONCATENATE("&lt;",QT$3),Movimientos!$C:$C,"&lt;0")</f>
        <v>0</v>
      </c>
      <c r="QU8" s="5">
        <f ca="1">SUMIFS(Movimientos!$C:$C,Movimientos!$A:$A,$B8,Movimientos!$D:$D,CONCATENATE("&lt;=",QU$3),Movimientos!$C:$C,"&gt;0")+SUMIFS(Movimientos!$C:$C,Movimientos!$A:$A,$B8,Movimientos!$D:$D,CONCATENATE("&lt;",QU$3),Movimientos!$C:$C,"&lt;0")</f>
        <v>0</v>
      </c>
      <c r="QV8" s="5">
        <f ca="1">SUMIFS(Movimientos!$C:$C,Movimientos!$A:$A,$B8,Movimientos!$D:$D,CONCATENATE("&lt;=",QV$3),Movimientos!$C:$C,"&gt;0")+SUMIFS(Movimientos!$C:$C,Movimientos!$A:$A,$B8,Movimientos!$D:$D,CONCATENATE("&lt;",QV$3),Movimientos!$C:$C,"&lt;0")</f>
        <v>0</v>
      </c>
      <c r="QW8" s="5">
        <f ca="1">SUMIFS(Movimientos!$C:$C,Movimientos!$A:$A,$B8,Movimientos!$D:$D,CONCATENATE("&lt;=",QW$3),Movimientos!$C:$C,"&gt;0")+SUMIFS(Movimientos!$C:$C,Movimientos!$A:$A,$B8,Movimientos!$D:$D,CONCATENATE("&lt;",QW$3),Movimientos!$C:$C,"&lt;0")</f>
        <v>0</v>
      </c>
      <c r="QX8" s="5">
        <f ca="1">SUMIFS(Movimientos!$C:$C,Movimientos!$A:$A,$B8,Movimientos!$D:$D,CONCATENATE("&lt;=",QX$3),Movimientos!$C:$C,"&gt;0")+SUMIFS(Movimientos!$C:$C,Movimientos!$A:$A,$B8,Movimientos!$D:$D,CONCATENATE("&lt;",QX$3),Movimientos!$C:$C,"&lt;0")</f>
        <v>0</v>
      </c>
      <c r="QY8" s="5">
        <f ca="1">SUMIFS(Movimientos!$C:$C,Movimientos!$A:$A,$B8,Movimientos!$D:$D,CONCATENATE("&lt;=",QY$3),Movimientos!$C:$C,"&gt;0")+SUMIFS(Movimientos!$C:$C,Movimientos!$A:$A,$B8,Movimientos!$D:$D,CONCATENATE("&lt;",QY$3),Movimientos!$C:$C,"&lt;0")</f>
        <v>0</v>
      </c>
      <c r="QZ8" s="5">
        <f ca="1">SUMIFS(Movimientos!$C:$C,Movimientos!$A:$A,$B8,Movimientos!$D:$D,CONCATENATE("&lt;=",QZ$3),Movimientos!$C:$C,"&gt;0")+SUMIFS(Movimientos!$C:$C,Movimientos!$A:$A,$B8,Movimientos!$D:$D,CONCATENATE("&lt;",QZ$3),Movimientos!$C:$C,"&lt;0")</f>
        <v>0</v>
      </c>
      <c r="RA8" s="5">
        <f ca="1">SUMIFS(Movimientos!$C:$C,Movimientos!$A:$A,$B8,Movimientos!$D:$D,CONCATENATE("&lt;=",RA$3),Movimientos!$C:$C,"&gt;0")+SUMIFS(Movimientos!$C:$C,Movimientos!$A:$A,$B8,Movimientos!$D:$D,CONCATENATE("&lt;",RA$3),Movimientos!$C:$C,"&lt;0")</f>
        <v>0</v>
      </c>
      <c r="RB8" s="5">
        <f ca="1">SUMIFS(Movimientos!$C:$C,Movimientos!$A:$A,$B8,Movimientos!$D:$D,CONCATENATE("&lt;=",RB$3),Movimientos!$C:$C,"&gt;0")+SUMIFS(Movimientos!$C:$C,Movimientos!$A:$A,$B8,Movimientos!$D:$D,CONCATENATE("&lt;",RB$3),Movimientos!$C:$C,"&lt;0")</f>
        <v>0</v>
      </c>
      <c r="RC8" s="5">
        <f ca="1">SUMIFS(Movimientos!$C:$C,Movimientos!$A:$A,$B8,Movimientos!$D:$D,CONCATENATE("&lt;=",RC$3),Movimientos!$C:$C,"&gt;0")+SUMIFS(Movimientos!$C:$C,Movimientos!$A:$A,$B8,Movimientos!$D:$D,CONCATENATE("&lt;",RC$3),Movimientos!$C:$C,"&lt;0")</f>
        <v>0</v>
      </c>
      <c r="RD8" s="5">
        <f ca="1">SUMIFS(Movimientos!$C:$C,Movimientos!$A:$A,$B8,Movimientos!$D:$D,CONCATENATE("&lt;=",RD$3),Movimientos!$C:$C,"&gt;0")+SUMIFS(Movimientos!$C:$C,Movimientos!$A:$A,$B8,Movimientos!$D:$D,CONCATENATE("&lt;",RD$3),Movimientos!$C:$C,"&lt;0")</f>
        <v>0</v>
      </c>
      <c r="RE8" s="5">
        <f ca="1">SUMIFS(Movimientos!$C:$C,Movimientos!$A:$A,$B8,Movimientos!$D:$D,CONCATENATE("&lt;=",RE$3),Movimientos!$C:$C,"&gt;0")+SUMIFS(Movimientos!$C:$C,Movimientos!$A:$A,$B8,Movimientos!$D:$D,CONCATENATE("&lt;",RE$3),Movimientos!$C:$C,"&lt;0")</f>
        <v>0</v>
      </c>
      <c r="RF8" s="5">
        <f ca="1">SUMIFS(Movimientos!$C:$C,Movimientos!$A:$A,$B8,Movimientos!$D:$D,CONCATENATE("&lt;=",RF$3),Movimientos!$C:$C,"&gt;0")+SUMIFS(Movimientos!$C:$C,Movimientos!$A:$A,$B8,Movimientos!$D:$D,CONCATENATE("&lt;",RF$3),Movimientos!$C:$C,"&lt;0")</f>
        <v>0</v>
      </c>
      <c r="RG8" s="5">
        <f ca="1">SUMIFS(Movimientos!$C:$C,Movimientos!$A:$A,$B8,Movimientos!$D:$D,CONCATENATE("&lt;=",RG$3),Movimientos!$C:$C,"&gt;0")+SUMIFS(Movimientos!$C:$C,Movimientos!$A:$A,$B8,Movimientos!$D:$D,CONCATENATE("&lt;",RG$3),Movimientos!$C:$C,"&lt;0")</f>
        <v>0</v>
      </c>
      <c r="RH8" s="5">
        <f ca="1">SUMIFS(Movimientos!$C:$C,Movimientos!$A:$A,$B8,Movimientos!$D:$D,CONCATENATE("&lt;=",RH$3),Movimientos!$C:$C,"&gt;0")+SUMIFS(Movimientos!$C:$C,Movimientos!$A:$A,$B8,Movimientos!$D:$D,CONCATENATE("&lt;",RH$3),Movimientos!$C:$C,"&lt;0")</f>
        <v>0</v>
      </c>
      <c r="RI8" s="5">
        <f ca="1">SUMIFS(Movimientos!$C:$C,Movimientos!$A:$A,$B8,Movimientos!$D:$D,CONCATENATE("&lt;=",RI$3),Movimientos!$C:$C,"&gt;0")+SUMIFS(Movimientos!$C:$C,Movimientos!$A:$A,$B8,Movimientos!$D:$D,CONCATENATE("&lt;",RI$3),Movimientos!$C:$C,"&lt;0")</f>
        <v>0</v>
      </c>
      <c r="RJ8" s="5">
        <f ca="1">SUMIFS(Movimientos!$C:$C,Movimientos!$A:$A,$B8,Movimientos!$D:$D,CONCATENATE("&lt;=",RJ$3),Movimientos!$C:$C,"&gt;0")+SUMIFS(Movimientos!$C:$C,Movimientos!$A:$A,$B8,Movimientos!$D:$D,CONCATENATE("&lt;",RJ$3),Movimientos!$C:$C,"&lt;0")</f>
        <v>0</v>
      </c>
      <c r="RK8" s="5">
        <f ca="1">SUMIFS(Movimientos!$C:$C,Movimientos!$A:$A,$B8,Movimientos!$D:$D,CONCATENATE("&lt;=",RK$3),Movimientos!$C:$C,"&gt;0")+SUMIFS(Movimientos!$C:$C,Movimientos!$A:$A,$B8,Movimientos!$D:$D,CONCATENATE("&lt;",RK$3),Movimientos!$C:$C,"&lt;0")</f>
        <v>0</v>
      </c>
      <c r="RL8" s="5">
        <f ca="1">SUMIFS(Movimientos!$C:$C,Movimientos!$A:$A,$B8,Movimientos!$D:$D,CONCATENATE("&lt;=",RL$3),Movimientos!$C:$C,"&gt;0")+SUMIFS(Movimientos!$C:$C,Movimientos!$A:$A,$B8,Movimientos!$D:$D,CONCATENATE("&lt;",RL$3),Movimientos!$C:$C,"&lt;0")</f>
        <v>0</v>
      </c>
      <c r="RM8" s="5">
        <f ca="1">SUMIFS(Movimientos!$C:$C,Movimientos!$A:$A,$B8,Movimientos!$D:$D,CONCATENATE("&lt;=",RM$3),Movimientos!$C:$C,"&gt;0")+SUMIFS(Movimientos!$C:$C,Movimientos!$A:$A,$B8,Movimientos!$D:$D,CONCATENATE("&lt;",RM$3),Movimientos!$C:$C,"&lt;0")</f>
        <v>0</v>
      </c>
      <c r="RN8" s="5">
        <f ca="1">SUMIFS(Movimientos!$C:$C,Movimientos!$A:$A,$B8,Movimientos!$D:$D,CONCATENATE("&lt;=",RN$3),Movimientos!$C:$C,"&gt;0")+SUMIFS(Movimientos!$C:$C,Movimientos!$A:$A,$B8,Movimientos!$D:$D,CONCATENATE("&lt;",RN$3),Movimientos!$C:$C,"&lt;0")</f>
        <v>0</v>
      </c>
      <c r="RO8" s="5">
        <f ca="1">SUMIFS(Movimientos!$C:$C,Movimientos!$A:$A,$B8,Movimientos!$D:$D,CONCATENATE("&lt;=",RO$3),Movimientos!$C:$C,"&gt;0")+SUMIFS(Movimientos!$C:$C,Movimientos!$A:$A,$B8,Movimientos!$D:$D,CONCATENATE("&lt;",RO$3),Movimientos!$C:$C,"&lt;0")</f>
        <v>0</v>
      </c>
      <c r="RP8" s="5">
        <f ca="1">SUMIFS(Movimientos!$C:$C,Movimientos!$A:$A,$B8,Movimientos!$D:$D,CONCATENATE("&lt;=",RP$3),Movimientos!$C:$C,"&gt;0")+SUMIFS(Movimientos!$C:$C,Movimientos!$A:$A,$B8,Movimientos!$D:$D,CONCATENATE("&lt;",RP$3),Movimientos!$C:$C,"&lt;0")</f>
        <v>0</v>
      </c>
      <c r="RQ8" s="5">
        <f ca="1">SUMIFS(Movimientos!$C:$C,Movimientos!$A:$A,$B8,Movimientos!$D:$D,CONCATENATE("&lt;=",RQ$3),Movimientos!$C:$C,"&gt;0")+SUMIFS(Movimientos!$C:$C,Movimientos!$A:$A,$B8,Movimientos!$D:$D,CONCATENATE("&lt;",RQ$3),Movimientos!$C:$C,"&lt;0")</f>
        <v>0</v>
      </c>
      <c r="RR8" s="5">
        <f ca="1">SUMIFS(Movimientos!$C:$C,Movimientos!$A:$A,$B8,Movimientos!$D:$D,CONCATENATE("&lt;=",RR$3),Movimientos!$C:$C,"&gt;0")+SUMIFS(Movimientos!$C:$C,Movimientos!$A:$A,$B8,Movimientos!$D:$D,CONCATENATE("&lt;",RR$3),Movimientos!$C:$C,"&lt;0")</f>
        <v>0</v>
      </c>
      <c r="RS8" s="5">
        <f ca="1">SUMIFS(Movimientos!$C:$C,Movimientos!$A:$A,$B8,Movimientos!$D:$D,CONCATENATE("&lt;=",RS$3),Movimientos!$C:$C,"&gt;0")+SUMIFS(Movimientos!$C:$C,Movimientos!$A:$A,$B8,Movimientos!$D:$D,CONCATENATE("&lt;",RS$3),Movimientos!$C:$C,"&lt;0")</f>
        <v>0</v>
      </c>
      <c r="RT8" s="5">
        <f ca="1">SUMIFS(Movimientos!$C:$C,Movimientos!$A:$A,$B8,Movimientos!$D:$D,CONCATENATE("&lt;=",RT$3),Movimientos!$C:$C,"&gt;0")+SUMIFS(Movimientos!$C:$C,Movimientos!$A:$A,$B8,Movimientos!$D:$D,CONCATENATE("&lt;",RT$3),Movimientos!$C:$C,"&lt;0")</f>
        <v>0</v>
      </c>
      <c r="RU8" s="5">
        <f ca="1">SUMIFS(Movimientos!$C:$C,Movimientos!$A:$A,$B8,Movimientos!$D:$D,CONCATENATE("&lt;=",RU$3),Movimientos!$C:$C,"&gt;0")+SUMIFS(Movimientos!$C:$C,Movimientos!$A:$A,$B8,Movimientos!$D:$D,CONCATENATE("&lt;",RU$3),Movimientos!$C:$C,"&lt;0")</f>
        <v>0</v>
      </c>
      <c r="RV8" s="5">
        <f ca="1">SUMIFS(Movimientos!$C:$C,Movimientos!$A:$A,$B8,Movimientos!$D:$D,CONCATENATE("&lt;=",RV$3),Movimientos!$C:$C,"&gt;0")+SUMIFS(Movimientos!$C:$C,Movimientos!$A:$A,$B8,Movimientos!$D:$D,CONCATENATE("&lt;",RV$3),Movimientos!$C:$C,"&lt;0")</f>
        <v>0</v>
      </c>
      <c r="RW8" s="5">
        <f ca="1">SUMIFS(Movimientos!$C:$C,Movimientos!$A:$A,$B8,Movimientos!$D:$D,CONCATENATE("&lt;=",RW$3),Movimientos!$C:$C,"&gt;0")+SUMIFS(Movimientos!$C:$C,Movimientos!$A:$A,$B8,Movimientos!$D:$D,CONCATENATE("&lt;",RW$3),Movimientos!$C:$C,"&lt;0")</f>
        <v>0</v>
      </c>
      <c r="RX8" s="5">
        <f ca="1">SUMIFS(Movimientos!$C:$C,Movimientos!$A:$A,$B8,Movimientos!$D:$D,CONCATENATE("&lt;=",RX$3),Movimientos!$C:$C,"&gt;0")+SUMIFS(Movimientos!$C:$C,Movimientos!$A:$A,$B8,Movimientos!$D:$D,CONCATENATE("&lt;",RX$3),Movimientos!$C:$C,"&lt;0")</f>
        <v>0</v>
      </c>
      <c r="RY8" s="5">
        <f ca="1">SUMIFS(Movimientos!$C:$C,Movimientos!$A:$A,$B8,Movimientos!$D:$D,CONCATENATE("&lt;=",RY$3),Movimientos!$C:$C,"&gt;0")+SUMIFS(Movimientos!$C:$C,Movimientos!$A:$A,$B8,Movimientos!$D:$D,CONCATENATE("&lt;",RY$3),Movimientos!$C:$C,"&lt;0")</f>
        <v>0</v>
      </c>
      <c r="RZ8" s="5">
        <f ca="1">SUMIFS(Movimientos!$C:$C,Movimientos!$A:$A,$B8,Movimientos!$D:$D,CONCATENATE("&lt;=",RZ$3),Movimientos!$C:$C,"&gt;0")+SUMIFS(Movimientos!$C:$C,Movimientos!$A:$A,$B8,Movimientos!$D:$D,CONCATENATE("&lt;",RZ$3),Movimientos!$C:$C,"&lt;0")</f>
        <v>0</v>
      </c>
      <c r="SA8" s="5">
        <f ca="1">SUMIFS(Movimientos!$C:$C,Movimientos!$A:$A,$B8,Movimientos!$D:$D,CONCATENATE("&lt;=",SA$3),Movimientos!$C:$C,"&gt;0")+SUMIFS(Movimientos!$C:$C,Movimientos!$A:$A,$B8,Movimientos!$D:$D,CONCATENATE("&lt;",SA$3),Movimientos!$C:$C,"&lt;0")</f>
        <v>0</v>
      </c>
      <c r="SB8" s="5">
        <f ca="1">SUMIFS(Movimientos!$C:$C,Movimientos!$A:$A,$B8,Movimientos!$D:$D,CONCATENATE("&lt;=",SB$3),Movimientos!$C:$C,"&gt;0")+SUMIFS(Movimientos!$C:$C,Movimientos!$A:$A,$B8,Movimientos!$D:$D,CONCATENATE("&lt;",SB$3),Movimientos!$C:$C,"&lt;0")</f>
        <v>0</v>
      </c>
      <c r="SC8" s="5">
        <f ca="1">SUMIFS(Movimientos!$C:$C,Movimientos!$A:$A,$B8,Movimientos!$D:$D,CONCATENATE("&lt;=",SC$3),Movimientos!$C:$C,"&gt;0")+SUMIFS(Movimientos!$C:$C,Movimientos!$A:$A,$B8,Movimientos!$D:$D,CONCATENATE("&lt;",SC$3),Movimientos!$C:$C,"&lt;0")</f>
        <v>0</v>
      </c>
      <c r="SD8" s="5">
        <f ca="1">SUMIFS(Movimientos!$C:$C,Movimientos!$A:$A,$B8,Movimientos!$D:$D,CONCATENATE("&lt;=",SD$3),Movimientos!$C:$C,"&gt;0")+SUMIFS(Movimientos!$C:$C,Movimientos!$A:$A,$B8,Movimientos!$D:$D,CONCATENATE("&lt;",SD$3),Movimientos!$C:$C,"&lt;0")</f>
        <v>0</v>
      </c>
      <c r="SE8" s="5">
        <f ca="1">SUMIFS(Movimientos!$C:$C,Movimientos!$A:$A,$B8,Movimientos!$D:$D,CONCATENATE("&lt;=",SE$3),Movimientos!$C:$C,"&gt;0")+SUMIFS(Movimientos!$C:$C,Movimientos!$A:$A,$B8,Movimientos!$D:$D,CONCATENATE("&lt;",SE$3),Movimientos!$C:$C,"&lt;0")</f>
        <v>0</v>
      </c>
      <c r="SF8" s="5">
        <f ca="1">SUMIFS(Movimientos!$C:$C,Movimientos!$A:$A,$B8,Movimientos!$D:$D,CONCATENATE("&lt;=",SF$3),Movimientos!$C:$C,"&gt;0")+SUMIFS(Movimientos!$C:$C,Movimientos!$A:$A,$B8,Movimientos!$D:$D,CONCATENATE("&lt;",SF$3),Movimientos!$C:$C,"&lt;0")</f>
        <v>0</v>
      </c>
      <c r="SG8" s="5">
        <f ca="1">SUMIFS(Movimientos!$C:$C,Movimientos!$A:$A,$B8,Movimientos!$D:$D,CONCATENATE("&lt;=",SG$3),Movimientos!$C:$C,"&gt;0")+SUMIFS(Movimientos!$C:$C,Movimientos!$A:$A,$B8,Movimientos!$D:$D,CONCATENATE("&lt;",SG$3),Movimientos!$C:$C,"&lt;0")</f>
        <v>0</v>
      </c>
      <c r="SH8" s="5">
        <f ca="1">SUMIFS(Movimientos!$C:$C,Movimientos!$A:$A,$B8,Movimientos!$D:$D,CONCATENATE("&lt;=",SH$3),Movimientos!$C:$C,"&gt;0")+SUMIFS(Movimientos!$C:$C,Movimientos!$A:$A,$B8,Movimientos!$D:$D,CONCATENATE("&lt;",SH$3),Movimientos!$C:$C,"&lt;0")</f>
        <v>0</v>
      </c>
      <c r="SI8" s="5">
        <f ca="1">SUMIFS(Movimientos!$C:$C,Movimientos!$A:$A,$B8,Movimientos!$D:$D,CONCATENATE("&lt;=",SI$3),Movimientos!$C:$C,"&gt;0")+SUMIFS(Movimientos!$C:$C,Movimientos!$A:$A,$B8,Movimientos!$D:$D,CONCATENATE("&lt;",SI$3),Movimientos!$C:$C,"&lt;0")</f>
        <v>0</v>
      </c>
      <c r="SJ8" s="5">
        <f ca="1">SUMIFS(Movimientos!$C:$C,Movimientos!$A:$A,$B8,Movimientos!$D:$D,CONCATENATE("&lt;=",SJ$3),Movimientos!$C:$C,"&gt;0")+SUMIFS(Movimientos!$C:$C,Movimientos!$A:$A,$B8,Movimientos!$D:$D,CONCATENATE("&lt;",SJ$3),Movimientos!$C:$C,"&lt;0")</f>
        <v>0</v>
      </c>
      <c r="SK8" s="5">
        <f ca="1">SUMIFS(Movimientos!$C:$C,Movimientos!$A:$A,$B8,Movimientos!$D:$D,CONCATENATE("&lt;=",SK$3),Movimientos!$C:$C,"&gt;0")+SUMIFS(Movimientos!$C:$C,Movimientos!$A:$A,$B8,Movimientos!$D:$D,CONCATENATE("&lt;",SK$3),Movimientos!$C:$C,"&lt;0")</f>
        <v>0</v>
      </c>
      <c r="SL8" s="5">
        <f ca="1">SUMIFS(Movimientos!$C:$C,Movimientos!$A:$A,$B8,Movimientos!$D:$D,CONCATENATE("&lt;=",SL$3),Movimientos!$C:$C,"&gt;0")+SUMIFS(Movimientos!$C:$C,Movimientos!$A:$A,$B8,Movimientos!$D:$D,CONCATENATE("&lt;",SL$3),Movimientos!$C:$C,"&lt;0")</f>
        <v>0</v>
      </c>
      <c r="SM8" s="5">
        <f ca="1">SUMIFS(Movimientos!$C:$C,Movimientos!$A:$A,$B8,Movimientos!$D:$D,CONCATENATE("&lt;=",SM$3),Movimientos!$C:$C,"&gt;0")+SUMIFS(Movimientos!$C:$C,Movimientos!$A:$A,$B8,Movimientos!$D:$D,CONCATENATE("&lt;",SM$3),Movimientos!$C:$C,"&lt;0")</f>
        <v>0</v>
      </c>
      <c r="SN8" s="5">
        <f ca="1">SUMIFS(Movimientos!$C:$C,Movimientos!$A:$A,$B8,Movimientos!$D:$D,CONCATENATE("&lt;=",SN$3),Movimientos!$C:$C,"&gt;0")+SUMIFS(Movimientos!$C:$C,Movimientos!$A:$A,$B8,Movimientos!$D:$D,CONCATENATE("&lt;",SN$3),Movimientos!$C:$C,"&lt;0")</f>
        <v>0</v>
      </c>
      <c r="SO8" s="5">
        <f ca="1">SUMIFS(Movimientos!$C:$C,Movimientos!$A:$A,$B8,Movimientos!$D:$D,CONCATENATE("&lt;=",SO$3),Movimientos!$C:$C,"&gt;0")+SUMIFS(Movimientos!$C:$C,Movimientos!$A:$A,$B8,Movimientos!$D:$D,CONCATENATE("&lt;",SO$3),Movimientos!$C:$C,"&lt;0")</f>
        <v>0</v>
      </c>
      <c r="SP8" s="5">
        <f ca="1">SUMIFS(Movimientos!$C:$C,Movimientos!$A:$A,$B8,Movimientos!$D:$D,CONCATENATE("&lt;=",SP$3),Movimientos!$C:$C,"&gt;0")+SUMIFS(Movimientos!$C:$C,Movimientos!$A:$A,$B8,Movimientos!$D:$D,CONCATENATE("&lt;",SP$3),Movimientos!$C:$C,"&lt;0")</f>
        <v>0</v>
      </c>
      <c r="SQ8" s="5">
        <f ca="1">SUMIFS(Movimientos!$C:$C,Movimientos!$A:$A,$B8,Movimientos!$D:$D,CONCATENATE("&lt;=",SQ$3),Movimientos!$C:$C,"&gt;0")+SUMIFS(Movimientos!$C:$C,Movimientos!$A:$A,$B8,Movimientos!$D:$D,CONCATENATE("&lt;",SQ$3),Movimientos!$C:$C,"&lt;0")</f>
        <v>0</v>
      </c>
      <c r="SR8" s="5">
        <f ca="1">SUMIFS(Movimientos!$C:$C,Movimientos!$A:$A,$B8,Movimientos!$D:$D,CONCATENATE("&lt;=",SR$3),Movimientos!$C:$C,"&gt;0")+SUMIFS(Movimientos!$C:$C,Movimientos!$A:$A,$B8,Movimientos!$D:$D,CONCATENATE("&lt;",SR$3),Movimientos!$C:$C,"&lt;0")</f>
        <v>0</v>
      </c>
      <c r="SS8" s="5">
        <f ca="1">SUMIFS(Movimientos!$C:$C,Movimientos!$A:$A,$B8,Movimientos!$D:$D,CONCATENATE("&lt;=",SS$3),Movimientos!$C:$C,"&gt;0")+SUMIFS(Movimientos!$C:$C,Movimientos!$A:$A,$B8,Movimientos!$D:$D,CONCATENATE("&lt;",SS$3),Movimientos!$C:$C,"&lt;0")</f>
        <v>0</v>
      </c>
      <c r="ST8" s="5">
        <f ca="1">SUMIFS(Movimientos!$C:$C,Movimientos!$A:$A,$B8,Movimientos!$D:$D,CONCATENATE("&lt;=",ST$3),Movimientos!$C:$C,"&gt;0")+SUMIFS(Movimientos!$C:$C,Movimientos!$A:$A,$B8,Movimientos!$D:$D,CONCATENATE("&lt;",ST$3),Movimientos!$C:$C,"&lt;0")</f>
        <v>0</v>
      </c>
      <c r="SU8" s="5">
        <f ca="1">SUMIFS(Movimientos!$C:$C,Movimientos!$A:$A,$B8,Movimientos!$D:$D,CONCATENATE("&lt;=",SU$3),Movimientos!$C:$C,"&gt;0")+SUMIFS(Movimientos!$C:$C,Movimientos!$A:$A,$B8,Movimientos!$D:$D,CONCATENATE("&lt;",SU$3),Movimientos!$C:$C,"&lt;0")</f>
        <v>0</v>
      </c>
      <c r="SV8" s="5">
        <f ca="1">SUMIFS(Movimientos!$C:$C,Movimientos!$A:$A,$B8,Movimientos!$D:$D,CONCATENATE("&lt;=",SV$3),Movimientos!$C:$C,"&gt;0")+SUMIFS(Movimientos!$C:$C,Movimientos!$A:$A,$B8,Movimientos!$D:$D,CONCATENATE("&lt;",SV$3),Movimientos!$C:$C,"&lt;0")</f>
        <v>0</v>
      </c>
      <c r="SW8" s="5">
        <f ca="1">SUMIFS(Movimientos!$C:$C,Movimientos!$A:$A,$B8,Movimientos!$D:$D,CONCATENATE("&lt;=",SW$3),Movimientos!$C:$C,"&gt;0")+SUMIFS(Movimientos!$C:$C,Movimientos!$A:$A,$B8,Movimientos!$D:$D,CONCATENATE("&lt;",SW$3),Movimientos!$C:$C,"&lt;0")</f>
        <v>0</v>
      </c>
      <c r="SX8" s="5">
        <f ca="1">SUMIFS(Movimientos!$C:$C,Movimientos!$A:$A,$B8,Movimientos!$D:$D,CONCATENATE("&lt;=",SX$3),Movimientos!$C:$C,"&gt;0")+SUMIFS(Movimientos!$C:$C,Movimientos!$A:$A,$B8,Movimientos!$D:$D,CONCATENATE("&lt;",SX$3),Movimientos!$C:$C,"&lt;0")</f>
        <v>0</v>
      </c>
      <c r="SY8" s="5">
        <f ca="1">SUMIFS(Movimientos!$C:$C,Movimientos!$A:$A,$B8,Movimientos!$D:$D,CONCATENATE("&lt;=",SY$3),Movimientos!$C:$C,"&gt;0")+SUMIFS(Movimientos!$C:$C,Movimientos!$A:$A,$B8,Movimientos!$D:$D,CONCATENATE("&lt;",SY$3),Movimientos!$C:$C,"&lt;0")</f>
        <v>0</v>
      </c>
      <c r="SZ8" s="5">
        <f ca="1">SUMIFS(Movimientos!$C:$C,Movimientos!$A:$A,$B8,Movimientos!$D:$D,CONCATENATE("&lt;=",SZ$3),Movimientos!$C:$C,"&gt;0")+SUMIFS(Movimientos!$C:$C,Movimientos!$A:$A,$B8,Movimientos!$D:$D,CONCATENATE("&lt;",SZ$3),Movimientos!$C:$C,"&lt;0")</f>
        <v>0</v>
      </c>
      <c r="TA8" s="5">
        <f ca="1">SUMIFS(Movimientos!$C:$C,Movimientos!$A:$A,$B8,Movimientos!$D:$D,CONCATENATE("&lt;=",TA$3),Movimientos!$C:$C,"&gt;0")+SUMIFS(Movimientos!$C:$C,Movimientos!$A:$A,$B8,Movimientos!$D:$D,CONCATENATE("&lt;",TA$3),Movimientos!$C:$C,"&lt;0")</f>
        <v>0</v>
      </c>
      <c r="TB8" s="5">
        <f ca="1">SUMIFS(Movimientos!$C:$C,Movimientos!$A:$A,$B8,Movimientos!$D:$D,CONCATENATE("&lt;=",TB$3),Movimientos!$C:$C,"&gt;0")+SUMIFS(Movimientos!$C:$C,Movimientos!$A:$A,$B8,Movimientos!$D:$D,CONCATENATE("&lt;",TB$3),Movimientos!$C:$C,"&lt;0")</f>
        <v>0</v>
      </c>
      <c r="TC8" s="5">
        <f ca="1">SUMIFS(Movimientos!$C:$C,Movimientos!$A:$A,$B8,Movimientos!$D:$D,CONCATENATE("&lt;=",TC$3),Movimientos!$C:$C,"&gt;0")+SUMIFS(Movimientos!$C:$C,Movimientos!$A:$A,$B8,Movimientos!$D:$D,CONCATENATE("&lt;",TC$3),Movimientos!$C:$C,"&lt;0")</f>
        <v>0</v>
      </c>
      <c r="TD8" s="5">
        <f ca="1">SUMIFS(Movimientos!$C:$C,Movimientos!$A:$A,$B8,Movimientos!$D:$D,CONCATENATE("&lt;=",TD$3),Movimientos!$C:$C,"&gt;0")+SUMIFS(Movimientos!$C:$C,Movimientos!$A:$A,$B8,Movimientos!$D:$D,CONCATENATE("&lt;",TD$3),Movimientos!$C:$C,"&lt;0")</f>
        <v>0</v>
      </c>
      <c r="TE8" s="5">
        <f ca="1">SUMIFS(Movimientos!$C:$C,Movimientos!$A:$A,$B8,Movimientos!$D:$D,CONCATENATE("&lt;=",TE$3),Movimientos!$C:$C,"&gt;0")+SUMIFS(Movimientos!$C:$C,Movimientos!$A:$A,$B8,Movimientos!$D:$D,CONCATENATE("&lt;",TE$3),Movimientos!$C:$C,"&lt;0")</f>
        <v>0</v>
      </c>
      <c r="TF8" s="5">
        <f ca="1">SUMIFS(Movimientos!$C:$C,Movimientos!$A:$A,$B8,Movimientos!$D:$D,CONCATENATE("&lt;=",TF$3),Movimientos!$C:$C,"&gt;0")+SUMIFS(Movimientos!$C:$C,Movimientos!$A:$A,$B8,Movimientos!$D:$D,CONCATENATE("&lt;",TF$3),Movimientos!$C:$C,"&lt;0")</f>
        <v>0</v>
      </c>
    </row>
    <row r="9" spans="1:526">
      <c r="A9" s="31" t="s">
        <v>48</v>
      </c>
      <c r="B9" s="4">
        <f>Cartera!B9</f>
        <v>0</v>
      </c>
      <c r="C9" s="4">
        <f>Cartera!C9</f>
        <v>0</v>
      </c>
      <c r="D9" s="5">
        <f ca="1">SUMIFS(Movimientos!$C:$C,Movimientos!$A:$A,$B9,Movimientos!$D:$D,CONCATENATE("&lt;=",D$3),Movimientos!$C:$C,"&gt;0")+SUMIFS(Movimientos!$C:$C,Movimientos!$A:$A,$B9,Movimientos!$D:$D,CONCATENATE("&lt;",D$3),Movimientos!$C:$C,"&lt;0")</f>
        <v>0</v>
      </c>
      <c r="E9" s="5">
        <f ca="1">SUMIFS(Movimientos!$C:$C,Movimientos!$A:$A,$B9,Movimientos!$D:$D,CONCATENATE("&lt;=",E$3),Movimientos!$C:$C,"&gt;0")+SUMIFS(Movimientos!$C:$C,Movimientos!$A:$A,$B9,Movimientos!$D:$D,CONCATENATE("&lt;",E$3),Movimientos!$C:$C,"&lt;0")</f>
        <v>0</v>
      </c>
      <c r="F9" s="5">
        <f ca="1">SUMIFS(Movimientos!$C:$C,Movimientos!$A:$A,$B9,Movimientos!$D:$D,CONCATENATE("&lt;=",F$3),Movimientos!$C:$C,"&gt;0")+SUMIFS(Movimientos!$C:$C,Movimientos!$A:$A,$B9,Movimientos!$D:$D,CONCATENATE("&lt;",F$3),Movimientos!$C:$C,"&lt;0")</f>
        <v>0</v>
      </c>
      <c r="G9" s="5">
        <f ca="1">SUMIFS(Movimientos!$C:$C,Movimientos!$A:$A,$B9,Movimientos!$D:$D,CONCATENATE("&lt;=",G$3),Movimientos!$C:$C,"&gt;0")+SUMIFS(Movimientos!$C:$C,Movimientos!$A:$A,$B9,Movimientos!$D:$D,CONCATENATE("&lt;",G$3),Movimientos!$C:$C,"&lt;0")</f>
        <v>0</v>
      </c>
      <c r="H9" s="5">
        <f ca="1">SUMIFS(Movimientos!$C:$C,Movimientos!$A:$A,$B9,Movimientos!$D:$D,CONCATENATE("&lt;=",H$3),Movimientos!$C:$C,"&gt;0")+SUMIFS(Movimientos!$C:$C,Movimientos!$A:$A,$B9,Movimientos!$D:$D,CONCATENATE("&lt;",H$3),Movimientos!$C:$C,"&lt;0")</f>
        <v>0</v>
      </c>
      <c r="I9" s="5">
        <f ca="1">SUMIFS(Movimientos!$C:$C,Movimientos!$A:$A,$B9,Movimientos!$D:$D,CONCATENATE("&lt;=",I$3),Movimientos!$C:$C,"&gt;0")+SUMIFS(Movimientos!$C:$C,Movimientos!$A:$A,$B9,Movimientos!$D:$D,CONCATENATE("&lt;",I$3),Movimientos!$C:$C,"&lt;0")</f>
        <v>0</v>
      </c>
      <c r="J9" s="5">
        <f ca="1">SUMIFS(Movimientos!$C:$C,Movimientos!$A:$A,$B9,Movimientos!$D:$D,CONCATENATE("&lt;=",J$3),Movimientos!$C:$C,"&gt;0")+SUMIFS(Movimientos!$C:$C,Movimientos!$A:$A,$B9,Movimientos!$D:$D,CONCATENATE("&lt;",J$3),Movimientos!$C:$C,"&lt;0")</f>
        <v>0</v>
      </c>
      <c r="K9" s="5">
        <f ca="1">SUMIFS(Movimientos!$C:$C,Movimientos!$A:$A,$B9,Movimientos!$D:$D,CONCATENATE("&lt;=",K$3),Movimientos!$C:$C,"&gt;0")+SUMIFS(Movimientos!$C:$C,Movimientos!$A:$A,$B9,Movimientos!$D:$D,CONCATENATE("&lt;",K$3),Movimientos!$C:$C,"&lt;0")</f>
        <v>0</v>
      </c>
      <c r="L9" s="5">
        <f ca="1">SUMIFS(Movimientos!$C:$C,Movimientos!$A:$A,$B9,Movimientos!$D:$D,CONCATENATE("&lt;=",L$3),Movimientos!$C:$C,"&gt;0")+SUMIFS(Movimientos!$C:$C,Movimientos!$A:$A,$B9,Movimientos!$D:$D,CONCATENATE("&lt;",L$3),Movimientos!$C:$C,"&lt;0")</f>
        <v>0</v>
      </c>
      <c r="M9" s="5">
        <f ca="1">SUMIFS(Movimientos!$C:$C,Movimientos!$A:$A,$B9,Movimientos!$D:$D,CONCATENATE("&lt;=",M$3),Movimientos!$C:$C,"&gt;0")+SUMIFS(Movimientos!$C:$C,Movimientos!$A:$A,$B9,Movimientos!$D:$D,CONCATENATE("&lt;",M$3),Movimientos!$C:$C,"&lt;0")</f>
        <v>0</v>
      </c>
      <c r="N9" s="5">
        <f ca="1">SUMIFS(Movimientos!$C:$C,Movimientos!$A:$A,$B9,Movimientos!$D:$D,CONCATENATE("&lt;=",N$3),Movimientos!$C:$C,"&gt;0")+SUMIFS(Movimientos!$C:$C,Movimientos!$A:$A,$B9,Movimientos!$D:$D,CONCATENATE("&lt;",N$3),Movimientos!$C:$C,"&lt;0")</f>
        <v>0</v>
      </c>
      <c r="O9" s="5">
        <f ca="1">SUMIFS(Movimientos!$C:$C,Movimientos!$A:$A,$B9,Movimientos!$D:$D,CONCATENATE("&lt;=",O$3),Movimientos!$C:$C,"&gt;0")+SUMIFS(Movimientos!$C:$C,Movimientos!$A:$A,$B9,Movimientos!$D:$D,CONCATENATE("&lt;",O$3),Movimientos!$C:$C,"&lt;0")</f>
        <v>0</v>
      </c>
      <c r="P9" s="5">
        <f ca="1">SUMIFS(Movimientos!$C:$C,Movimientos!$A:$A,$B9,Movimientos!$D:$D,CONCATENATE("&lt;=",P$3),Movimientos!$C:$C,"&gt;0")+SUMIFS(Movimientos!$C:$C,Movimientos!$A:$A,$B9,Movimientos!$D:$D,CONCATENATE("&lt;",P$3),Movimientos!$C:$C,"&lt;0")</f>
        <v>0</v>
      </c>
      <c r="Q9" s="5">
        <f ca="1">SUMIFS(Movimientos!$C:$C,Movimientos!$A:$A,$B9,Movimientos!$D:$D,CONCATENATE("&lt;=",Q$3),Movimientos!$C:$C,"&gt;0")+SUMIFS(Movimientos!$C:$C,Movimientos!$A:$A,$B9,Movimientos!$D:$D,CONCATENATE("&lt;",Q$3),Movimientos!$C:$C,"&lt;0")</f>
        <v>0</v>
      </c>
      <c r="R9" s="5">
        <f ca="1">SUMIFS(Movimientos!$C:$C,Movimientos!$A:$A,$B9,Movimientos!$D:$D,CONCATENATE("&lt;=",R$3),Movimientos!$C:$C,"&gt;0")+SUMIFS(Movimientos!$C:$C,Movimientos!$A:$A,$B9,Movimientos!$D:$D,CONCATENATE("&lt;",R$3),Movimientos!$C:$C,"&lt;0")</f>
        <v>0</v>
      </c>
      <c r="S9" s="5">
        <f ca="1">SUMIFS(Movimientos!$C:$C,Movimientos!$A:$A,$B9,Movimientos!$D:$D,CONCATENATE("&lt;=",S$3),Movimientos!$C:$C,"&gt;0")+SUMIFS(Movimientos!$C:$C,Movimientos!$A:$A,$B9,Movimientos!$D:$D,CONCATENATE("&lt;",S$3),Movimientos!$C:$C,"&lt;0")</f>
        <v>0</v>
      </c>
      <c r="T9" s="5">
        <f ca="1">SUMIFS(Movimientos!$C:$C,Movimientos!$A:$A,$B9,Movimientos!$D:$D,CONCATENATE("&lt;=",T$3),Movimientos!$C:$C,"&gt;0")+SUMIFS(Movimientos!$C:$C,Movimientos!$A:$A,$B9,Movimientos!$D:$D,CONCATENATE("&lt;",T$3),Movimientos!$C:$C,"&lt;0")</f>
        <v>0</v>
      </c>
      <c r="U9" s="5">
        <f ca="1">SUMIFS(Movimientos!$C:$C,Movimientos!$A:$A,$B9,Movimientos!$D:$D,CONCATENATE("&lt;=",U$3),Movimientos!$C:$C,"&gt;0")+SUMIFS(Movimientos!$C:$C,Movimientos!$A:$A,$B9,Movimientos!$D:$D,CONCATENATE("&lt;",U$3),Movimientos!$C:$C,"&lt;0")</f>
        <v>0</v>
      </c>
      <c r="V9" s="5">
        <f ca="1">SUMIFS(Movimientos!$C:$C,Movimientos!$A:$A,$B9,Movimientos!$D:$D,CONCATENATE("&lt;=",V$3),Movimientos!$C:$C,"&gt;0")+SUMIFS(Movimientos!$C:$C,Movimientos!$A:$A,$B9,Movimientos!$D:$D,CONCATENATE("&lt;",V$3),Movimientos!$C:$C,"&lt;0")</f>
        <v>0</v>
      </c>
      <c r="W9" s="5">
        <f ca="1">SUMIFS(Movimientos!$C:$C,Movimientos!$A:$A,$B9,Movimientos!$D:$D,CONCATENATE("&lt;=",W$3),Movimientos!$C:$C,"&gt;0")+SUMIFS(Movimientos!$C:$C,Movimientos!$A:$A,$B9,Movimientos!$D:$D,CONCATENATE("&lt;",W$3),Movimientos!$C:$C,"&lt;0")</f>
        <v>0</v>
      </c>
      <c r="X9" s="5">
        <f ca="1">SUMIFS(Movimientos!$C:$C,Movimientos!$A:$A,$B9,Movimientos!$D:$D,CONCATENATE("&lt;=",X$3),Movimientos!$C:$C,"&gt;0")+SUMIFS(Movimientos!$C:$C,Movimientos!$A:$A,$B9,Movimientos!$D:$D,CONCATENATE("&lt;",X$3),Movimientos!$C:$C,"&lt;0")</f>
        <v>0</v>
      </c>
      <c r="Y9" s="5">
        <f ca="1">SUMIFS(Movimientos!$C:$C,Movimientos!$A:$A,$B9,Movimientos!$D:$D,CONCATENATE("&lt;=",Y$3),Movimientos!$C:$C,"&gt;0")+SUMIFS(Movimientos!$C:$C,Movimientos!$A:$A,$B9,Movimientos!$D:$D,CONCATENATE("&lt;",Y$3),Movimientos!$C:$C,"&lt;0")</f>
        <v>0</v>
      </c>
      <c r="Z9" s="5">
        <f ca="1">SUMIFS(Movimientos!$C:$C,Movimientos!$A:$A,$B9,Movimientos!$D:$D,CONCATENATE("&lt;=",Z$3),Movimientos!$C:$C,"&gt;0")+SUMIFS(Movimientos!$C:$C,Movimientos!$A:$A,$B9,Movimientos!$D:$D,CONCATENATE("&lt;",Z$3),Movimientos!$C:$C,"&lt;0")</f>
        <v>0</v>
      </c>
      <c r="AA9" s="5">
        <f ca="1">SUMIFS(Movimientos!$C:$C,Movimientos!$A:$A,$B9,Movimientos!$D:$D,CONCATENATE("&lt;=",AA$3),Movimientos!$C:$C,"&gt;0")+SUMIFS(Movimientos!$C:$C,Movimientos!$A:$A,$B9,Movimientos!$D:$D,CONCATENATE("&lt;",AA$3),Movimientos!$C:$C,"&lt;0")</f>
        <v>0</v>
      </c>
      <c r="AB9" s="5">
        <f ca="1">SUMIFS(Movimientos!$C:$C,Movimientos!$A:$A,$B9,Movimientos!$D:$D,CONCATENATE("&lt;=",AB$3),Movimientos!$C:$C,"&gt;0")+SUMIFS(Movimientos!$C:$C,Movimientos!$A:$A,$B9,Movimientos!$D:$D,CONCATENATE("&lt;",AB$3),Movimientos!$C:$C,"&lt;0")</f>
        <v>0</v>
      </c>
      <c r="AC9" s="5">
        <f ca="1">SUMIFS(Movimientos!$C:$C,Movimientos!$A:$A,$B9,Movimientos!$D:$D,CONCATENATE("&lt;=",AC$3),Movimientos!$C:$C,"&gt;0")+SUMIFS(Movimientos!$C:$C,Movimientos!$A:$A,$B9,Movimientos!$D:$D,CONCATENATE("&lt;",AC$3),Movimientos!$C:$C,"&lt;0")</f>
        <v>0</v>
      </c>
      <c r="AD9" s="5">
        <f ca="1">SUMIFS(Movimientos!$C:$C,Movimientos!$A:$A,$B9,Movimientos!$D:$D,CONCATENATE("&lt;=",AD$3),Movimientos!$C:$C,"&gt;0")+SUMIFS(Movimientos!$C:$C,Movimientos!$A:$A,$B9,Movimientos!$D:$D,CONCATENATE("&lt;",AD$3),Movimientos!$C:$C,"&lt;0")</f>
        <v>0</v>
      </c>
      <c r="AE9" s="5">
        <f ca="1">SUMIFS(Movimientos!$C:$C,Movimientos!$A:$A,$B9,Movimientos!$D:$D,CONCATENATE("&lt;=",AE$3),Movimientos!$C:$C,"&gt;0")+SUMIFS(Movimientos!$C:$C,Movimientos!$A:$A,$B9,Movimientos!$D:$D,CONCATENATE("&lt;",AE$3),Movimientos!$C:$C,"&lt;0")</f>
        <v>0</v>
      </c>
      <c r="AF9" s="5">
        <f ca="1">SUMIFS(Movimientos!$C:$C,Movimientos!$A:$A,$B9,Movimientos!$D:$D,CONCATENATE("&lt;=",AF$3),Movimientos!$C:$C,"&gt;0")+SUMIFS(Movimientos!$C:$C,Movimientos!$A:$A,$B9,Movimientos!$D:$D,CONCATENATE("&lt;",AF$3),Movimientos!$C:$C,"&lt;0")</f>
        <v>0</v>
      </c>
      <c r="AG9" s="5">
        <f ca="1">SUMIFS(Movimientos!$C:$C,Movimientos!$A:$A,$B9,Movimientos!$D:$D,CONCATENATE("&lt;=",AG$3),Movimientos!$C:$C,"&gt;0")+SUMIFS(Movimientos!$C:$C,Movimientos!$A:$A,$B9,Movimientos!$D:$D,CONCATENATE("&lt;",AG$3),Movimientos!$C:$C,"&lt;0")</f>
        <v>0</v>
      </c>
      <c r="AH9" s="5">
        <f ca="1">SUMIFS(Movimientos!$C:$C,Movimientos!$A:$A,$B9,Movimientos!$D:$D,CONCATENATE("&lt;=",AH$3),Movimientos!$C:$C,"&gt;0")+SUMIFS(Movimientos!$C:$C,Movimientos!$A:$A,$B9,Movimientos!$D:$D,CONCATENATE("&lt;",AH$3),Movimientos!$C:$C,"&lt;0")</f>
        <v>0</v>
      </c>
      <c r="AI9" s="5">
        <f ca="1">SUMIFS(Movimientos!$C:$C,Movimientos!$A:$A,$B9,Movimientos!$D:$D,CONCATENATE("&lt;=",AI$3),Movimientos!$C:$C,"&gt;0")+SUMIFS(Movimientos!$C:$C,Movimientos!$A:$A,$B9,Movimientos!$D:$D,CONCATENATE("&lt;",AI$3),Movimientos!$C:$C,"&lt;0")</f>
        <v>0</v>
      </c>
      <c r="AJ9" s="5">
        <f ca="1">SUMIFS(Movimientos!$C:$C,Movimientos!$A:$A,$B9,Movimientos!$D:$D,CONCATENATE("&lt;=",AJ$3),Movimientos!$C:$C,"&gt;0")+SUMIFS(Movimientos!$C:$C,Movimientos!$A:$A,$B9,Movimientos!$D:$D,CONCATENATE("&lt;",AJ$3),Movimientos!$C:$C,"&lt;0")</f>
        <v>0</v>
      </c>
      <c r="AK9" s="5">
        <f ca="1">SUMIFS(Movimientos!$C:$C,Movimientos!$A:$A,$B9,Movimientos!$D:$D,CONCATENATE("&lt;=",AK$3),Movimientos!$C:$C,"&gt;0")+SUMIFS(Movimientos!$C:$C,Movimientos!$A:$A,$B9,Movimientos!$D:$D,CONCATENATE("&lt;",AK$3),Movimientos!$C:$C,"&lt;0")</f>
        <v>0</v>
      </c>
      <c r="AL9" s="5">
        <f ca="1">SUMIFS(Movimientos!$C:$C,Movimientos!$A:$A,$B9,Movimientos!$D:$D,CONCATENATE("&lt;=",AL$3),Movimientos!$C:$C,"&gt;0")+SUMIFS(Movimientos!$C:$C,Movimientos!$A:$A,$B9,Movimientos!$D:$D,CONCATENATE("&lt;",AL$3),Movimientos!$C:$C,"&lt;0")</f>
        <v>0</v>
      </c>
      <c r="AM9" s="5">
        <f ca="1">SUMIFS(Movimientos!$C:$C,Movimientos!$A:$A,$B9,Movimientos!$D:$D,CONCATENATE("&lt;=",AM$3),Movimientos!$C:$C,"&gt;0")+SUMIFS(Movimientos!$C:$C,Movimientos!$A:$A,$B9,Movimientos!$D:$D,CONCATENATE("&lt;",AM$3),Movimientos!$C:$C,"&lt;0")</f>
        <v>0</v>
      </c>
      <c r="AN9" s="5">
        <f ca="1">SUMIFS(Movimientos!$C:$C,Movimientos!$A:$A,$B9,Movimientos!$D:$D,CONCATENATE("&lt;=",AN$3),Movimientos!$C:$C,"&gt;0")+SUMIFS(Movimientos!$C:$C,Movimientos!$A:$A,$B9,Movimientos!$D:$D,CONCATENATE("&lt;",AN$3),Movimientos!$C:$C,"&lt;0")</f>
        <v>0</v>
      </c>
      <c r="AO9" s="5">
        <f ca="1">SUMIFS(Movimientos!$C:$C,Movimientos!$A:$A,$B9,Movimientos!$D:$D,CONCATENATE("&lt;=",AO$3),Movimientos!$C:$C,"&gt;0")+SUMIFS(Movimientos!$C:$C,Movimientos!$A:$A,$B9,Movimientos!$D:$D,CONCATENATE("&lt;",AO$3),Movimientos!$C:$C,"&lt;0")</f>
        <v>0</v>
      </c>
      <c r="AP9" s="5">
        <f ca="1">SUMIFS(Movimientos!$C:$C,Movimientos!$A:$A,$B9,Movimientos!$D:$D,CONCATENATE("&lt;=",AP$3),Movimientos!$C:$C,"&gt;0")+SUMIFS(Movimientos!$C:$C,Movimientos!$A:$A,$B9,Movimientos!$D:$D,CONCATENATE("&lt;",AP$3),Movimientos!$C:$C,"&lt;0")</f>
        <v>0</v>
      </c>
      <c r="AQ9" s="5">
        <f ca="1">SUMIFS(Movimientos!$C:$C,Movimientos!$A:$A,$B9,Movimientos!$D:$D,CONCATENATE("&lt;=",AQ$3),Movimientos!$C:$C,"&gt;0")+SUMIFS(Movimientos!$C:$C,Movimientos!$A:$A,$B9,Movimientos!$D:$D,CONCATENATE("&lt;",AQ$3),Movimientos!$C:$C,"&lt;0")</f>
        <v>0</v>
      </c>
      <c r="AR9" s="5">
        <f ca="1">SUMIFS(Movimientos!$C:$C,Movimientos!$A:$A,$B9,Movimientos!$D:$D,CONCATENATE("&lt;=",AR$3),Movimientos!$C:$C,"&gt;0")+SUMIFS(Movimientos!$C:$C,Movimientos!$A:$A,$B9,Movimientos!$D:$D,CONCATENATE("&lt;",AR$3),Movimientos!$C:$C,"&lt;0")</f>
        <v>0</v>
      </c>
      <c r="AS9" s="5">
        <f ca="1">SUMIFS(Movimientos!$C:$C,Movimientos!$A:$A,$B9,Movimientos!$D:$D,CONCATENATE("&lt;=",AS$3),Movimientos!$C:$C,"&gt;0")+SUMIFS(Movimientos!$C:$C,Movimientos!$A:$A,$B9,Movimientos!$D:$D,CONCATENATE("&lt;",AS$3),Movimientos!$C:$C,"&lt;0")</f>
        <v>0</v>
      </c>
      <c r="AT9" s="5">
        <f ca="1">SUMIFS(Movimientos!$C:$C,Movimientos!$A:$A,$B9,Movimientos!$D:$D,CONCATENATE("&lt;=",AT$3),Movimientos!$C:$C,"&gt;0")+SUMIFS(Movimientos!$C:$C,Movimientos!$A:$A,$B9,Movimientos!$D:$D,CONCATENATE("&lt;",AT$3),Movimientos!$C:$C,"&lt;0")</f>
        <v>0</v>
      </c>
      <c r="AU9" s="5">
        <f ca="1">SUMIFS(Movimientos!$C:$C,Movimientos!$A:$A,$B9,Movimientos!$D:$D,CONCATENATE("&lt;=",AU$3),Movimientos!$C:$C,"&gt;0")+SUMIFS(Movimientos!$C:$C,Movimientos!$A:$A,$B9,Movimientos!$D:$D,CONCATENATE("&lt;",AU$3),Movimientos!$C:$C,"&lt;0")</f>
        <v>0</v>
      </c>
      <c r="AV9" s="5">
        <f ca="1">SUMIFS(Movimientos!$C:$C,Movimientos!$A:$A,$B9,Movimientos!$D:$D,CONCATENATE("&lt;=",AV$3),Movimientos!$C:$C,"&gt;0")+SUMIFS(Movimientos!$C:$C,Movimientos!$A:$A,$B9,Movimientos!$D:$D,CONCATENATE("&lt;",AV$3),Movimientos!$C:$C,"&lt;0")</f>
        <v>0</v>
      </c>
      <c r="AW9" s="5">
        <f ca="1">SUMIFS(Movimientos!$C:$C,Movimientos!$A:$A,$B9,Movimientos!$D:$D,CONCATENATE("&lt;=",AW$3),Movimientos!$C:$C,"&gt;0")+SUMIFS(Movimientos!$C:$C,Movimientos!$A:$A,$B9,Movimientos!$D:$D,CONCATENATE("&lt;",AW$3),Movimientos!$C:$C,"&lt;0")</f>
        <v>0</v>
      </c>
      <c r="AX9" s="5">
        <f ca="1">SUMIFS(Movimientos!$C:$C,Movimientos!$A:$A,$B9,Movimientos!$D:$D,CONCATENATE("&lt;=",AX$3),Movimientos!$C:$C,"&gt;0")+SUMIFS(Movimientos!$C:$C,Movimientos!$A:$A,$B9,Movimientos!$D:$D,CONCATENATE("&lt;",AX$3),Movimientos!$C:$C,"&lt;0")</f>
        <v>0</v>
      </c>
      <c r="AY9" s="5">
        <f ca="1">SUMIFS(Movimientos!$C:$C,Movimientos!$A:$A,$B9,Movimientos!$D:$D,CONCATENATE("&lt;=",AY$3),Movimientos!$C:$C,"&gt;0")+SUMIFS(Movimientos!$C:$C,Movimientos!$A:$A,$B9,Movimientos!$D:$D,CONCATENATE("&lt;",AY$3),Movimientos!$C:$C,"&lt;0")</f>
        <v>0</v>
      </c>
      <c r="AZ9" s="5">
        <f ca="1">SUMIFS(Movimientos!$C:$C,Movimientos!$A:$A,$B9,Movimientos!$D:$D,CONCATENATE("&lt;=",AZ$3),Movimientos!$C:$C,"&gt;0")+SUMIFS(Movimientos!$C:$C,Movimientos!$A:$A,$B9,Movimientos!$D:$D,CONCATENATE("&lt;",AZ$3),Movimientos!$C:$C,"&lt;0")</f>
        <v>0</v>
      </c>
      <c r="BA9" s="5">
        <f ca="1">SUMIFS(Movimientos!$C:$C,Movimientos!$A:$A,$B9,Movimientos!$D:$D,CONCATENATE("&lt;=",BA$3),Movimientos!$C:$C,"&gt;0")+SUMIFS(Movimientos!$C:$C,Movimientos!$A:$A,$B9,Movimientos!$D:$D,CONCATENATE("&lt;",BA$3),Movimientos!$C:$C,"&lt;0")</f>
        <v>0</v>
      </c>
      <c r="BB9" s="5">
        <f ca="1">SUMIFS(Movimientos!$C:$C,Movimientos!$A:$A,$B9,Movimientos!$D:$D,CONCATENATE("&lt;=",BB$3),Movimientos!$C:$C,"&gt;0")+SUMIFS(Movimientos!$C:$C,Movimientos!$A:$A,$B9,Movimientos!$D:$D,CONCATENATE("&lt;",BB$3),Movimientos!$C:$C,"&lt;0")</f>
        <v>0</v>
      </c>
      <c r="BC9" s="5">
        <f ca="1">SUMIFS(Movimientos!$C:$C,Movimientos!$A:$A,$B9,Movimientos!$D:$D,CONCATENATE("&lt;=",BC$3),Movimientos!$C:$C,"&gt;0")+SUMIFS(Movimientos!$C:$C,Movimientos!$A:$A,$B9,Movimientos!$D:$D,CONCATENATE("&lt;",BC$3),Movimientos!$C:$C,"&lt;0")</f>
        <v>0</v>
      </c>
      <c r="BD9" s="5">
        <f ca="1">SUMIFS(Movimientos!$C:$C,Movimientos!$A:$A,$B9,Movimientos!$D:$D,CONCATENATE("&lt;=",BD$3),Movimientos!$C:$C,"&gt;0")+SUMIFS(Movimientos!$C:$C,Movimientos!$A:$A,$B9,Movimientos!$D:$D,CONCATENATE("&lt;",BD$3),Movimientos!$C:$C,"&lt;0")</f>
        <v>0</v>
      </c>
      <c r="BE9" s="5">
        <f ca="1">SUMIFS(Movimientos!$C:$C,Movimientos!$A:$A,$B9,Movimientos!$D:$D,CONCATENATE("&lt;=",BE$3),Movimientos!$C:$C,"&gt;0")+SUMIFS(Movimientos!$C:$C,Movimientos!$A:$A,$B9,Movimientos!$D:$D,CONCATENATE("&lt;",BE$3),Movimientos!$C:$C,"&lt;0")</f>
        <v>0</v>
      </c>
      <c r="BF9" s="5">
        <f ca="1">SUMIFS(Movimientos!$C:$C,Movimientos!$A:$A,$B9,Movimientos!$D:$D,CONCATENATE("&lt;=",BF$3),Movimientos!$C:$C,"&gt;0")+SUMIFS(Movimientos!$C:$C,Movimientos!$A:$A,$B9,Movimientos!$D:$D,CONCATENATE("&lt;",BF$3),Movimientos!$C:$C,"&lt;0")</f>
        <v>0</v>
      </c>
      <c r="BG9" s="5">
        <f ca="1">SUMIFS(Movimientos!$C:$C,Movimientos!$A:$A,$B9,Movimientos!$D:$D,CONCATENATE("&lt;=",BG$3),Movimientos!$C:$C,"&gt;0")+SUMIFS(Movimientos!$C:$C,Movimientos!$A:$A,$B9,Movimientos!$D:$D,CONCATENATE("&lt;",BG$3),Movimientos!$C:$C,"&lt;0")</f>
        <v>0</v>
      </c>
      <c r="BH9" s="5">
        <f ca="1">SUMIFS(Movimientos!$C:$C,Movimientos!$A:$A,$B9,Movimientos!$D:$D,CONCATENATE("&lt;=",BH$3),Movimientos!$C:$C,"&gt;0")+SUMIFS(Movimientos!$C:$C,Movimientos!$A:$A,$B9,Movimientos!$D:$D,CONCATENATE("&lt;",BH$3),Movimientos!$C:$C,"&lt;0")</f>
        <v>0</v>
      </c>
      <c r="BI9" s="5">
        <f ca="1">SUMIFS(Movimientos!$C:$C,Movimientos!$A:$A,$B9,Movimientos!$D:$D,CONCATENATE("&lt;=",BI$3),Movimientos!$C:$C,"&gt;0")+SUMIFS(Movimientos!$C:$C,Movimientos!$A:$A,$B9,Movimientos!$D:$D,CONCATENATE("&lt;",BI$3),Movimientos!$C:$C,"&lt;0")</f>
        <v>0</v>
      </c>
      <c r="BJ9" s="5">
        <f ca="1">SUMIFS(Movimientos!$C:$C,Movimientos!$A:$A,$B9,Movimientos!$D:$D,CONCATENATE("&lt;=",BJ$3),Movimientos!$C:$C,"&gt;0")+SUMIFS(Movimientos!$C:$C,Movimientos!$A:$A,$B9,Movimientos!$D:$D,CONCATENATE("&lt;",BJ$3),Movimientos!$C:$C,"&lt;0")</f>
        <v>0</v>
      </c>
      <c r="BK9" s="5">
        <f ca="1">SUMIFS(Movimientos!$C:$C,Movimientos!$A:$A,$B9,Movimientos!$D:$D,CONCATENATE("&lt;=",BK$3),Movimientos!$C:$C,"&gt;0")+SUMIFS(Movimientos!$C:$C,Movimientos!$A:$A,$B9,Movimientos!$D:$D,CONCATENATE("&lt;",BK$3),Movimientos!$C:$C,"&lt;0")</f>
        <v>0</v>
      </c>
      <c r="BL9" s="5">
        <f ca="1">SUMIFS(Movimientos!$C:$C,Movimientos!$A:$A,$B9,Movimientos!$D:$D,CONCATENATE("&lt;=",BL$3),Movimientos!$C:$C,"&gt;0")+SUMIFS(Movimientos!$C:$C,Movimientos!$A:$A,$B9,Movimientos!$D:$D,CONCATENATE("&lt;",BL$3),Movimientos!$C:$C,"&lt;0")</f>
        <v>0</v>
      </c>
      <c r="BM9" s="5">
        <f ca="1">SUMIFS(Movimientos!$C:$C,Movimientos!$A:$A,$B9,Movimientos!$D:$D,CONCATENATE("&lt;=",BM$3),Movimientos!$C:$C,"&gt;0")+SUMIFS(Movimientos!$C:$C,Movimientos!$A:$A,$B9,Movimientos!$D:$D,CONCATENATE("&lt;",BM$3),Movimientos!$C:$C,"&lt;0")</f>
        <v>0</v>
      </c>
      <c r="BN9" s="5">
        <f ca="1">SUMIFS(Movimientos!$C:$C,Movimientos!$A:$A,$B9,Movimientos!$D:$D,CONCATENATE("&lt;=",BN$3),Movimientos!$C:$C,"&gt;0")+SUMIFS(Movimientos!$C:$C,Movimientos!$A:$A,$B9,Movimientos!$D:$D,CONCATENATE("&lt;",BN$3),Movimientos!$C:$C,"&lt;0")</f>
        <v>0</v>
      </c>
      <c r="BO9" s="5">
        <f ca="1">SUMIFS(Movimientos!$C:$C,Movimientos!$A:$A,$B9,Movimientos!$D:$D,CONCATENATE("&lt;=",BO$3),Movimientos!$C:$C,"&gt;0")+SUMIFS(Movimientos!$C:$C,Movimientos!$A:$A,$B9,Movimientos!$D:$D,CONCATENATE("&lt;",BO$3),Movimientos!$C:$C,"&lt;0")</f>
        <v>0</v>
      </c>
      <c r="BP9" s="5">
        <f ca="1">SUMIFS(Movimientos!$C:$C,Movimientos!$A:$A,$B9,Movimientos!$D:$D,CONCATENATE("&lt;=",BP$3),Movimientos!$C:$C,"&gt;0")+SUMIFS(Movimientos!$C:$C,Movimientos!$A:$A,$B9,Movimientos!$D:$D,CONCATENATE("&lt;",BP$3),Movimientos!$C:$C,"&lt;0")</f>
        <v>0</v>
      </c>
      <c r="BQ9" s="5">
        <f ca="1">SUMIFS(Movimientos!$C:$C,Movimientos!$A:$A,$B9,Movimientos!$D:$D,CONCATENATE("&lt;=",BQ$3),Movimientos!$C:$C,"&gt;0")+SUMIFS(Movimientos!$C:$C,Movimientos!$A:$A,$B9,Movimientos!$D:$D,CONCATENATE("&lt;",BQ$3),Movimientos!$C:$C,"&lt;0")</f>
        <v>0</v>
      </c>
      <c r="BR9" s="5">
        <f ca="1">SUMIFS(Movimientos!$C:$C,Movimientos!$A:$A,$B9,Movimientos!$D:$D,CONCATENATE("&lt;=",BR$3),Movimientos!$C:$C,"&gt;0")+SUMIFS(Movimientos!$C:$C,Movimientos!$A:$A,$B9,Movimientos!$D:$D,CONCATENATE("&lt;",BR$3),Movimientos!$C:$C,"&lt;0")</f>
        <v>0</v>
      </c>
      <c r="BS9" s="5">
        <f ca="1">SUMIFS(Movimientos!$C:$C,Movimientos!$A:$A,$B9,Movimientos!$D:$D,CONCATENATE("&lt;=",BS$3),Movimientos!$C:$C,"&gt;0")+SUMIFS(Movimientos!$C:$C,Movimientos!$A:$A,$B9,Movimientos!$D:$D,CONCATENATE("&lt;",BS$3),Movimientos!$C:$C,"&lt;0")</f>
        <v>0</v>
      </c>
      <c r="BT9" s="5">
        <f ca="1">SUMIFS(Movimientos!$C:$C,Movimientos!$A:$A,$B9,Movimientos!$D:$D,CONCATENATE("&lt;=",BT$3),Movimientos!$C:$C,"&gt;0")+SUMIFS(Movimientos!$C:$C,Movimientos!$A:$A,$B9,Movimientos!$D:$D,CONCATENATE("&lt;",BT$3),Movimientos!$C:$C,"&lt;0")</f>
        <v>0</v>
      </c>
      <c r="BU9" s="5">
        <f ca="1">SUMIFS(Movimientos!$C:$C,Movimientos!$A:$A,$B9,Movimientos!$D:$D,CONCATENATE("&lt;=",BU$3),Movimientos!$C:$C,"&gt;0")+SUMIFS(Movimientos!$C:$C,Movimientos!$A:$A,$B9,Movimientos!$D:$D,CONCATENATE("&lt;",BU$3),Movimientos!$C:$C,"&lt;0")</f>
        <v>0</v>
      </c>
      <c r="BV9" s="5">
        <f ca="1">SUMIFS(Movimientos!$C:$C,Movimientos!$A:$A,$B9,Movimientos!$D:$D,CONCATENATE("&lt;=",BV$3),Movimientos!$C:$C,"&gt;0")+SUMIFS(Movimientos!$C:$C,Movimientos!$A:$A,$B9,Movimientos!$D:$D,CONCATENATE("&lt;",BV$3),Movimientos!$C:$C,"&lt;0")</f>
        <v>0</v>
      </c>
      <c r="BW9" s="5">
        <f ca="1">SUMIFS(Movimientos!$C:$C,Movimientos!$A:$A,$B9,Movimientos!$D:$D,CONCATENATE("&lt;=",BW$3),Movimientos!$C:$C,"&gt;0")+SUMIFS(Movimientos!$C:$C,Movimientos!$A:$A,$B9,Movimientos!$D:$D,CONCATENATE("&lt;",BW$3),Movimientos!$C:$C,"&lt;0")</f>
        <v>0</v>
      </c>
      <c r="BX9" s="5">
        <f ca="1">SUMIFS(Movimientos!$C:$C,Movimientos!$A:$A,$B9,Movimientos!$D:$D,CONCATENATE("&lt;=",BX$3),Movimientos!$C:$C,"&gt;0")+SUMIFS(Movimientos!$C:$C,Movimientos!$A:$A,$B9,Movimientos!$D:$D,CONCATENATE("&lt;",BX$3),Movimientos!$C:$C,"&lt;0")</f>
        <v>0</v>
      </c>
      <c r="BY9" s="5">
        <f ca="1">SUMIFS(Movimientos!$C:$C,Movimientos!$A:$A,$B9,Movimientos!$D:$D,CONCATENATE("&lt;=",BY$3),Movimientos!$C:$C,"&gt;0")+SUMIFS(Movimientos!$C:$C,Movimientos!$A:$A,$B9,Movimientos!$D:$D,CONCATENATE("&lt;",BY$3),Movimientos!$C:$C,"&lt;0")</f>
        <v>0</v>
      </c>
      <c r="BZ9" s="5">
        <f ca="1">SUMIFS(Movimientos!$C:$C,Movimientos!$A:$A,$B9,Movimientos!$D:$D,CONCATENATE("&lt;=",BZ$3),Movimientos!$C:$C,"&gt;0")+SUMIFS(Movimientos!$C:$C,Movimientos!$A:$A,$B9,Movimientos!$D:$D,CONCATENATE("&lt;",BZ$3),Movimientos!$C:$C,"&lt;0")</f>
        <v>0</v>
      </c>
      <c r="CA9" s="5">
        <f ca="1">SUMIFS(Movimientos!$C:$C,Movimientos!$A:$A,$B9,Movimientos!$D:$D,CONCATENATE("&lt;=",CA$3),Movimientos!$C:$C,"&gt;0")+SUMIFS(Movimientos!$C:$C,Movimientos!$A:$A,$B9,Movimientos!$D:$D,CONCATENATE("&lt;",CA$3),Movimientos!$C:$C,"&lt;0")</f>
        <v>0</v>
      </c>
      <c r="CB9" s="5">
        <f ca="1">SUMIFS(Movimientos!$C:$C,Movimientos!$A:$A,$B9,Movimientos!$D:$D,CONCATENATE("&lt;=",CB$3),Movimientos!$C:$C,"&gt;0")+SUMIFS(Movimientos!$C:$C,Movimientos!$A:$A,$B9,Movimientos!$D:$D,CONCATENATE("&lt;",CB$3),Movimientos!$C:$C,"&lt;0")</f>
        <v>0</v>
      </c>
      <c r="CC9" s="5">
        <f ca="1">SUMIFS(Movimientos!$C:$C,Movimientos!$A:$A,$B9,Movimientos!$D:$D,CONCATENATE("&lt;=",CC$3),Movimientos!$C:$C,"&gt;0")+SUMIFS(Movimientos!$C:$C,Movimientos!$A:$A,$B9,Movimientos!$D:$D,CONCATENATE("&lt;",CC$3),Movimientos!$C:$C,"&lt;0")</f>
        <v>0</v>
      </c>
      <c r="CD9" s="5">
        <f ca="1">SUMIFS(Movimientos!$C:$C,Movimientos!$A:$A,$B9,Movimientos!$D:$D,CONCATENATE("&lt;=",CD$3),Movimientos!$C:$C,"&gt;0")+SUMIFS(Movimientos!$C:$C,Movimientos!$A:$A,$B9,Movimientos!$D:$D,CONCATENATE("&lt;",CD$3),Movimientos!$C:$C,"&lt;0")</f>
        <v>0</v>
      </c>
      <c r="CE9" s="5">
        <f ca="1">SUMIFS(Movimientos!$C:$C,Movimientos!$A:$A,$B9,Movimientos!$D:$D,CONCATENATE("&lt;=",CE$3),Movimientos!$C:$C,"&gt;0")+SUMIFS(Movimientos!$C:$C,Movimientos!$A:$A,$B9,Movimientos!$D:$D,CONCATENATE("&lt;",CE$3),Movimientos!$C:$C,"&lt;0")</f>
        <v>0</v>
      </c>
      <c r="CF9" s="5">
        <f ca="1">SUMIFS(Movimientos!$C:$C,Movimientos!$A:$A,$B9,Movimientos!$D:$D,CONCATENATE("&lt;=",CF$3),Movimientos!$C:$C,"&gt;0")+SUMIFS(Movimientos!$C:$C,Movimientos!$A:$A,$B9,Movimientos!$D:$D,CONCATENATE("&lt;",CF$3),Movimientos!$C:$C,"&lt;0")</f>
        <v>0</v>
      </c>
      <c r="CG9" s="5">
        <f ca="1">SUMIFS(Movimientos!$C:$C,Movimientos!$A:$A,$B9,Movimientos!$D:$D,CONCATENATE("&lt;=",CG$3),Movimientos!$C:$C,"&gt;0")+SUMIFS(Movimientos!$C:$C,Movimientos!$A:$A,$B9,Movimientos!$D:$D,CONCATENATE("&lt;",CG$3),Movimientos!$C:$C,"&lt;0")</f>
        <v>0</v>
      </c>
      <c r="CH9" s="5">
        <f ca="1">SUMIFS(Movimientos!$C:$C,Movimientos!$A:$A,$B9,Movimientos!$D:$D,CONCATENATE("&lt;=",CH$3),Movimientos!$C:$C,"&gt;0")+SUMIFS(Movimientos!$C:$C,Movimientos!$A:$A,$B9,Movimientos!$D:$D,CONCATENATE("&lt;",CH$3),Movimientos!$C:$C,"&lt;0")</f>
        <v>0</v>
      </c>
      <c r="CI9" s="5">
        <f ca="1">SUMIFS(Movimientos!$C:$C,Movimientos!$A:$A,$B9,Movimientos!$D:$D,CONCATENATE("&lt;=",CI$3),Movimientos!$C:$C,"&gt;0")+SUMIFS(Movimientos!$C:$C,Movimientos!$A:$A,$B9,Movimientos!$D:$D,CONCATENATE("&lt;",CI$3),Movimientos!$C:$C,"&lt;0")</f>
        <v>0</v>
      </c>
      <c r="CJ9" s="5">
        <f ca="1">SUMIFS(Movimientos!$C:$C,Movimientos!$A:$A,$B9,Movimientos!$D:$D,CONCATENATE("&lt;=",CJ$3),Movimientos!$C:$C,"&gt;0")+SUMIFS(Movimientos!$C:$C,Movimientos!$A:$A,$B9,Movimientos!$D:$D,CONCATENATE("&lt;",CJ$3),Movimientos!$C:$C,"&lt;0")</f>
        <v>0</v>
      </c>
      <c r="CK9" s="5">
        <f ca="1">SUMIFS(Movimientos!$C:$C,Movimientos!$A:$A,$B9,Movimientos!$D:$D,CONCATENATE("&lt;=",CK$3),Movimientos!$C:$C,"&gt;0")+SUMIFS(Movimientos!$C:$C,Movimientos!$A:$A,$B9,Movimientos!$D:$D,CONCATENATE("&lt;",CK$3),Movimientos!$C:$C,"&lt;0")</f>
        <v>0</v>
      </c>
      <c r="CL9" s="5">
        <f ca="1">SUMIFS(Movimientos!$C:$C,Movimientos!$A:$A,$B9,Movimientos!$D:$D,CONCATENATE("&lt;=",CL$3),Movimientos!$C:$C,"&gt;0")+SUMIFS(Movimientos!$C:$C,Movimientos!$A:$A,$B9,Movimientos!$D:$D,CONCATENATE("&lt;",CL$3),Movimientos!$C:$C,"&lt;0")</f>
        <v>0</v>
      </c>
      <c r="CM9" s="5">
        <f ca="1">SUMIFS(Movimientos!$C:$C,Movimientos!$A:$A,$B9,Movimientos!$D:$D,CONCATENATE("&lt;=",CM$3),Movimientos!$C:$C,"&gt;0")+SUMIFS(Movimientos!$C:$C,Movimientos!$A:$A,$B9,Movimientos!$D:$D,CONCATENATE("&lt;",CM$3),Movimientos!$C:$C,"&lt;0")</f>
        <v>0</v>
      </c>
      <c r="CN9" s="5">
        <f ca="1">SUMIFS(Movimientos!$C:$C,Movimientos!$A:$A,$B9,Movimientos!$D:$D,CONCATENATE("&lt;=",CN$3),Movimientos!$C:$C,"&gt;0")+SUMIFS(Movimientos!$C:$C,Movimientos!$A:$A,$B9,Movimientos!$D:$D,CONCATENATE("&lt;",CN$3),Movimientos!$C:$C,"&lt;0")</f>
        <v>0</v>
      </c>
      <c r="CO9" s="5">
        <f ca="1">SUMIFS(Movimientos!$C:$C,Movimientos!$A:$A,$B9,Movimientos!$D:$D,CONCATENATE("&lt;=",CO$3),Movimientos!$C:$C,"&gt;0")+SUMIFS(Movimientos!$C:$C,Movimientos!$A:$A,$B9,Movimientos!$D:$D,CONCATENATE("&lt;",CO$3),Movimientos!$C:$C,"&lt;0")</f>
        <v>0</v>
      </c>
      <c r="CP9" s="5">
        <f ca="1">SUMIFS(Movimientos!$C:$C,Movimientos!$A:$A,$B9,Movimientos!$D:$D,CONCATENATE("&lt;=",CP$3),Movimientos!$C:$C,"&gt;0")+SUMIFS(Movimientos!$C:$C,Movimientos!$A:$A,$B9,Movimientos!$D:$D,CONCATENATE("&lt;",CP$3),Movimientos!$C:$C,"&lt;0")</f>
        <v>0</v>
      </c>
      <c r="CQ9" s="5">
        <f ca="1">SUMIFS(Movimientos!$C:$C,Movimientos!$A:$A,$B9,Movimientos!$D:$D,CONCATENATE("&lt;=",CQ$3),Movimientos!$C:$C,"&gt;0")+SUMIFS(Movimientos!$C:$C,Movimientos!$A:$A,$B9,Movimientos!$D:$D,CONCATENATE("&lt;",CQ$3),Movimientos!$C:$C,"&lt;0")</f>
        <v>0</v>
      </c>
      <c r="CR9" s="5">
        <f ca="1">SUMIFS(Movimientos!$C:$C,Movimientos!$A:$A,$B9,Movimientos!$D:$D,CONCATENATE("&lt;=",CR$3),Movimientos!$C:$C,"&gt;0")+SUMIFS(Movimientos!$C:$C,Movimientos!$A:$A,$B9,Movimientos!$D:$D,CONCATENATE("&lt;",CR$3),Movimientos!$C:$C,"&lt;0")</f>
        <v>0</v>
      </c>
      <c r="CS9" s="5">
        <f ca="1">SUMIFS(Movimientos!$C:$C,Movimientos!$A:$A,$B9,Movimientos!$D:$D,CONCATENATE("&lt;=",CS$3),Movimientos!$C:$C,"&gt;0")+SUMIFS(Movimientos!$C:$C,Movimientos!$A:$A,$B9,Movimientos!$D:$D,CONCATENATE("&lt;",CS$3),Movimientos!$C:$C,"&lt;0")</f>
        <v>0</v>
      </c>
      <c r="CT9" s="5">
        <f ca="1">SUMIFS(Movimientos!$C:$C,Movimientos!$A:$A,$B9,Movimientos!$D:$D,CONCATENATE("&lt;=",CT$3),Movimientos!$C:$C,"&gt;0")+SUMIFS(Movimientos!$C:$C,Movimientos!$A:$A,$B9,Movimientos!$D:$D,CONCATENATE("&lt;",CT$3),Movimientos!$C:$C,"&lt;0")</f>
        <v>0</v>
      </c>
      <c r="CU9" s="5">
        <f ca="1">SUMIFS(Movimientos!$C:$C,Movimientos!$A:$A,$B9,Movimientos!$D:$D,CONCATENATE("&lt;=",CU$3),Movimientos!$C:$C,"&gt;0")+SUMIFS(Movimientos!$C:$C,Movimientos!$A:$A,$B9,Movimientos!$D:$D,CONCATENATE("&lt;",CU$3),Movimientos!$C:$C,"&lt;0")</f>
        <v>0</v>
      </c>
      <c r="CV9" s="5">
        <f ca="1">SUMIFS(Movimientos!$C:$C,Movimientos!$A:$A,$B9,Movimientos!$D:$D,CONCATENATE("&lt;=",CV$3),Movimientos!$C:$C,"&gt;0")+SUMIFS(Movimientos!$C:$C,Movimientos!$A:$A,$B9,Movimientos!$D:$D,CONCATENATE("&lt;",CV$3),Movimientos!$C:$C,"&lt;0")</f>
        <v>0</v>
      </c>
      <c r="CW9" s="5">
        <f ca="1">SUMIFS(Movimientos!$C:$C,Movimientos!$A:$A,$B9,Movimientos!$D:$D,CONCATENATE("&lt;=",CW$3),Movimientos!$C:$C,"&gt;0")+SUMIFS(Movimientos!$C:$C,Movimientos!$A:$A,$B9,Movimientos!$D:$D,CONCATENATE("&lt;",CW$3),Movimientos!$C:$C,"&lt;0")</f>
        <v>0</v>
      </c>
      <c r="CX9" s="5">
        <f ca="1">SUMIFS(Movimientos!$C:$C,Movimientos!$A:$A,$B9,Movimientos!$D:$D,CONCATENATE("&lt;=",CX$3),Movimientos!$C:$C,"&gt;0")+SUMIFS(Movimientos!$C:$C,Movimientos!$A:$A,$B9,Movimientos!$D:$D,CONCATENATE("&lt;",CX$3),Movimientos!$C:$C,"&lt;0")</f>
        <v>0</v>
      </c>
      <c r="CY9" s="5">
        <f ca="1">SUMIFS(Movimientos!$C:$C,Movimientos!$A:$A,$B9,Movimientos!$D:$D,CONCATENATE("&lt;=",CY$3),Movimientos!$C:$C,"&gt;0")+SUMIFS(Movimientos!$C:$C,Movimientos!$A:$A,$B9,Movimientos!$D:$D,CONCATENATE("&lt;",CY$3),Movimientos!$C:$C,"&lt;0")</f>
        <v>0</v>
      </c>
      <c r="CZ9" s="5">
        <f ca="1">SUMIFS(Movimientos!$C:$C,Movimientos!$A:$A,$B9,Movimientos!$D:$D,CONCATENATE("&lt;=",CZ$3),Movimientos!$C:$C,"&gt;0")+SUMIFS(Movimientos!$C:$C,Movimientos!$A:$A,$B9,Movimientos!$D:$D,CONCATENATE("&lt;",CZ$3),Movimientos!$C:$C,"&lt;0")</f>
        <v>0</v>
      </c>
      <c r="DA9" s="5">
        <f ca="1">SUMIFS(Movimientos!$C:$C,Movimientos!$A:$A,$B9,Movimientos!$D:$D,CONCATENATE("&lt;=",DA$3),Movimientos!$C:$C,"&gt;0")+SUMIFS(Movimientos!$C:$C,Movimientos!$A:$A,$B9,Movimientos!$D:$D,CONCATENATE("&lt;",DA$3),Movimientos!$C:$C,"&lt;0")</f>
        <v>0</v>
      </c>
      <c r="DB9" s="5">
        <f ca="1">SUMIFS(Movimientos!$C:$C,Movimientos!$A:$A,$B9,Movimientos!$D:$D,CONCATENATE("&lt;=",DB$3),Movimientos!$C:$C,"&gt;0")+SUMIFS(Movimientos!$C:$C,Movimientos!$A:$A,$B9,Movimientos!$D:$D,CONCATENATE("&lt;",DB$3),Movimientos!$C:$C,"&lt;0")</f>
        <v>0</v>
      </c>
      <c r="DC9" s="5">
        <f ca="1">SUMIFS(Movimientos!$C:$C,Movimientos!$A:$A,$B9,Movimientos!$D:$D,CONCATENATE("&lt;=",DC$3),Movimientos!$C:$C,"&gt;0")+SUMIFS(Movimientos!$C:$C,Movimientos!$A:$A,$B9,Movimientos!$D:$D,CONCATENATE("&lt;",DC$3),Movimientos!$C:$C,"&lt;0")</f>
        <v>0</v>
      </c>
      <c r="DD9" s="5">
        <f ca="1">SUMIFS(Movimientos!$C:$C,Movimientos!$A:$A,$B9,Movimientos!$D:$D,CONCATENATE("&lt;=",DD$3),Movimientos!$C:$C,"&gt;0")+SUMIFS(Movimientos!$C:$C,Movimientos!$A:$A,$B9,Movimientos!$D:$D,CONCATENATE("&lt;",DD$3),Movimientos!$C:$C,"&lt;0")</f>
        <v>0</v>
      </c>
      <c r="DE9" s="5">
        <f ca="1">SUMIFS(Movimientos!$C:$C,Movimientos!$A:$A,$B9,Movimientos!$D:$D,CONCATENATE("&lt;=",DE$3),Movimientos!$C:$C,"&gt;0")+SUMIFS(Movimientos!$C:$C,Movimientos!$A:$A,$B9,Movimientos!$D:$D,CONCATENATE("&lt;",DE$3),Movimientos!$C:$C,"&lt;0")</f>
        <v>0</v>
      </c>
      <c r="DF9" s="5">
        <f ca="1">SUMIFS(Movimientos!$C:$C,Movimientos!$A:$A,$B9,Movimientos!$D:$D,CONCATENATE("&lt;=",DF$3),Movimientos!$C:$C,"&gt;0")+SUMIFS(Movimientos!$C:$C,Movimientos!$A:$A,$B9,Movimientos!$D:$D,CONCATENATE("&lt;",DF$3),Movimientos!$C:$C,"&lt;0")</f>
        <v>0</v>
      </c>
      <c r="DG9" s="5">
        <f ca="1">SUMIFS(Movimientos!$C:$C,Movimientos!$A:$A,$B9,Movimientos!$D:$D,CONCATENATE("&lt;=",DG$3),Movimientos!$C:$C,"&gt;0")+SUMIFS(Movimientos!$C:$C,Movimientos!$A:$A,$B9,Movimientos!$D:$D,CONCATENATE("&lt;",DG$3),Movimientos!$C:$C,"&lt;0")</f>
        <v>0</v>
      </c>
      <c r="DH9" s="5">
        <f ca="1">SUMIFS(Movimientos!$C:$C,Movimientos!$A:$A,$B9,Movimientos!$D:$D,CONCATENATE("&lt;=",DH$3),Movimientos!$C:$C,"&gt;0")+SUMIFS(Movimientos!$C:$C,Movimientos!$A:$A,$B9,Movimientos!$D:$D,CONCATENATE("&lt;",DH$3),Movimientos!$C:$C,"&lt;0")</f>
        <v>0</v>
      </c>
      <c r="DI9" s="5">
        <f ca="1">SUMIFS(Movimientos!$C:$C,Movimientos!$A:$A,$B9,Movimientos!$D:$D,CONCATENATE("&lt;=",DI$3),Movimientos!$C:$C,"&gt;0")+SUMIFS(Movimientos!$C:$C,Movimientos!$A:$A,$B9,Movimientos!$D:$D,CONCATENATE("&lt;",DI$3),Movimientos!$C:$C,"&lt;0")</f>
        <v>0</v>
      </c>
      <c r="DJ9" s="5">
        <f ca="1">SUMIFS(Movimientos!$C:$C,Movimientos!$A:$A,$B9,Movimientos!$D:$D,CONCATENATE("&lt;=",DJ$3),Movimientos!$C:$C,"&gt;0")+SUMIFS(Movimientos!$C:$C,Movimientos!$A:$A,$B9,Movimientos!$D:$D,CONCATENATE("&lt;",DJ$3),Movimientos!$C:$C,"&lt;0")</f>
        <v>0</v>
      </c>
      <c r="DK9" s="5">
        <f ca="1">SUMIFS(Movimientos!$C:$C,Movimientos!$A:$A,$B9,Movimientos!$D:$D,CONCATENATE("&lt;=",DK$3),Movimientos!$C:$C,"&gt;0")+SUMIFS(Movimientos!$C:$C,Movimientos!$A:$A,$B9,Movimientos!$D:$D,CONCATENATE("&lt;",DK$3),Movimientos!$C:$C,"&lt;0")</f>
        <v>0</v>
      </c>
      <c r="DL9" s="5">
        <f ca="1">SUMIFS(Movimientos!$C:$C,Movimientos!$A:$A,$B9,Movimientos!$D:$D,CONCATENATE("&lt;=",DL$3),Movimientos!$C:$C,"&gt;0")+SUMIFS(Movimientos!$C:$C,Movimientos!$A:$A,$B9,Movimientos!$D:$D,CONCATENATE("&lt;",DL$3),Movimientos!$C:$C,"&lt;0")</f>
        <v>0</v>
      </c>
      <c r="DM9" s="5">
        <f ca="1">SUMIFS(Movimientos!$C:$C,Movimientos!$A:$A,$B9,Movimientos!$D:$D,CONCATENATE("&lt;=",DM$3),Movimientos!$C:$C,"&gt;0")+SUMIFS(Movimientos!$C:$C,Movimientos!$A:$A,$B9,Movimientos!$D:$D,CONCATENATE("&lt;",DM$3),Movimientos!$C:$C,"&lt;0")</f>
        <v>0</v>
      </c>
      <c r="DN9" s="5">
        <f ca="1">SUMIFS(Movimientos!$C:$C,Movimientos!$A:$A,$B9,Movimientos!$D:$D,CONCATENATE("&lt;=",DN$3),Movimientos!$C:$C,"&gt;0")+SUMIFS(Movimientos!$C:$C,Movimientos!$A:$A,$B9,Movimientos!$D:$D,CONCATENATE("&lt;",DN$3),Movimientos!$C:$C,"&lt;0")</f>
        <v>0</v>
      </c>
      <c r="DO9" s="5">
        <f ca="1">SUMIFS(Movimientos!$C:$C,Movimientos!$A:$A,$B9,Movimientos!$D:$D,CONCATENATE("&lt;=",DO$3),Movimientos!$C:$C,"&gt;0")+SUMIFS(Movimientos!$C:$C,Movimientos!$A:$A,$B9,Movimientos!$D:$D,CONCATENATE("&lt;",DO$3),Movimientos!$C:$C,"&lt;0")</f>
        <v>0</v>
      </c>
      <c r="DP9" s="5">
        <f ca="1">SUMIFS(Movimientos!$C:$C,Movimientos!$A:$A,$B9,Movimientos!$D:$D,CONCATENATE("&lt;=",DP$3),Movimientos!$C:$C,"&gt;0")+SUMIFS(Movimientos!$C:$C,Movimientos!$A:$A,$B9,Movimientos!$D:$D,CONCATENATE("&lt;",DP$3),Movimientos!$C:$C,"&lt;0")</f>
        <v>0</v>
      </c>
      <c r="DQ9" s="5">
        <f ca="1">SUMIFS(Movimientos!$C:$C,Movimientos!$A:$A,$B9,Movimientos!$D:$D,CONCATENATE("&lt;=",DQ$3),Movimientos!$C:$C,"&gt;0")+SUMIFS(Movimientos!$C:$C,Movimientos!$A:$A,$B9,Movimientos!$D:$D,CONCATENATE("&lt;",DQ$3),Movimientos!$C:$C,"&lt;0")</f>
        <v>0</v>
      </c>
      <c r="DR9" s="5">
        <f ca="1">SUMIFS(Movimientos!$C:$C,Movimientos!$A:$A,$B9,Movimientos!$D:$D,CONCATENATE("&lt;=",DR$3),Movimientos!$C:$C,"&gt;0")+SUMIFS(Movimientos!$C:$C,Movimientos!$A:$A,$B9,Movimientos!$D:$D,CONCATENATE("&lt;",DR$3),Movimientos!$C:$C,"&lt;0")</f>
        <v>0</v>
      </c>
      <c r="DS9" s="5">
        <f ca="1">SUMIFS(Movimientos!$C:$C,Movimientos!$A:$A,$B9,Movimientos!$D:$D,CONCATENATE("&lt;=",DS$3),Movimientos!$C:$C,"&gt;0")+SUMIFS(Movimientos!$C:$C,Movimientos!$A:$A,$B9,Movimientos!$D:$D,CONCATENATE("&lt;",DS$3),Movimientos!$C:$C,"&lt;0")</f>
        <v>0</v>
      </c>
      <c r="DT9" s="5">
        <f ca="1">SUMIFS(Movimientos!$C:$C,Movimientos!$A:$A,$B9,Movimientos!$D:$D,CONCATENATE("&lt;=",DT$3),Movimientos!$C:$C,"&gt;0")+SUMIFS(Movimientos!$C:$C,Movimientos!$A:$A,$B9,Movimientos!$D:$D,CONCATENATE("&lt;",DT$3),Movimientos!$C:$C,"&lt;0")</f>
        <v>0</v>
      </c>
      <c r="DU9" s="5">
        <f ca="1">SUMIFS(Movimientos!$C:$C,Movimientos!$A:$A,$B9,Movimientos!$D:$D,CONCATENATE("&lt;=",DU$3),Movimientos!$C:$C,"&gt;0")+SUMIFS(Movimientos!$C:$C,Movimientos!$A:$A,$B9,Movimientos!$D:$D,CONCATENATE("&lt;",DU$3),Movimientos!$C:$C,"&lt;0")</f>
        <v>0</v>
      </c>
      <c r="DV9" s="5">
        <f ca="1">SUMIFS(Movimientos!$C:$C,Movimientos!$A:$A,$B9,Movimientos!$D:$D,CONCATENATE("&lt;=",DV$3),Movimientos!$C:$C,"&gt;0")+SUMIFS(Movimientos!$C:$C,Movimientos!$A:$A,$B9,Movimientos!$D:$D,CONCATENATE("&lt;",DV$3),Movimientos!$C:$C,"&lt;0")</f>
        <v>0</v>
      </c>
      <c r="DW9" s="5">
        <f ca="1">SUMIFS(Movimientos!$C:$C,Movimientos!$A:$A,$B9,Movimientos!$D:$D,CONCATENATE("&lt;=",DW$3),Movimientos!$C:$C,"&gt;0")+SUMIFS(Movimientos!$C:$C,Movimientos!$A:$A,$B9,Movimientos!$D:$D,CONCATENATE("&lt;",DW$3),Movimientos!$C:$C,"&lt;0")</f>
        <v>0</v>
      </c>
      <c r="DX9" s="5">
        <f ca="1">SUMIFS(Movimientos!$C:$C,Movimientos!$A:$A,$B9,Movimientos!$D:$D,CONCATENATE("&lt;=",DX$3),Movimientos!$C:$C,"&gt;0")+SUMIFS(Movimientos!$C:$C,Movimientos!$A:$A,$B9,Movimientos!$D:$D,CONCATENATE("&lt;",DX$3),Movimientos!$C:$C,"&lt;0")</f>
        <v>0</v>
      </c>
      <c r="DY9" s="5">
        <f ca="1">SUMIFS(Movimientos!$C:$C,Movimientos!$A:$A,$B9,Movimientos!$D:$D,CONCATENATE("&lt;=",DY$3),Movimientos!$C:$C,"&gt;0")+SUMIFS(Movimientos!$C:$C,Movimientos!$A:$A,$B9,Movimientos!$D:$D,CONCATENATE("&lt;",DY$3),Movimientos!$C:$C,"&lt;0")</f>
        <v>0</v>
      </c>
      <c r="DZ9" s="5">
        <f ca="1">SUMIFS(Movimientos!$C:$C,Movimientos!$A:$A,$B9,Movimientos!$D:$D,CONCATENATE("&lt;=",DZ$3),Movimientos!$C:$C,"&gt;0")+SUMIFS(Movimientos!$C:$C,Movimientos!$A:$A,$B9,Movimientos!$D:$D,CONCATENATE("&lt;",DZ$3),Movimientos!$C:$C,"&lt;0")</f>
        <v>0</v>
      </c>
      <c r="EA9" s="5">
        <f ca="1">SUMIFS(Movimientos!$C:$C,Movimientos!$A:$A,$B9,Movimientos!$D:$D,CONCATENATE("&lt;=",EA$3),Movimientos!$C:$C,"&gt;0")+SUMIFS(Movimientos!$C:$C,Movimientos!$A:$A,$B9,Movimientos!$D:$D,CONCATENATE("&lt;",EA$3),Movimientos!$C:$C,"&lt;0")</f>
        <v>0</v>
      </c>
      <c r="EB9" s="5">
        <f ca="1">SUMIFS(Movimientos!$C:$C,Movimientos!$A:$A,$B9,Movimientos!$D:$D,CONCATENATE("&lt;=",EB$3),Movimientos!$C:$C,"&gt;0")+SUMIFS(Movimientos!$C:$C,Movimientos!$A:$A,$B9,Movimientos!$D:$D,CONCATENATE("&lt;",EB$3),Movimientos!$C:$C,"&lt;0")</f>
        <v>0</v>
      </c>
      <c r="EC9" s="5">
        <f ca="1">SUMIFS(Movimientos!$C:$C,Movimientos!$A:$A,$B9,Movimientos!$D:$D,CONCATENATE("&lt;=",EC$3),Movimientos!$C:$C,"&gt;0")+SUMIFS(Movimientos!$C:$C,Movimientos!$A:$A,$B9,Movimientos!$D:$D,CONCATENATE("&lt;",EC$3),Movimientos!$C:$C,"&lt;0")</f>
        <v>0</v>
      </c>
      <c r="ED9" s="5">
        <f ca="1">SUMIFS(Movimientos!$C:$C,Movimientos!$A:$A,$B9,Movimientos!$D:$D,CONCATENATE("&lt;=",ED$3),Movimientos!$C:$C,"&gt;0")+SUMIFS(Movimientos!$C:$C,Movimientos!$A:$A,$B9,Movimientos!$D:$D,CONCATENATE("&lt;",ED$3),Movimientos!$C:$C,"&lt;0")</f>
        <v>0</v>
      </c>
      <c r="EE9" s="5">
        <f ca="1">SUMIFS(Movimientos!$C:$C,Movimientos!$A:$A,$B9,Movimientos!$D:$D,CONCATENATE("&lt;=",EE$3),Movimientos!$C:$C,"&gt;0")+SUMIFS(Movimientos!$C:$C,Movimientos!$A:$A,$B9,Movimientos!$D:$D,CONCATENATE("&lt;",EE$3),Movimientos!$C:$C,"&lt;0")</f>
        <v>0</v>
      </c>
      <c r="EF9" s="5">
        <f ca="1">SUMIFS(Movimientos!$C:$C,Movimientos!$A:$A,$B9,Movimientos!$D:$D,CONCATENATE("&lt;=",EF$3),Movimientos!$C:$C,"&gt;0")+SUMIFS(Movimientos!$C:$C,Movimientos!$A:$A,$B9,Movimientos!$D:$D,CONCATENATE("&lt;",EF$3),Movimientos!$C:$C,"&lt;0")</f>
        <v>0</v>
      </c>
      <c r="EG9" s="5">
        <f ca="1">SUMIFS(Movimientos!$C:$C,Movimientos!$A:$A,$B9,Movimientos!$D:$D,CONCATENATE("&lt;=",EG$3),Movimientos!$C:$C,"&gt;0")+SUMIFS(Movimientos!$C:$C,Movimientos!$A:$A,$B9,Movimientos!$D:$D,CONCATENATE("&lt;",EG$3),Movimientos!$C:$C,"&lt;0")</f>
        <v>0</v>
      </c>
      <c r="EH9" s="5">
        <f ca="1">SUMIFS(Movimientos!$C:$C,Movimientos!$A:$A,$B9,Movimientos!$D:$D,CONCATENATE("&lt;=",EH$3),Movimientos!$C:$C,"&gt;0")+SUMIFS(Movimientos!$C:$C,Movimientos!$A:$A,$B9,Movimientos!$D:$D,CONCATENATE("&lt;",EH$3),Movimientos!$C:$C,"&lt;0")</f>
        <v>0</v>
      </c>
      <c r="EI9" s="5">
        <f ca="1">SUMIFS(Movimientos!$C:$C,Movimientos!$A:$A,$B9,Movimientos!$D:$D,CONCATENATE("&lt;=",EI$3),Movimientos!$C:$C,"&gt;0")+SUMIFS(Movimientos!$C:$C,Movimientos!$A:$A,$B9,Movimientos!$D:$D,CONCATENATE("&lt;",EI$3),Movimientos!$C:$C,"&lt;0")</f>
        <v>0</v>
      </c>
      <c r="EJ9" s="5">
        <f ca="1">SUMIFS(Movimientos!$C:$C,Movimientos!$A:$A,$B9,Movimientos!$D:$D,CONCATENATE("&lt;=",EJ$3),Movimientos!$C:$C,"&gt;0")+SUMIFS(Movimientos!$C:$C,Movimientos!$A:$A,$B9,Movimientos!$D:$D,CONCATENATE("&lt;",EJ$3),Movimientos!$C:$C,"&lt;0")</f>
        <v>0</v>
      </c>
      <c r="EK9" s="5">
        <f ca="1">SUMIFS(Movimientos!$C:$C,Movimientos!$A:$A,$B9,Movimientos!$D:$D,CONCATENATE("&lt;=",EK$3),Movimientos!$C:$C,"&gt;0")+SUMIFS(Movimientos!$C:$C,Movimientos!$A:$A,$B9,Movimientos!$D:$D,CONCATENATE("&lt;",EK$3),Movimientos!$C:$C,"&lt;0")</f>
        <v>0</v>
      </c>
      <c r="EL9" s="5">
        <f ca="1">SUMIFS(Movimientos!$C:$C,Movimientos!$A:$A,$B9,Movimientos!$D:$D,CONCATENATE("&lt;=",EL$3),Movimientos!$C:$C,"&gt;0")+SUMIFS(Movimientos!$C:$C,Movimientos!$A:$A,$B9,Movimientos!$D:$D,CONCATENATE("&lt;",EL$3),Movimientos!$C:$C,"&lt;0")</f>
        <v>0</v>
      </c>
      <c r="EM9" s="5">
        <f ca="1">SUMIFS(Movimientos!$C:$C,Movimientos!$A:$A,$B9,Movimientos!$D:$D,CONCATENATE("&lt;=",EM$3),Movimientos!$C:$C,"&gt;0")+SUMIFS(Movimientos!$C:$C,Movimientos!$A:$A,$B9,Movimientos!$D:$D,CONCATENATE("&lt;",EM$3),Movimientos!$C:$C,"&lt;0")</f>
        <v>0</v>
      </c>
      <c r="EN9" s="5">
        <f ca="1">SUMIFS(Movimientos!$C:$C,Movimientos!$A:$A,$B9,Movimientos!$D:$D,CONCATENATE("&lt;=",EN$3),Movimientos!$C:$C,"&gt;0")+SUMIFS(Movimientos!$C:$C,Movimientos!$A:$A,$B9,Movimientos!$D:$D,CONCATENATE("&lt;",EN$3),Movimientos!$C:$C,"&lt;0")</f>
        <v>0</v>
      </c>
      <c r="EO9" s="5">
        <f ca="1">SUMIFS(Movimientos!$C:$C,Movimientos!$A:$A,$B9,Movimientos!$D:$D,CONCATENATE("&lt;=",EO$3),Movimientos!$C:$C,"&gt;0")+SUMIFS(Movimientos!$C:$C,Movimientos!$A:$A,$B9,Movimientos!$D:$D,CONCATENATE("&lt;",EO$3),Movimientos!$C:$C,"&lt;0")</f>
        <v>0</v>
      </c>
      <c r="EP9" s="5">
        <f ca="1">SUMIFS(Movimientos!$C:$C,Movimientos!$A:$A,$B9,Movimientos!$D:$D,CONCATENATE("&lt;=",EP$3),Movimientos!$C:$C,"&gt;0")+SUMIFS(Movimientos!$C:$C,Movimientos!$A:$A,$B9,Movimientos!$D:$D,CONCATENATE("&lt;",EP$3),Movimientos!$C:$C,"&lt;0")</f>
        <v>0</v>
      </c>
      <c r="EQ9" s="5">
        <f ca="1">SUMIFS(Movimientos!$C:$C,Movimientos!$A:$A,$B9,Movimientos!$D:$D,CONCATENATE("&lt;=",EQ$3),Movimientos!$C:$C,"&gt;0")+SUMIFS(Movimientos!$C:$C,Movimientos!$A:$A,$B9,Movimientos!$D:$D,CONCATENATE("&lt;",EQ$3),Movimientos!$C:$C,"&lt;0")</f>
        <v>0</v>
      </c>
      <c r="ER9" s="5">
        <f ca="1">SUMIFS(Movimientos!$C:$C,Movimientos!$A:$A,$B9,Movimientos!$D:$D,CONCATENATE("&lt;=",ER$3),Movimientos!$C:$C,"&gt;0")+SUMIFS(Movimientos!$C:$C,Movimientos!$A:$A,$B9,Movimientos!$D:$D,CONCATENATE("&lt;",ER$3),Movimientos!$C:$C,"&lt;0")</f>
        <v>0</v>
      </c>
      <c r="ES9" s="5">
        <f ca="1">SUMIFS(Movimientos!$C:$C,Movimientos!$A:$A,$B9,Movimientos!$D:$D,CONCATENATE("&lt;=",ES$3),Movimientos!$C:$C,"&gt;0")+SUMIFS(Movimientos!$C:$C,Movimientos!$A:$A,$B9,Movimientos!$D:$D,CONCATENATE("&lt;",ES$3),Movimientos!$C:$C,"&lt;0")</f>
        <v>0</v>
      </c>
      <c r="ET9" s="5">
        <f ca="1">SUMIFS(Movimientos!$C:$C,Movimientos!$A:$A,$B9,Movimientos!$D:$D,CONCATENATE("&lt;=",ET$3),Movimientos!$C:$C,"&gt;0")+SUMIFS(Movimientos!$C:$C,Movimientos!$A:$A,$B9,Movimientos!$D:$D,CONCATENATE("&lt;",ET$3),Movimientos!$C:$C,"&lt;0")</f>
        <v>0</v>
      </c>
      <c r="EU9" s="5">
        <f ca="1">SUMIFS(Movimientos!$C:$C,Movimientos!$A:$A,$B9,Movimientos!$D:$D,CONCATENATE("&lt;=",EU$3),Movimientos!$C:$C,"&gt;0")+SUMIFS(Movimientos!$C:$C,Movimientos!$A:$A,$B9,Movimientos!$D:$D,CONCATENATE("&lt;",EU$3),Movimientos!$C:$C,"&lt;0")</f>
        <v>0</v>
      </c>
      <c r="EV9" s="5">
        <f ca="1">SUMIFS(Movimientos!$C:$C,Movimientos!$A:$A,$B9,Movimientos!$D:$D,CONCATENATE("&lt;=",EV$3),Movimientos!$C:$C,"&gt;0")+SUMIFS(Movimientos!$C:$C,Movimientos!$A:$A,$B9,Movimientos!$D:$D,CONCATENATE("&lt;",EV$3),Movimientos!$C:$C,"&lt;0")</f>
        <v>0</v>
      </c>
      <c r="EW9" s="5">
        <f ca="1">SUMIFS(Movimientos!$C:$C,Movimientos!$A:$A,$B9,Movimientos!$D:$D,CONCATENATE("&lt;=",EW$3),Movimientos!$C:$C,"&gt;0")+SUMIFS(Movimientos!$C:$C,Movimientos!$A:$A,$B9,Movimientos!$D:$D,CONCATENATE("&lt;",EW$3),Movimientos!$C:$C,"&lt;0")</f>
        <v>0</v>
      </c>
      <c r="EX9" s="5">
        <f ca="1">SUMIFS(Movimientos!$C:$C,Movimientos!$A:$A,$B9,Movimientos!$D:$D,CONCATENATE("&lt;=",EX$3),Movimientos!$C:$C,"&gt;0")+SUMIFS(Movimientos!$C:$C,Movimientos!$A:$A,$B9,Movimientos!$D:$D,CONCATENATE("&lt;",EX$3),Movimientos!$C:$C,"&lt;0")</f>
        <v>0</v>
      </c>
      <c r="EY9" s="5">
        <f ca="1">SUMIFS(Movimientos!$C:$C,Movimientos!$A:$A,$B9,Movimientos!$D:$D,CONCATENATE("&lt;=",EY$3),Movimientos!$C:$C,"&gt;0")+SUMIFS(Movimientos!$C:$C,Movimientos!$A:$A,$B9,Movimientos!$D:$D,CONCATENATE("&lt;",EY$3),Movimientos!$C:$C,"&lt;0")</f>
        <v>0</v>
      </c>
      <c r="EZ9" s="5">
        <f ca="1">SUMIFS(Movimientos!$C:$C,Movimientos!$A:$A,$B9,Movimientos!$D:$D,CONCATENATE("&lt;=",EZ$3),Movimientos!$C:$C,"&gt;0")+SUMIFS(Movimientos!$C:$C,Movimientos!$A:$A,$B9,Movimientos!$D:$D,CONCATENATE("&lt;",EZ$3),Movimientos!$C:$C,"&lt;0")</f>
        <v>0</v>
      </c>
      <c r="FA9" s="5">
        <f ca="1">SUMIFS(Movimientos!$C:$C,Movimientos!$A:$A,$B9,Movimientos!$D:$D,CONCATENATE("&lt;=",FA$3),Movimientos!$C:$C,"&gt;0")+SUMIFS(Movimientos!$C:$C,Movimientos!$A:$A,$B9,Movimientos!$D:$D,CONCATENATE("&lt;",FA$3),Movimientos!$C:$C,"&lt;0")</f>
        <v>0</v>
      </c>
      <c r="FB9" s="5">
        <f ca="1">SUMIFS(Movimientos!$C:$C,Movimientos!$A:$A,$B9,Movimientos!$D:$D,CONCATENATE("&lt;=",FB$3),Movimientos!$C:$C,"&gt;0")+SUMIFS(Movimientos!$C:$C,Movimientos!$A:$A,$B9,Movimientos!$D:$D,CONCATENATE("&lt;",FB$3),Movimientos!$C:$C,"&lt;0")</f>
        <v>0</v>
      </c>
      <c r="FC9" s="5">
        <f ca="1">SUMIFS(Movimientos!$C:$C,Movimientos!$A:$A,$B9,Movimientos!$D:$D,CONCATENATE("&lt;=",FC$3),Movimientos!$C:$C,"&gt;0")+SUMIFS(Movimientos!$C:$C,Movimientos!$A:$A,$B9,Movimientos!$D:$D,CONCATENATE("&lt;",FC$3),Movimientos!$C:$C,"&lt;0")</f>
        <v>0</v>
      </c>
      <c r="FD9" s="5">
        <f ca="1">SUMIFS(Movimientos!$C:$C,Movimientos!$A:$A,$B9,Movimientos!$D:$D,CONCATENATE("&lt;=",FD$3),Movimientos!$C:$C,"&gt;0")+SUMIFS(Movimientos!$C:$C,Movimientos!$A:$A,$B9,Movimientos!$D:$D,CONCATENATE("&lt;",FD$3),Movimientos!$C:$C,"&lt;0")</f>
        <v>0</v>
      </c>
      <c r="FE9" s="5">
        <f ca="1">SUMIFS(Movimientos!$C:$C,Movimientos!$A:$A,$B9,Movimientos!$D:$D,CONCATENATE("&lt;=",FE$3),Movimientos!$C:$C,"&gt;0")+SUMIFS(Movimientos!$C:$C,Movimientos!$A:$A,$B9,Movimientos!$D:$D,CONCATENATE("&lt;",FE$3),Movimientos!$C:$C,"&lt;0")</f>
        <v>0</v>
      </c>
      <c r="FF9" s="5">
        <f ca="1">SUMIFS(Movimientos!$C:$C,Movimientos!$A:$A,$B9,Movimientos!$D:$D,CONCATENATE("&lt;=",FF$3),Movimientos!$C:$C,"&gt;0")+SUMIFS(Movimientos!$C:$C,Movimientos!$A:$A,$B9,Movimientos!$D:$D,CONCATENATE("&lt;",FF$3),Movimientos!$C:$C,"&lt;0")</f>
        <v>0</v>
      </c>
      <c r="FG9" s="5">
        <f ca="1">SUMIFS(Movimientos!$C:$C,Movimientos!$A:$A,$B9,Movimientos!$D:$D,CONCATENATE("&lt;=",FG$3),Movimientos!$C:$C,"&gt;0")+SUMIFS(Movimientos!$C:$C,Movimientos!$A:$A,$B9,Movimientos!$D:$D,CONCATENATE("&lt;",FG$3),Movimientos!$C:$C,"&lt;0")</f>
        <v>0</v>
      </c>
      <c r="FH9" s="5">
        <f ca="1">SUMIFS(Movimientos!$C:$C,Movimientos!$A:$A,$B9,Movimientos!$D:$D,CONCATENATE("&lt;=",FH$3),Movimientos!$C:$C,"&gt;0")+SUMIFS(Movimientos!$C:$C,Movimientos!$A:$A,$B9,Movimientos!$D:$D,CONCATENATE("&lt;",FH$3),Movimientos!$C:$C,"&lt;0")</f>
        <v>0</v>
      </c>
      <c r="FI9" s="5">
        <f ca="1">SUMIFS(Movimientos!$C:$C,Movimientos!$A:$A,$B9,Movimientos!$D:$D,CONCATENATE("&lt;=",FI$3),Movimientos!$C:$C,"&gt;0")+SUMIFS(Movimientos!$C:$C,Movimientos!$A:$A,$B9,Movimientos!$D:$D,CONCATENATE("&lt;",FI$3),Movimientos!$C:$C,"&lt;0")</f>
        <v>0</v>
      </c>
      <c r="FJ9" s="5">
        <f ca="1">SUMIFS(Movimientos!$C:$C,Movimientos!$A:$A,$B9,Movimientos!$D:$D,CONCATENATE("&lt;=",FJ$3),Movimientos!$C:$C,"&gt;0")+SUMIFS(Movimientos!$C:$C,Movimientos!$A:$A,$B9,Movimientos!$D:$D,CONCATENATE("&lt;",FJ$3),Movimientos!$C:$C,"&lt;0")</f>
        <v>0</v>
      </c>
      <c r="FK9" s="5">
        <f ca="1">SUMIFS(Movimientos!$C:$C,Movimientos!$A:$A,$B9,Movimientos!$D:$D,CONCATENATE("&lt;=",FK$3),Movimientos!$C:$C,"&gt;0")+SUMIFS(Movimientos!$C:$C,Movimientos!$A:$A,$B9,Movimientos!$D:$D,CONCATENATE("&lt;",FK$3),Movimientos!$C:$C,"&lt;0")</f>
        <v>0</v>
      </c>
      <c r="FL9" s="5">
        <f ca="1">SUMIFS(Movimientos!$C:$C,Movimientos!$A:$A,$B9,Movimientos!$D:$D,CONCATENATE("&lt;=",FL$3),Movimientos!$C:$C,"&gt;0")+SUMIFS(Movimientos!$C:$C,Movimientos!$A:$A,$B9,Movimientos!$D:$D,CONCATENATE("&lt;",FL$3),Movimientos!$C:$C,"&lt;0")</f>
        <v>0</v>
      </c>
      <c r="FM9" s="5">
        <f ca="1">SUMIFS(Movimientos!$C:$C,Movimientos!$A:$A,$B9,Movimientos!$D:$D,CONCATENATE("&lt;=",FM$3),Movimientos!$C:$C,"&gt;0")+SUMIFS(Movimientos!$C:$C,Movimientos!$A:$A,$B9,Movimientos!$D:$D,CONCATENATE("&lt;",FM$3),Movimientos!$C:$C,"&lt;0")</f>
        <v>0</v>
      </c>
      <c r="FN9" s="5">
        <f ca="1">SUMIFS(Movimientos!$C:$C,Movimientos!$A:$A,$B9,Movimientos!$D:$D,CONCATENATE("&lt;=",FN$3),Movimientos!$C:$C,"&gt;0")+SUMIFS(Movimientos!$C:$C,Movimientos!$A:$A,$B9,Movimientos!$D:$D,CONCATENATE("&lt;",FN$3),Movimientos!$C:$C,"&lt;0")</f>
        <v>0</v>
      </c>
      <c r="FO9" s="5">
        <f ca="1">SUMIFS(Movimientos!$C:$C,Movimientos!$A:$A,$B9,Movimientos!$D:$D,CONCATENATE("&lt;=",FO$3),Movimientos!$C:$C,"&gt;0")+SUMIFS(Movimientos!$C:$C,Movimientos!$A:$A,$B9,Movimientos!$D:$D,CONCATENATE("&lt;",FO$3),Movimientos!$C:$C,"&lt;0")</f>
        <v>0</v>
      </c>
      <c r="FP9" s="5">
        <f ca="1">SUMIFS(Movimientos!$C:$C,Movimientos!$A:$A,$B9,Movimientos!$D:$D,CONCATENATE("&lt;=",FP$3),Movimientos!$C:$C,"&gt;0")+SUMIFS(Movimientos!$C:$C,Movimientos!$A:$A,$B9,Movimientos!$D:$D,CONCATENATE("&lt;",FP$3),Movimientos!$C:$C,"&lt;0")</f>
        <v>0</v>
      </c>
      <c r="FQ9" s="5">
        <f ca="1">SUMIFS(Movimientos!$C:$C,Movimientos!$A:$A,$B9,Movimientos!$D:$D,CONCATENATE("&lt;=",FQ$3),Movimientos!$C:$C,"&gt;0")+SUMIFS(Movimientos!$C:$C,Movimientos!$A:$A,$B9,Movimientos!$D:$D,CONCATENATE("&lt;",FQ$3),Movimientos!$C:$C,"&lt;0")</f>
        <v>0</v>
      </c>
      <c r="FR9" s="5">
        <f ca="1">SUMIFS(Movimientos!$C:$C,Movimientos!$A:$A,$B9,Movimientos!$D:$D,CONCATENATE("&lt;=",FR$3),Movimientos!$C:$C,"&gt;0")+SUMIFS(Movimientos!$C:$C,Movimientos!$A:$A,$B9,Movimientos!$D:$D,CONCATENATE("&lt;",FR$3),Movimientos!$C:$C,"&lt;0")</f>
        <v>0</v>
      </c>
      <c r="FS9" s="5">
        <f ca="1">SUMIFS(Movimientos!$C:$C,Movimientos!$A:$A,$B9,Movimientos!$D:$D,CONCATENATE("&lt;=",FS$3),Movimientos!$C:$C,"&gt;0")+SUMIFS(Movimientos!$C:$C,Movimientos!$A:$A,$B9,Movimientos!$D:$D,CONCATENATE("&lt;",FS$3),Movimientos!$C:$C,"&lt;0")</f>
        <v>0</v>
      </c>
      <c r="FT9" s="5">
        <f ca="1">SUMIFS(Movimientos!$C:$C,Movimientos!$A:$A,$B9,Movimientos!$D:$D,CONCATENATE("&lt;=",FT$3),Movimientos!$C:$C,"&gt;0")+SUMIFS(Movimientos!$C:$C,Movimientos!$A:$A,$B9,Movimientos!$D:$D,CONCATENATE("&lt;",FT$3),Movimientos!$C:$C,"&lt;0")</f>
        <v>0</v>
      </c>
      <c r="FU9" s="5">
        <f ca="1">SUMIFS(Movimientos!$C:$C,Movimientos!$A:$A,$B9,Movimientos!$D:$D,CONCATENATE("&lt;=",FU$3),Movimientos!$C:$C,"&gt;0")+SUMIFS(Movimientos!$C:$C,Movimientos!$A:$A,$B9,Movimientos!$D:$D,CONCATENATE("&lt;",FU$3),Movimientos!$C:$C,"&lt;0")</f>
        <v>0</v>
      </c>
      <c r="FV9" s="5">
        <f ca="1">SUMIFS(Movimientos!$C:$C,Movimientos!$A:$A,$B9,Movimientos!$D:$D,CONCATENATE("&lt;=",FV$3),Movimientos!$C:$C,"&gt;0")+SUMIFS(Movimientos!$C:$C,Movimientos!$A:$A,$B9,Movimientos!$D:$D,CONCATENATE("&lt;",FV$3),Movimientos!$C:$C,"&lt;0")</f>
        <v>0</v>
      </c>
      <c r="FW9" s="5">
        <f ca="1">SUMIFS(Movimientos!$C:$C,Movimientos!$A:$A,$B9,Movimientos!$D:$D,CONCATENATE("&lt;=",FW$3),Movimientos!$C:$C,"&gt;0")+SUMIFS(Movimientos!$C:$C,Movimientos!$A:$A,$B9,Movimientos!$D:$D,CONCATENATE("&lt;",FW$3),Movimientos!$C:$C,"&lt;0")</f>
        <v>0</v>
      </c>
      <c r="FX9" s="5">
        <f ca="1">SUMIFS(Movimientos!$C:$C,Movimientos!$A:$A,$B9,Movimientos!$D:$D,CONCATENATE("&lt;=",FX$3),Movimientos!$C:$C,"&gt;0")+SUMIFS(Movimientos!$C:$C,Movimientos!$A:$A,$B9,Movimientos!$D:$D,CONCATENATE("&lt;",FX$3),Movimientos!$C:$C,"&lt;0")</f>
        <v>0</v>
      </c>
      <c r="FY9" s="5">
        <f ca="1">SUMIFS(Movimientos!$C:$C,Movimientos!$A:$A,$B9,Movimientos!$D:$D,CONCATENATE("&lt;=",FY$3),Movimientos!$C:$C,"&gt;0")+SUMIFS(Movimientos!$C:$C,Movimientos!$A:$A,$B9,Movimientos!$D:$D,CONCATENATE("&lt;",FY$3),Movimientos!$C:$C,"&lt;0")</f>
        <v>0</v>
      </c>
      <c r="FZ9" s="5">
        <f ca="1">SUMIFS(Movimientos!$C:$C,Movimientos!$A:$A,$B9,Movimientos!$D:$D,CONCATENATE("&lt;=",FZ$3),Movimientos!$C:$C,"&gt;0")+SUMIFS(Movimientos!$C:$C,Movimientos!$A:$A,$B9,Movimientos!$D:$D,CONCATENATE("&lt;",FZ$3),Movimientos!$C:$C,"&lt;0")</f>
        <v>0</v>
      </c>
      <c r="GA9" s="5">
        <f ca="1">SUMIFS(Movimientos!$C:$C,Movimientos!$A:$A,$B9,Movimientos!$D:$D,CONCATENATE("&lt;=",GA$3),Movimientos!$C:$C,"&gt;0")+SUMIFS(Movimientos!$C:$C,Movimientos!$A:$A,$B9,Movimientos!$D:$D,CONCATENATE("&lt;",GA$3),Movimientos!$C:$C,"&lt;0")</f>
        <v>0</v>
      </c>
      <c r="GB9" s="5">
        <f ca="1">SUMIFS(Movimientos!$C:$C,Movimientos!$A:$A,$B9,Movimientos!$D:$D,CONCATENATE("&lt;=",GB$3),Movimientos!$C:$C,"&gt;0")+SUMIFS(Movimientos!$C:$C,Movimientos!$A:$A,$B9,Movimientos!$D:$D,CONCATENATE("&lt;",GB$3),Movimientos!$C:$C,"&lt;0")</f>
        <v>0</v>
      </c>
      <c r="GC9" s="5">
        <f ca="1">SUMIFS(Movimientos!$C:$C,Movimientos!$A:$A,$B9,Movimientos!$D:$D,CONCATENATE("&lt;=",GC$3),Movimientos!$C:$C,"&gt;0")+SUMIFS(Movimientos!$C:$C,Movimientos!$A:$A,$B9,Movimientos!$D:$D,CONCATENATE("&lt;",GC$3),Movimientos!$C:$C,"&lt;0")</f>
        <v>0</v>
      </c>
      <c r="GD9" s="5">
        <f ca="1">SUMIFS(Movimientos!$C:$C,Movimientos!$A:$A,$B9,Movimientos!$D:$D,CONCATENATE("&lt;=",GD$3),Movimientos!$C:$C,"&gt;0")+SUMIFS(Movimientos!$C:$C,Movimientos!$A:$A,$B9,Movimientos!$D:$D,CONCATENATE("&lt;",GD$3),Movimientos!$C:$C,"&lt;0")</f>
        <v>0</v>
      </c>
      <c r="GE9" s="5">
        <f ca="1">SUMIFS(Movimientos!$C:$C,Movimientos!$A:$A,$B9,Movimientos!$D:$D,CONCATENATE("&lt;=",GE$3),Movimientos!$C:$C,"&gt;0")+SUMIFS(Movimientos!$C:$C,Movimientos!$A:$A,$B9,Movimientos!$D:$D,CONCATENATE("&lt;",GE$3),Movimientos!$C:$C,"&lt;0")</f>
        <v>0</v>
      </c>
      <c r="GF9" s="5">
        <f ca="1">SUMIFS(Movimientos!$C:$C,Movimientos!$A:$A,$B9,Movimientos!$D:$D,CONCATENATE("&lt;=",GF$3),Movimientos!$C:$C,"&gt;0")+SUMIFS(Movimientos!$C:$C,Movimientos!$A:$A,$B9,Movimientos!$D:$D,CONCATENATE("&lt;",GF$3),Movimientos!$C:$C,"&lt;0")</f>
        <v>0</v>
      </c>
      <c r="GG9" s="5">
        <f ca="1">SUMIFS(Movimientos!$C:$C,Movimientos!$A:$A,$B9,Movimientos!$D:$D,CONCATENATE("&lt;=",GG$3),Movimientos!$C:$C,"&gt;0")+SUMIFS(Movimientos!$C:$C,Movimientos!$A:$A,$B9,Movimientos!$D:$D,CONCATENATE("&lt;",GG$3),Movimientos!$C:$C,"&lt;0")</f>
        <v>0</v>
      </c>
      <c r="GH9" s="5">
        <f ca="1">SUMIFS(Movimientos!$C:$C,Movimientos!$A:$A,$B9,Movimientos!$D:$D,CONCATENATE("&lt;=",GH$3),Movimientos!$C:$C,"&gt;0")+SUMIFS(Movimientos!$C:$C,Movimientos!$A:$A,$B9,Movimientos!$D:$D,CONCATENATE("&lt;",GH$3),Movimientos!$C:$C,"&lt;0")</f>
        <v>0</v>
      </c>
      <c r="GI9" s="5">
        <f ca="1">SUMIFS(Movimientos!$C:$C,Movimientos!$A:$A,$B9,Movimientos!$D:$D,CONCATENATE("&lt;=",GI$3),Movimientos!$C:$C,"&gt;0")+SUMIFS(Movimientos!$C:$C,Movimientos!$A:$A,$B9,Movimientos!$D:$D,CONCATENATE("&lt;",GI$3),Movimientos!$C:$C,"&lt;0")</f>
        <v>0</v>
      </c>
      <c r="GJ9" s="5">
        <f ca="1">SUMIFS(Movimientos!$C:$C,Movimientos!$A:$A,$B9,Movimientos!$D:$D,CONCATENATE("&lt;=",GJ$3),Movimientos!$C:$C,"&gt;0")+SUMIFS(Movimientos!$C:$C,Movimientos!$A:$A,$B9,Movimientos!$D:$D,CONCATENATE("&lt;",GJ$3),Movimientos!$C:$C,"&lt;0")</f>
        <v>0</v>
      </c>
      <c r="GK9" s="5">
        <f ca="1">SUMIFS(Movimientos!$C:$C,Movimientos!$A:$A,$B9,Movimientos!$D:$D,CONCATENATE("&lt;=",GK$3),Movimientos!$C:$C,"&gt;0")+SUMIFS(Movimientos!$C:$C,Movimientos!$A:$A,$B9,Movimientos!$D:$D,CONCATENATE("&lt;",GK$3),Movimientos!$C:$C,"&lt;0")</f>
        <v>0</v>
      </c>
      <c r="GL9" s="5">
        <f ca="1">SUMIFS(Movimientos!$C:$C,Movimientos!$A:$A,$B9,Movimientos!$D:$D,CONCATENATE("&lt;=",GL$3),Movimientos!$C:$C,"&gt;0")+SUMIFS(Movimientos!$C:$C,Movimientos!$A:$A,$B9,Movimientos!$D:$D,CONCATENATE("&lt;",GL$3),Movimientos!$C:$C,"&lt;0")</f>
        <v>0</v>
      </c>
      <c r="GM9" s="5">
        <f ca="1">SUMIFS(Movimientos!$C:$C,Movimientos!$A:$A,$B9,Movimientos!$D:$D,CONCATENATE("&lt;=",GM$3),Movimientos!$C:$C,"&gt;0")+SUMIFS(Movimientos!$C:$C,Movimientos!$A:$A,$B9,Movimientos!$D:$D,CONCATENATE("&lt;",GM$3),Movimientos!$C:$C,"&lt;0")</f>
        <v>0</v>
      </c>
      <c r="GN9" s="5">
        <f ca="1">SUMIFS(Movimientos!$C:$C,Movimientos!$A:$A,$B9,Movimientos!$D:$D,CONCATENATE("&lt;=",GN$3),Movimientos!$C:$C,"&gt;0")+SUMIFS(Movimientos!$C:$C,Movimientos!$A:$A,$B9,Movimientos!$D:$D,CONCATENATE("&lt;",GN$3),Movimientos!$C:$C,"&lt;0")</f>
        <v>0</v>
      </c>
      <c r="GO9" s="5">
        <f ca="1">SUMIFS(Movimientos!$C:$C,Movimientos!$A:$A,$B9,Movimientos!$D:$D,CONCATENATE("&lt;=",GO$3),Movimientos!$C:$C,"&gt;0")+SUMIFS(Movimientos!$C:$C,Movimientos!$A:$A,$B9,Movimientos!$D:$D,CONCATENATE("&lt;",GO$3),Movimientos!$C:$C,"&lt;0")</f>
        <v>0</v>
      </c>
      <c r="GP9" s="5">
        <f ca="1">SUMIFS(Movimientos!$C:$C,Movimientos!$A:$A,$B9,Movimientos!$D:$D,CONCATENATE("&lt;=",GP$3),Movimientos!$C:$C,"&gt;0")+SUMIFS(Movimientos!$C:$C,Movimientos!$A:$A,$B9,Movimientos!$D:$D,CONCATENATE("&lt;",GP$3),Movimientos!$C:$C,"&lt;0")</f>
        <v>0</v>
      </c>
      <c r="GQ9" s="5">
        <f ca="1">SUMIFS(Movimientos!$C:$C,Movimientos!$A:$A,$B9,Movimientos!$D:$D,CONCATENATE("&lt;=",GQ$3),Movimientos!$C:$C,"&gt;0")+SUMIFS(Movimientos!$C:$C,Movimientos!$A:$A,$B9,Movimientos!$D:$D,CONCATENATE("&lt;",GQ$3),Movimientos!$C:$C,"&lt;0")</f>
        <v>0</v>
      </c>
      <c r="GR9" s="5">
        <f ca="1">SUMIFS(Movimientos!$C:$C,Movimientos!$A:$A,$B9,Movimientos!$D:$D,CONCATENATE("&lt;=",GR$3),Movimientos!$C:$C,"&gt;0")+SUMIFS(Movimientos!$C:$C,Movimientos!$A:$A,$B9,Movimientos!$D:$D,CONCATENATE("&lt;",GR$3),Movimientos!$C:$C,"&lt;0")</f>
        <v>0</v>
      </c>
      <c r="GS9" s="5">
        <f ca="1">SUMIFS(Movimientos!$C:$C,Movimientos!$A:$A,$B9,Movimientos!$D:$D,CONCATENATE("&lt;=",GS$3),Movimientos!$C:$C,"&gt;0")+SUMIFS(Movimientos!$C:$C,Movimientos!$A:$A,$B9,Movimientos!$D:$D,CONCATENATE("&lt;",GS$3),Movimientos!$C:$C,"&lt;0")</f>
        <v>0</v>
      </c>
      <c r="GT9" s="5">
        <f ca="1">SUMIFS(Movimientos!$C:$C,Movimientos!$A:$A,$B9,Movimientos!$D:$D,CONCATENATE("&lt;=",GT$3),Movimientos!$C:$C,"&gt;0")+SUMIFS(Movimientos!$C:$C,Movimientos!$A:$A,$B9,Movimientos!$D:$D,CONCATENATE("&lt;",GT$3),Movimientos!$C:$C,"&lt;0")</f>
        <v>0</v>
      </c>
      <c r="GU9" s="5">
        <f ca="1">SUMIFS(Movimientos!$C:$C,Movimientos!$A:$A,$B9,Movimientos!$D:$D,CONCATENATE("&lt;=",GU$3),Movimientos!$C:$C,"&gt;0")+SUMIFS(Movimientos!$C:$C,Movimientos!$A:$A,$B9,Movimientos!$D:$D,CONCATENATE("&lt;",GU$3),Movimientos!$C:$C,"&lt;0")</f>
        <v>0</v>
      </c>
      <c r="GV9" s="5">
        <f ca="1">SUMIFS(Movimientos!$C:$C,Movimientos!$A:$A,$B9,Movimientos!$D:$D,CONCATENATE("&lt;=",GV$3),Movimientos!$C:$C,"&gt;0")+SUMIFS(Movimientos!$C:$C,Movimientos!$A:$A,$B9,Movimientos!$D:$D,CONCATENATE("&lt;",GV$3),Movimientos!$C:$C,"&lt;0")</f>
        <v>0</v>
      </c>
      <c r="GW9" s="5">
        <f ca="1">SUMIFS(Movimientos!$C:$C,Movimientos!$A:$A,$B9,Movimientos!$D:$D,CONCATENATE("&lt;=",GW$3),Movimientos!$C:$C,"&gt;0")+SUMIFS(Movimientos!$C:$C,Movimientos!$A:$A,$B9,Movimientos!$D:$D,CONCATENATE("&lt;",GW$3),Movimientos!$C:$C,"&lt;0")</f>
        <v>0</v>
      </c>
      <c r="GX9" s="5">
        <f ca="1">SUMIFS(Movimientos!$C:$C,Movimientos!$A:$A,$B9,Movimientos!$D:$D,CONCATENATE("&lt;=",GX$3),Movimientos!$C:$C,"&gt;0")+SUMIFS(Movimientos!$C:$C,Movimientos!$A:$A,$B9,Movimientos!$D:$D,CONCATENATE("&lt;",GX$3),Movimientos!$C:$C,"&lt;0")</f>
        <v>0</v>
      </c>
      <c r="GY9" s="5">
        <f ca="1">SUMIFS(Movimientos!$C:$C,Movimientos!$A:$A,$B9,Movimientos!$D:$D,CONCATENATE("&lt;=",GY$3),Movimientos!$C:$C,"&gt;0")+SUMIFS(Movimientos!$C:$C,Movimientos!$A:$A,$B9,Movimientos!$D:$D,CONCATENATE("&lt;",GY$3),Movimientos!$C:$C,"&lt;0")</f>
        <v>0</v>
      </c>
      <c r="GZ9" s="5">
        <f ca="1">SUMIFS(Movimientos!$C:$C,Movimientos!$A:$A,$B9,Movimientos!$D:$D,CONCATENATE("&lt;=",GZ$3),Movimientos!$C:$C,"&gt;0")+SUMIFS(Movimientos!$C:$C,Movimientos!$A:$A,$B9,Movimientos!$D:$D,CONCATENATE("&lt;",GZ$3),Movimientos!$C:$C,"&lt;0")</f>
        <v>0</v>
      </c>
      <c r="HA9" s="5">
        <f ca="1">SUMIFS(Movimientos!$C:$C,Movimientos!$A:$A,$B9,Movimientos!$D:$D,CONCATENATE("&lt;=",HA$3),Movimientos!$C:$C,"&gt;0")+SUMIFS(Movimientos!$C:$C,Movimientos!$A:$A,$B9,Movimientos!$D:$D,CONCATENATE("&lt;",HA$3),Movimientos!$C:$C,"&lt;0")</f>
        <v>0</v>
      </c>
      <c r="HB9" s="5">
        <f ca="1">SUMIFS(Movimientos!$C:$C,Movimientos!$A:$A,$B9,Movimientos!$D:$D,CONCATENATE("&lt;=",HB$3),Movimientos!$C:$C,"&gt;0")+SUMIFS(Movimientos!$C:$C,Movimientos!$A:$A,$B9,Movimientos!$D:$D,CONCATENATE("&lt;",HB$3),Movimientos!$C:$C,"&lt;0")</f>
        <v>0</v>
      </c>
      <c r="HC9" s="5">
        <f ca="1">SUMIFS(Movimientos!$C:$C,Movimientos!$A:$A,$B9,Movimientos!$D:$D,CONCATENATE("&lt;=",HC$3),Movimientos!$C:$C,"&gt;0")+SUMIFS(Movimientos!$C:$C,Movimientos!$A:$A,$B9,Movimientos!$D:$D,CONCATENATE("&lt;",HC$3),Movimientos!$C:$C,"&lt;0")</f>
        <v>0</v>
      </c>
      <c r="HD9" s="5">
        <f ca="1">SUMIFS(Movimientos!$C:$C,Movimientos!$A:$A,$B9,Movimientos!$D:$D,CONCATENATE("&lt;=",HD$3),Movimientos!$C:$C,"&gt;0")+SUMIFS(Movimientos!$C:$C,Movimientos!$A:$A,$B9,Movimientos!$D:$D,CONCATENATE("&lt;",HD$3),Movimientos!$C:$C,"&lt;0")</f>
        <v>0</v>
      </c>
      <c r="HE9" s="5">
        <f ca="1">SUMIFS(Movimientos!$C:$C,Movimientos!$A:$A,$B9,Movimientos!$D:$D,CONCATENATE("&lt;=",HE$3),Movimientos!$C:$C,"&gt;0")+SUMIFS(Movimientos!$C:$C,Movimientos!$A:$A,$B9,Movimientos!$D:$D,CONCATENATE("&lt;",HE$3),Movimientos!$C:$C,"&lt;0")</f>
        <v>0</v>
      </c>
      <c r="HF9" s="5">
        <f ca="1">SUMIFS(Movimientos!$C:$C,Movimientos!$A:$A,$B9,Movimientos!$D:$D,CONCATENATE("&lt;=",HF$3),Movimientos!$C:$C,"&gt;0")+SUMIFS(Movimientos!$C:$C,Movimientos!$A:$A,$B9,Movimientos!$D:$D,CONCATENATE("&lt;",HF$3),Movimientos!$C:$C,"&lt;0")</f>
        <v>0</v>
      </c>
      <c r="HG9" s="5">
        <f ca="1">SUMIFS(Movimientos!$C:$C,Movimientos!$A:$A,$B9,Movimientos!$D:$D,CONCATENATE("&lt;=",HG$3),Movimientos!$C:$C,"&gt;0")+SUMIFS(Movimientos!$C:$C,Movimientos!$A:$A,$B9,Movimientos!$D:$D,CONCATENATE("&lt;",HG$3),Movimientos!$C:$C,"&lt;0")</f>
        <v>0</v>
      </c>
      <c r="HH9" s="5">
        <f ca="1">SUMIFS(Movimientos!$C:$C,Movimientos!$A:$A,$B9,Movimientos!$D:$D,CONCATENATE("&lt;=",HH$3),Movimientos!$C:$C,"&gt;0")+SUMIFS(Movimientos!$C:$C,Movimientos!$A:$A,$B9,Movimientos!$D:$D,CONCATENATE("&lt;",HH$3),Movimientos!$C:$C,"&lt;0")</f>
        <v>0</v>
      </c>
      <c r="HI9" s="5">
        <f ca="1">SUMIFS(Movimientos!$C:$C,Movimientos!$A:$A,$B9,Movimientos!$D:$D,CONCATENATE("&lt;=",HI$3),Movimientos!$C:$C,"&gt;0")+SUMIFS(Movimientos!$C:$C,Movimientos!$A:$A,$B9,Movimientos!$D:$D,CONCATENATE("&lt;",HI$3),Movimientos!$C:$C,"&lt;0")</f>
        <v>0</v>
      </c>
      <c r="HJ9" s="5">
        <f ca="1">SUMIFS(Movimientos!$C:$C,Movimientos!$A:$A,$B9,Movimientos!$D:$D,CONCATENATE("&lt;=",HJ$3),Movimientos!$C:$C,"&gt;0")+SUMIFS(Movimientos!$C:$C,Movimientos!$A:$A,$B9,Movimientos!$D:$D,CONCATENATE("&lt;",HJ$3),Movimientos!$C:$C,"&lt;0")</f>
        <v>0</v>
      </c>
      <c r="HK9" s="5">
        <f ca="1">SUMIFS(Movimientos!$C:$C,Movimientos!$A:$A,$B9,Movimientos!$D:$D,CONCATENATE("&lt;=",HK$3),Movimientos!$C:$C,"&gt;0")+SUMIFS(Movimientos!$C:$C,Movimientos!$A:$A,$B9,Movimientos!$D:$D,CONCATENATE("&lt;",HK$3),Movimientos!$C:$C,"&lt;0")</f>
        <v>0</v>
      </c>
      <c r="HL9" s="5">
        <f ca="1">SUMIFS(Movimientos!$C:$C,Movimientos!$A:$A,$B9,Movimientos!$D:$D,CONCATENATE("&lt;=",HL$3),Movimientos!$C:$C,"&gt;0")+SUMIFS(Movimientos!$C:$C,Movimientos!$A:$A,$B9,Movimientos!$D:$D,CONCATENATE("&lt;",HL$3),Movimientos!$C:$C,"&lt;0")</f>
        <v>0</v>
      </c>
      <c r="HM9" s="5">
        <f ca="1">SUMIFS(Movimientos!$C:$C,Movimientos!$A:$A,$B9,Movimientos!$D:$D,CONCATENATE("&lt;=",HM$3),Movimientos!$C:$C,"&gt;0")+SUMIFS(Movimientos!$C:$C,Movimientos!$A:$A,$B9,Movimientos!$D:$D,CONCATENATE("&lt;",HM$3),Movimientos!$C:$C,"&lt;0")</f>
        <v>0</v>
      </c>
      <c r="HN9" s="5">
        <f ca="1">SUMIFS(Movimientos!$C:$C,Movimientos!$A:$A,$B9,Movimientos!$D:$D,CONCATENATE("&lt;=",HN$3),Movimientos!$C:$C,"&gt;0")+SUMIFS(Movimientos!$C:$C,Movimientos!$A:$A,$B9,Movimientos!$D:$D,CONCATENATE("&lt;",HN$3),Movimientos!$C:$C,"&lt;0")</f>
        <v>0</v>
      </c>
      <c r="HO9" s="5">
        <f ca="1">SUMIFS(Movimientos!$C:$C,Movimientos!$A:$A,$B9,Movimientos!$D:$D,CONCATENATE("&lt;=",HO$3),Movimientos!$C:$C,"&gt;0")+SUMIFS(Movimientos!$C:$C,Movimientos!$A:$A,$B9,Movimientos!$D:$D,CONCATENATE("&lt;",HO$3),Movimientos!$C:$C,"&lt;0")</f>
        <v>0</v>
      </c>
      <c r="HP9" s="5">
        <f ca="1">SUMIFS(Movimientos!$C:$C,Movimientos!$A:$A,$B9,Movimientos!$D:$D,CONCATENATE("&lt;=",HP$3),Movimientos!$C:$C,"&gt;0")+SUMIFS(Movimientos!$C:$C,Movimientos!$A:$A,$B9,Movimientos!$D:$D,CONCATENATE("&lt;",HP$3),Movimientos!$C:$C,"&lt;0")</f>
        <v>0</v>
      </c>
      <c r="HQ9" s="5">
        <f ca="1">SUMIFS(Movimientos!$C:$C,Movimientos!$A:$A,$B9,Movimientos!$D:$D,CONCATENATE("&lt;=",HQ$3),Movimientos!$C:$C,"&gt;0")+SUMIFS(Movimientos!$C:$C,Movimientos!$A:$A,$B9,Movimientos!$D:$D,CONCATENATE("&lt;",HQ$3),Movimientos!$C:$C,"&lt;0")</f>
        <v>0</v>
      </c>
      <c r="HR9" s="5">
        <f ca="1">SUMIFS(Movimientos!$C:$C,Movimientos!$A:$A,$B9,Movimientos!$D:$D,CONCATENATE("&lt;=",HR$3),Movimientos!$C:$C,"&gt;0")+SUMIFS(Movimientos!$C:$C,Movimientos!$A:$A,$B9,Movimientos!$D:$D,CONCATENATE("&lt;",HR$3),Movimientos!$C:$C,"&lt;0")</f>
        <v>0</v>
      </c>
      <c r="HS9" s="5">
        <f ca="1">SUMIFS(Movimientos!$C:$C,Movimientos!$A:$A,$B9,Movimientos!$D:$D,CONCATENATE("&lt;=",HS$3),Movimientos!$C:$C,"&gt;0")+SUMIFS(Movimientos!$C:$C,Movimientos!$A:$A,$B9,Movimientos!$D:$D,CONCATENATE("&lt;",HS$3),Movimientos!$C:$C,"&lt;0")</f>
        <v>0</v>
      </c>
      <c r="HT9" s="5">
        <f ca="1">SUMIFS(Movimientos!$C:$C,Movimientos!$A:$A,$B9,Movimientos!$D:$D,CONCATENATE("&lt;=",HT$3),Movimientos!$C:$C,"&gt;0")+SUMIFS(Movimientos!$C:$C,Movimientos!$A:$A,$B9,Movimientos!$D:$D,CONCATENATE("&lt;",HT$3),Movimientos!$C:$C,"&lt;0")</f>
        <v>0</v>
      </c>
      <c r="HU9" s="5">
        <f ca="1">SUMIFS(Movimientos!$C:$C,Movimientos!$A:$A,$B9,Movimientos!$D:$D,CONCATENATE("&lt;=",HU$3),Movimientos!$C:$C,"&gt;0")+SUMIFS(Movimientos!$C:$C,Movimientos!$A:$A,$B9,Movimientos!$D:$D,CONCATENATE("&lt;",HU$3),Movimientos!$C:$C,"&lt;0")</f>
        <v>0</v>
      </c>
      <c r="HV9" s="5">
        <f ca="1">SUMIFS(Movimientos!$C:$C,Movimientos!$A:$A,$B9,Movimientos!$D:$D,CONCATENATE("&lt;=",HV$3),Movimientos!$C:$C,"&gt;0")+SUMIFS(Movimientos!$C:$C,Movimientos!$A:$A,$B9,Movimientos!$D:$D,CONCATENATE("&lt;",HV$3),Movimientos!$C:$C,"&lt;0")</f>
        <v>0</v>
      </c>
      <c r="HW9" s="5">
        <f ca="1">SUMIFS(Movimientos!$C:$C,Movimientos!$A:$A,$B9,Movimientos!$D:$D,CONCATENATE("&lt;=",HW$3),Movimientos!$C:$C,"&gt;0")+SUMIFS(Movimientos!$C:$C,Movimientos!$A:$A,$B9,Movimientos!$D:$D,CONCATENATE("&lt;",HW$3),Movimientos!$C:$C,"&lt;0")</f>
        <v>0</v>
      </c>
      <c r="HX9" s="5">
        <f ca="1">SUMIFS(Movimientos!$C:$C,Movimientos!$A:$A,$B9,Movimientos!$D:$D,CONCATENATE("&lt;=",HX$3),Movimientos!$C:$C,"&gt;0")+SUMIFS(Movimientos!$C:$C,Movimientos!$A:$A,$B9,Movimientos!$D:$D,CONCATENATE("&lt;",HX$3),Movimientos!$C:$C,"&lt;0")</f>
        <v>0</v>
      </c>
      <c r="HY9" s="5">
        <f ca="1">SUMIFS(Movimientos!$C:$C,Movimientos!$A:$A,$B9,Movimientos!$D:$D,CONCATENATE("&lt;=",HY$3),Movimientos!$C:$C,"&gt;0")+SUMIFS(Movimientos!$C:$C,Movimientos!$A:$A,$B9,Movimientos!$D:$D,CONCATENATE("&lt;",HY$3),Movimientos!$C:$C,"&lt;0")</f>
        <v>0</v>
      </c>
      <c r="HZ9" s="5">
        <f ca="1">SUMIFS(Movimientos!$C:$C,Movimientos!$A:$A,$B9,Movimientos!$D:$D,CONCATENATE("&lt;=",HZ$3),Movimientos!$C:$C,"&gt;0")+SUMIFS(Movimientos!$C:$C,Movimientos!$A:$A,$B9,Movimientos!$D:$D,CONCATENATE("&lt;",HZ$3),Movimientos!$C:$C,"&lt;0")</f>
        <v>0</v>
      </c>
      <c r="IA9" s="5">
        <f ca="1">SUMIFS(Movimientos!$C:$C,Movimientos!$A:$A,$B9,Movimientos!$D:$D,CONCATENATE("&lt;=",IA$3),Movimientos!$C:$C,"&gt;0")+SUMIFS(Movimientos!$C:$C,Movimientos!$A:$A,$B9,Movimientos!$D:$D,CONCATENATE("&lt;",IA$3),Movimientos!$C:$C,"&lt;0")</f>
        <v>0</v>
      </c>
      <c r="IB9" s="5">
        <f ca="1">SUMIFS(Movimientos!$C:$C,Movimientos!$A:$A,$B9,Movimientos!$D:$D,CONCATENATE("&lt;=",IB$3),Movimientos!$C:$C,"&gt;0")+SUMIFS(Movimientos!$C:$C,Movimientos!$A:$A,$B9,Movimientos!$D:$D,CONCATENATE("&lt;",IB$3),Movimientos!$C:$C,"&lt;0")</f>
        <v>0</v>
      </c>
      <c r="IC9" s="5">
        <f ca="1">SUMIFS(Movimientos!$C:$C,Movimientos!$A:$A,$B9,Movimientos!$D:$D,CONCATENATE("&lt;=",IC$3),Movimientos!$C:$C,"&gt;0")+SUMIFS(Movimientos!$C:$C,Movimientos!$A:$A,$B9,Movimientos!$D:$D,CONCATENATE("&lt;",IC$3),Movimientos!$C:$C,"&lt;0")</f>
        <v>0</v>
      </c>
      <c r="ID9" s="5">
        <f ca="1">SUMIFS(Movimientos!$C:$C,Movimientos!$A:$A,$B9,Movimientos!$D:$D,CONCATENATE("&lt;=",ID$3),Movimientos!$C:$C,"&gt;0")+SUMIFS(Movimientos!$C:$C,Movimientos!$A:$A,$B9,Movimientos!$D:$D,CONCATENATE("&lt;",ID$3),Movimientos!$C:$C,"&lt;0")</f>
        <v>0</v>
      </c>
      <c r="IE9" s="5">
        <f ca="1">SUMIFS(Movimientos!$C:$C,Movimientos!$A:$A,$B9,Movimientos!$D:$D,CONCATENATE("&lt;=",IE$3),Movimientos!$C:$C,"&gt;0")+SUMIFS(Movimientos!$C:$C,Movimientos!$A:$A,$B9,Movimientos!$D:$D,CONCATENATE("&lt;",IE$3),Movimientos!$C:$C,"&lt;0")</f>
        <v>0</v>
      </c>
      <c r="IF9" s="5">
        <f ca="1">SUMIFS(Movimientos!$C:$C,Movimientos!$A:$A,$B9,Movimientos!$D:$D,CONCATENATE("&lt;=",IF$3),Movimientos!$C:$C,"&gt;0")+SUMIFS(Movimientos!$C:$C,Movimientos!$A:$A,$B9,Movimientos!$D:$D,CONCATENATE("&lt;",IF$3),Movimientos!$C:$C,"&lt;0")</f>
        <v>0</v>
      </c>
      <c r="IG9" s="5">
        <f ca="1">SUMIFS(Movimientos!$C:$C,Movimientos!$A:$A,$B9,Movimientos!$D:$D,CONCATENATE("&lt;=",IG$3),Movimientos!$C:$C,"&gt;0")+SUMIFS(Movimientos!$C:$C,Movimientos!$A:$A,$B9,Movimientos!$D:$D,CONCATENATE("&lt;",IG$3),Movimientos!$C:$C,"&lt;0")</f>
        <v>0</v>
      </c>
      <c r="IH9" s="5">
        <f ca="1">SUMIFS(Movimientos!$C:$C,Movimientos!$A:$A,$B9,Movimientos!$D:$D,CONCATENATE("&lt;=",IH$3),Movimientos!$C:$C,"&gt;0")+SUMIFS(Movimientos!$C:$C,Movimientos!$A:$A,$B9,Movimientos!$D:$D,CONCATENATE("&lt;",IH$3),Movimientos!$C:$C,"&lt;0")</f>
        <v>0</v>
      </c>
      <c r="II9" s="5">
        <f ca="1">SUMIFS(Movimientos!$C:$C,Movimientos!$A:$A,$B9,Movimientos!$D:$D,CONCATENATE("&lt;=",II$3),Movimientos!$C:$C,"&gt;0")+SUMIFS(Movimientos!$C:$C,Movimientos!$A:$A,$B9,Movimientos!$D:$D,CONCATENATE("&lt;",II$3),Movimientos!$C:$C,"&lt;0")</f>
        <v>0</v>
      </c>
      <c r="IJ9" s="5">
        <f ca="1">SUMIFS(Movimientos!$C:$C,Movimientos!$A:$A,$B9,Movimientos!$D:$D,CONCATENATE("&lt;=",IJ$3),Movimientos!$C:$C,"&gt;0")+SUMIFS(Movimientos!$C:$C,Movimientos!$A:$A,$B9,Movimientos!$D:$D,CONCATENATE("&lt;",IJ$3),Movimientos!$C:$C,"&lt;0")</f>
        <v>0</v>
      </c>
      <c r="IK9" s="5">
        <f ca="1">SUMIFS(Movimientos!$C:$C,Movimientos!$A:$A,$B9,Movimientos!$D:$D,CONCATENATE("&lt;=",IK$3),Movimientos!$C:$C,"&gt;0")+SUMIFS(Movimientos!$C:$C,Movimientos!$A:$A,$B9,Movimientos!$D:$D,CONCATENATE("&lt;",IK$3),Movimientos!$C:$C,"&lt;0")</f>
        <v>0</v>
      </c>
      <c r="IL9" s="5">
        <f ca="1">SUMIFS(Movimientos!$C:$C,Movimientos!$A:$A,$B9,Movimientos!$D:$D,CONCATENATE("&lt;=",IL$3),Movimientos!$C:$C,"&gt;0")+SUMIFS(Movimientos!$C:$C,Movimientos!$A:$A,$B9,Movimientos!$D:$D,CONCATENATE("&lt;",IL$3),Movimientos!$C:$C,"&lt;0")</f>
        <v>0</v>
      </c>
      <c r="IM9" s="5">
        <f ca="1">SUMIFS(Movimientos!$C:$C,Movimientos!$A:$A,$B9,Movimientos!$D:$D,CONCATENATE("&lt;=",IM$3),Movimientos!$C:$C,"&gt;0")+SUMIFS(Movimientos!$C:$C,Movimientos!$A:$A,$B9,Movimientos!$D:$D,CONCATENATE("&lt;",IM$3),Movimientos!$C:$C,"&lt;0")</f>
        <v>0</v>
      </c>
      <c r="IN9" s="5">
        <f ca="1">SUMIFS(Movimientos!$C:$C,Movimientos!$A:$A,$B9,Movimientos!$D:$D,CONCATENATE("&lt;=",IN$3),Movimientos!$C:$C,"&gt;0")+SUMIFS(Movimientos!$C:$C,Movimientos!$A:$A,$B9,Movimientos!$D:$D,CONCATENATE("&lt;",IN$3),Movimientos!$C:$C,"&lt;0")</f>
        <v>0</v>
      </c>
      <c r="IO9" s="5">
        <f ca="1">SUMIFS(Movimientos!$C:$C,Movimientos!$A:$A,$B9,Movimientos!$D:$D,CONCATENATE("&lt;=",IO$3),Movimientos!$C:$C,"&gt;0")+SUMIFS(Movimientos!$C:$C,Movimientos!$A:$A,$B9,Movimientos!$D:$D,CONCATENATE("&lt;",IO$3),Movimientos!$C:$C,"&lt;0")</f>
        <v>0</v>
      </c>
      <c r="IP9" s="5">
        <f ca="1">SUMIFS(Movimientos!$C:$C,Movimientos!$A:$A,$B9,Movimientos!$D:$D,CONCATENATE("&lt;=",IP$3),Movimientos!$C:$C,"&gt;0")+SUMIFS(Movimientos!$C:$C,Movimientos!$A:$A,$B9,Movimientos!$D:$D,CONCATENATE("&lt;",IP$3),Movimientos!$C:$C,"&lt;0")</f>
        <v>0</v>
      </c>
      <c r="IQ9" s="5">
        <f ca="1">SUMIFS(Movimientos!$C:$C,Movimientos!$A:$A,$B9,Movimientos!$D:$D,CONCATENATE("&lt;=",IQ$3),Movimientos!$C:$C,"&gt;0")+SUMIFS(Movimientos!$C:$C,Movimientos!$A:$A,$B9,Movimientos!$D:$D,CONCATENATE("&lt;",IQ$3),Movimientos!$C:$C,"&lt;0")</f>
        <v>0</v>
      </c>
      <c r="IR9" s="5">
        <f ca="1">SUMIFS(Movimientos!$C:$C,Movimientos!$A:$A,$B9,Movimientos!$D:$D,CONCATENATE("&lt;=",IR$3),Movimientos!$C:$C,"&gt;0")+SUMIFS(Movimientos!$C:$C,Movimientos!$A:$A,$B9,Movimientos!$D:$D,CONCATENATE("&lt;",IR$3),Movimientos!$C:$C,"&lt;0")</f>
        <v>0</v>
      </c>
      <c r="IS9" s="5">
        <f ca="1">SUMIFS(Movimientos!$C:$C,Movimientos!$A:$A,$B9,Movimientos!$D:$D,CONCATENATE("&lt;=",IS$3),Movimientos!$C:$C,"&gt;0")+SUMIFS(Movimientos!$C:$C,Movimientos!$A:$A,$B9,Movimientos!$D:$D,CONCATENATE("&lt;",IS$3),Movimientos!$C:$C,"&lt;0")</f>
        <v>0</v>
      </c>
      <c r="IT9" s="5">
        <f ca="1">SUMIFS(Movimientos!$C:$C,Movimientos!$A:$A,$B9,Movimientos!$D:$D,CONCATENATE("&lt;=",IT$3),Movimientos!$C:$C,"&gt;0")+SUMIFS(Movimientos!$C:$C,Movimientos!$A:$A,$B9,Movimientos!$D:$D,CONCATENATE("&lt;",IT$3),Movimientos!$C:$C,"&lt;0")</f>
        <v>0</v>
      </c>
      <c r="IU9" s="5">
        <f ca="1">SUMIFS(Movimientos!$C:$C,Movimientos!$A:$A,$B9,Movimientos!$D:$D,CONCATENATE("&lt;=",IU$3),Movimientos!$C:$C,"&gt;0")+SUMIFS(Movimientos!$C:$C,Movimientos!$A:$A,$B9,Movimientos!$D:$D,CONCATENATE("&lt;",IU$3),Movimientos!$C:$C,"&lt;0")</f>
        <v>0</v>
      </c>
      <c r="IV9" s="5">
        <f ca="1">SUMIFS(Movimientos!$C:$C,Movimientos!$A:$A,$B9,Movimientos!$D:$D,CONCATENATE("&lt;=",IV$3),Movimientos!$C:$C,"&gt;0")+SUMIFS(Movimientos!$C:$C,Movimientos!$A:$A,$B9,Movimientos!$D:$D,CONCATENATE("&lt;",IV$3),Movimientos!$C:$C,"&lt;0")</f>
        <v>0</v>
      </c>
      <c r="IW9" s="5">
        <f ca="1">SUMIFS(Movimientos!$C:$C,Movimientos!$A:$A,$B9,Movimientos!$D:$D,CONCATENATE("&lt;=",IW$3),Movimientos!$C:$C,"&gt;0")+SUMIFS(Movimientos!$C:$C,Movimientos!$A:$A,$B9,Movimientos!$D:$D,CONCATENATE("&lt;",IW$3),Movimientos!$C:$C,"&lt;0")</f>
        <v>0</v>
      </c>
      <c r="IX9" s="5">
        <f ca="1">SUMIFS(Movimientos!$C:$C,Movimientos!$A:$A,$B9,Movimientos!$D:$D,CONCATENATE("&lt;=",IX$3),Movimientos!$C:$C,"&gt;0")+SUMIFS(Movimientos!$C:$C,Movimientos!$A:$A,$B9,Movimientos!$D:$D,CONCATENATE("&lt;",IX$3),Movimientos!$C:$C,"&lt;0")</f>
        <v>0</v>
      </c>
      <c r="IY9" s="5">
        <f ca="1">SUMIFS(Movimientos!$C:$C,Movimientos!$A:$A,$B9,Movimientos!$D:$D,CONCATENATE("&lt;=",IY$3),Movimientos!$C:$C,"&gt;0")+SUMIFS(Movimientos!$C:$C,Movimientos!$A:$A,$B9,Movimientos!$D:$D,CONCATENATE("&lt;",IY$3),Movimientos!$C:$C,"&lt;0")</f>
        <v>0</v>
      </c>
      <c r="IZ9" s="5">
        <f ca="1">SUMIFS(Movimientos!$C:$C,Movimientos!$A:$A,$B9,Movimientos!$D:$D,CONCATENATE("&lt;=",IZ$3),Movimientos!$C:$C,"&gt;0")+SUMIFS(Movimientos!$C:$C,Movimientos!$A:$A,$B9,Movimientos!$D:$D,CONCATENATE("&lt;",IZ$3),Movimientos!$C:$C,"&lt;0")</f>
        <v>0</v>
      </c>
      <c r="JA9" s="5">
        <f ca="1">SUMIFS(Movimientos!$C:$C,Movimientos!$A:$A,$B9,Movimientos!$D:$D,CONCATENATE("&lt;=",JA$3),Movimientos!$C:$C,"&gt;0")+SUMIFS(Movimientos!$C:$C,Movimientos!$A:$A,$B9,Movimientos!$D:$D,CONCATENATE("&lt;",JA$3),Movimientos!$C:$C,"&lt;0")</f>
        <v>0</v>
      </c>
      <c r="JB9" s="5">
        <f ca="1">SUMIFS(Movimientos!$C:$C,Movimientos!$A:$A,$B9,Movimientos!$D:$D,CONCATENATE("&lt;=",JB$3),Movimientos!$C:$C,"&gt;0")+SUMIFS(Movimientos!$C:$C,Movimientos!$A:$A,$B9,Movimientos!$D:$D,CONCATENATE("&lt;",JB$3),Movimientos!$C:$C,"&lt;0")</f>
        <v>0</v>
      </c>
      <c r="JC9" s="5">
        <f ca="1">SUMIFS(Movimientos!$C:$C,Movimientos!$A:$A,$B9,Movimientos!$D:$D,CONCATENATE("&lt;=",JC$3),Movimientos!$C:$C,"&gt;0")+SUMIFS(Movimientos!$C:$C,Movimientos!$A:$A,$B9,Movimientos!$D:$D,CONCATENATE("&lt;",JC$3),Movimientos!$C:$C,"&lt;0")</f>
        <v>0</v>
      </c>
      <c r="JD9" s="5">
        <f ca="1">SUMIFS(Movimientos!$C:$C,Movimientos!$A:$A,$B9,Movimientos!$D:$D,CONCATENATE("&lt;=",JD$3),Movimientos!$C:$C,"&gt;0")+SUMIFS(Movimientos!$C:$C,Movimientos!$A:$A,$B9,Movimientos!$D:$D,CONCATENATE("&lt;",JD$3),Movimientos!$C:$C,"&lt;0")</f>
        <v>0</v>
      </c>
      <c r="JE9" s="5">
        <f ca="1">SUMIFS(Movimientos!$C:$C,Movimientos!$A:$A,$B9,Movimientos!$D:$D,CONCATENATE("&lt;=",JE$3),Movimientos!$C:$C,"&gt;0")+SUMIFS(Movimientos!$C:$C,Movimientos!$A:$A,$B9,Movimientos!$D:$D,CONCATENATE("&lt;",JE$3),Movimientos!$C:$C,"&lt;0")</f>
        <v>0</v>
      </c>
      <c r="JF9" s="5">
        <f ca="1">SUMIFS(Movimientos!$C:$C,Movimientos!$A:$A,$B9,Movimientos!$D:$D,CONCATENATE("&lt;=",JF$3),Movimientos!$C:$C,"&gt;0")+SUMIFS(Movimientos!$C:$C,Movimientos!$A:$A,$B9,Movimientos!$D:$D,CONCATENATE("&lt;",JF$3),Movimientos!$C:$C,"&lt;0")</f>
        <v>0</v>
      </c>
      <c r="JG9" s="5">
        <f ca="1">SUMIFS(Movimientos!$C:$C,Movimientos!$A:$A,$B9,Movimientos!$D:$D,CONCATENATE("&lt;=",JG$3),Movimientos!$C:$C,"&gt;0")+SUMIFS(Movimientos!$C:$C,Movimientos!$A:$A,$B9,Movimientos!$D:$D,CONCATENATE("&lt;",JG$3),Movimientos!$C:$C,"&lt;0")</f>
        <v>0</v>
      </c>
      <c r="JH9" s="5">
        <f ca="1">SUMIFS(Movimientos!$C:$C,Movimientos!$A:$A,$B9,Movimientos!$D:$D,CONCATENATE("&lt;=",JH$3),Movimientos!$C:$C,"&gt;0")+SUMIFS(Movimientos!$C:$C,Movimientos!$A:$A,$B9,Movimientos!$D:$D,CONCATENATE("&lt;",JH$3),Movimientos!$C:$C,"&lt;0")</f>
        <v>0</v>
      </c>
      <c r="JI9" s="5">
        <f ca="1">SUMIFS(Movimientos!$C:$C,Movimientos!$A:$A,$B9,Movimientos!$D:$D,CONCATENATE("&lt;=",JI$3),Movimientos!$C:$C,"&gt;0")+SUMIFS(Movimientos!$C:$C,Movimientos!$A:$A,$B9,Movimientos!$D:$D,CONCATENATE("&lt;",JI$3),Movimientos!$C:$C,"&lt;0")</f>
        <v>0</v>
      </c>
      <c r="JJ9" s="5">
        <f ca="1">SUMIFS(Movimientos!$C:$C,Movimientos!$A:$A,$B9,Movimientos!$D:$D,CONCATENATE("&lt;=",JJ$3),Movimientos!$C:$C,"&gt;0")+SUMIFS(Movimientos!$C:$C,Movimientos!$A:$A,$B9,Movimientos!$D:$D,CONCATENATE("&lt;",JJ$3),Movimientos!$C:$C,"&lt;0")</f>
        <v>0</v>
      </c>
      <c r="JK9" s="5">
        <f ca="1">SUMIFS(Movimientos!$C:$C,Movimientos!$A:$A,$B9,Movimientos!$D:$D,CONCATENATE("&lt;=",JK$3),Movimientos!$C:$C,"&gt;0")+SUMIFS(Movimientos!$C:$C,Movimientos!$A:$A,$B9,Movimientos!$D:$D,CONCATENATE("&lt;",JK$3),Movimientos!$C:$C,"&lt;0")</f>
        <v>0</v>
      </c>
      <c r="JL9" s="5">
        <f ca="1">SUMIFS(Movimientos!$C:$C,Movimientos!$A:$A,$B9,Movimientos!$D:$D,CONCATENATE("&lt;=",JL$3),Movimientos!$C:$C,"&gt;0")+SUMIFS(Movimientos!$C:$C,Movimientos!$A:$A,$B9,Movimientos!$D:$D,CONCATENATE("&lt;",JL$3),Movimientos!$C:$C,"&lt;0")</f>
        <v>0</v>
      </c>
      <c r="JM9" s="5">
        <f ca="1">SUMIFS(Movimientos!$C:$C,Movimientos!$A:$A,$B9,Movimientos!$D:$D,CONCATENATE("&lt;=",JM$3),Movimientos!$C:$C,"&gt;0")+SUMIFS(Movimientos!$C:$C,Movimientos!$A:$A,$B9,Movimientos!$D:$D,CONCATENATE("&lt;",JM$3),Movimientos!$C:$C,"&lt;0")</f>
        <v>0</v>
      </c>
      <c r="JN9" s="5">
        <f ca="1">SUMIFS(Movimientos!$C:$C,Movimientos!$A:$A,$B9,Movimientos!$D:$D,CONCATENATE("&lt;=",JN$3),Movimientos!$C:$C,"&gt;0")+SUMIFS(Movimientos!$C:$C,Movimientos!$A:$A,$B9,Movimientos!$D:$D,CONCATENATE("&lt;",JN$3),Movimientos!$C:$C,"&lt;0")</f>
        <v>0</v>
      </c>
      <c r="JO9" s="5">
        <f ca="1">SUMIFS(Movimientos!$C:$C,Movimientos!$A:$A,$B9,Movimientos!$D:$D,CONCATENATE("&lt;=",JO$3),Movimientos!$C:$C,"&gt;0")+SUMIFS(Movimientos!$C:$C,Movimientos!$A:$A,$B9,Movimientos!$D:$D,CONCATENATE("&lt;",JO$3),Movimientos!$C:$C,"&lt;0")</f>
        <v>0</v>
      </c>
      <c r="JP9" s="5">
        <f ca="1">SUMIFS(Movimientos!$C:$C,Movimientos!$A:$A,$B9,Movimientos!$D:$D,CONCATENATE("&lt;=",JP$3),Movimientos!$C:$C,"&gt;0")+SUMIFS(Movimientos!$C:$C,Movimientos!$A:$A,$B9,Movimientos!$D:$D,CONCATENATE("&lt;",JP$3),Movimientos!$C:$C,"&lt;0")</f>
        <v>0</v>
      </c>
      <c r="JQ9" s="5">
        <f ca="1">SUMIFS(Movimientos!$C:$C,Movimientos!$A:$A,$B9,Movimientos!$D:$D,CONCATENATE("&lt;=",JQ$3),Movimientos!$C:$C,"&gt;0")+SUMIFS(Movimientos!$C:$C,Movimientos!$A:$A,$B9,Movimientos!$D:$D,CONCATENATE("&lt;",JQ$3),Movimientos!$C:$C,"&lt;0")</f>
        <v>0</v>
      </c>
      <c r="JR9" s="5">
        <f ca="1">SUMIFS(Movimientos!$C:$C,Movimientos!$A:$A,$B9,Movimientos!$D:$D,CONCATENATE("&lt;=",JR$3),Movimientos!$C:$C,"&gt;0")+SUMIFS(Movimientos!$C:$C,Movimientos!$A:$A,$B9,Movimientos!$D:$D,CONCATENATE("&lt;",JR$3),Movimientos!$C:$C,"&lt;0")</f>
        <v>0</v>
      </c>
      <c r="JS9" s="5">
        <f ca="1">SUMIFS(Movimientos!$C:$C,Movimientos!$A:$A,$B9,Movimientos!$D:$D,CONCATENATE("&lt;=",JS$3),Movimientos!$C:$C,"&gt;0")+SUMIFS(Movimientos!$C:$C,Movimientos!$A:$A,$B9,Movimientos!$D:$D,CONCATENATE("&lt;",JS$3),Movimientos!$C:$C,"&lt;0")</f>
        <v>0</v>
      </c>
      <c r="JT9" s="5">
        <f ca="1">SUMIFS(Movimientos!$C:$C,Movimientos!$A:$A,$B9,Movimientos!$D:$D,CONCATENATE("&lt;=",JT$3),Movimientos!$C:$C,"&gt;0")+SUMIFS(Movimientos!$C:$C,Movimientos!$A:$A,$B9,Movimientos!$D:$D,CONCATENATE("&lt;",JT$3),Movimientos!$C:$C,"&lt;0")</f>
        <v>0</v>
      </c>
      <c r="JU9" s="5">
        <f ca="1">SUMIFS(Movimientos!$C:$C,Movimientos!$A:$A,$B9,Movimientos!$D:$D,CONCATENATE("&lt;=",JU$3),Movimientos!$C:$C,"&gt;0")+SUMIFS(Movimientos!$C:$C,Movimientos!$A:$A,$B9,Movimientos!$D:$D,CONCATENATE("&lt;",JU$3),Movimientos!$C:$C,"&lt;0")</f>
        <v>0</v>
      </c>
      <c r="JV9" s="5">
        <f ca="1">SUMIFS(Movimientos!$C:$C,Movimientos!$A:$A,$B9,Movimientos!$D:$D,CONCATENATE("&lt;=",JV$3),Movimientos!$C:$C,"&gt;0")+SUMIFS(Movimientos!$C:$C,Movimientos!$A:$A,$B9,Movimientos!$D:$D,CONCATENATE("&lt;",JV$3),Movimientos!$C:$C,"&lt;0")</f>
        <v>0</v>
      </c>
      <c r="JW9" s="5">
        <f ca="1">SUMIFS(Movimientos!$C:$C,Movimientos!$A:$A,$B9,Movimientos!$D:$D,CONCATENATE("&lt;=",JW$3),Movimientos!$C:$C,"&gt;0")+SUMIFS(Movimientos!$C:$C,Movimientos!$A:$A,$B9,Movimientos!$D:$D,CONCATENATE("&lt;",JW$3),Movimientos!$C:$C,"&lt;0")</f>
        <v>0</v>
      </c>
      <c r="JX9" s="5">
        <f ca="1">SUMIFS(Movimientos!$C:$C,Movimientos!$A:$A,$B9,Movimientos!$D:$D,CONCATENATE("&lt;=",JX$3),Movimientos!$C:$C,"&gt;0")+SUMIFS(Movimientos!$C:$C,Movimientos!$A:$A,$B9,Movimientos!$D:$D,CONCATENATE("&lt;",JX$3),Movimientos!$C:$C,"&lt;0")</f>
        <v>0</v>
      </c>
      <c r="JY9" s="5">
        <f ca="1">SUMIFS(Movimientos!$C:$C,Movimientos!$A:$A,$B9,Movimientos!$D:$D,CONCATENATE("&lt;=",JY$3),Movimientos!$C:$C,"&gt;0")+SUMIFS(Movimientos!$C:$C,Movimientos!$A:$A,$B9,Movimientos!$D:$D,CONCATENATE("&lt;",JY$3),Movimientos!$C:$C,"&lt;0")</f>
        <v>0</v>
      </c>
      <c r="JZ9" s="5">
        <f ca="1">SUMIFS(Movimientos!$C:$C,Movimientos!$A:$A,$B9,Movimientos!$D:$D,CONCATENATE("&lt;=",JZ$3),Movimientos!$C:$C,"&gt;0")+SUMIFS(Movimientos!$C:$C,Movimientos!$A:$A,$B9,Movimientos!$D:$D,CONCATENATE("&lt;",JZ$3),Movimientos!$C:$C,"&lt;0")</f>
        <v>0</v>
      </c>
      <c r="KA9" s="5">
        <f ca="1">SUMIFS(Movimientos!$C:$C,Movimientos!$A:$A,$B9,Movimientos!$D:$D,CONCATENATE("&lt;=",KA$3),Movimientos!$C:$C,"&gt;0")+SUMIFS(Movimientos!$C:$C,Movimientos!$A:$A,$B9,Movimientos!$D:$D,CONCATENATE("&lt;",KA$3),Movimientos!$C:$C,"&lt;0")</f>
        <v>0</v>
      </c>
      <c r="KB9" s="5">
        <f ca="1">SUMIFS(Movimientos!$C:$C,Movimientos!$A:$A,$B9,Movimientos!$D:$D,CONCATENATE("&lt;=",KB$3),Movimientos!$C:$C,"&gt;0")+SUMIFS(Movimientos!$C:$C,Movimientos!$A:$A,$B9,Movimientos!$D:$D,CONCATENATE("&lt;",KB$3),Movimientos!$C:$C,"&lt;0")</f>
        <v>0</v>
      </c>
      <c r="KC9" s="5">
        <f ca="1">SUMIFS(Movimientos!$C:$C,Movimientos!$A:$A,$B9,Movimientos!$D:$D,CONCATENATE("&lt;=",KC$3),Movimientos!$C:$C,"&gt;0")+SUMIFS(Movimientos!$C:$C,Movimientos!$A:$A,$B9,Movimientos!$D:$D,CONCATENATE("&lt;",KC$3),Movimientos!$C:$C,"&lt;0")</f>
        <v>0</v>
      </c>
      <c r="KD9" s="5">
        <f ca="1">SUMIFS(Movimientos!$C:$C,Movimientos!$A:$A,$B9,Movimientos!$D:$D,CONCATENATE("&lt;=",KD$3),Movimientos!$C:$C,"&gt;0")+SUMIFS(Movimientos!$C:$C,Movimientos!$A:$A,$B9,Movimientos!$D:$D,CONCATENATE("&lt;",KD$3),Movimientos!$C:$C,"&lt;0")</f>
        <v>0</v>
      </c>
      <c r="KE9" s="5">
        <f ca="1">SUMIFS(Movimientos!$C:$C,Movimientos!$A:$A,$B9,Movimientos!$D:$D,CONCATENATE("&lt;=",KE$3),Movimientos!$C:$C,"&gt;0")+SUMIFS(Movimientos!$C:$C,Movimientos!$A:$A,$B9,Movimientos!$D:$D,CONCATENATE("&lt;",KE$3),Movimientos!$C:$C,"&lt;0")</f>
        <v>0</v>
      </c>
      <c r="KF9" s="5">
        <f ca="1">SUMIFS(Movimientos!$C:$C,Movimientos!$A:$A,$B9,Movimientos!$D:$D,CONCATENATE("&lt;=",KF$3),Movimientos!$C:$C,"&gt;0")+SUMIFS(Movimientos!$C:$C,Movimientos!$A:$A,$B9,Movimientos!$D:$D,CONCATENATE("&lt;",KF$3),Movimientos!$C:$C,"&lt;0")</f>
        <v>0</v>
      </c>
      <c r="KG9" s="5">
        <f ca="1">SUMIFS(Movimientos!$C:$C,Movimientos!$A:$A,$B9,Movimientos!$D:$D,CONCATENATE("&lt;=",KG$3),Movimientos!$C:$C,"&gt;0")+SUMIFS(Movimientos!$C:$C,Movimientos!$A:$A,$B9,Movimientos!$D:$D,CONCATENATE("&lt;",KG$3),Movimientos!$C:$C,"&lt;0")</f>
        <v>0</v>
      </c>
      <c r="KH9" s="5">
        <f ca="1">SUMIFS(Movimientos!$C:$C,Movimientos!$A:$A,$B9,Movimientos!$D:$D,CONCATENATE("&lt;=",KH$3),Movimientos!$C:$C,"&gt;0")+SUMIFS(Movimientos!$C:$C,Movimientos!$A:$A,$B9,Movimientos!$D:$D,CONCATENATE("&lt;",KH$3),Movimientos!$C:$C,"&lt;0")</f>
        <v>0</v>
      </c>
      <c r="KI9" s="5">
        <f ca="1">SUMIFS(Movimientos!$C:$C,Movimientos!$A:$A,$B9,Movimientos!$D:$D,CONCATENATE("&lt;=",KI$3),Movimientos!$C:$C,"&gt;0")+SUMIFS(Movimientos!$C:$C,Movimientos!$A:$A,$B9,Movimientos!$D:$D,CONCATENATE("&lt;",KI$3),Movimientos!$C:$C,"&lt;0")</f>
        <v>0</v>
      </c>
      <c r="KJ9" s="5">
        <f ca="1">SUMIFS(Movimientos!$C:$C,Movimientos!$A:$A,$B9,Movimientos!$D:$D,CONCATENATE("&lt;=",KJ$3),Movimientos!$C:$C,"&gt;0")+SUMIFS(Movimientos!$C:$C,Movimientos!$A:$A,$B9,Movimientos!$D:$D,CONCATENATE("&lt;",KJ$3),Movimientos!$C:$C,"&lt;0")</f>
        <v>0</v>
      </c>
      <c r="KK9" s="5">
        <f ca="1">SUMIFS(Movimientos!$C:$C,Movimientos!$A:$A,$B9,Movimientos!$D:$D,CONCATENATE("&lt;=",KK$3),Movimientos!$C:$C,"&gt;0")+SUMIFS(Movimientos!$C:$C,Movimientos!$A:$A,$B9,Movimientos!$D:$D,CONCATENATE("&lt;",KK$3),Movimientos!$C:$C,"&lt;0")</f>
        <v>0</v>
      </c>
      <c r="KL9" s="5">
        <f ca="1">SUMIFS(Movimientos!$C:$C,Movimientos!$A:$A,$B9,Movimientos!$D:$D,CONCATENATE("&lt;=",KL$3),Movimientos!$C:$C,"&gt;0")+SUMIFS(Movimientos!$C:$C,Movimientos!$A:$A,$B9,Movimientos!$D:$D,CONCATENATE("&lt;",KL$3),Movimientos!$C:$C,"&lt;0")</f>
        <v>0</v>
      </c>
      <c r="KM9" s="5">
        <f ca="1">SUMIFS(Movimientos!$C:$C,Movimientos!$A:$A,$B9,Movimientos!$D:$D,CONCATENATE("&lt;=",KM$3),Movimientos!$C:$C,"&gt;0")+SUMIFS(Movimientos!$C:$C,Movimientos!$A:$A,$B9,Movimientos!$D:$D,CONCATENATE("&lt;",KM$3),Movimientos!$C:$C,"&lt;0")</f>
        <v>0</v>
      </c>
      <c r="KN9" s="5">
        <f ca="1">SUMIFS(Movimientos!$C:$C,Movimientos!$A:$A,$B9,Movimientos!$D:$D,CONCATENATE("&lt;=",KN$3),Movimientos!$C:$C,"&gt;0")+SUMIFS(Movimientos!$C:$C,Movimientos!$A:$A,$B9,Movimientos!$D:$D,CONCATENATE("&lt;",KN$3),Movimientos!$C:$C,"&lt;0")</f>
        <v>0</v>
      </c>
      <c r="KO9" s="5">
        <f ca="1">SUMIFS(Movimientos!$C:$C,Movimientos!$A:$A,$B9,Movimientos!$D:$D,CONCATENATE("&lt;=",KO$3),Movimientos!$C:$C,"&gt;0")+SUMIFS(Movimientos!$C:$C,Movimientos!$A:$A,$B9,Movimientos!$D:$D,CONCATENATE("&lt;",KO$3),Movimientos!$C:$C,"&lt;0")</f>
        <v>0</v>
      </c>
      <c r="KP9" s="5">
        <f ca="1">SUMIFS(Movimientos!$C:$C,Movimientos!$A:$A,$B9,Movimientos!$D:$D,CONCATENATE("&lt;=",KP$3),Movimientos!$C:$C,"&gt;0")+SUMIFS(Movimientos!$C:$C,Movimientos!$A:$A,$B9,Movimientos!$D:$D,CONCATENATE("&lt;",KP$3),Movimientos!$C:$C,"&lt;0")</f>
        <v>0</v>
      </c>
      <c r="KQ9" s="5">
        <f ca="1">SUMIFS(Movimientos!$C:$C,Movimientos!$A:$A,$B9,Movimientos!$D:$D,CONCATENATE("&lt;=",KQ$3),Movimientos!$C:$C,"&gt;0")+SUMIFS(Movimientos!$C:$C,Movimientos!$A:$A,$B9,Movimientos!$D:$D,CONCATENATE("&lt;",KQ$3),Movimientos!$C:$C,"&lt;0")</f>
        <v>0</v>
      </c>
      <c r="KR9" s="5">
        <f ca="1">SUMIFS(Movimientos!$C:$C,Movimientos!$A:$A,$B9,Movimientos!$D:$D,CONCATENATE("&lt;=",KR$3),Movimientos!$C:$C,"&gt;0")+SUMIFS(Movimientos!$C:$C,Movimientos!$A:$A,$B9,Movimientos!$D:$D,CONCATENATE("&lt;",KR$3),Movimientos!$C:$C,"&lt;0")</f>
        <v>0</v>
      </c>
      <c r="KS9" s="5">
        <f ca="1">SUMIFS(Movimientos!$C:$C,Movimientos!$A:$A,$B9,Movimientos!$D:$D,CONCATENATE("&lt;=",KS$3),Movimientos!$C:$C,"&gt;0")+SUMIFS(Movimientos!$C:$C,Movimientos!$A:$A,$B9,Movimientos!$D:$D,CONCATENATE("&lt;",KS$3),Movimientos!$C:$C,"&lt;0")</f>
        <v>0</v>
      </c>
      <c r="KT9" s="5">
        <f ca="1">SUMIFS(Movimientos!$C:$C,Movimientos!$A:$A,$B9,Movimientos!$D:$D,CONCATENATE("&lt;=",KT$3),Movimientos!$C:$C,"&gt;0")+SUMIFS(Movimientos!$C:$C,Movimientos!$A:$A,$B9,Movimientos!$D:$D,CONCATENATE("&lt;",KT$3),Movimientos!$C:$C,"&lt;0")</f>
        <v>0</v>
      </c>
      <c r="KU9" s="5">
        <f ca="1">SUMIFS(Movimientos!$C:$C,Movimientos!$A:$A,$B9,Movimientos!$D:$D,CONCATENATE("&lt;=",KU$3),Movimientos!$C:$C,"&gt;0")+SUMIFS(Movimientos!$C:$C,Movimientos!$A:$A,$B9,Movimientos!$D:$D,CONCATENATE("&lt;",KU$3),Movimientos!$C:$C,"&lt;0")</f>
        <v>0</v>
      </c>
      <c r="KV9" s="5">
        <f ca="1">SUMIFS(Movimientos!$C:$C,Movimientos!$A:$A,$B9,Movimientos!$D:$D,CONCATENATE("&lt;=",KV$3),Movimientos!$C:$C,"&gt;0")+SUMIFS(Movimientos!$C:$C,Movimientos!$A:$A,$B9,Movimientos!$D:$D,CONCATENATE("&lt;",KV$3),Movimientos!$C:$C,"&lt;0")</f>
        <v>0</v>
      </c>
      <c r="KW9" s="5">
        <f ca="1">SUMIFS(Movimientos!$C:$C,Movimientos!$A:$A,$B9,Movimientos!$D:$D,CONCATENATE("&lt;=",KW$3),Movimientos!$C:$C,"&gt;0")+SUMIFS(Movimientos!$C:$C,Movimientos!$A:$A,$B9,Movimientos!$D:$D,CONCATENATE("&lt;",KW$3),Movimientos!$C:$C,"&lt;0")</f>
        <v>0</v>
      </c>
      <c r="KX9" s="5">
        <f ca="1">SUMIFS(Movimientos!$C:$C,Movimientos!$A:$A,$B9,Movimientos!$D:$D,CONCATENATE("&lt;=",KX$3),Movimientos!$C:$C,"&gt;0")+SUMIFS(Movimientos!$C:$C,Movimientos!$A:$A,$B9,Movimientos!$D:$D,CONCATENATE("&lt;",KX$3),Movimientos!$C:$C,"&lt;0")</f>
        <v>0</v>
      </c>
      <c r="KY9" s="5">
        <f ca="1">SUMIFS(Movimientos!$C:$C,Movimientos!$A:$A,$B9,Movimientos!$D:$D,CONCATENATE("&lt;=",KY$3),Movimientos!$C:$C,"&gt;0")+SUMIFS(Movimientos!$C:$C,Movimientos!$A:$A,$B9,Movimientos!$D:$D,CONCATENATE("&lt;",KY$3),Movimientos!$C:$C,"&lt;0")</f>
        <v>0</v>
      </c>
      <c r="KZ9" s="5">
        <f ca="1">SUMIFS(Movimientos!$C:$C,Movimientos!$A:$A,$B9,Movimientos!$D:$D,CONCATENATE("&lt;=",KZ$3),Movimientos!$C:$C,"&gt;0")+SUMIFS(Movimientos!$C:$C,Movimientos!$A:$A,$B9,Movimientos!$D:$D,CONCATENATE("&lt;",KZ$3),Movimientos!$C:$C,"&lt;0")</f>
        <v>0</v>
      </c>
      <c r="LA9" s="5">
        <f ca="1">SUMIFS(Movimientos!$C:$C,Movimientos!$A:$A,$B9,Movimientos!$D:$D,CONCATENATE("&lt;=",LA$3),Movimientos!$C:$C,"&gt;0")+SUMIFS(Movimientos!$C:$C,Movimientos!$A:$A,$B9,Movimientos!$D:$D,CONCATENATE("&lt;",LA$3),Movimientos!$C:$C,"&lt;0")</f>
        <v>0</v>
      </c>
      <c r="LB9" s="5">
        <f ca="1">SUMIFS(Movimientos!$C:$C,Movimientos!$A:$A,$B9,Movimientos!$D:$D,CONCATENATE("&lt;=",LB$3),Movimientos!$C:$C,"&gt;0")+SUMIFS(Movimientos!$C:$C,Movimientos!$A:$A,$B9,Movimientos!$D:$D,CONCATENATE("&lt;",LB$3),Movimientos!$C:$C,"&lt;0")</f>
        <v>0</v>
      </c>
      <c r="LC9" s="5">
        <f ca="1">SUMIFS(Movimientos!$C:$C,Movimientos!$A:$A,$B9,Movimientos!$D:$D,CONCATENATE("&lt;=",LC$3),Movimientos!$C:$C,"&gt;0")+SUMIFS(Movimientos!$C:$C,Movimientos!$A:$A,$B9,Movimientos!$D:$D,CONCATENATE("&lt;",LC$3),Movimientos!$C:$C,"&lt;0")</f>
        <v>0</v>
      </c>
      <c r="LD9" s="5">
        <f ca="1">SUMIFS(Movimientos!$C:$C,Movimientos!$A:$A,$B9,Movimientos!$D:$D,CONCATENATE("&lt;=",LD$3),Movimientos!$C:$C,"&gt;0")+SUMIFS(Movimientos!$C:$C,Movimientos!$A:$A,$B9,Movimientos!$D:$D,CONCATENATE("&lt;",LD$3),Movimientos!$C:$C,"&lt;0")</f>
        <v>0</v>
      </c>
      <c r="LE9" s="5">
        <f ca="1">SUMIFS(Movimientos!$C:$C,Movimientos!$A:$A,$B9,Movimientos!$D:$D,CONCATENATE("&lt;=",LE$3),Movimientos!$C:$C,"&gt;0")+SUMIFS(Movimientos!$C:$C,Movimientos!$A:$A,$B9,Movimientos!$D:$D,CONCATENATE("&lt;",LE$3),Movimientos!$C:$C,"&lt;0")</f>
        <v>0</v>
      </c>
      <c r="LF9" s="5">
        <f ca="1">SUMIFS(Movimientos!$C:$C,Movimientos!$A:$A,$B9,Movimientos!$D:$D,CONCATENATE("&lt;=",LF$3),Movimientos!$C:$C,"&gt;0")+SUMIFS(Movimientos!$C:$C,Movimientos!$A:$A,$B9,Movimientos!$D:$D,CONCATENATE("&lt;",LF$3),Movimientos!$C:$C,"&lt;0")</f>
        <v>0</v>
      </c>
      <c r="LG9" s="5">
        <f ca="1">SUMIFS(Movimientos!$C:$C,Movimientos!$A:$A,$B9,Movimientos!$D:$D,CONCATENATE("&lt;=",LG$3),Movimientos!$C:$C,"&gt;0")+SUMIFS(Movimientos!$C:$C,Movimientos!$A:$A,$B9,Movimientos!$D:$D,CONCATENATE("&lt;",LG$3),Movimientos!$C:$C,"&lt;0")</f>
        <v>0</v>
      </c>
      <c r="LH9" s="5">
        <f ca="1">SUMIFS(Movimientos!$C:$C,Movimientos!$A:$A,$B9,Movimientos!$D:$D,CONCATENATE("&lt;=",LH$3),Movimientos!$C:$C,"&gt;0")+SUMIFS(Movimientos!$C:$C,Movimientos!$A:$A,$B9,Movimientos!$D:$D,CONCATENATE("&lt;",LH$3),Movimientos!$C:$C,"&lt;0")</f>
        <v>0</v>
      </c>
      <c r="LI9" s="5">
        <f ca="1">SUMIFS(Movimientos!$C:$C,Movimientos!$A:$A,$B9,Movimientos!$D:$D,CONCATENATE("&lt;=",LI$3),Movimientos!$C:$C,"&gt;0")+SUMIFS(Movimientos!$C:$C,Movimientos!$A:$A,$B9,Movimientos!$D:$D,CONCATENATE("&lt;",LI$3),Movimientos!$C:$C,"&lt;0")</f>
        <v>0</v>
      </c>
      <c r="LJ9" s="5">
        <f ca="1">SUMIFS(Movimientos!$C:$C,Movimientos!$A:$A,$B9,Movimientos!$D:$D,CONCATENATE("&lt;=",LJ$3),Movimientos!$C:$C,"&gt;0")+SUMIFS(Movimientos!$C:$C,Movimientos!$A:$A,$B9,Movimientos!$D:$D,CONCATENATE("&lt;",LJ$3),Movimientos!$C:$C,"&lt;0")</f>
        <v>0</v>
      </c>
      <c r="LK9" s="5">
        <f ca="1">SUMIFS(Movimientos!$C:$C,Movimientos!$A:$A,$B9,Movimientos!$D:$D,CONCATENATE("&lt;=",LK$3),Movimientos!$C:$C,"&gt;0")+SUMIFS(Movimientos!$C:$C,Movimientos!$A:$A,$B9,Movimientos!$D:$D,CONCATENATE("&lt;",LK$3),Movimientos!$C:$C,"&lt;0")</f>
        <v>0</v>
      </c>
      <c r="LL9" s="5">
        <f ca="1">SUMIFS(Movimientos!$C:$C,Movimientos!$A:$A,$B9,Movimientos!$D:$D,CONCATENATE("&lt;=",LL$3),Movimientos!$C:$C,"&gt;0")+SUMIFS(Movimientos!$C:$C,Movimientos!$A:$A,$B9,Movimientos!$D:$D,CONCATENATE("&lt;",LL$3),Movimientos!$C:$C,"&lt;0")</f>
        <v>0</v>
      </c>
      <c r="LM9" s="5">
        <f ca="1">SUMIFS(Movimientos!$C:$C,Movimientos!$A:$A,$B9,Movimientos!$D:$D,CONCATENATE("&lt;=",LM$3),Movimientos!$C:$C,"&gt;0")+SUMIFS(Movimientos!$C:$C,Movimientos!$A:$A,$B9,Movimientos!$D:$D,CONCATENATE("&lt;",LM$3),Movimientos!$C:$C,"&lt;0")</f>
        <v>0</v>
      </c>
      <c r="LN9" s="5">
        <f ca="1">SUMIFS(Movimientos!$C:$C,Movimientos!$A:$A,$B9,Movimientos!$D:$D,CONCATENATE("&lt;=",LN$3),Movimientos!$C:$C,"&gt;0")+SUMIFS(Movimientos!$C:$C,Movimientos!$A:$A,$B9,Movimientos!$D:$D,CONCATENATE("&lt;",LN$3),Movimientos!$C:$C,"&lt;0")</f>
        <v>0</v>
      </c>
      <c r="LO9" s="5">
        <f ca="1">SUMIFS(Movimientos!$C:$C,Movimientos!$A:$A,$B9,Movimientos!$D:$D,CONCATENATE("&lt;=",LO$3),Movimientos!$C:$C,"&gt;0")+SUMIFS(Movimientos!$C:$C,Movimientos!$A:$A,$B9,Movimientos!$D:$D,CONCATENATE("&lt;",LO$3),Movimientos!$C:$C,"&lt;0")</f>
        <v>0</v>
      </c>
      <c r="LP9" s="5">
        <f ca="1">SUMIFS(Movimientos!$C:$C,Movimientos!$A:$A,$B9,Movimientos!$D:$D,CONCATENATE("&lt;=",LP$3),Movimientos!$C:$C,"&gt;0")+SUMIFS(Movimientos!$C:$C,Movimientos!$A:$A,$B9,Movimientos!$D:$D,CONCATENATE("&lt;",LP$3),Movimientos!$C:$C,"&lt;0")</f>
        <v>0</v>
      </c>
      <c r="LQ9" s="5">
        <f ca="1">SUMIFS(Movimientos!$C:$C,Movimientos!$A:$A,$B9,Movimientos!$D:$D,CONCATENATE("&lt;=",LQ$3),Movimientos!$C:$C,"&gt;0")+SUMIFS(Movimientos!$C:$C,Movimientos!$A:$A,$B9,Movimientos!$D:$D,CONCATENATE("&lt;",LQ$3),Movimientos!$C:$C,"&lt;0")</f>
        <v>0</v>
      </c>
      <c r="LR9" s="5">
        <f ca="1">SUMIFS(Movimientos!$C:$C,Movimientos!$A:$A,$B9,Movimientos!$D:$D,CONCATENATE("&lt;=",LR$3),Movimientos!$C:$C,"&gt;0")+SUMIFS(Movimientos!$C:$C,Movimientos!$A:$A,$B9,Movimientos!$D:$D,CONCATENATE("&lt;",LR$3),Movimientos!$C:$C,"&lt;0")</f>
        <v>0</v>
      </c>
      <c r="LS9" s="5">
        <f ca="1">SUMIFS(Movimientos!$C:$C,Movimientos!$A:$A,$B9,Movimientos!$D:$D,CONCATENATE("&lt;=",LS$3),Movimientos!$C:$C,"&gt;0")+SUMIFS(Movimientos!$C:$C,Movimientos!$A:$A,$B9,Movimientos!$D:$D,CONCATENATE("&lt;",LS$3),Movimientos!$C:$C,"&lt;0")</f>
        <v>0</v>
      </c>
      <c r="LT9" s="5">
        <f ca="1">SUMIFS(Movimientos!$C:$C,Movimientos!$A:$A,$B9,Movimientos!$D:$D,CONCATENATE("&lt;=",LT$3),Movimientos!$C:$C,"&gt;0")+SUMIFS(Movimientos!$C:$C,Movimientos!$A:$A,$B9,Movimientos!$D:$D,CONCATENATE("&lt;",LT$3),Movimientos!$C:$C,"&lt;0")</f>
        <v>0</v>
      </c>
      <c r="LU9" s="5">
        <f ca="1">SUMIFS(Movimientos!$C:$C,Movimientos!$A:$A,$B9,Movimientos!$D:$D,CONCATENATE("&lt;=",LU$3),Movimientos!$C:$C,"&gt;0")+SUMIFS(Movimientos!$C:$C,Movimientos!$A:$A,$B9,Movimientos!$D:$D,CONCATENATE("&lt;",LU$3),Movimientos!$C:$C,"&lt;0")</f>
        <v>0</v>
      </c>
      <c r="LV9" s="5">
        <f ca="1">SUMIFS(Movimientos!$C:$C,Movimientos!$A:$A,$B9,Movimientos!$D:$D,CONCATENATE("&lt;=",LV$3),Movimientos!$C:$C,"&gt;0")+SUMIFS(Movimientos!$C:$C,Movimientos!$A:$A,$B9,Movimientos!$D:$D,CONCATENATE("&lt;",LV$3),Movimientos!$C:$C,"&lt;0")</f>
        <v>0</v>
      </c>
      <c r="LW9" s="5">
        <f ca="1">SUMIFS(Movimientos!$C:$C,Movimientos!$A:$A,$B9,Movimientos!$D:$D,CONCATENATE("&lt;=",LW$3),Movimientos!$C:$C,"&gt;0")+SUMIFS(Movimientos!$C:$C,Movimientos!$A:$A,$B9,Movimientos!$D:$D,CONCATENATE("&lt;",LW$3),Movimientos!$C:$C,"&lt;0")</f>
        <v>0</v>
      </c>
      <c r="LX9" s="5">
        <f ca="1">SUMIFS(Movimientos!$C:$C,Movimientos!$A:$A,$B9,Movimientos!$D:$D,CONCATENATE("&lt;=",LX$3),Movimientos!$C:$C,"&gt;0")+SUMIFS(Movimientos!$C:$C,Movimientos!$A:$A,$B9,Movimientos!$D:$D,CONCATENATE("&lt;",LX$3),Movimientos!$C:$C,"&lt;0")</f>
        <v>0</v>
      </c>
      <c r="LY9" s="5">
        <f ca="1">SUMIFS(Movimientos!$C:$C,Movimientos!$A:$A,$B9,Movimientos!$D:$D,CONCATENATE("&lt;=",LY$3),Movimientos!$C:$C,"&gt;0")+SUMIFS(Movimientos!$C:$C,Movimientos!$A:$A,$B9,Movimientos!$D:$D,CONCATENATE("&lt;",LY$3),Movimientos!$C:$C,"&lt;0")</f>
        <v>0</v>
      </c>
      <c r="LZ9" s="5">
        <f ca="1">SUMIFS(Movimientos!$C:$C,Movimientos!$A:$A,$B9,Movimientos!$D:$D,CONCATENATE("&lt;=",LZ$3),Movimientos!$C:$C,"&gt;0")+SUMIFS(Movimientos!$C:$C,Movimientos!$A:$A,$B9,Movimientos!$D:$D,CONCATENATE("&lt;",LZ$3),Movimientos!$C:$C,"&lt;0")</f>
        <v>0</v>
      </c>
      <c r="MA9" s="5">
        <f ca="1">SUMIFS(Movimientos!$C:$C,Movimientos!$A:$A,$B9,Movimientos!$D:$D,CONCATENATE("&lt;=",MA$3),Movimientos!$C:$C,"&gt;0")+SUMIFS(Movimientos!$C:$C,Movimientos!$A:$A,$B9,Movimientos!$D:$D,CONCATENATE("&lt;",MA$3),Movimientos!$C:$C,"&lt;0")</f>
        <v>0</v>
      </c>
      <c r="MB9" s="5">
        <f ca="1">SUMIFS(Movimientos!$C:$C,Movimientos!$A:$A,$B9,Movimientos!$D:$D,CONCATENATE("&lt;=",MB$3),Movimientos!$C:$C,"&gt;0")+SUMIFS(Movimientos!$C:$C,Movimientos!$A:$A,$B9,Movimientos!$D:$D,CONCATENATE("&lt;",MB$3),Movimientos!$C:$C,"&lt;0")</f>
        <v>0</v>
      </c>
      <c r="MC9" s="5">
        <f ca="1">SUMIFS(Movimientos!$C:$C,Movimientos!$A:$A,$B9,Movimientos!$D:$D,CONCATENATE("&lt;=",MC$3),Movimientos!$C:$C,"&gt;0")+SUMIFS(Movimientos!$C:$C,Movimientos!$A:$A,$B9,Movimientos!$D:$D,CONCATENATE("&lt;",MC$3),Movimientos!$C:$C,"&lt;0")</f>
        <v>0</v>
      </c>
      <c r="MD9" s="5">
        <f ca="1">SUMIFS(Movimientos!$C:$C,Movimientos!$A:$A,$B9,Movimientos!$D:$D,CONCATENATE("&lt;=",MD$3),Movimientos!$C:$C,"&gt;0")+SUMIFS(Movimientos!$C:$C,Movimientos!$A:$A,$B9,Movimientos!$D:$D,CONCATENATE("&lt;",MD$3),Movimientos!$C:$C,"&lt;0")</f>
        <v>0</v>
      </c>
      <c r="ME9" s="5">
        <f ca="1">SUMIFS(Movimientos!$C:$C,Movimientos!$A:$A,$B9,Movimientos!$D:$D,CONCATENATE("&lt;=",ME$3),Movimientos!$C:$C,"&gt;0")+SUMIFS(Movimientos!$C:$C,Movimientos!$A:$A,$B9,Movimientos!$D:$D,CONCATENATE("&lt;",ME$3),Movimientos!$C:$C,"&lt;0")</f>
        <v>0</v>
      </c>
      <c r="MF9" s="5">
        <f ca="1">SUMIFS(Movimientos!$C:$C,Movimientos!$A:$A,$B9,Movimientos!$D:$D,CONCATENATE("&lt;=",MF$3),Movimientos!$C:$C,"&gt;0")+SUMIFS(Movimientos!$C:$C,Movimientos!$A:$A,$B9,Movimientos!$D:$D,CONCATENATE("&lt;",MF$3),Movimientos!$C:$C,"&lt;0")</f>
        <v>0</v>
      </c>
      <c r="MG9" s="5">
        <f ca="1">SUMIFS(Movimientos!$C:$C,Movimientos!$A:$A,$B9,Movimientos!$D:$D,CONCATENATE("&lt;=",MG$3),Movimientos!$C:$C,"&gt;0")+SUMIFS(Movimientos!$C:$C,Movimientos!$A:$A,$B9,Movimientos!$D:$D,CONCATENATE("&lt;",MG$3),Movimientos!$C:$C,"&lt;0")</f>
        <v>0</v>
      </c>
      <c r="MH9" s="5">
        <f ca="1">SUMIFS(Movimientos!$C:$C,Movimientos!$A:$A,$B9,Movimientos!$D:$D,CONCATENATE("&lt;=",MH$3),Movimientos!$C:$C,"&gt;0")+SUMIFS(Movimientos!$C:$C,Movimientos!$A:$A,$B9,Movimientos!$D:$D,CONCATENATE("&lt;",MH$3),Movimientos!$C:$C,"&lt;0")</f>
        <v>0</v>
      </c>
      <c r="MI9" s="5">
        <f ca="1">SUMIFS(Movimientos!$C:$C,Movimientos!$A:$A,$B9,Movimientos!$D:$D,CONCATENATE("&lt;=",MI$3),Movimientos!$C:$C,"&gt;0")+SUMIFS(Movimientos!$C:$C,Movimientos!$A:$A,$B9,Movimientos!$D:$D,CONCATENATE("&lt;",MI$3),Movimientos!$C:$C,"&lt;0")</f>
        <v>0</v>
      </c>
      <c r="MJ9" s="5">
        <f ca="1">SUMIFS(Movimientos!$C:$C,Movimientos!$A:$A,$B9,Movimientos!$D:$D,CONCATENATE("&lt;=",MJ$3),Movimientos!$C:$C,"&gt;0")+SUMIFS(Movimientos!$C:$C,Movimientos!$A:$A,$B9,Movimientos!$D:$D,CONCATENATE("&lt;",MJ$3),Movimientos!$C:$C,"&lt;0")</f>
        <v>0</v>
      </c>
      <c r="MK9" s="5">
        <f ca="1">SUMIFS(Movimientos!$C:$C,Movimientos!$A:$A,$B9,Movimientos!$D:$D,CONCATENATE("&lt;=",MK$3),Movimientos!$C:$C,"&gt;0")+SUMIFS(Movimientos!$C:$C,Movimientos!$A:$A,$B9,Movimientos!$D:$D,CONCATENATE("&lt;",MK$3),Movimientos!$C:$C,"&lt;0")</f>
        <v>0</v>
      </c>
      <c r="ML9" s="5">
        <f ca="1">SUMIFS(Movimientos!$C:$C,Movimientos!$A:$A,$B9,Movimientos!$D:$D,CONCATENATE("&lt;=",ML$3),Movimientos!$C:$C,"&gt;0")+SUMIFS(Movimientos!$C:$C,Movimientos!$A:$A,$B9,Movimientos!$D:$D,CONCATENATE("&lt;",ML$3),Movimientos!$C:$C,"&lt;0")</f>
        <v>0</v>
      </c>
      <c r="MM9" s="5">
        <f ca="1">SUMIFS(Movimientos!$C:$C,Movimientos!$A:$A,$B9,Movimientos!$D:$D,CONCATENATE("&lt;=",MM$3),Movimientos!$C:$C,"&gt;0")+SUMIFS(Movimientos!$C:$C,Movimientos!$A:$A,$B9,Movimientos!$D:$D,CONCATENATE("&lt;",MM$3),Movimientos!$C:$C,"&lt;0")</f>
        <v>0</v>
      </c>
      <c r="MN9" s="5">
        <f ca="1">SUMIFS(Movimientos!$C:$C,Movimientos!$A:$A,$B9,Movimientos!$D:$D,CONCATENATE("&lt;=",MN$3),Movimientos!$C:$C,"&gt;0")+SUMIFS(Movimientos!$C:$C,Movimientos!$A:$A,$B9,Movimientos!$D:$D,CONCATENATE("&lt;",MN$3),Movimientos!$C:$C,"&lt;0")</f>
        <v>0</v>
      </c>
      <c r="MO9" s="5">
        <f ca="1">SUMIFS(Movimientos!$C:$C,Movimientos!$A:$A,$B9,Movimientos!$D:$D,CONCATENATE("&lt;=",MO$3),Movimientos!$C:$C,"&gt;0")+SUMIFS(Movimientos!$C:$C,Movimientos!$A:$A,$B9,Movimientos!$D:$D,CONCATENATE("&lt;",MO$3),Movimientos!$C:$C,"&lt;0")</f>
        <v>0</v>
      </c>
      <c r="MP9" s="5">
        <f ca="1">SUMIFS(Movimientos!$C:$C,Movimientos!$A:$A,$B9,Movimientos!$D:$D,CONCATENATE("&lt;=",MP$3),Movimientos!$C:$C,"&gt;0")+SUMIFS(Movimientos!$C:$C,Movimientos!$A:$A,$B9,Movimientos!$D:$D,CONCATENATE("&lt;",MP$3),Movimientos!$C:$C,"&lt;0")</f>
        <v>0</v>
      </c>
      <c r="MQ9" s="5">
        <f ca="1">SUMIFS(Movimientos!$C:$C,Movimientos!$A:$A,$B9,Movimientos!$D:$D,CONCATENATE("&lt;=",MQ$3),Movimientos!$C:$C,"&gt;0")+SUMIFS(Movimientos!$C:$C,Movimientos!$A:$A,$B9,Movimientos!$D:$D,CONCATENATE("&lt;",MQ$3),Movimientos!$C:$C,"&lt;0")</f>
        <v>0</v>
      </c>
      <c r="MR9" s="5">
        <f ca="1">SUMIFS(Movimientos!$C:$C,Movimientos!$A:$A,$B9,Movimientos!$D:$D,CONCATENATE("&lt;=",MR$3),Movimientos!$C:$C,"&gt;0")+SUMIFS(Movimientos!$C:$C,Movimientos!$A:$A,$B9,Movimientos!$D:$D,CONCATENATE("&lt;",MR$3),Movimientos!$C:$C,"&lt;0")</f>
        <v>0</v>
      </c>
      <c r="MS9" s="5">
        <f ca="1">SUMIFS(Movimientos!$C:$C,Movimientos!$A:$A,$B9,Movimientos!$D:$D,CONCATENATE("&lt;=",MS$3),Movimientos!$C:$C,"&gt;0")+SUMIFS(Movimientos!$C:$C,Movimientos!$A:$A,$B9,Movimientos!$D:$D,CONCATENATE("&lt;",MS$3),Movimientos!$C:$C,"&lt;0")</f>
        <v>0</v>
      </c>
      <c r="MT9" s="5">
        <f ca="1">SUMIFS(Movimientos!$C:$C,Movimientos!$A:$A,$B9,Movimientos!$D:$D,CONCATENATE("&lt;=",MT$3),Movimientos!$C:$C,"&gt;0")+SUMIFS(Movimientos!$C:$C,Movimientos!$A:$A,$B9,Movimientos!$D:$D,CONCATENATE("&lt;",MT$3),Movimientos!$C:$C,"&lt;0")</f>
        <v>0</v>
      </c>
      <c r="MU9" s="5">
        <f ca="1">SUMIFS(Movimientos!$C:$C,Movimientos!$A:$A,$B9,Movimientos!$D:$D,CONCATENATE("&lt;=",MU$3),Movimientos!$C:$C,"&gt;0")+SUMIFS(Movimientos!$C:$C,Movimientos!$A:$A,$B9,Movimientos!$D:$D,CONCATENATE("&lt;",MU$3),Movimientos!$C:$C,"&lt;0")</f>
        <v>0</v>
      </c>
      <c r="MV9" s="5">
        <f ca="1">SUMIFS(Movimientos!$C:$C,Movimientos!$A:$A,$B9,Movimientos!$D:$D,CONCATENATE("&lt;=",MV$3),Movimientos!$C:$C,"&gt;0")+SUMIFS(Movimientos!$C:$C,Movimientos!$A:$A,$B9,Movimientos!$D:$D,CONCATENATE("&lt;",MV$3),Movimientos!$C:$C,"&lt;0")</f>
        <v>0</v>
      </c>
      <c r="MW9" s="5">
        <f ca="1">SUMIFS(Movimientos!$C:$C,Movimientos!$A:$A,$B9,Movimientos!$D:$D,CONCATENATE("&lt;=",MW$3),Movimientos!$C:$C,"&gt;0")+SUMIFS(Movimientos!$C:$C,Movimientos!$A:$A,$B9,Movimientos!$D:$D,CONCATENATE("&lt;",MW$3),Movimientos!$C:$C,"&lt;0")</f>
        <v>0</v>
      </c>
      <c r="MX9" s="5">
        <f ca="1">SUMIFS(Movimientos!$C:$C,Movimientos!$A:$A,$B9,Movimientos!$D:$D,CONCATENATE("&lt;=",MX$3),Movimientos!$C:$C,"&gt;0")+SUMIFS(Movimientos!$C:$C,Movimientos!$A:$A,$B9,Movimientos!$D:$D,CONCATENATE("&lt;",MX$3),Movimientos!$C:$C,"&lt;0")</f>
        <v>0</v>
      </c>
      <c r="MY9" s="5">
        <f ca="1">SUMIFS(Movimientos!$C:$C,Movimientos!$A:$A,$B9,Movimientos!$D:$D,CONCATENATE("&lt;=",MY$3),Movimientos!$C:$C,"&gt;0")+SUMIFS(Movimientos!$C:$C,Movimientos!$A:$A,$B9,Movimientos!$D:$D,CONCATENATE("&lt;",MY$3),Movimientos!$C:$C,"&lt;0")</f>
        <v>0</v>
      </c>
      <c r="MZ9" s="5">
        <f ca="1">SUMIFS(Movimientos!$C:$C,Movimientos!$A:$A,$B9,Movimientos!$D:$D,CONCATENATE("&lt;=",MZ$3),Movimientos!$C:$C,"&gt;0")+SUMIFS(Movimientos!$C:$C,Movimientos!$A:$A,$B9,Movimientos!$D:$D,CONCATENATE("&lt;",MZ$3),Movimientos!$C:$C,"&lt;0")</f>
        <v>0</v>
      </c>
      <c r="NA9" s="5">
        <f ca="1">SUMIFS(Movimientos!$C:$C,Movimientos!$A:$A,$B9,Movimientos!$D:$D,CONCATENATE("&lt;=",NA$3),Movimientos!$C:$C,"&gt;0")+SUMIFS(Movimientos!$C:$C,Movimientos!$A:$A,$B9,Movimientos!$D:$D,CONCATENATE("&lt;",NA$3),Movimientos!$C:$C,"&lt;0")</f>
        <v>0</v>
      </c>
      <c r="NB9" s="5">
        <f ca="1">SUMIFS(Movimientos!$C:$C,Movimientos!$A:$A,$B9,Movimientos!$D:$D,CONCATENATE("&lt;=",NB$3),Movimientos!$C:$C,"&gt;0")+SUMIFS(Movimientos!$C:$C,Movimientos!$A:$A,$B9,Movimientos!$D:$D,CONCATENATE("&lt;",NB$3),Movimientos!$C:$C,"&lt;0")</f>
        <v>0</v>
      </c>
      <c r="NC9" s="5">
        <f ca="1">SUMIFS(Movimientos!$C:$C,Movimientos!$A:$A,$B9,Movimientos!$D:$D,CONCATENATE("&lt;=",NC$3),Movimientos!$C:$C,"&gt;0")+SUMIFS(Movimientos!$C:$C,Movimientos!$A:$A,$B9,Movimientos!$D:$D,CONCATENATE("&lt;",NC$3),Movimientos!$C:$C,"&lt;0")</f>
        <v>0</v>
      </c>
      <c r="ND9" s="5">
        <f ca="1">SUMIFS(Movimientos!$C:$C,Movimientos!$A:$A,$B9,Movimientos!$D:$D,CONCATENATE("&lt;=",ND$3),Movimientos!$C:$C,"&gt;0")+SUMIFS(Movimientos!$C:$C,Movimientos!$A:$A,$B9,Movimientos!$D:$D,CONCATENATE("&lt;",ND$3),Movimientos!$C:$C,"&lt;0")</f>
        <v>0</v>
      </c>
      <c r="NE9" s="5">
        <f ca="1">SUMIFS(Movimientos!$C:$C,Movimientos!$A:$A,$B9,Movimientos!$D:$D,CONCATENATE("&lt;=",NE$3),Movimientos!$C:$C,"&gt;0")+SUMIFS(Movimientos!$C:$C,Movimientos!$A:$A,$B9,Movimientos!$D:$D,CONCATENATE("&lt;",NE$3),Movimientos!$C:$C,"&lt;0")</f>
        <v>0</v>
      </c>
      <c r="NF9" s="5">
        <f ca="1">SUMIFS(Movimientos!$C:$C,Movimientos!$A:$A,$B9,Movimientos!$D:$D,CONCATENATE("&lt;=",NF$3),Movimientos!$C:$C,"&gt;0")+SUMIFS(Movimientos!$C:$C,Movimientos!$A:$A,$B9,Movimientos!$D:$D,CONCATENATE("&lt;",NF$3),Movimientos!$C:$C,"&lt;0")</f>
        <v>0</v>
      </c>
      <c r="NG9" s="5">
        <f ca="1">SUMIFS(Movimientos!$C:$C,Movimientos!$A:$A,$B9,Movimientos!$D:$D,CONCATENATE("&lt;=",NG$3),Movimientos!$C:$C,"&gt;0")+SUMIFS(Movimientos!$C:$C,Movimientos!$A:$A,$B9,Movimientos!$D:$D,CONCATENATE("&lt;",NG$3),Movimientos!$C:$C,"&lt;0")</f>
        <v>0</v>
      </c>
      <c r="NH9" s="5">
        <f ca="1">SUMIFS(Movimientos!$C:$C,Movimientos!$A:$A,$B9,Movimientos!$D:$D,CONCATENATE("&lt;=",NH$3),Movimientos!$C:$C,"&gt;0")+SUMIFS(Movimientos!$C:$C,Movimientos!$A:$A,$B9,Movimientos!$D:$D,CONCATENATE("&lt;",NH$3),Movimientos!$C:$C,"&lt;0")</f>
        <v>0</v>
      </c>
      <c r="NI9" s="5">
        <f ca="1">SUMIFS(Movimientos!$C:$C,Movimientos!$A:$A,$B9,Movimientos!$D:$D,CONCATENATE("&lt;=",NI$3),Movimientos!$C:$C,"&gt;0")+SUMIFS(Movimientos!$C:$C,Movimientos!$A:$A,$B9,Movimientos!$D:$D,CONCATENATE("&lt;",NI$3),Movimientos!$C:$C,"&lt;0")</f>
        <v>0</v>
      </c>
      <c r="NJ9" s="5">
        <f ca="1">SUMIFS(Movimientos!$C:$C,Movimientos!$A:$A,$B9,Movimientos!$D:$D,CONCATENATE("&lt;=",NJ$3),Movimientos!$C:$C,"&gt;0")+SUMIFS(Movimientos!$C:$C,Movimientos!$A:$A,$B9,Movimientos!$D:$D,CONCATENATE("&lt;",NJ$3),Movimientos!$C:$C,"&lt;0")</f>
        <v>0</v>
      </c>
      <c r="NK9" s="5">
        <f ca="1">SUMIFS(Movimientos!$C:$C,Movimientos!$A:$A,$B9,Movimientos!$D:$D,CONCATENATE("&lt;=",NK$3),Movimientos!$C:$C,"&gt;0")+SUMIFS(Movimientos!$C:$C,Movimientos!$A:$A,$B9,Movimientos!$D:$D,CONCATENATE("&lt;",NK$3),Movimientos!$C:$C,"&lt;0")</f>
        <v>0</v>
      </c>
      <c r="NL9" s="5">
        <f ca="1">SUMIFS(Movimientos!$C:$C,Movimientos!$A:$A,$B9,Movimientos!$D:$D,CONCATENATE("&lt;=",NL$3),Movimientos!$C:$C,"&gt;0")+SUMIFS(Movimientos!$C:$C,Movimientos!$A:$A,$B9,Movimientos!$D:$D,CONCATENATE("&lt;",NL$3),Movimientos!$C:$C,"&lt;0")</f>
        <v>0</v>
      </c>
      <c r="NM9" s="5">
        <f ca="1">SUMIFS(Movimientos!$C:$C,Movimientos!$A:$A,$B9,Movimientos!$D:$D,CONCATENATE("&lt;=",NM$3),Movimientos!$C:$C,"&gt;0")+SUMIFS(Movimientos!$C:$C,Movimientos!$A:$A,$B9,Movimientos!$D:$D,CONCATENATE("&lt;",NM$3),Movimientos!$C:$C,"&lt;0")</f>
        <v>0</v>
      </c>
      <c r="NN9" s="5">
        <f ca="1">SUMIFS(Movimientos!$C:$C,Movimientos!$A:$A,$B9,Movimientos!$D:$D,CONCATENATE("&lt;=",NN$3),Movimientos!$C:$C,"&gt;0")+SUMIFS(Movimientos!$C:$C,Movimientos!$A:$A,$B9,Movimientos!$D:$D,CONCATENATE("&lt;",NN$3),Movimientos!$C:$C,"&lt;0")</f>
        <v>0</v>
      </c>
      <c r="NO9" s="5">
        <f ca="1">SUMIFS(Movimientos!$C:$C,Movimientos!$A:$A,$B9,Movimientos!$D:$D,CONCATENATE("&lt;=",NO$3),Movimientos!$C:$C,"&gt;0")+SUMIFS(Movimientos!$C:$C,Movimientos!$A:$A,$B9,Movimientos!$D:$D,CONCATENATE("&lt;",NO$3),Movimientos!$C:$C,"&lt;0")</f>
        <v>0</v>
      </c>
      <c r="NP9" s="5">
        <f ca="1">SUMIFS(Movimientos!$C:$C,Movimientos!$A:$A,$B9,Movimientos!$D:$D,CONCATENATE("&lt;=",NP$3),Movimientos!$C:$C,"&gt;0")+SUMIFS(Movimientos!$C:$C,Movimientos!$A:$A,$B9,Movimientos!$D:$D,CONCATENATE("&lt;",NP$3),Movimientos!$C:$C,"&lt;0")</f>
        <v>0</v>
      </c>
      <c r="NQ9" s="5">
        <f ca="1">SUMIFS(Movimientos!$C:$C,Movimientos!$A:$A,$B9,Movimientos!$D:$D,CONCATENATE("&lt;=",NQ$3),Movimientos!$C:$C,"&gt;0")+SUMIFS(Movimientos!$C:$C,Movimientos!$A:$A,$B9,Movimientos!$D:$D,CONCATENATE("&lt;",NQ$3),Movimientos!$C:$C,"&lt;0")</f>
        <v>0</v>
      </c>
      <c r="NR9" s="5">
        <f ca="1">SUMIFS(Movimientos!$C:$C,Movimientos!$A:$A,$B9,Movimientos!$D:$D,CONCATENATE("&lt;=",NR$3),Movimientos!$C:$C,"&gt;0")+SUMIFS(Movimientos!$C:$C,Movimientos!$A:$A,$B9,Movimientos!$D:$D,CONCATENATE("&lt;",NR$3),Movimientos!$C:$C,"&lt;0")</f>
        <v>0</v>
      </c>
      <c r="NS9" s="5">
        <f ca="1">SUMIFS(Movimientos!$C:$C,Movimientos!$A:$A,$B9,Movimientos!$D:$D,CONCATENATE("&lt;=",NS$3),Movimientos!$C:$C,"&gt;0")+SUMIFS(Movimientos!$C:$C,Movimientos!$A:$A,$B9,Movimientos!$D:$D,CONCATENATE("&lt;",NS$3),Movimientos!$C:$C,"&lt;0")</f>
        <v>0</v>
      </c>
      <c r="NT9" s="5">
        <f ca="1">SUMIFS(Movimientos!$C:$C,Movimientos!$A:$A,$B9,Movimientos!$D:$D,CONCATENATE("&lt;=",NT$3),Movimientos!$C:$C,"&gt;0")+SUMIFS(Movimientos!$C:$C,Movimientos!$A:$A,$B9,Movimientos!$D:$D,CONCATENATE("&lt;",NT$3),Movimientos!$C:$C,"&lt;0")</f>
        <v>0</v>
      </c>
      <c r="NU9" s="5">
        <f ca="1">SUMIFS(Movimientos!$C:$C,Movimientos!$A:$A,$B9,Movimientos!$D:$D,CONCATENATE("&lt;=",NU$3),Movimientos!$C:$C,"&gt;0")+SUMIFS(Movimientos!$C:$C,Movimientos!$A:$A,$B9,Movimientos!$D:$D,CONCATENATE("&lt;",NU$3),Movimientos!$C:$C,"&lt;0")</f>
        <v>0</v>
      </c>
      <c r="NV9" s="5">
        <f ca="1">SUMIFS(Movimientos!$C:$C,Movimientos!$A:$A,$B9,Movimientos!$D:$D,CONCATENATE("&lt;=",NV$3),Movimientos!$C:$C,"&gt;0")+SUMIFS(Movimientos!$C:$C,Movimientos!$A:$A,$B9,Movimientos!$D:$D,CONCATENATE("&lt;",NV$3),Movimientos!$C:$C,"&lt;0")</f>
        <v>0</v>
      </c>
      <c r="NW9" s="5">
        <f ca="1">SUMIFS(Movimientos!$C:$C,Movimientos!$A:$A,$B9,Movimientos!$D:$D,CONCATENATE("&lt;=",NW$3),Movimientos!$C:$C,"&gt;0")+SUMIFS(Movimientos!$C:$C,Movimientos!$A:$A,$B9,Movimientos!$D:$D,CONCATENATE("&lt;",NW$3),Movimientos!$C:$C,"&lt;0")</f>
        <v>0</v>
      </c>
      <c r="NX9" s="5">
        <f ca="1">SUMIFS(Movimientos!$C:$C,Movimientos!$A:$A,$B9,Movimientos!$D:$D,CONCATENATE("&lt;=",NX$3),Movimientos!$C:$C,"&gt;0")+SUMIFS(Movimientos!$C:$C,Movimientos!$A:$A,$B9,Movimientos!$D:$D,CONCATENATE("&lt;",NX$3),Movimientos!$C:$C,"&lt;0")</f>
        <v>0</v>
      </c>
      <c r="NY9" s="5">
        <f ca="1">SUMIFS(Movimientos!$C:$C,Movimientos!$A:$A,$B9,Movimientos!$D:$D,CONCATENATE("&lt;=",NY$3),Movimientos!$C:$C,"&gt;0")+SUMIFS(Movimientos!$C:$C,Movimientos!$A:$A,$B9,Movimientos!$D:$D,CONCATENATE("&lt;",NY$3),Movimientos!$C:$C,"&lt;0")</f>
        <v>0</v>
      </c>
      <c r="NZ9" s="5">
        <f ca="1">SUMIFS(Movimientos!$C:$C,Movimientos!$A:$A,$B9,Movimientos!$D:$D,CONCATENATE("&lt;=",NZ$3),Movimientos!$C:$C,"&gt;0")+SUMIFS(Movimientos!$C:$C,Movimientos!$A:$A,$B9,Movimientos!$D:$D,CONCATENATE("&lt;",NZ$3),Movimientos!$C:$C,"&lt;0")</f>
        <v>0</v>
      </c>
      <c r="OA9" s="5">
        <f ca="1">SUMIFS(Movimientos!$C:$C,Movimientos!$A:$A,$B9,Movimientos!$D:$D,CONCATENATE("&lt;=",OA$3),Movimientos!$C:$C,"&gt;0")+SUMIFS(Movimientos!$C:$C,Movimientos!$A:$A,$B9,Movimientos!$D:$D,CONCATENATE("&lt;",OA$3),Movimientos!$C:$C,"&lt;0")</f>
        <v>0</v>
      </c>
      <c r="OB9" s="5">
        <f ca="1">SUMIFS(Movimientos!$C:$C,Movimientos!$A:$A,$B9,Movimientos!$D:$D,CONCATENATE("&lt;=",OB$3),Movimientos!$C:$C,"&gt;0")+SUMIFS(Movimientos!$C:$C,Movimientos!$A:$A,$B9,Movimientos!$D:$D,CONCATENATE("&lt;",OB$3),Movimientos!$C:$C,"&lt;0")</f>
        <v>0</v>
      </c>
      <c r="OC9" s="5">
        <f ca="1">SUMIFS(Movimientos!$C:$C,Movimientos!$A:$A,$B9,Movimientos!$D:$D,CONCATENATE("&lt;=",OC$3),Movimientos!$C:$C,"&gt;0")+SUMIFS(Movimientos!$C:$C,Movimientos!$A:$A,$B9,Movimientos!$D:$D,CONCATENATE("&lt;",OC$3),Movimientos!$C:$C,"&lt;0")</f>
        <v>0</v>
      </c>
      <c r="OD9" s="5">
        <f ca="1">SUMIFS(Movimientos!$C:$C,Movimientos!$A:$A,$B9,Movimientos!$D:$D,CONCATENATE("&lt;=",OD$3),Movimientos!$C:$C,"&gt;0")+SUMIFS(Movimientos!$C:$C,Movimientos!$A:$A,$B9,Movimientos!$D:$D,CONCATENATE("&lt;",OD$3),Movimientos!$C:$C,"&lt;0")</f>
        <v>0</v>
      </c>
      <c r="OE9" s="5">
        <f ca="1">SUMIFS(Movimientos!$C:$C,Movimientos!$A:$A,$B9,Movimientos!$D:$D,CONCATENATE("&lt;=",OE$3),Movimientos!$C:$C,"&gt;0")+SUMIFS(Movimientos!$C:$C,Movimientos!$A:$A,$B9,Movimientos!$D:$D,CONCATENATE("&lt;",OE$3),Movimientos!$C:$C,"&lt;0")</f>
        <v>0</v>
      </c>
      <c r="OF9" s="5">
        <f ca="1">SUMIFS(Movimientos!$C:$C,Movimientos!$A:$A,$B9,Movimientos!$D:$D,CONCATENATE("&lt;=",OF$3),Movimientos!$C:$C,"&gt;0")+SUMIFS(Movimientos!$C:$C,Movimientos!$A:$A,$B9,Movimientos!$D:$D,CONCATENATE("&lt;",OF$3),Movimientos!$C:$C,"&lt;0")</f>
        <v>0</v>
      </c>
      <c r="OG9" s="5">
        <f ca="1">SUMIFS(Movimientos!$C:$C,Movimientos!$A:$A,$B9,Movimientos!$D:$D,CONCATENATE("&lt;=",OG$3),Movimientos!$C:$C,"&gt;0")+SUMIFS(Movimientos!$C:$C,Movimientos!$A:$A,$B9,Movimientos!$D:$D,CONCATENATE("&lt;",OG$3),Movimientos!$C:$C,"&lt;0")</f>
        <v>0</v>
      </c>
      <c r="OH9" s="5">
        <f ca="1">SUMIFS(Movimientos!$C:$C,Movimientos!$A:$A,$B9,Movimientos!$D:$D,CONCATENATE("&lt;=",OH$3),Movimientos!$C:$C,"&gt;0")+SUMIFS(Movimientos!$C:$C,Movimientos!$A:$A,$B9,Movimientos!$D:$D,CONCATENATE("&lt;",OH$3),Movimientos!$C:$C,"&lt;0")</f>
        <v>0</v>
      </c>
      <c r="OI9" s="5">
        <f ca="1">SUMIFS(Movimientos!$C:$C,Movimientos!$A:$A,$B9,Movimientos!$D:$D,CONCATENATE("&lt;=",OI$3),Movimientos!$C:$C,"&gt;0")+SUMIFS(Movimientos!$C:$C,Movimientos!$A:$A,$B9,Movimientos!$D:$D,CONCATENATE("&lt;",OI$3),Movimientos!$C:$C,"&lt;0")</f>
        <v>0</v>
      </c>
      <c r="OJ9" s="5">
        <f ca="1">SUMIFS(Movimientos!$C:$C,Movimientos!$A:$A,$B9,Movimientos!$D:$D,CONCATENATE("&lt;=",OJ$3),Movimientos!$C:$C,"&gt;0")+SUMIFS(Movimientos!$C:$C,Movimientos!$A:$A,$B9,Movimientos!$D:$D,CONCATENATE("&lt;",OJ$3),Movimientos!$C:$C,"&lt;0")</f>
        <v>0</v>
      </c>
      <c r="OK9" s="5">
        <f ca="1">SUMIFS(Movimientos!$C:$C,Movimientos!$A:$A,$B9,Movimientos!$D:$D,CONCATENATE("&lt;=",OK$3),Movimientos!$C:$C,"&gt;0")+SUMIFS(Movimientos!$C:$C,Movimientos!$A:$A,$B9,Movimientos!$D:$D,CONCATENATE("&lt;",OK$3),Movimientos!$C:$C,"&lt;0")</f>
        <v>0</v>
      </c>
      <c r="OL9" s="5">
        <f ca="1">SUMIFS(Movimientos!$C:$C,Movimientos!$A:$A,$B9,Movimientos!$D:$D,CONCATENATE("&lt;=",OL$3),Movimientos!$C:$C,"&gt;0")+SUMIFS(Movimientos!$C:$C,Movimientos!$A:$A,$B9,Movimientos!$D:$D,CONCATENATE("&lt;",OL$3),Movimientos!$C:$C,"&lt;0")</f>
        <v>0</v>
      </c>
      <c r="OM9" s="5">
        <f ca="1">SUMIFS(Movimientos!$C:$C,Movimientos!$A:$A,$B9,Movimientos!$D:$D,CONCATENATE("&lt;=",OM$3),Movimientos!$C:$C,"&gt;0")+SUMIFS(Movimientos!$C:$C,Movimientos!$A:$A,$B9,Movimientos!$D:$D,CONCATENATE("&lt;",OM$3),Movimientos!$C:$C,"&lt;0")</f>
        <v>0</v>
      </c>
      <c r="ON9" s="5">
        <f ca="1">SUMIFS(Movimientos!$C:$C,Movimientos!$A:$A,$B9,Movimientos!$D:$D,CONCATENATE("&lt;=",ON$3),Movimientos!$C:$C,"&gt;0")+SUMIFS(Movimientos!$C:$C,Movimientos!$A:$A,$B9,Movimientos!$D:$D,CONCATENATE("&lt;",ON$3),Movimientos!$C:$C,"&lt;0")</f>
        <v>0</v>
      </c>
      <c r="OO9" s="5">
        <f ca="1">SUMIFS(Movimientos!$C:$C,Movimientos!$A:$A,$B9,Movimientos!$D:$D,CONCATENATE("&lt;=",OO$3),Movimientos!$C:$C,"&gt;0")+SUMIFS(Movimientos!$C:$C,Movimientos!$A:$A,$B9,Movimientos!$D:$D,CONCATENATE("&lt;",OO$3),Movimientos!$C:$C,"&lt;0")</f>
        <v>0</v>
      </c>
      <c r="OP9" s="5">
        <f ca="1">SUMIFS(Movimientos!$C:$C,Movimientos!$A:$A,$B9,Movimientos!$D:$D,CONCATENATE("&lt;=",OP$3),Movimientos!$C:$C,"&gt;0")+SUMIFS(Movimientos!$C:$C,Movimientos!$A:$A,$B9,Movimientos!$D:$D,CONCATENATE("&lt;",OP$3),Movimientos!$C:$C,"&lt;0")</f>
        <v>0</v>
      </c>
      <c r="OQ9" s="5">
        <f ca="1">SUMIFS(Movimientos!$C:$C,Movimientos!$A:$A,$B9,Movimientos!$D:$D,CONCATENATE("&lt;=",OQ$3),Movimientos!$C:$C,"&gt;0")+SUMIFS(Movimientos!$C:$C,Movimientos!$A:$A,$B9,Movimientos!$D:$D,CONCATENATE("&lt;",OQ$3),Movimientos!$C:$C,"&lt;0")</f>
        <v>0</v>
      </c>
      <c r="OR9" s="5">
        <f ca="1">SUMIFS(Movimientos!$C:$C,Movimientos!$A:$A,$B9,Movimientos!$D:$D,CONCATENATE("&lt;=",OR$3),Movimientos!$C:$C,"&gt;0")+SUMIFS(Movimientos!$C:$C,Movimientos!$A:$A,$B9,Movimientos!$D:$D,CONCATENATE("&lt;",OR$3),Movimientos!$C:$C,"&lt;0")</f>
        <v>0</v>
      </c>
      <c r="OS9" s="5">
        <f ca="1">SUMIFS(Movimientos!$C:$C,Movimientos!$A:$A,$B9,Movimientos!$D:$D,CONCATENATE("&lt;=",OS$3),Movimientos!$C:$C,"&gt;0")+SUMIFS(Movimientos!$C:$C,Movimientos!$A:$A,$B9,Movimientos!$D:$D,CONCATENATE("&lt;",OS$3),Movimientos!$C:$C,"&lt;0")</f>
        <v>0</v>
      </c>
      <c r="OT9" s="5">
        <f ca="1">SUMIFS(Movimientos!$C:$C,Movimientos!$A:$A,$B9,Movimientos!$D:$D,CONCATENATE("&lt;=",OT$3),Movimientos!$C:$C,"&gt;0")+SUMIFS(Movimientos!$C:$C,Movimientos!$A:$A,$B9,Movimientos!$D:$D,CONCATENATE("&lt;",OT$3),Movimientos!$C:$C,"&lt;0")</f>
        <v>0</v>
      </c>
      <c r="OU9" s="5">
        <f ca="1">SUMIFS(Movimientos!$C:$C,Movimientos!$A:$A,$B9,Movimientos!$D:$D,CONCATENATE("&lt;=",OU$3),Movimientos!$C:$C,"&gt;0")+SUMIFS(Movimientos!$C:$C,Movimientos!$A:$A,$B9,Movimientos!$D:$D,CONCATENATE("&lt;",OU$3),Movimientos!$C:$C,"&lt;0")</f>
        <v>0</v>
      </c>
      <c r="OV9" s="5">
        <f ca="1">SUMIFS(Movimientos!$C:$C,Movimientos!$A:$A,$B9,Movimientos!$D:$D,CONCATENATE("&lt;=",OV$3),Movimientos!$C:$C,"&gt;0")+SUMIFS(Movimientos!$C:$C,Movimientos!$A:$A,$B9,Movimientos!$D:$D,CONCATENATE("&lt;",OV$3),Movimientos!$C:$C,"&lt;0")</f>
        <v>0</v>
      </c>
      <c r="OW9" s="5">
        <f ca="1">SUMIFS(Movimientos!$C:$C,Movimientos!$A:$A,$B9,Movimientos!$D:$D,CONCATENATE("&lt;=",OW$3),Movimientos!$C:$C,"&gt;0")+SUMIFS(Movimientos!$C:$C,Movimientos!$A:$A,$B9,Movimientos!$D:$D,CONCATENATE("&lt;",OW$3),Movimientos!$C:$C,"&lt;0")</f>
        <v>0</v>
      </c>
      <c r="OX9" s="5">
        <f ca="1">SUMIFS(Movimientos!$C:$C,Movimientos!$A:$A,$B9,Movimientos!$D:$D,CONCATENATE("&lt;=",OX$3),Movimientos!$C:$C,"&gt;0")+SUMIFS(Movimientos!$C:$C,Movimientos!$A:$A,$B9,Movimientos!$D:$D,CONCATENATE("&lt;",OX$3),Movimientos!$C:$C,"&lt;0")</f>
        <v>0</v>
      </c>
      <c r="OY9" s="5">
        <f ca="1">SUMIFS(Movimientos!$C:$C,Movimientos!$A:$A,$B9,Movimientos!$D:$D,CONCATENATE("&lt;=",OY$3),Movimientos!$C:$C,"&gt;0")+SUMIFS(Movimientos!$C:$C,Movimientos!$A:$A,$B9,Movimientos!$D:$D,CONCATENATE("&lt;",OY$3),Movimientos!$C:$C,"&lt;0")</f>
        <v>0</v>
      </c>
      <c r="OZ9" s="5">
        <f ca="1">SUMIFS(Movimientos!$C:$C,Movimientos!$A:$A,$B9,Movimientos!$D:$D,CONCATENATE("&lt;=",OZ$3),Movimientos!$C:$C,"&gt;0")+SUMIFS(Movimientos!$C:$C,Movimientos!$A:$A,$B9,Movimientos!$D:$D,CONCATENATE("&lt;",OZ$3),Movimientos!$C:$C,"&lt;0")</f>
        <v>0</v>
      </c>
      <c r="PA9" s="5">
        <f ca="1">SUMIFS(Movimientos!$C:$C,Movimientos!$A:$A,$B9,Movimientos!$D:$D,CONCATENATE("&lt;=",PA$3),Movimientos!$C:$C,"&gt;0")+SUMIFS(Movimientos!$C:$C,Movimientos!$A:$A,$B9,Movimientos!$D:$D,CONCATENATE("&lt;",PA$3),Movimientos!$C:$C,"&lt;0")</f>
        <v>0</v>
      </c>
      <c r="PB9" s="5">
        <f ca="1">SUMIFS(Movimientos!$C:$C,Movimientos!$A:$A,$B9,Movimientos!$D:$D,CONCATENATE("&lt;=",PB$3),Movimientos!$C:$C,"&gt;0")+SUMIFS(Movimientos!$C:$C,Movimientos!$A:$A,$B9,Movimientos!$D:$D,CONCATENATE("&lt;",PB$3),Movimientos!$C:$C,"&lt;0")</f>
        <v>0</v>
      </c>
      <c r="PC9" s="5">
        <f ca="1">SUMIFS(Movimientos!$C:$C,Movimientos!$A:$A,$B9,Movimientos!$D:$D,CONCATENATE("&lt;=",PC$3),Movimientos!$C:$C,"&gt;0")+SUMIFS(Movimientos!$C:$C,Movimientos!$A:$A,$B9,Movimientos!$D:$D,CONCATENATE("&lt;",PC$3),Movimientos!$C:$C,"&lt;0")</f>
        <v>0</v>
      </c>
      <c r="PD9" s="5">
        <f ca="1">SUMIFS(Movimientos!$C:$C,Movimientos!$A:$A,$B9,Movimientos!$D:$D,CONCATENATE("&lt;=",PD$3),Movimientos!$C:$C,"&gt;0")+SUMIFS(Movimientos!$C:$C,Movimientos!$A:$A,$B9,Movimientos!$D:$D,CONCATENATE("&lt;",PD$3),Movimientos!$C:$C,"&lt;0")</f>
        <v>0</v>
      </c>
      <c r="PE9" s="5">
        <f ca="1">SUMIFS(Movimientos!$C:$C,Movimientos!$A:$A,$B9,Movimientos!$D:$D,CONCATENATE("&lt;=",PE$3),Movimientos!$C:$C,"&gt;0")+SUMIFS(Movimientos!$C:$C,Movimientos!$A:$A,$B9,Movimientos!$D:$D,CONCATENATE("&lt;",PE$3),Movimientos!$C:$C,"&lt;0")</f>
        <v>0</v>
      </c>
      <c r="PF9" s="5">
        <f ca="1">SUMIFS(Movimientos!$C:$C,Movimientos!$A:$A,$B9,Movimientos!$D:$D,CONCATENATE("&lt;=",PF$3),Movimientos!$C:$C,"&gt;0")+SUMIFS(Movimientos!$C:$C,Movimientos!$A:$A,$B9,Movimientos!$D:$D,CONCATENATE("&lt;",PF$3),Movimientos!$C:$C,"&lt;0")</f>
        <v>0</v>
      </c>
      <c r="PG9" s="5">
        <f ca="1">SUMIFS(Movimientos!$C:$C,Movimientos!$A:$A,$B9,Movimientos!$D:$D,CONCATENATE("&lt;=",PG$3),Movimientos!$C:$C,"&gt;0")+SUMIFS(Movimientos!$C:$C,Movimientos!$A:$A,$B9,Movimientos!$D:$D,CONCATENATE("&lt;",PG$3),Movimientos!$C:$C,"&lt;0")</f>
        <v>0</v>
      </c>
      <c r="PH9" s="5">
        <f ca="1">SUMIFS(Movimientos!$C:$C,Movimientos!$A:$A,$B9,Movimientos!$D:$D,CONCATENATE("&lt;=",PH$3),Movimientos!$C:$C,"&gt;0")+SUMIFS(Movimientos!$C:$C,Movimientos!$A:$A,$B9,Movimientos!$D:$D,CONCATENATE("&lt;",PH$3),Movimientos!$C:$C,"&lt;0")</f>
        <v>0</v>
      </c>
      <c r="PI9" s="5">
        <f ca="1">SUMIFS(Movimientos!$C:$C,Movimientos!$A:$A,$B9,Movimientos!$D:$D,CONCATENATE("&lt;=",PI$3),Movimientos!$C:$C,"&gt;0")+SUMIFS(Movimientos!$C:$C,Movimientos!$A:$A,$B9,Movimientos!$D:$D,CONCATENATE("&lt;",PI$3),Movimientos!$C:$C,"&lt;0")</f>
        <v>0</v>
      </c>
      <c r="PJ9" s="5">
        <f ca="1">SUMIFS(Movimientos!$C:$C,Movimientos!$A:$A,$B9,Movimientos!$D:$D,CONCATENATE("&lt;=",PJ$3),Movimientos!$C:$C,"&gt;0")+SUMIFS(Movimientos!$C:$C,Movimientos!$A:$A,$B9,Movimientos!$D:$D,CONCATENATE("&lt;",PJ$3),Movimientos!$C:$C,"&lt;0")</f>
        <v>0</v>
      </c>
      <c r="PK9" s="5">
        <f ca="1">SUMIFS(Movimientos!$C:$C,Movimientos!$A:$A,$B9,Movimientos!$D:$D,CONCATENATE("&lt;=",PK$3),Movimientos!$C:$C,"&gt;0")+SUMIFS(Movimientos!$C:$C,Movimientos!$A:$A,$B9,Movimientos!$D:$D,CONCATENATE("&lt;",PK$3),Movimientos!$C:$C,"&lt;0")</f>
        <v>0</v>
      </c>
      <c r="PL9" s="5">
        <f ca="1">SUMIFS(Movimientos!$C:$C,Movimientos!$A:$A,$B9,Movimientos!$D:$D,CONCATENATE("&lt;=",PL$3),Movimientos!$C:$C,"&gt;0")+SUMIFS(Movimientos!$C:$C,Movimientos!$A:$A,$B9,Movimientos!$D:$D,CONCATENATE("&lt;",PL$3),Movimientos!$C:$C,"&lt;0")</f>
        <v>0</v>
      </c>
      <c r="PM9" s="5">
        <f ca="1">SUMIFS(Movimientos!$C:$C,Movimientos!$A:$A,$B9,Movimientos!$D:$D,CONCATENATE("&lt;=",PM$3),Movimientos!$C:$C,"&gt;0")+SUMIFS(Movimientos!$C:$C,Movimientos!$A:$A,$B9,Movimientos!$D:$D,CONCATENATE("&lt;",PM$3),Movimientos!$C:$C,"&lt;0")</f>
        <v>0</v>
      </c>
      <c r="PN9" s="5">
        <f ca="1">SUMIFS(Movimientos!$C:$C,Movimientos!$A:$A,$B9,Movimientos!$D:$D,CONCATENATE("&lt;=",PN$3),Movimientos!$C:$C,"&gt;0")+SUMIFS(Movimientos!$C:$C,Movimientos!$A:$A,$B9,Movimientos!$D:$D,CONCATENATE("&lt;",PN$3),Movimientos!$C:$C,"&lt;0")</f>
        <v>0</v>
      </c>
      <c r="PO9" s="5">
        <f ca="1">SUMIFS(Movimientos!$C:$C,Movimientos!$A:$A,$B9,Movimientos!$D:$D,CONCATENATE("&lt;=",PO$3),Movimientos!$C:$C,"&gt;0")+SUMIFS(Movimientos!$C:$C,Movimientos!$A:$A,$B9,Movimientos!$D:$D,CONCATENATE("&lt;",PO$3),Movimientos!$C:$C,"&lt;0")</f>
        <v>0</v>
      </c>
      <c r="PP9" s="5">
        <f ca="1">SUMIFS(Movimientos!$C:$C,Movimientos!$A:$A,$B9,Movimientos!$D:$D,CONCATENATE("&lt;=",PP$3),Movimientos!$C:$C,"&gt;0")+SUMIFS(Movimientos!$C:$C,Movimientos!$A:$A,$B9,Movimientos!$D:$D,CONCATENATE("&lt;",PP$3),Movimientos!$C:$C,"&lt;0")</f>
        <v>0</v>
      </c>
      <c r="PQ9" s="5">
        <f ca="1">SUMIFS(Movimientos!$C:$C,Movimientos!$A:$A,$B9,Movimientos!$D:$D,CONCATENATE("&lt;=",PQ$3),Movimientos!$C:$C,"&gt;0")+SUMIFS(Movimientos!$C:$C,Movimientos!$A:$A,$B9,Movimientos!$D:$D,CONCATENATE("&lt;",PQ$3),Movimientos!$C:$C,"&lt;0")</f>
        <v>0</v>
      </c>
      <c r="PR9" s="5">
        <f ca="1">SUMIFS(Movimientos!$C:$C,Movimientos!$A:$A,$B9,Movimientos!$D:$D,CONCATENATE("&lt;=",PR$3),Movimientos!$C:$C,"&gt;0")+SUMIFS(Movimientos!$C:$C,Movimientos!$A:$A,$B9,Movimientos!$D:$D,CONCATENATE("&lt;",PR$3),Movimientos!$C:$C,"&lt;0")</f>
        <v>0</v>
      </c>
      <c r="PS9" s="5">
        <f ca="1">SUMIFS(Movimientos!$C:$C,Movimientos!$A:$A,$B9,Movimientos!$D:$D,CONCATENATE("&lt;=",PS$3),Movimientos!$C:$C,"&gt;0")+SUMIFS(Movimientos!$C:$C,Movimientos!$A:$A,$B9,Movimientos!$D:$D,CONCATENATE("&lt;",PS$3),Movimientos!$C:$C,"&lt;0")</f>
        <v>0</v>
      </c>
      <c r="PT9" s="5">
        <f ca="1">SUMIFS(Movimientos!$C:$C,Movimientos!$A:$A,$B9,Movimientos!$D:$D,CONCATENATE("&lt;=",PT$3),Movimientos!$C:$C,"&gt;0")+SUMIFS(Movimientos!$C:$C,Movimientos!$A:$A,$B9,Movimientos!$D:$D,CONCATENATE("&lt;",PT$3),Movimientos!$C:$C,"&lt;0")</f>
        <v>0</v>
      </c>
      <c r="PU9" s="5">
        <f ca="1">SUMIFS(Movimientos!$C:$C,Movimientos!$A:$A,$B9,Movimientos!$D:$D,CONCATENATE("&lt;=",PU$3),Movimientos!$C:$C,"&gt;0")+SUMIFS(Movimientos!$C:$C,Movimientos!$A:$A,$B9,Movimientos!$D:$D,CONCATENATE("&lt;",PU$3),Movimientos!$C:$C,"&lt;0")</f>
        <v>0</v>
      </c>
      <c r="PV9" s="5">
        <f ca="1">SUMIFS(Movimientos!$C:$C,Movimientos!$A:$A,$B9,Movimientos!$D:$D,CONCATENATE("&lt;=",PV$3),Movimientos!$C:$C,"&gt;0")+SUMIFS(Movimientos!$C:$C,Movimientos!$A:$A,$B9,Movimientos!$D:$D,CONCATENATE("&lt;",PV$3),Movimientos!$C:$C,"&lt;0")</f>
        <v>0</v>
      </c>
      <c r="PW9" s="5">
        <f ca="1">SUMIFS(Movimientos!$C:$C,Movimientos!$A:$A,$B9,Movimientos!$D:$D,CONCATENATE("&lt;=",PW$3),Movimientos!$C:$C,"&gt;0")+SUMIFS(Movimientos!$C:$C,Movimientos!$A:$A,$B9,Movimientos!$D:$D,CONCATENATE("&lt;",PW$3),Movimientos!$C:$C,"&lt;0")</f>
        <v>0</v>
      </c>
      <c r="PX9" s="5">
        <f ca="1">SUMIFS(Movimientos!$C:$C,Movimientos!$A:$A,$B9,Movimientos!$D:$D,CONCATENATE("&lt;=",PX$3),Movimientos!$C:$C,"&gt;0")+SUMIFS(Movimientos!$C:$C,Movimientos!$A:$A,$B9,Movimientos!$D:$D,CONCATENATE("&lt;",PX$3),Movimientos!$C:$C,"&lt;0")</f>
        <v>0</v>
      </c>
      <c r="PY9" s="5">
        <f ca="1">SUMIFS(Movimientos!$C:$C,Movimientos!$A:$A,$B9,Movimientos!$D:$D,CONCATENATE("&lt;=",PY$3),Movimientos!$C:$C,"&gt;0")+SUMIFS(Movimientos!$C:$C,Movimientos!$A:$A,$B9,Movimientos!$D:$D,CONCATENATE("&lt;",PY$3),Movimientos!$C:$C,"&lt;0")</f>
        <v>0</v>
      </c>
      <c r="PZ9" s="5">
        <f ca="1">SUMIFS(Movimientos!$C:$C,Movimientos!$A:$A,$B9,Movimientos!$D:$D,CONCATENATE("&lt;=",PZ$3),Movimientos!$C:$C,"&gt;0")+SUMIFS(Movimientos!$C:$C,Movimientos!$A:$A,$B9,Movimientos!$D:$D,CONCATENATE("&lt;",PZ$3),Movimientos!$C:$C,"&lt;0")</f>
        <v>0</v>
      </c>
      <c r="QA9" s="5">
        <f ca="1">SUMIFS(Movimientos!$C:$C,Movimientos!$A:$A,$B9,Movimientos!$D:$D,CONCATENATE("&lt;=",QA$3),Movimientos!$C:$C,"&gt;0")+SUMIFS(Movimientos!$C:$C,Movimientos!$A:$A,$B9,Movimientos!$D:$D,CONCATENATE("&lt;",QA$3),Movimientos!$C:$C,"&lt;0")</f>
        <v>0</v>
      </c>
      <c r="QB9" s="5">
        <f ca="1">SUMIFS(Movimientos!$C:$C,Movimientos!$A:$A,$B9,Movimientos!$D:$D,CONCATENATE("&lt;=",QB$3),Movimientos!$C:$C,"&gt;0")+SUMIFS(Movimientos!$C:$C,Movimientos!$A:$A,$B9,Movimientos!$D:$D,CONCATENATE("&lt;",QB$3),Movimientos!$C:$C,"&lt;0")</f>
        <v>0</v>
      </c>
      <c r="QC9" s="5">
        <f ca="1">SUMIFS(Movimientos!$C:$C,Movimientos!$A:$A,$B9,Movimientos!$D:$D,CONCATENATE("&lt;=",QC$3),Movimientos!$C:$C,"&gt;0")+SUMIFS(Movimientos!$C:$C,Movimientos!$A:$A,$B9,Movimientos!$D:$D,CONCATENATE("&lt;",QC$3),Movimientos!$C:$C,"&lt;0")</f>
        <v>0</v>
      </c>
      <c r="QD9" s="5">
        <f ca="1">SUMIFS(Movimientos!$C:$C,Movimientos!$A:$A,$B9,Movimientos!$D:$D,CONCATENATE("&lt;=",QD$3),Movimientos!$C:$C,"&gt;0")+SUMIFS(Movimientos!$C:$C,Movimientos!$A:$A,$B9,Movimientos!$D:$D,CONCATENATE("&lt;",QD$3),Movimientos!$C:$C,"&lt;0")</f>
        <v>0</v>
      </c>
      <c r="QE9" s="5">
        <f ca="1">SUMIFS(Movimientos!$C:$C,Movimientos!$A:$A,$B9,Movimientos!$D:$D,CONCATENATE("&lt;=",QE$3),Movimientos!$C:$C,"&gt;0")+SUMIFS(Movimientos!$C:$C,Movimientos!$A:$A,$B9,Movimientos!$D:$D,CONCATENATE("&lt;",QE$3),Movimientos!$C:$C,"&lt;0")</f>
        <v>0</v>
      </c>
      <c r="QF9" s="5">
        <f ca="1">SUMIFS(Movimientos!$C:$C,Movimientos!$A:$A,$B9,Movimientos!$D:$D,CONCATENATE("&lt;=",QF$3),Movimientos!$C:$C,"&gt;0")+SUMIFS(Movimientos!$C:$C,Movimientos!$A:$A,$B9,Movimientos!$D:$D,CONCATENATE("&lt;",QF$3),Movimientos!$C:$C,"&lt;0")</f>
        <v>0</v>
      </c>
      <c r="QG9" s="5">
        <f ca="1">SUMIFS(Movimientos!$C:$C,Movimientos!$A:$A,$B9,Movimientos!$D:$D,CONCATENATE("&lt;=",QG$3),Movimientos!$C:$C,"&gt;0")+SUMIFS(Movimientos!$C:$C,Movimientos!$A:$A,$B9,Movimientos!$D:$D,CONCATENATE("&lt;",QG$3),Movimientos!$C:$C,"&lt;0")</f>
        <v>0</v>
      </c>
      <c r="QH9" s="5">
        <f ca="1">SUMIFS(Movimientos!$C:$C,Movimientos!$A:$A,$B9,Movimientos!$D:$D,CONCATENATE("&lt;=",QH$3),Movimientos!$C:$C,"&gt;0")+SUMIFS(Movimientos!$C:$C,Movimientos!$A:$A,$B9,Movimientos!$D:$D,CONCATENATE("&lt;",QH$3),Movimientos!$C:$C,"&lt;0")</f>
        <v>0</v>
      </c>
      <c r="QI9" s="5">
        <f ca="1">SUMIFS(Movimientos!$C:$C,Movimientos!$A:$A,$B9,Movimientos!$D:$D,CONCATENATE("&lt;=",QI$3),Movimientos!$C:$C,"&gt;0")+SUMIFS(Movimientos!$C:$C,Movimientos!$A:$A,$B9,Movimientos!$D:$D,CONCATENATE("&lt;",QI$3),Movimientos!$C:$C,"&lt;0")</f>
        <v>0</v>
      </c>
      <c r="QJ9" s="5">
        <f ca="1">SUMIFS(Movimientos!$C:$C,Movimientos!$A:$A,$B9,Movimientos!$D:$D,CONCATENATE("&lt;=",QJ$3),Movimientos!$C:$C,"&gt;0")+SUMIFS(Movimientos!$C:$C,Movimientos!$A:$A,$B9,Movimientos!$D:$D,CONCATENATE("&lt;",QJ$3),Movimientos!$C:$C,"&lt;0")</f>
        <v>0</v>
      </c>
      <c r="QK9" s="5">
        <f ca="1">SUMIFS(Movimientos!$C:$C,Movimientos!$A:$A,$B9,Movimientos!$D:$D,CONCATENATE("&lt;=",QK$3),Movimientos!$C:$C,"&gt;0")+SUMIFS(Movimientos!$C:$C,Movimientos!$A:$A,$B9,Movimientos!$D:$D,CONCATENATE("&lt;",QK$3),Movimientos!$C:$C,"&lt;0")</f>
        <v>0</v>
      </c>
      <c r="QL9" s="5">
        <f ca="1">SUMIFS(Movimientos!$C:$C,Movimientos!$A:$A,$B9,Movimientos!$D:$D,CONCATENATE("&lt;=",QL$3),Movimientos!$C:$C,"&gt;0")+SUMIFS(Movimientos!$C:$C,Movimientos!$A:$A,$B9,Movimientos!$D:$D,CONCATENATE("&lt;",QL$3),Movimientos!$C:$C,"&lt;0")</f>
        <v>0</v>
      </c>
      <c r="QM9" s="5">
        <f ca="1">SUMIFS(Movimientos!$C:$C,Movimientos!$A:$A,$B9,Movimientos!$D:$D,CONCATENATE("&lt;=",QM$3),Movimientos!$C:$C,"&gt;0")+SUMIFS(Movimientos!$C:$C,Movimientos!$A:$A,$B9,Movimientos!$D:$D,CONCATENATE("&lt;",QM$3),Movimientos!$C:$C,"&lt;0")</f>
        <v>0</v>
      </c>
      <c r="QN9" s="5">
        <f ca="1">SUMIFS(Movimientos!$C:$C,Movimientos!$A:$A,$B9,Movimientos!$D:$D,CONCATENATE("&lt;=",QN$3),Movimientos!$C:$C,"&gt;0")+SUMIFS(Movimientos!$C:$C,Movimientos!$A:$A,$B9,Movimientos!$D:$D,CONCATENATE("&lt;",QN$3),Movimientos!$C:$C,"&lt;0")</f>
        <v>0</v>
      </c>
      <c r="QO9" s="5">
        <f ca="1">SUMIFS(Movimientos!$C:$C,Movimientos!$A:$A,$B9,Movimientos!$D:$D,CONCATENATE("&lt;=",QO$3),Movimientos!$C:$C,"&gt;0")+SUMIFS(Movimientos!$C:$C,Movimientos!$A:$A,$B9,Movimientos!$D:$D,CONCATENATE("&lt;",QO$3),Movimientos!$C:$C,"&lt;0")</f>
        <v>0</v>
      </c>
      <c r="QP9" s="5">
        <f ca="1">SUMIFS(Movimientos!$C:$C,Movimientos!$A:$A,$B9,Movimientos!$D:$D,CONCATENATE("&lt;=",QP$3),Movimientos!$C:$C,"&gt;0")+SUMIFS(Movimientos!$C:$C,Movimientos!$A:$A,$B9,Movimientos!$D:$D,CONCATENATE("&lt;",QP$3),Movimientos!$C:$C,"&lt;0")</f>
        <v>0</v>
      </c>
      <c r="QQ9" s="5">
        <f ca="1">SUMIFS(Movimientos!$C:$C,Movimientos!$A:$A,$B9,Movimientos!$D:$D,CONCATENATE("&lt;=",QQ$3),Movimientos!$C:$C,"&gt;0")+SUMIFS(Movimientos!$C:$C,Movimientos!$A:$A,$B9,Movimientos!$D:$D,CONCATENATE("&lt;",QQ$3),Movimientos!$C:$C,"&lt;0")</f>
        <v>0</v>
      </c>
      <c r="QR9" s="5">
        <f ca="1">SUMIFS(Movimientos!$C:$C,Movimientos!$A:$A,$B9,Movimientos!$D:$D,CONCATENATE("&lt;=",QR$3),Movimientos!$C:$C,"&gt;0")+SUMIFS(Movimientos!$C:$C,Movimientos!$A:$A,$B9,Movimientos!$D:$D,CONCATENATE("&lt;",QR$3),Movimientos!$C:$C,"&lt;0")</f>
        <v>0</v>
      </c>
      <c r="QS9" s="5">
        <f ca="1">SUMIFS(Movimientos!$C:$C,Movimientos!$A:$A,$B9,Movimientos!$D:$D,CONCATENATE("&lt;=",QS$3),Movimientos!$C:$C,"&gt;0")+SUMIFS(Movimientos!$C:$C,Movimientos!$A:$A,$B9,Movimientos!$D:$D,CONCATENATE("&lt;",QS$3),Movimientos!$C:$C,"&lt;0")</f>
        <v>0</v>
      </c>
      <c r="QT9" s="5">
        <f ca="1">SUMIFS(Movimientos!$C:$C,Movimientos!$A:$A,$B9,Movimientos!$D:$D,CONCATENATE("&lt;=",QT$3),Movimientos!$C:$C,"&gt;0")+SUMIFS(Movimientos!$C:$C,Movimientos!$A:$A,$B9,Movimientos!$D:$D,CONCATENATE("&lt;",QT$3),Movimientos!$C:$C,"&lt;0")</f>
        <v>0</v>
      </c>
      <c r="QU9" s="5">
        <f ca="1">SUMIFS(Movimientos!$C:$C,Movimientos!$A:$A,$B9,Movimientos!$D:$D,CONCATENATE("&lt;=",QU$3),Movimientos!$C:$C,"&gt;0")+SUMIFS(Movimientos!$C:$C,Movimientos!$A:$A,$B9,Movimientos!$D:$D,CONCATENATE("&lt;",QU$3),Movimientos!$C:$C,"&lt;0")</f>
        <v>0</v>
      </c>
      <c r="QV9" s="5">
        <f ca="1">SUMIFS(Movimientos!$C:$C,Movimientos!$A:$A,$B9,Movimientos!$D:$D,CONCATENATE("&lt;=",QV$3),Movimientos!$C:$C,"&gt;0")+SUMIFS(Movimientos!$C:$C,Movimientos!$A:$A,$B9,Movimientos!$D:$D,CONCATENATE("&lt;",QV$3),Movimientos!$C:$C,"&lt;0")</f>
        <v>0</v>
      </c>
      <c r="QW9" s="5">
        <f ca="1">SUMIFS(Movimientos!$C:$C,Movimientos!$A:$A,$B9,Movimientos!$D:$D,CONCATENATE("&lt;=",QW$3),Movimientos!$C:$C,"&gt;0")+SUMIFS(Movimientos!$C:$C,Movimientos!$A:$A,$B9,Movimientos!$D:$D,CONCATENATE("&lt;",QW$3),Movimientos!$C:$C,"&lt;0")</f>
        <v>0</v>
      </c>
      <c r="QX9" s="5">
        <f ca="1">SUMIFS(Movimientos!$C:$C,Movimientos!$A:$A,$B9,Movimientos!$D:$D,CONCATENATE("&lt;=",QX$3),Movimientos!$C:$C,"&gt;0")+SUMIFS(Movimientos!$C:$C,Movimientos!$A:$A,$B9,Movimientos!$D:$D,CONCATENATE("&lt;",QX$3),Movimientos!$C:$C,"&lt;0")</f>
        <v>0</v>
      </c>
      <c r="QY9" s="5">
        <f ca="1">SUMIFS(Movimientos!$C:$C,Movimientos!$A:$A,$B9,Movimientos!$D:$D,CONCATENATE("&lt;=",QY$3),Movimientos!$C:$C,"&gt;0")+SUMIFS(Movimientos!$C:$C,Movimientos!$A:$A,$B9,Movimientos!$D:$D,CONCATENATE("&lt;",QY$3),Movimientos!$C:$C,"&lt;0")</f>
        <v>0</v>
      </c>
      <c r="QZ9" s="5">
        <f ca="1">SUMIFS(Movimientos!$C:$C,Movimientos!$A:$A,$B9,Movimientos!$D:$D,CONCATENATE("&lt;=",QZ$3),Movimientos!$C:$C,"&gt;0")+SUMIFS(Movimientos!$C:$C,Movimientos!$A:$A,$B9,Movimientos!$D:$D,CONCATENATE("&lt;",QZ$3),Movimientos!$C:$C,"&lt;0")</f>
        <v>0</v>
      </c>
      <c r="RA9" s="5">
        <f ca="1">SUMIFS(Movimientos!$C:$C,Movimientos!$A:$A,$B9,Movimientos!$D:$D,CONCATENATE("&lt;=",RA$3),Movimientos!$C:$C,"&gt;0")+SUMIFS(Movimientos!$C:$C,Movimientos!$A:$A,$B9,Movimientos!$D:$D,CONCATENATE("&lt;",RA$3),Movimientos!$C:$C,"&lt;0")</f>
        <v>0</v>
      </c>
      <c r="RB9" s="5">
        <f ca="1">SUMIFS(Movimientos!$C:$C,Movimientos!$A:$A,$B9,Movimientos!$D:$D,CONCATENATE("&lt;=",RB$3),Movimientos!$C:$C,"&gt;0")+SUMIFS(Movimientos!$C:$C,Movimientos!$A:$A,$B9,Movimientos!$D:$D,CONCATENATE("&lt;",RB$3),Movimientos!$C:$C,"&lt;0")</f>
        <v>0</v>
      </c>
      <c r="RC9" s="5">
        <f ca="1">SUMIFS(Movimientos!$C:$C,Movimientos!$A:$A,$B9,Movimientos!$D:$D,CONCATENATE("&lt;=",RC$3),Movimientos!$C:$C,"&gt;0")+SUMIFS(Movimientos!$C:$C,Movimientos!$A:$A,$B9,Movimientos!$D:$D,CONCATENATE("&lt;",RC$3),Movimientos!$C:$C,"&lt;0")</f>
        <v>0</v>
      </c>
      <c r="RD9" s="5">
        <f ca="1">SUMIFS(Movimientos!$C:$C,Movimientos!$A:$A,$B9,Movimientos!$D:$D,CONCATENATE("&lt;=",RD$3),Movimientos!$C:$C,"&gt;0")+SUMIFS(Movimientos!$C:$C,Movimientos!$A:$A,$B9,Movimientos!$D:$D,CONCATENATE("&lt;",RD$3),Movimientos!$C:$C,"&lt;0")</f>
        <v>0</v>
      </c>
      <c r="RE9" s="5">
        <f ca="1">SUMIFS(Movimientos!$C:$C,Movimientos!$A:$A,$B9,Movimientos!$D:$D,CONCATENATE("&lt;=",RE$3),Movimientos!$C:$C,"&gt;0")+SUMIFS(Movimientos!$C:$C,Movimientos!$A:$A,$B9,Movimientos!$D:$D,CONCATENATE("&lt;",RE$3),Movimientos!$C:$C,"&lt;0")</f>
        <v>0</v>
      </c>
      <c r="RF9" s="5">
        <f ca="1">SUMIFS(Movimientos!$C:$C,Movimientos!$A:$A,$B9,Movimientos!$D:$D,CONCATENATE("&lt;=",RF$3),Movimientos!$C:$C,"&gt;0")+SUMIFS(Movimientos!$C:$C,Movimientos!$A:$A,$B9,Movimientos!$D:$D,CONCATENATE("&lt;",RF$3),Movimientos!$C:$C,"&lt;0")</f>
        <v>0</v>
      </c>
      <c r="RG9" s="5">
        <f ca="1">SUMIFS(Movimientos!$C:$C,Movimientos!$A:$A,$B9,Movimientos!$D:$D,CONCATENATE("&lt;=",RG$3),Movimientos!$C:$C,"&gt;0")+SUMIFS(Movimientos!$C:$C,Movimientos!$A:$A,$B9,Movimientos!$D:$D,CONCATENATE("&lt;",RG$3),Movimientos!$C:$C,"&lt;0")</f>
        <v>0</v>
      </c>
      <c r="RH9" s="5">
        <f ca="1">SUMIFS(Movimientos!$C:$C,Movimientos!$A:$A,$B9,Movimientos!$D:$D,CONCATENATE("&lt;=",RH$3),Movimientos!$C:$C,"&gt;0")+SUMIFS(Movimientos!$C:$C,Movimientos!$A:$A,$B9,Movimientos!$D:$D,CONCATENATE("&lt;",RH$3),Movimientos!$C:$C,"&lt;0")</f>
        <v>0</v>
      </c>
      <c r="RI9" s="5">
        <f ca="1">SUMIFS(Movimientos!$C:$C,Movimientos!$A:$A,$B9,Movimientos!$D:$D,CONCATENATE("&lt;=",RI$3),Movimientos!$C:$C,"&gt;0")+SUMIFS(Movimientos!$C:$C,Movimientos!$A:$A,$B9,Movimientos!$D:$D,CONCATENATE("&lt;",RI$3),Movimientos!$C:$C,"&lt;0")</f>
        <v>0</v>
      </c>
      <c r="RJ9" s="5">
        <f ca="1">SUMIFS(Movimientos!$C:$C,Movimientos!$A:$A,$B9,Movimientos!$D:$D,CONCATENATE("&lt;=",RJ$3),Movimientos!$C:$C,"&gt;0")+SUMIFS(Movimientos!$C:$C,Movimientos!$A:$A,$B9,Movimientos!$D:$D,CONCATENATE("&lt;",RJ$3),Movimientos!$C:$C,"&lt;0")</f>
        <v>0</v>
      </c>
      <c r="RK9" s="5">
        <f ca="1">SUMIFS(Movimientos!$C:$C,Movimientos!$A:$A,$B9,Movimientos!$D:$D,CONCATENATE("&lt;=",RK$3),Movimientos!$C:$C,"&gt;0")+SUMIFS(Movimientos!$C:$C,Movimientos!$A:$A,$B9,Movimientos!$D:$D,CONCATENATE("&lt;",RK$3),Movimientos!$C:$C,"&lt;0")</f>
        <v>0</v>
      </c>
      <c r="RL9" s="5">
        <f ca="1">SUMIFS(Movimientos!$C:$C,Movimientos!$A:$A,$B9,Movimientos!$D:$D,CONCATENATE("&lt;=",RL$3),Movimientos!$C:$C,"&gt;0")+SUMIFS(Movimientos!$C:$C,Movimientos!$A:$A,$B9,Movimientos!$D:$D,CONCATENATE("&lt;",RL$3),Movimientos!$C:$C,"&lt;0")</f>
        <v>0</v>
      </c>
      <c r="RM9" s="5">
        <f ca="1">SUMIFS(Movimientos!$C:$C,Movimientos!$A:$A,$B9,Movimientos!$D:$D,CONCATENATE("&lt;=",RM$3),Movimientos!$C:$C,"&gt;0")+SUMIFS(Movimientos!$C:$C,Movimientos!$A:$A,$B9,Movimientos!$D:$D,CONCATENATE("&lt;",RM$3),Movimientos!$C:$C,"&lt;0")</f>
        <v>0</v>
      </c>
      <c r="RN9" s="5">
        <f ca="1">SUMIFS(Movimientos!$C:$C,Movimientos!$A:$A,$B9,Movimientos!$D:$D,CONCATENATE("&lt;=",RN$3),Movimientos!$C:$C,"&gt;0")+SUMIFS(Movimientos!$C:$C,Movimientos!$A:$A,$B9,Movimientos!$D:$D,CONCATENATE("&lt;",RN$3),Movimientos!$C:$C,"&lt;0")</f>
        <v>0</v>
      </c>
      <c r="RO9" s="5">
        <f ca="1">SUMIFS(Movimientos!$C:$C,Movimientos!$A:$A,$B9,Movimientos!$D:$D,CONCATENATE("&lt;=",RO$3),Movimientos!$C:$C,"&gt;0")+SUMIFS(Movimientos!$C:$C,Movimientos!$A:$A,$B9,Movimientos!$D:$D,CONCATENATE("&lt;",RO$3),Movimientos!$C:$C,"&lt;0")</f>
        <v>0</v>
      </c>
      <c r="RP9" s="5">
        <f ca="1">SUMIFS(Movimientos!$C:$C,Movimientos!$A:$A,$B9,Movimientos!$D:$D,CONCATENATE("&lt;=",RP$3),Movimientos!$C:$C,"&gt;0")+SUMIFS(Movimientos!$C:$C,Movimientos!$A:$A,$B9,Movimientos!$D:$D,CONCATENATE("&lt;",RP$3),Movimientos!$C:$C,"&lt;0")</f>
        <v>0</v>
      </c>
      <c r="RQ9" s="5">
        <f ca="1">SUMIFS(Movimientos!$C:$C,Movimientos!$A:$A,$B9,Movimientos!$D:$D,CONCATENATE("&lt;=",RQ$3),Movimientos!$C:$C,"&gt;0")+SUMIFS(Movimientos!$C:$C,Movimientos!$A:$A,$B9,Movimientos!$D:$D,CONCATENATE("&lt;",RQ$3),Movimientos!$C:$C,"&lt;0")</f>
        <v>0</v>
      </c>
      <c r="RR9" s="5">
        <f ca="1">SUMIFS(Movimientos!$C:$C,Movimientos!$A:$A,$B9,Movimientos!$D:$D,CONCATENATE("&lt;=",RR$3),Movimientos!$C:$C,"&gt;0")+SUMIFS(Movimientos!$C:$C,Movimientos!$A:$A,$B9,Movimientos!$D:$D,CONCATENATE("&lt;",RR$3),Movimientos!$C:$C,"&lt;0")</f>
        <v>0</v>
      </c>
      <c r="RS9" s="5">
        <f ca="1">SUMIFS(Movimientos!$C:$C,Movimientos!$A:$A,$B9,Movimientos!$D:$D,CONCATENATE("&lt;=",RS$3),Movimientos!$C:$C,"&gt;0")+SUMIFS(Movimientos!$C:$C,Movimientos!$A:$A,$B9,Movimientos!$D:$D,CONCATENATE("&lt;",RS$3),Movimientos!$C:$C,"&lt;0")</f>
        <v>0</v>
      </c>
      <c r="RT9" s="5">
        <f ca="1">SUMIFS(Movimientos!$C:$C,Movimientos!$A:$A,$B9,Movimientos!$D:$D,CONCATENATE("&lt;=",RT$3),Movimientos!$C:$C,"&gt;0")+SUMIFS(Movimientos!$C:$C,Movimientos!$A:$A,$B9,Movimientos!$D:$D,CONCATENATE("&lt;",RT$3),Movimientos!$C:$C,"&lt;0")</f>
        <v>0</v>
      </c>
      <c r="RU9" s="5">
        <f ca="1">SUMIFS(Movimientos!$C:$C,Movimientos!$A:$A,$B9,Movimientos!$D:$D,CONCATENATE("&lt;=",RU$3),Movimientos!$C:$C,"&gt;0")+SUMIFS(Movimientos!$C:$C,Movimientos!$A:$A,$B9,Movimientos!$D:$D,CONCATENATE("&lt;",RU$3),Movimientos!$C:$C,"&lt;0")</f>
        <v>0</v>
      </c>
      <c r="RV9" s="5">
        <f ca="1">SUMIFS(Movimientos!$C:$C,Movimientos!$A:$A,$B9,Movimientos!$D:$D,CONCATENATE("&lt;=",RV$3),Movimientos!$C:$C,"&gt;0")+SUMIFS(Movimientos!$C:$C,Movimientos!$A:$A,$B9,Movimientos!$D:$D,CONCATENATE("&lt;",RV$3),Movimientos!$C:$C,"&lt;0")</f>
        <v>0</v>
      </c>
      <c r="RW9" s="5">
        <f ca="1">SUMIFS(Movimientos!$C:$C,Movimientos!$A:$A,$B9,Movimientos!$D:$D,CONCATENATE("&lt;=",RW$3),Movimientos!$C:$C,"&gt;0")+SUMIFS(Movimientos!$C:$C,Movimientos!$A:$A,$B9,Movimientos!$D:$D,CONCATENATE("&lt;",RW$3),Movimientos!$C:$C,"&lt;0")</f>
        <v>0</v>
      </c>
      <c r="RX9" s="5">
        <f ca="1">SUMIFS(Movimientos!$C:$C,Movimientos!$A:$A,$B9,Movimientos!$D:$D,CONCATENATE("&lt;=",RX$3),Movimientos!$C:$C,"&gt;0")+SUMIFS(Movimientos!$C:$C,Movimientos!$A:$A,$B9,Movimientos!$D:$D,CONCATENATE("&lt;",RX$3),Movimientos!$C:$C,"&lt;0")</f>
        <v>0</v>
      </c>
      <c r="RY9" s="5">
        <f ca="1">SUMIFS(Movimientos!$C:$C,Movimientos!$A:$A,$B9,Movimientos!$D:$D,CONCATENATE("&lt;=",RY$3),Movimientos!$C:$C,"&gt;0")+SUMIFS(Movimientos!$C:$C,Movimientos!$A:$A,$B9,Movimientos!$D:$D,CONCATENATE("&lt;",RY$3),Movimientos!$C:$C,"&lt;0")</f>
        <v>0</v>
      </c>
      <c r="RZ9" s="5">
        <f ca="1">SUMIFS(Movimientos!$C:$C,Movimientos!$A:$A,$B9,Movimientos!$D:$D,CONCATENATE("&lt;=",RZ$3),Movimientos!$C:$C,"&gt;0")+SUMIFS(Movimientos!$C:$C,Movimientos!$A:$A,$B9,Movimientos!$D:$D,CONCATENATE("&lt;",RZ$3),Movimientos!$C:$C,"&lt;0")</f>
        <v>0</v>
      </c>
      <c r="SA9" s="5">
        <f ca="1">SUMIFS(Movimientos!$C:$C,Movimientos!$A:$A,$B9,Movimientos!$D:$D,CONCATENATE("&lt;=",SA$3),Movimientos!$C:$C,"&gt;0")+SUMIFS(Movimientos!$C:$C,Movimientos!$A:$A,$B9,Movimientos!$D:$D,CONCATENATE("&lt;",SA$3),Movimientos!$C:$C,"&lt;0")</f>
        <v>0</v>
      </c>
      <c r="SB9" s="5">
        <f ca="1">SUMIFS(Movimientos!$C:$C,Movimientos!$A:$A,$B9,Movimientos!$D:$D,CONCATENATE("&lt;=",SB$3),Movimientos!$C:$C,"&gt;0")+SUMIFS(Movimientos!$C:$C,Movimientos!$A:$A,$B9,Movimientos!$D:$D,CONCATENATE("&lt;",SB$3),Movimientos!$C:$C,"&lt;0")</f>
        <v>0</v>
      </c>
      <c r="SC9" s="5">
        <f ca="1">SUMIFS(Movimientos!$C:$C,Movimientos!$A:$A,$B9,Movimientos!$D:$D,CONCATENATE("&lt;=",SC$3),Movimientos!$C:$C,"&gt;0")+SUMIFS(Movimientos!$C:$C,Movimientos!$A:$A,$B9,Movimientos!$D:$D,CONCATENATE("&lt;",SC$3),Movimientos!$C:$C,"&lt;0")</f>
        <v>0</v>
      </c>
      <c r="SD9" s="5">
        <f ca="1">SUMIFS(Movimientos!$C:$C,Movimientos!$A:$A,$B9,Movimientos!$D:$D,CONCATENATE("&lt;=",SD$3),Movimientos!$C:$C,"&gt;0")+SUMIFS(Movimientos!$C:$C,Movimientos!$A:$A,$B9,Movimientos!$D:$D,CONCATENATE("&lt;",SD$3),Movimientos!$C:$C,"&lt;0")</f>
        <v>0</v>
      </c>
      <c r="SE9" s="5">
        <f ca="1">SUMIFS(Movimientos!$C:$C,Movimientos!$A:$A,$B9,Movimientos!$D:$D,CONCATENATE("&lt;=",SE$3),Movimientos!$C:$C,"&gt;0")+SUMIFS(Movimientos!$C:$C,Movimientos!$A:$A,$B9,Movimientos!$D:$D,CONCATENATE("&lt;",SE$3),Movimientos!$C:$C,"&lt;0")</f>
        <v>0</v>
      </c>
      <c r="SF9" s="5">
        <f ca="1">SUMIFS(Movimientos!$C:$C,Movimientos!$A:$A,$B9,Movimientos!$D:$D,CONCATENATE("&lt;=",SF$3),Movimientos!$C:$C,"&gt;0")+SUMIFS(Movimientos!$C:$C,Movimientos!$A:$A,$B9,Movimientos!$D:$D,CONCATENATE("&lt;",SF$3),Movimientos!$C:$C,"&lt;0")</f>
        <v>0</v>
      </c>
      <c r="SG9" s="5">
        <f ca="1">SUMIFS(Movimientos!$C:$C,Movimientos!$A:$A,$B9,Movimientos!$D:$D,CONCATENATE("&lt;=",SG$3),Movimientos!$C:$C,"&gt;0")+SUMIFS(Movimientos!$C:$C,Movimientos!$A:$A,$B9,Movimientos!$D:$D,CONCATENATE("&lt;",SG$3),Movimientos!$C:$C,"&lt;0")</f>
        <v>0</v>
      </c>
      <c r="SH9" s="5">
        <f ca="1">SUMIFS(Movimientos!$C:$C,Movimientos!$A:$A,$B9,Movimientos!$D:$D,CONCATENATE("&lt;=",SH$3),Movimientos!$C:$C,"&gt;0")+SUMIFS(Movimientos!$C:$C,Movimientos!$A:$A,$B9,Movimientos!$D:$D,CONCATENATE("&lt;",SH$3),Movimientos!$C:$C,"&lt;0")</f>
        <v>0</v>
      </c>
      <c r="SI9" s="5">
        <f ca="1">SUMIFS(Movimientos!$C:$C,Movimientos!$A:$A,$B9,Movimientos!$D:$D,CONCATENATE("&lt;=",SI$3),Movimientos!$C:$C,"&gt;0")+SUMIFS(Movimientos!$C:$C,Movimientos!$A:$A,$B9,Movimientos!$D:$D,CONCATENATE("&lt;",SI$3),Movimientos!$C:$C,"&lt;0")</f>
        <v>0</v>
      </c>
      <c r="SJ9" s="5">
        <f ca="1">SUMIFS(Movimientos!$C:$C,Movimientos!$A:$A,$B9,Movimientos!$D:$D,CONCATENATE("&lt;=",SJ$3),Movimientos!$C:$C,"&gt;0")+SUMIFS(Movimientos!$C:$C,Movimientos!$A:$A,$B9,Movimientos!$D:$D,CONCATENATE("&lt;",SJ$3),Movimientos!$C:$C,"&lt;0")</f>
        <v>0</v>
      </c>
      <c r="SK9" s="5">
        <f ca="1">SUMIFS(Movimientos!$C:$C,Movimientos!$A:$A,$B9,Movimientos!$D:$D,CONCATENATE("&lt;=",SK$3),Movimientos!$C:$C,"&gt;0")+SUMIFS(Movimientos!$C:$C,Movimientos!$A:$A,$B9,Movimientos!$D:$D,CONCATENATE("&lt;",SK$3),Movimientos!$C:$C,"&lt;0")</f>
        <v>0</v>
      </c>
      <c r="SL9" s="5">
        <f ca="1">SUMIFS(Movimientos!$C:$C,Movimientos!$A:$A,$B9,Movimientos!$D:$D,CONCATENATE("&lt;=",SL$3),Movimientos!$C:$C,"&gt;0")+SUMIFS(Movimientos!$C:$C,Movimientos!$A:$A,$B9,Movimientos!$D:$D,CONCATENATE("&lt;",SL$3),Movimientos!$C:$C,"&lt;0")</f>
        <v>0</v>
      </c>
      <c r="SM9" s="5">
        <f ca="1">SUMIFS(Movimientos!$C:$C,Movimientos!$A:$A,$B9,Movimientos!$D:$D,CONCATENATE("&lt;=",SM$3),Movimientos!$C:$C,"&gt;0")+SUMIFS(Movimientos!$C:$C,Movimientos!$A:$A,$B9,Movimientos!$D:$D,CONCATENATE("&lt;",SM$3),Movimientos!$C:$C,"&lt;0")</f>
        <v>0</v>
      </c>
      <c r="SN9" s="5">
        <f ca="1">SUMIFS(Movimientos!$C:$C,Movimientos!$A:$A,$B9,Movimientos!$D:$D,CONCATENATE("&lt;=",SN$3),Movimientos!$C:$C,"&gt;0")+SUMIFS(Movimientos!$C:$C,Movimientos!$A:$A,$B9,Movimientos!$D:$D,CONCATENATE("&lt;",SN$3),Movimientos!$C:$C,"&lt;0")</f>
        <v>0</v>
      </c>
      <c r="SO9" s="5">
        <f ca="1">SUMIFS(Movimientos!$C:$C,Movimientos!$A:$A,$B9,Movimientos!$D:$D,CONCATENATE("&lt;=",SO$3),Movimientos!$C:$C,"&gt;0")+SUMIFS(Movimientos!$C:$C,Movimientos!$A:$A,$B9,Movimientos!$D:$D,CONCATENATE("&lt;",SO$3),Movimientos!$C:$C,"&lt;0")</f>
        <v>0</v>
      </c>
      <c r="SP9" s="5">
        <f ca="1">SUMIFS(Movimientos!$C:$C,Movimientos!$A:$A,$B9,Movimientos!$D:$D,CONCATENATE("&lt;=",SP$3),Movimientos!$C:$C,"&gt;0")+SUMIFS(Movimientos!$C:$C,Movimientos!$A:$A,$B9,Movimientos!$D:$D,CONCATENATE("&lt;",SP$3),Movimientos!$C:$C,"&lt;0")</f>
        <v>0</v>
      </c>
      <c r="SQ9" s="5">
        <f ca="1">SUMIFS(Movimientos!$C:$C,Movimientos!$A:$A,$B9,Movimientos!$D:$D,CONCATENATE("&lt;=",SQ$3),Movimientos!$C:$C,"&gt;0")+SUMIFS(Movimientos!$C:$C,Movimientos!$A:$A,$B9,Movimientos!$D:$D,CONCATENATE("&lt;",SQ$3),Movimientos!$C:$C,"&lt;0")</f>
        <v>0</v>
      </c>
      <c r="SR9" s="5">
        <f ca="1">SUMIFS(Movimientos!$C:$C,Movimientos!$A:$A,$B9,Movimientos!$D:$D,CONCATENATE("&lt;=",SR$3),Movimientos!$C:$C,"&gt;0")+SUMIFS(Movimientos!$C:$C,Movimientos!$A:$A,$B9,Movimientos!$D:$D,CONCATENATE("&lt;",SR$3),Movimientos!$C:$C,"&lt;0")</f>
        <v>0</v>
      </c>
      <c r="SS9" s="5">
        <f ca="1">SUMIFS(Movimientos!$C:$C,Movimientos!$A:$A,$B9,Movimientos!$D:$D,CONCATENATE("&lt;=",SS$3),Movimientos!$C:$C,"&gt;0")+SUMIFS(Movimientos!$C:$C,Movimientos!$A:$A,$B9,Movimientos!$D:$D,CONCATENATE("&lt;",SS$3),Movimientos!$C:$C,"&lt;0")</f>
        <v>0</v>
      </c>
      <c r="ST9" s="5">
        <f ca="1">SUMIFS(Movimientos!$C:$C,Movimientos!$A:$A,$B9,Movimientos!$D:$D,CONCATENATE("&lt;=",ST$3),Movimientos!$C:$C,"&gt;0")+SUMIFS(Movimientos!$C:$C,Movimientos!$A:$A,$B9,Movimientos!$D:$D,CONCATENATE("&lt;",ST$3),Movimientos!$C:$C,"&lt;0")</f>
        <v>0</v>
      </c>
      <c r="SU9" s="5">
        <f ca="1">SUMIFS(Movimientos!$C:$C,Movimientos!$A:$A,$B9,Movimientos!$D:$D,CONCATENATE("&lt;=",SU$3),Movimientos!$C:$C,"&gt;0")+SUMIFS(Movimientos!$C:$C,Movimientos!$A:$A,$B9,Movimientos!$D:$D,CONCATENATE("&lt;",SU$3),Movimientos!$C:$C,"&lt;0")</f>
        <v>0</v>
      </c>
      <c r="SV9" s="5">
        <f ca="1">SUMIFS(Movimientos!$C:$C,Movimientos!$A:$A,$B9,Movimientos!$D:$D,CONCATENATE("&lt;=",SV$3),Movimientos!$C:$C,"&gt;0")+SUMIFS(Movimientos!$C:$C,Movimientos!$A:$A,$B9,Movimientos!$D:$D,CONCATENATE("&lt;",SV$3),Movimientos!$C:$C,"&lt;0")</f>
        <v>0</v>
      </c>
      <c r="SW9" s="5">
        <f ca="1">SUMIFS(Movimientos!$C:$C,Movimientos!$A:$A,$B9,Movimientos!$D:$D,CONCATENATE("&lt;=",SW$3),Movimientos!$C:$C,"&gt;0")+SUMIFS(Movimientos!$C:$C,Movimientos!$A:$A,$B9,Movimientos!$D:$D,CONCATENATE("&lt;",SW$3),Movimientos!$C:$C,"&lt;0")</f>
        <v>0</v>
      </c>
      <c r="SX9" s="5">
        <f ca="1">SUMIFS(Movimientos!$C:$C,Movimientos!$A:$A,$B9,Movimientos!$D:$D,CONCATENATE("&lt;=",SX$3),Movimientos!$C:$C,"&gt;0")+SUMIFS(Movimientos!$C:$C,Movimientos!$A:$A,$B9,Movimientos!$D:$D,CONCATENATE("&lt;",SX$3),Movimientos!$C:$C,"&lt;0")</f>
        <v>0</v>
      </c>
      <c r="SY9" s="5">
        <f ca="1">SUMIFS(Movimientos!$C:$C,Movimientos!$A:$A,$B9,Movimientos!$D:$D,CONCATENATE("&lt;=",SY$3),Movimientos!$C:$C,"&gt;0")+SUMIFS(Movimientos!$C:$C,Movimientos!$A:$A,$B9,Movimientos!$D:$D,CONCATENATE("&lt;",SY$3),Movimientos!$C:$C,"&lt;0")</f>
        <v>0</v>
      </c>
      <c r="SZ9" s="5">
        <f ca="1">SUMIFS(Movimientos!$C:$C,Movimientos!$A:$A,$B9,Movimientos!$D:$D,CONCATENATE("&lt;=",SZ$3),Movimientos!$C:$C,"&gt;0")+SUMIFS(Movimientos!$C:$C,Movimientos!$A:$A,$B9,Movimientos!$D:$D,CONCATENATE("&lt;",SZ$3),Movimientos!$C:$C,"&lt;0")</f>
        <v>0</v>
      </c>
      <c r="TA9" s="5">
        <f ca="1">SUMIFS(Movimientos!$C:$C,Movimientos!$A:$A,$B9,Movimientos!$D:$D,CONCATENATE("&lt;=",TA$3),Movimientos!$C:$C,"&gt;0")+SUMIFS(Movimientos!$C:$C,Movimientos!$A:$A,$B9,Movimientos!$D:$D,CONCATENATE("&lt;",TA$3),Movimientos!$C:$C,"&lt;0")</f>
        <v>0</v>
      </c>
      <c r="TB9" s="5">
        <f ca="1">SUMIFS(Movimientos!$C:$C,Movimientos!$A:$A,$B9,Movimientos!$D:$D,CONCATENATE("&lt;=",TB$3),Movimientos!$C:$C,"&gt;0")+SUMIFS(Movimientos!$C:$C,Movimientos!$A:$A,$B9,Movimientos!$D:$D,CONCATENATE("&lt;",TB$3),Movimientos!$C:$C,"&lt;0")</f>
        <v>0</v>
      </c>
      <c r="TC9" s="5">
        <f ca="1">SUMIFS(Movimientos!$C:$C,Movimientos!$A:$A,$B9,Movimientos!$D:$D,CONCATENATE("&lt;=",TC$3),Movimientos!$C:$C,"&gt;0")+SUMIFS(Movimientos!$C:$C,Movimientos!$A:$A,$B9,Movimientos!$D:$D,CONCATENATE("&lt;",TC$3),Movimientos!$C:$C,"&lt;0")</f>
        <v>0</v>
      </c>
      <c r="TD9" s="5">
        <f ca="1">SUMIFS(Movimientos!$C:$C,Movimientos!$A:$A,$B9,Movimientos!$D:$D,CONCATENATE("&lt;=",TD$3),Movimientos!$C:$C,"&gt;0")+SUMIFS(Movimientos!$C:$C,Movimientos!$A:$A,$B9,Movimientos!$D:$D,CONCATENATE("&lt;",TD$3),Movimientos!$C:$C,"&lt;0")</f>
        <v>0</v>
      </c>
      <c r="TE9" s="5">
        <f ca="1">SUMIFS(Movimientos!$C:$C,Movimientos!$A:$A,$B9,Movimientos!$D:$D,CONCATENATE("&lt;=",TE$3),Movimientos!$C:$C,"&gt;0")+SUMIFS(Movimientos!$C:$C,Movimientos!$A:$A,$B9,Movimientos!$D:$D,CONCATENATE("&lt;",TE$3),Movimientos!$C:$C,"&lt;0")</f>
        <v>0</v>
      </c>
      <c r="TF9" s="5">
        <f ca="1">SUMIFS(Movimientos!$C:$C,Movimientos!$A:$A,$B9,Movimientos!$D:$D,CONCATENATE("&lt;=",TF$3),Movimientos!$C:$C,"&gt;0")+SUMIFS(Movimientos!$C:$C,Movimientos!$A:$A,$B9,Movimientos!$D:$D,CONCATENATE("&lt;",TF$3),Movimientos!$C:$C,"&lt;0")</f>
        <v>0</v>
      </c>
    </row>
    <row r="10" spans="1:526">
      <c r="A10" s="31" t="s">
        <v>48</v>
      </c>
      <c r="B10" s="4">
        <f>Cartera!B10</f>
        <v>0</v>
      </c>
      <c r="C10" s="4">
        <f>Cartera!C10</f>
        <v>0</v>
      </c>
      <c r="D10" s="5">
        <f ca="1">SUMIFS(Movimientos!$C:$C,Movimientos!$A:$A,$B10,Movimientos!$D:$D,CONCATENATE("&lt;=",D$3),Movimientos!$C:$C,"&gt;0")+SUMIFS(Movimientos!$C:$C,Movimientos!$A:$A,$B10,Movimientos!$D:$D,CONCATENATE("&lt;",D$3),Movimientos!$C:$C,"&lt;0")</f>
        <v>0</v>
      </c>
      <c r="E10" s="5">
        <f ca="1">SUMIFS(Movimientos!$C:$C,Movimientos!$A:$A,$B10,Movimientos!$D:$D,CONCATENATE("&lt;=",E$3),Movimientos!$C:$C,"&gt;0")+SUMIFS(Movimientos!$C:$C,Movimientos!$A:$A,$B10,Movimientos!$D:$D,CONCATENATE("&lt;",E$3),Movimientos!$C:$C,"&lt;0")</f>
        <v>0</v>
      </c>
      <c r="F10" s="5">
        <f ca="1">SUMIFS(Movimientos!$C:$C,Movimientos!$A:$A,$B10,Movimientos!$D:$D,CONCATENATE("&lt;=",F$3),Movimientos!$C:$C,"&gt;0")+SUMIFS(Movimientos!$C:$C,Movimientos!$A:$A,$B10,Movimientos!$D:$D,CONCATENATE("&lt;",F$3),Movimientos!$C:$C,"&lt;0")</f>
        <v>0</v>
      </c>
      <c r="G10" s="5">
        <f ca="1">SUMIFS(Movimientos!$C:$C,Movimientos!$A:$A,$B10,Movimientos!$D:$D,CONCATENATE("&lt;=",G$3),Movimientos!$C:$C,"&gt;0")+SUMIFS(Movimientos!$C:$C,Movimientos!$A:$A,$B10,Movimientos!$D:$D,CONCATENATE("&lt;",G$3),Movimientos!$C:$C,"&lt;0")</f>
        <v>0</v>
      </c>
      <c r="H10" s="5">
        <f ca="1">SUMIFS(Movimientos!$C:$C,Movimientos!$A:$A,$B10,Movimientos!$D:$D,CONCATENATE("&lt;=",H$3),Movimientos!$C:$C,"&gt;0")+SUMIFS(Movimientos!$C:$C,Movimientos!$A:$A,$B10,Movimientos!$D:$D,CONCATENATE("&lt;",H$3),Movimientos!$C:$C,"&lt;0")</f>
        <v>0</v>
      </c>
      <c r="I10" s="5">
        <f ca="1">SUMIFS(Movimientos!$C:$C,Movimientos!$A:$A,$B10,Movimientos!$D:$D,CONCATENATE("&lt;=",I$3),Movimientos!$C:$C,"&gt;0")+SUMIFS(Movimientos!$C:$C,Movimientos!$A:$A,$B10,Movimientos!$D:$D,CONCATENATE("&lt;",I$3),Movimientos!$C:$C,"&lt;0")</f>
        <v>0</v>
      </c>
      <c r="J10" s="5">
        <f ca="1">SUMIFS(Movimientos!$C:$C,Movimientos!$A:$A,$B10,Movimientos!$D:$D,CONCATENATE("&lt;=",J$3),Movimientos!$C:$C,"&gt;0")+SUMIFS(Movimientos!$C:$C,Movimientos!$A:$A,$B10,Movimientos!$D:$D,CONCATENATE("&lt;",J$3),Movimientos!$C:$C,"&lt;0")</f>
        <v>0</v>
      </c>
      <c r="K10" s="5">
        <f ca="1">SUMIFS(Movimientos!$C:$C,Movimientos!$A:$A,$B10,Movimientos!$D:$D,CONCATENATE("&lt;=",K$3),Movimientos!$C:$C,"&gt;0")+SUMIFS(Movimientos!$C:$C,Movimientos!$A:$A,$B10,Movimientos!$D:$D,CONCATENATE("&lt;",K$3),Movimientos!$C:$C,"&lt;0")</f>
        <v>0</v>
      </c>
      <c r="L10" s="5">
        <f ca="1">SUMIFS(Movimientos!$C:$C,Movimientos!$A:$A,$B10,Movimientos!$D:$D,CONCATENATE("&lt;=",L$3),Movimientos!$C:$C,"&gt;0")+SUMIFS(Movimientos!$C:$C,Movimientos!$A:$A,$B10,Movimientos!$D:$D,CONCATENATE("&lt;",L$3),Movimientos!$C:$C,"&lt;0")</f>
        <v>0</v>
      </c>
      <c r="M10" s="5">
        <f ca="1">SUMIFS(Movimientos!$C:$C,Movimientos!$A:$A,$B10,Movimientos!$D:$D,CONCATENATE("&lt;=",M$3),Movimientos!$C:$C,"&gt;0")+SUMIFS(Movimientos!$C:$C,Movimientos!$A:$A,$B10,Movimientos!$D:$D,CONCATENATE("&lt;",M$3),Movimientos!$C:$C,"&lt;0")</f>
        <v>0</v>
      </c>
      <c r="N10" s="5">
        <f ca="1">SUMIFS(Movimientos!$C:$C,Movimientos!$A:$A,$B10,Movimientos!$D:$D,CONCATENATE("&lt;=",N$3),Movimientos!$C:$C,"&gt;0")+SUMIFS(Movimientos!$C:$C,Movimientos!$A:$A,$B10,Movimientos!$D:$D,CONCATENATE("&lt;",N$3),Movimientos!$C:$C,"&lt;0")</f>
        <v>0</v>
      </c>
      <c r="O10" s="5">
        <f ca="1">SUMIFS(Movimientos!$C:$C,Movimientos!$A:$A,$B10,Movimientos!$D:$D,CONCATENATE("&lt;=",O$3),Movimientos!$C:$C,"&gt;0")+SUMIFS(Movimientos!$C:$C,Movimientos!$A:$A,$B10,Movimientos!$D:$D,CONCATENATE("&lt;",O$3),Movimientos!$C:$C,"&lt;0")</f>
        <v>0</v>
      </c>
      <c r="P10" s="5">
        <f ca="1">SUMIFS(Movimientos!$C:$C,Movimientos!$A:$A,$B10,Movimientos!$D:$D,CONCATENATE("&lt;=",P$3),Movimientos!$C:$C,"&gt;0")+SUMIFS(Movimientos!$C:$C,Movimientos!$A:$A,$B10,Movimientos!$D:$D,CONCATENATE("&lt;",P$3),Movimientos!$C:$C,"&lt;0")</f>
        <v>0</v>
      </c>
      <c r="Q10" s="5">
        <f ca="1">SUMIFS(Movimientos!$C:$C,Movimientos!$A:$A,$B10,Movimientos!$D:$D,CONCATENATE("&lt;=",Q$3),Movimientos!$C:$C,"&gt;0")+SUMIFS(Movimientos!$C:$C,Movimientos!$A:$A,$B10,Movimientos!$D:$D,CONCATENATE("&lt;",Q$3),Movimientos!$C:$C,"&lt;0")</f>
        <v>0</v>
      </c>
      <c r="R10" s="5">
        <f ca="1">SUMIFS(Movimientos!$C:$C,Movimientos!$A:$A,$B10,Movimientos!$D:$D,CONCATENATE("&lt;=",R$3),Movimientos!$C:$C,"&gt;0")+SUMIFS(Movimientos!$C:$C,Movimientos!$A:$A,$B10,Movimientos!$D:$D,CONCATENATE("&lt;",R$3),Movimientos!$C:$C,"&lt;0")</f>
        <v>0</v>
      </c>
      <c r="S10" s="5">
        <f ca="1">SUMIFS(Movimientos!$C:$C,Movimientos!$A:$A,$B10,Movimientos!$D:$D,CONCATENATE("&lt;=",S$3),Movimientos!$C:$C,"&gt;0")+SUMIFS(Movimientos!$C:$C,Movimientos!$A:$A,$B10,Movimientos!$D:$D,CONCATENATE("&lt;",S$3),Movimientos!$C:$C,"&lt;0")</f>
        <v>0</v>
      </c>
      <c r="T10" s="5">
        <f ca="1">SUMIFS(Movimientos!$C:$C,Movimientos!$A:$A,$B10,Movimientos!$D:$D,CONCATENATE("&lt;=",T$3),Movimientos!$C:$C,"&gt;0")+SUMIFS(Movimientos!$C:$C,Movimientos!$A:$A,$B10,Movimientos!$D:$D,CONCATENATE("&lt;",T$3),Movimientos!$C:$C,"&lt;0")</f>
        <v>0</v>
      </c>
      <c r="U10" s="5">
        <f ca="1">SUMIFS(Movimientos!$C:$C,Movimientos!$A:$A,$B10,Movimientos!$D:$D,CONCATENATE("&lt;=",U$3),Movimientos!$C:$C,"&gt;0")+SUMIFS(Movimientos!$C:$C,Movimientos!$A:$A,$B10,Movimientos!$D:$D,CONCATENATE("&lt;",U$3),Movimientos!$C:$C,"&lt;0")</f>
        <v>0</v>
      </c>
      <c r="V10" s="5">
        <f ca="1">SUMIFS(Movimientos!$C:$C,Movimientos!$A:$A,$B10,Movimientos!$D:$D,CONCATENATE("&lt;=",V$3),Movimientos!$C:$C,"&gt;0")+SUMIFS(Movimientos!$C:$C,Movimientos!$A:$A,$B10,Movimientos!$D:$D,CONCATENATE("&lt;",V$3),Movimientos!$C:$C,"&lt;0")</f>
        <v>0</v>
      </c>
      <c r="W10" s="5">
        <f ca="1">SUMIFS(Movimientos!$C:$C,Movimientos!$A:$A,$B10,Movimientos!$D:$D,CONCATENATE("&lt;=",W$3),Movimientos!$C:$C,"&gt;0")+SUMIFS(Movimientos!$C:$C,Movimientos!$A:$A,$B10,Movimientos!$D:$D,CONCATENATE("&lt;",W$3),Movimientos!$C:$C,"&lt;0")</f>
        <v>0</v>
      </c>
      <c r="X10" s="5">
        <f ca="1">SUMIFS(Movimientos!$C:$C,Movimientos!$A:$A,$B10,Movimientos!$D:$D,CONCATENATE("&lt;=",X$3),Movimientos!$C:$C,"&gt;0")+SUMIFS(Movimientos!$C:$C,Movimientos!$A:$A,$B10,Movimientos!$D:$D,CONCATENATE("&lt;",X$3),Movimientos!$C:$C,"&lt;0")</f>
        <v>0</v>
      </c>
      <c r="Y10" s="5">
        <f ca="1">SUMIFS(Movimientos!$C:$C,Movimientos!$A:$A,$B10,Movimientos!$D:$D,CONCATENATE("&lt;=",Y$3),Movimientos!$C:$C,"&gt;0")+SUMIFS(Movimientos!$C:$C,Movimientos!$A:$A,$B10,Movimientos!$D:$D,CONCATENATE("&lt;",Y$3),Movimientos!$C:$C,"&lt;0")</f>
        <v>0</v>
      </c>
      <c r="Z10" s="5">
        <f ca="1">SUMIFS(Movimientos!$C:$C,Movimientos!$A:$A,$B10,Movimientos!$D:$D,CONCATENATE("&lt;=",Z$3),Movimientos!$C:$C,"&gt;0")+SUMIFS(Movimientos!$C:$C,Movimientos!$A:$A,$B10,Movimientos!$D:$D,CONCATENATE("&lt;",Z$3),Movimientos!$C:$C,"&lt;0")</f>
        <v>0</v>
      </c>
      <c r="AA10" s="5">
        <f ca="1">SUMIFS(Movimientos!$C:$C,Movimientos!$A:$A,$B10,Movimientos!$D:$D,CONCATENATE("&lt;=",AA$3),Movimientos!$C:$C,"&gt;0")+SUMIFS(Movimientos!$C:$C,Movimientos!$A:$A,$B10,Movimientos!$D:$D,CONCATENATE("&lt;",AA$3),Movimientos!$C:$C,"&lt;0")</f>
        <v>0</v>
      </c>
      <c r="AB10" s="5">
        <f ca="1">SUMIFS(Movimientos!$C:$C,Movimientos!$A:$A,$B10,Movimientos!$D:$D,CONCATENATE("&lt;=",AB$3),Movimientos!$C:$C,"&gt;0")+SUMIFS(Movimientos!$C:$C,Movimientos!$A:$A,$B10,Movimientos!$D:$D,CONCATENATE("&lt;",AB$3),Movimientos!$C:$C,"&lt;0")</f>
        <v>0</v>
      </c>
      <c r="AC10" s="5">
        <f ca="1">SUMIFS(Movimientos!$C:$C,Movimientos!$A:$A,$B10,Movimientos!$D:$D,CONCATENATE("&lt;=",AC$3),Movimientos!$C:$C,"&gt;0")+SUMIFS(Movimientos!$C:$C,Movimientos!$A:$A,$B10,Movimientos!$D:$D,CONCATENATE("&lt;",AC$3),Movimientos!$C:$C,"&lt;0")</f>
        <v>0</v>
      </c>
      <c r="AD10" s="5">
        <f ca="1">SUMIFS(Movimientos!$C:$C,Movimientos!$A:$A,$B10,Movimientos!$D:$D,CONCATENATE("&lt;=",AD$3),Movimientos!$C:$C,"&gt;0")+SUMIFS(Movimientos!$C:$C,Movimientos!$A:$A,$B10,Movimientos!$D:$D,CONCATENATE("&lt;",AD$3),Movimientos!$C:$C,"&lt;0")</f>
        <v>0</v>
      </c>
      <c r="AE10" s="5">
        <f ca="1">SUMIFS(Movimientos!$C:$C,Movimientos!$A:$A,$B10,Movimientos!$D:$D,CONCATENATE("&lt;=",AE$3),Movimientos!$C:$C,"&gt;0")+SUMIFS(Movimientos!$C:$C,Movimientos!$A:$A,$B10,Movimientos!$D:$D,CONCATENATE("&lt;",AE$3),Movimientos!$C:$C,"&lt;0")</f>
        <v>0</v>
      </c>
      <c r="AF10" s="5">
        <f ca="1">SUMIFS(Movimientos!$C:$C,Movimientos!$A:$A,$B10,Movimientos!$D:$D,CONCATENATE("&lt;=",AF$3),Movimientos!$C:$C,"&gt;0")+SUMIFS(Movimientos!$C:$C,Movimientos!$A:$A,$B10,Movimientos!$D:$D,CONCATENATE("&lt;",AF$3),Movimientos!$C:$C,"&lt;0")</f>
        <v>0</v>
      </c>
      <c r="AG10" s="5">
        <f ca="1">SUMIFS(Movimientos!$C:$C,Movimientos!$A:$A,$B10,Movimientos!$D:$D,CONCATENATE("&lt;=",AG$3),Movimientos!$C:$C,"&gt;0")+SUMIFS(Movimientos!$C:$C,Movimientos!$A:$A,$B10,Movimientos!$D:$D,CONCATENATE("&lt;",AG$3),Movimientos!$C:$C,"&lt;0")</f>
        <v>0</v>
      </c>
      <c r="AH10" s="5">
        <f ca="1">SUMIFS(Movimientos!$C:$C,Movimientos!$A:$A,$B10,Movimientos!$D:$D,CONCATENATE("&lt;=",AH$3),Movimientos!$C:$C,"&gt;0")+SUMIFS(Movimientos!$C:$C,Movimientos!$A:$A,$B10,Movimientos!$D:$D,CONCATENATE("&lt;",AH$3),Movimientos!$C:$C,"&lt;0")</f>
        <v>0</v>
      </c>
      <c r="AI10" s="5">
        <f ca="1">SUMIFS(Movimientos!$C:$C,Movimientos!$A:$A,$B10,Movimientos!$D:$D,CONCATENATE("&lt;=",AI$3),Movimientos!$C:$C,"&gt;0")+SUMIFS(Movimientos!$C:$C,Movimientos!$A:$A,$B10,Movimientos!$D:$D,CONCATENATE("&lt;",AI$3),Movimientos!$C:$C,"&lt;0")</f>
        <v>0</v>
      </c>
      <c r="AJ10" s="5">
        <f ca="1">SUMIFS(Movimientos!$C:$C,Movimientos!$A:$A,$B10,Movimientos!$D:$D,CONCATENATE("&lt;=",AJ$3),Movimientos!$C:$C,"&gt;0")+SUMIFS(Movimientos!$C:$C,Movimientos!$A:$A,$B10,Movimientos!$D:$D,CONCATENATE("&lt;",AJ$3),Movimientos!$C:$C,"&lt;0")</f>
        <v>0</v>
      </c>
      <c r="AK10" s="5">
        <f ca="1">SUMIFS(Movimientos!$C:$C,Movimientos!$A:$A,$B10,Movimientos!$D:$D,CONCATENATE("&lt;=",AK$3),Movimientos!$C:$C,"&gt;0")+SUMIFS(Movimientos!$C:$C,Movimientos!$A:$A,$B10,Movimientos!$D:$D,CONCATENATE("&lt;",AK$3),Movimientos!$C:$C,"&lt;0")</f>
        <v>0</v>
      </c>
      <c r="AL10" s="5">
        <f ca="1">SUMIFS(Movimientos!$C:$C,Movimientos!$A:$A,$B10,Movimientos!$D:$D,CONCATENATE("&lt;=",AL$3),Movimientos!$C:$C,"&gt;0")+SUMIFS(Movimientos!$C:$C,Movimientos!$A:$A,$B10,Movimientos!$D:$D,CONCATENATE("&lt;",AL$3),Movimientos!$C:$C,"&lt;0")</f>
        <v>0</v>
      </c>
      <c r="AM10" s="5">
        <f ca="1">SUMIFS(Movimientos!$C:$C,Movimientos!$A:$A,$B10,Movimientos!$D:$D,CONCATENATE("&lt;=",AM$3),Movimientos!$C:$C,"&gt;0")+SUMIFS(Movimientos!$C:$C,Movimientos!$A:$A,$B10,Movimientos!$D:$D,CONCATENATE("&lt;",AM$3),Movimientos!$C:$C,"&lt;0")</f>
        <v>0</v>
      </c>
      <c r="AN10" s="5">
        <f ca="1">SUMIFS(Movimientos!$C:$C,Movimientos!$A:$A,$B10,Movimientos!$D:$D,CONCATENATE("&lt;=",AN$3),Movimientos!$C:$C,"&gt;0")+SUMIFS(Movimientos!$C:$C,Movimientos!$A:$A,$B10,Movimientos!$D:$D,CONCATENATE("&lt;",AN$3),Movimientos!$C:$C,"&lt;0")</f>
        <v>0</v>
      </c>
      <c r="AO10" s="5">
        <f ca="1">SUMIFS(Movimientos!$C:$C,Movimientos!$A:$A,$B10,Movimientos!$D:$D,CONCATENATE("&lt;=",AO$3),Movimientos!$C:$C,"&gt;0")+SUMIFS(Movimientos!$C:$C,Movimientos!$A:$A,$B10,Movimientos!$D:$D,CONCATENATE("&lt;",AO$3),Movimientos!$C:$C,"&lt;0")</f>
        <v>0</v>
      </c>
      <c r="AP10" s="5">
        <f ca="1">SUMIFS(Movimientos!$C:$C,Movimientos!$A:$A,$B10,Movimientos!$D:$D,CONCATENATE("&lt;=",AP$3),Movimientos!$C:$C,"&gt;0")+SUMIFS(Movimientos!$C:$C,Movimientos!$A:$A,$B10,Movimientos!$D:$D,CONCATENATE("&lt;",AP$3),Movimientos!$C:$C,"&lt;0")</f>
        <v>0</v>
      </c>
      <c r="AQ10" s="5">
        <f ca="1">SUMIFS(Movimientos!$C:$C,Movimientos!$A:$A,$B10,Movimientos!$D:$D,CONCATENATE("&lt;=",AQ$3),Movimientos!$C:$C,"&gt;0")+SUMIFS(Movimientos!$C:$C,Movimientos!$A:$A,$B10,Movimientos!$D:$D,CONCATENATE("&lt;",AQ$3),Movimientos!$C:$C,"&lt;0")</f>
        <v>0</v>
      </c>
      <c r="AR10" s="5">
        <f ca="1">SUMIFS(Movimientos!$C:$C,Movimientos!$A:$A,$B10,Movimientos!$D:$D,CONCATENATE("&lt;=",AR$3),Movimientos!$C:$C,"&gt;0")+SUMIFS(Movimientos!$C:$C,Movimientos!$A:$A,$B10,Movimientos!$D:$D,CONCATENATE("&lt;",AR$3),Movimientos!$C:$C,"&lt;0")</f>
        <v>0</v>
      </c>
      <c r="AS10" s="5">
        <f ca="1">SUMIFS(Movimientos!$C:$C,Movimientos!$A:$A,$B10,Movimientos!$D:$D,CONCATENATE("&lt;=",AS$3),Movimientos!$C:$C,"&gt;0")+SUMIFS(Movimientos!$C:$C,Movimientos!$A:$A,$B10,Movimientos!$D:$D,CONCATENATE("&lt;",AS$3),Movimientos!$C:$C,"&lt;0")</f>
        <v>0</v>
      </c>
      <c r="AT10" s="5">
        <f ca="1">SUMIFS(Movimientos!$C:$C,Movimientos!$A:$A,$B10,Movimientos!$D:$D,CONCATENATE("&lt;=",AT$3),Movimientos!$C:$C,"&gt;0")+SUMIFS(Movimientos!$C:$C,Movimientos!$A:$A,$B10,Movimientos!$D:$D,CONCATENATE("&lt;",AT$3),Movimientos!$C:$C,"&lt;0")</f>
        <v>0</v>
      </c>
      <c r="AU10" s="5">
        <f ca="1">SUMIFS(Movimientos!$C:$C,Movimientos!$A:$A,$B10,Movimientos!$D:$D,CONCATENATE("&lt;=",AU$3),Movimientos!$C:$C,"&gt;0")+SUMIFS(Movimientos!$C:$C,Movimientos!$A:$A,$B10,Movimientos!$D:$D,CONCATENATE("&lt;",AU$3),Movimientos!$C:$C,"&lt;0")</f>
        <v>0</v>
      </c>
      <c r="AV10" s="5">
        <f ca="1">SUMIFS(Movimientos!$C:$C,Movimientos!$A:$A,$B10,Movimientos!$D:$D,CONCATENATE("&lt;=",AV$3),Movimientos!$C:$C,"&gt;0")+SUMIFS(Movimientos!$C:$C,Movimientos!$A:$A,$B10,Movimientos!$D:$D,CONCATENATE("&lt;",AV$3),Movimientos!$C:$C,"&lt;0")</f>
        <v>0</v>
      </c>
      <c r="AW10" s="5">
        <f ca="1">SUMIFS(Movimientos!$C:$C,Movimientos!$A:$A,$B10,Movimientos!$D:$D,CONCATENATE("&lt;=",AW$3),Movimientos!$C:$C,"&gt;0")+SUMIFS(Movimientos!$C:$C,Movimientos!$A:$A,$B10,Movimientos!$D:$D,CONCATENATE("&lt;",AW$3),Movimientos!$C:$C,"&lt;0")</f>
        <v>0</v>
      </c>
      <c r="AX10" s="5">
        <f ca="1">SUMIFS(Movimientos!$C:$C,Movimientos!$A:$A,$B10,Movimientos!$D:$D,CONCATENATE("&lt;=",AX$3),Movimientos!$C:$C,"&gt;0")+SUMIFS(Movimientos!$C:$C,Movimientos!$A:$A,$B10,Movimientos!$D:$D,CONCATENATE("&lt;",AX$3),Movimientos!$C:$C,"&lt;0")</f>
        <v>0</v>
      </c>
      <c r="AY10" s="5">
        <f ca="1">SUMIFS(Movimientos!$C:$C,Movimientos!$A:$A,$B10,Movimientos!$D:$D,CONCATENATE("&lt;=",AY$3),Movimientos!$C:$C,"&gt;0")+SUMIFS(Movimientos!$C:$C,Movimientos!$A:$A,$B10,Movimientos!$D:$D,CONCATENATE("&lt;",AY$3),Movimientos!$C:$C,"&lt;0")</f>
        <v>0</v>
      </c>
      <c r="AZ10" s="5">
        <f ca="1">SUMIFS(Movimientos!$C:$C,Movimientos!$A:$A,$B10,Movimientos!$D:$D,CONCATENATE("&lt;=",AZ$3),Movimientos!$C:$C,"&gt;0")+SUMIFS(Movimientos!$C:$C,Movimientos!$A:$A,$B10,Movimientos!$D:$D,CONCATENATE("&lt;",AZ$3),Movimientos!$C:$C,"&lt;0")</f>
        <v>0</v>
      </c>
      <c r="BA10" s="5">
        <f ca="1">SUMIFS(Movimientos!$C:$C,Movimientos!$A:$A,$B10,Movimientos!$D:$D,CONCATENATE("&lt;=",BA$3),Movimientos!$C:$C,"&gt;0")+SUMIFS(Movimientos!$C:$C,Movimientos!$A:$A,$B10,Movimientos!$D:$D,CONCATENATE("&lt;",BA$3),Movimientos!$C:$C,"&lt;0")</f>
        <v>0</v>
      </c>
      <c r="BB10" s="5">
        <f ca="1">SUMIFS(Movimientos!$C:$C,Movimientos!$A:$A,$B10,Movimientos!$D:$D,CONCATENATE("&lt;=",BB$3),Movimientos!$C:$C,"&gt;0")+SUMIFS(Movimientos!$C:$C,Movimientos!$A:$A,$B10,Movimientos!$D:$D,CONCATENATE("&lt;",BB$3),Movimientos!$C:$C,"&lt;0")</f>
        <v>0</v>
      </c>
      <c r="BC10" s="5">
        <f ca="1">SUMIFS(Movimientos!$C:$C,Movimientos!$A:$A,$B10,Movimientos!$D:$D,CONCATENATE("&lt;=",BC$3),Movimientos!$C:$C,"&gt;0")+SUMIFS(Movimientos!$C:$C,Movimientos!$A:$A,$B10,Movimientos!$D:$D,CONCATENATE("&lt;",BC$3),Movimientos!$C:$C,"&lt;0")</f>
        <v>0</v>
      </c>
      <c r="BD10" s="5">
        <f ca="1">SUMIFS(Movimientos!$C:$C,Movimientos!$A:$A,$B10,Movimientos!$D:$D,CONCATENATE("&lt;=",BD$3),Movimientos!$C:$C,"&gt;0")+SUMIFS(Movimientos!$C:$C,Movimientos!$A:$A,$B10,Movimientos!$D:$D,CONCATENATE("&lt;",BD$3),Movimientos!$C:$C,"&lt;0")</f>
        <v>0</v>
      </c>
      <c r="BE10" s="5">
        <f ca="1">SUMIFS(Movimientos!$C:$C,Movimientos!$A:$A,$B10,Movimientos!$D:$D,CONCATENATE("&lt;=",BE$3),Movimientos!$C:$C,"&gt;0")+SUMIFS(Movimientos!$C:$C,Movimientos!$A:$A,$B10,Movimientos!$D:$D,CONCATENATE("&lt;",BE$3),Movimientos!$C:$C,"&lt;0")</f>
        <v>0</v>
      </c>
      <c r="BF10" s="5">
        <f ca="1">SUMIFS(Movimientos!$C:$C,Movimientos!$A:$A,$B10,Movimientos!$D:$D,CONCATENATE("&lt;=",BF$3),Movimientos!$C:$C,"&gt;0")+SUMIFS(Movimientos!$C:$C,Movimientos!$A:$A,$B10,Movimientos!$D:$D,CONCATENATE("&lt;",BF$3),Movimientos!$C:$C,"&lt;0")</f>
        <v>0</v>
      </c>
      <c r="BG10" s="5">
        <f ca="1">SUMIFS(Movimientos!$C:$C,Movimientos!$A:$A,$B10,Movimientos!$D:$D,CONCATENATE("&lt;=",BG$3),Movimientos!$C:$C,"&gt;0")+SUMIFS(Movimientos!$C:$C,Movimientos!$A:$A,$B10,Movimientos!$D:$D,CONCATENATE("&lt;",BG$3),Movimientos!$C:$C,"&lt;0")</f>
        <v>0</v>
      </c>
      <c r="BH10" s="5">
        <f ca="1">SUMIFS(Movimientos!$C:$C,Movimientos!$A:$A,$B10,Movimientos!$D:$D,CONCATENATE("&lt;=",BH$3),Movimientos!$C:$C,"&gt;0")+SUMIFS(Movimientos!$C:$C,Movimientos!$A:$A,$B10,Movimientos!$D:$D,CONCATENATE("&lt;",BH$3),Movimientos!$C:$C,"&lt;0")</f>
        <v>0</v>
      </c>
      <c r="BI10" s="5">
        <f ca="1">SUMIFS(Movimientos!$C:$C,Movimientos!$A:$A,$B10,Movimientos!$D:$D,CONCATENATE("&lt;=",BI$3),Movimientos!$C:$C,"&gt;0")+SUMIFS(Movimientos!$C:$C,Movimientos!$A:$A,$B10,Movimientos!$D:$D,CONCATENATE("&lt;",BI$3),Movimientos!$C:$C,"&lt;0")</f>
        <v>0</v>
      </c>
      <c r="BJ10" s="5">
        <f ca="1">SUMIFS(Movimientos!$C:$C,Movimientos!$A:$A,$B10,Movimientos!$D:$D,CONCATENATE("&lt;=",BJ$3),Movimientos!$C:$C,"&gt;0")+SUMIFS(Movimientos!$C:$C,Movimientos!$A:$A,$B10,Movimientos!$D:$D,CONCATENATE("&lt;",BJ$3),Movimientos!$C:$C,"&lt;0")</f>
        <v>0</v>
      </c>
      <c r="BK10" s="5">
        <f ca="1">SUMIFS(Movimientos!$C:$C,Movimientos!$A:$A,$B10,Movimientos!$D:$D,CONCATENATE("&lt;=",BK$3),Movimientos!$C:$C,"&gt;0")+SUMIFS(Movimientos!$C:$C,Movimientos!$A:$A,$B10,Movimientos!$D:$D,CONCATENATE("&lt;",BK$3),Movimientos!$C:$C,"&lt;0")</f>
        <v>0</v>
      </c>
      <c r="BL10" s="5">
        <f ca="1">SUMIFS(Movimientos!$C:$C,Movimientos!$A:$A,$B10,Movimientos!$D:$D,CONCATENATE("&lt;=",BL$3),Movimientos!$C:$C,"&gt;0")+SUMIFS(Movimientos!$C:$C,Movimientos!$A:$A,$B10,Movimientos!$D:$D,CONCATENATE("&lt;",BL$3),Movimientos!$C:$C,"&lt;0")</f>
        <v>0</v>
      </c>
      <c r="BM10" s="5">
        <f ca="1">SUMIFS(Movimientos!$C:$C,Movimientos!$A:$A,$B10,Movimientos!$D:$D,CONCATENATE("&lt;=",BM$3),Movimientos!$C:$C,"&gt;0")+SUMIFS(Movimientos!$C:$C,Movimientos!$A:$A,$B10,Movimientos!$D:$D,CONCATENATE("&lt;",BM$3),Movimientos!$C:$C,"&lt;0")</f>
        <v>0</v>
      </c>
      <c r="BN10" s="5">
        <f ca="1">SUMIFS(Movimientos!$C:$C,Movimientos!$A:$A,$B10,Movimientos!$D:$D,CONCATENATE("&lt;=",BN$3),Movimientos!$C:$C,"&gt;0")+SUMIFS(Movimientos!$C:$C,Movimientos!$A:$A,$B10,Movimientos!$D:$D,CONCATENATE("&lt;",BN$3),Movimientos!$C:$C,"&lt;0")</f>
        <v>0</v>
      </c>
      <c r="BO10" s="5">
        <f ca="1">SUMIFS(Movimientos!$C:$C,Movimientos!$A:$A,$B10,Movimientos!$D:$D,CONCATENATE("&lt;=",BO$3),Movimientos!$C:$C,"&gt;0")+SUMIFS(Movimientos!$C:$C,Movimientos!$A:$A,$B10,Movimientos!$D:$D,CONCATENATE("&lt;",BO$3),Movimientos!$C:$C,"&lt;0")</f>
        <v>0</v>
      </c>
      <c r="BP10" s="5">
        <f ca="1">SUMIFS(Movimientos!$C:$C,Movimientos!$A:$A,$B10,Movimientos!$D:$D,CONCATENATE("&lt;=",BP$3),Movimientos!$C:$C,"&gt;0")+SUMIFS(Movimientos!$C:$C,Movimientos!$A:$A,$B10,Movimientos!$D:$D,CONCATENATE("&lt;",BP$3),Movimientos!$C:$C,"&lt;0")</f>
        <v>0</v>
      </c>
      <c r="BQ10" s="5">
        <f ca="1">SUMIFS(Movimientos!$C:$C,Movimientos!$A:$A,$B10,Movimientos!$D:$D,CONCATENATE("&lt;=",BQ$3),Movimientos!$C:$C,"&gt;0")+SUMIFS(Movimientos!$C:$C,Movimientos!$A:$A,$B10,Movimientos!$D:$D,CONCATENATE("&lt;",BQ$3),Movimientos!$C:$C,"&lt;0")</f>
        <v>0</v>
      </c>
      <c r="BR10" s="5">
        <f ca="1">SUMIFS(Movimientos!$C:$C,Movimientos!$A:$A,$B10,Movimientos!$D:$D,CONCATENATE("&lt;=",BR$3),Movimientos!$C:$C,"&gt;0")+SUMIFS(Movimientos!$C:$C,Movimientos!$A:$A,$B10,Movimientos!$D:$D,CONCATENATE("&lt;",BR$3),Movimientos!$C:$C,"&lt;0")</f>
        <v>0</v>
      </c>
      <c r="BS10" s="5">
        <f ca="1">SUMIFS(Movimientos!$C:$C,Movimientos!$A:$A,$B10,Movimientos!$D:$D,CONCATENATE("&lt;=",BS$3),Movimientos!$C:$C,"&gt;0")+SUMIFS(Movimientos!$C:$C,Movimientos!$A:$A,$B10,Movimientos!$D:$D,CONCATENATE("&lt;",BS$3),Movimientos!$C:$C,"&lt;0")</f>
        <v>0</v>
      </c>
      <c r="BT10" s="5">
        <f ca="1">SUMIFS(Movimientos!$C:$C,Movimientos!$A:$A,$B10,Movimientos!$D:$D,CONCATENATE("&lt;=",BT$3),Movimientos!$C:$C,"&gt;0")+SUMIFS(Movimientos!$C:$C,Movimientos!$A:$A,$B10,Movimientos!$D:$D,CONCATENATE("&lt;",BT$3),Movimientos!$C:$C,"&lt;0")</f>
        <v>0</v>
      </c>
      <c r="BU10" s="5">
        <f ca="1">SUMIFS(Movimientos!$C:$C,Movimientos!$A:$A,$B10,Movimientos!$D:$D,CONCATENATE("&lt;=",BU$3),Movimientos!$C:$C,"&gt;0")+SUMIFS(Movimientos!$C:$C,Movimientos!$A:$A,$B10,Movimientos!$D:$D,CONCATENATE("&lt;",BU$3),Movimientos!$C:$C,"&lt;0")</f>
        <v>0</v>
      </c>
      <c r="BV10" s="5">
        <f ca="1">SUMIFS(Movimientos!$C:$C,Movimientos!$A:$A,$B10,Movimientos!$D:$D,CONCATENATE("&lt;=",BV$3),Movimientos!$C:$C,"&gt;0")+SUMIFS(Movimientos!$C:$C,Movimientos!$A:$A,$B10,Movimientos!$D:$D,CONCATENATE("&lt;",BV$3),Movimientos!$C:$C,"&lt;0")</f>
        <v>0</v>
      </c>
      <c r="BW10" s="5">
        <f ca="1">SUMIFS(Movimientos!$C:$C,Movimientos!$A:$A,$B10,Movimientos!$D:$D,CONCATENATE("&lt;=",BW$3),Movimientos!$C:$C,"&gt;0")+SUMIFS(Movimientos!$C:$C,Movimientos!$A:$A,$B10,Movimientos!$D:$D,CONCATENATE("&lt;",BW$3),Movimientos!$C:$C,"&lt;0")</f>
        <v>0</v>
      </c>
      <c r="BX10" s="5">
        <f ca="1">SUMIFS(Movimientos!$C:$C,Movimientos!$A:$A,$B10,Movimientos!$D:$D,CONCATENATE("&lt;=",BX$3),Movimientos!$C:$C,"&gt;0")+SUMIFS(Movimientos!$C:$C,Movimientos!$A:$A,$B10,Movimientos!$D:$D,CONCATENATE("&lt;",BX$3),Movimientos!$C:$C,"&lt;0")</f>
        <v>0</v>
      </c>
      <c r="BY10" s="5">
        <f ca="1">SUMIFS(Movimientos!$C:$C,Movimientos!$A:$A,$B10,Movimientos!$D:$D,CONCATENATE("&lt;=",BY$3),Movimientos!$C:$C,"&gt;0")+SUMIFS(Movimientos!$C:$C,Movimientos!$A:$A,$B10,Movimientos!$D:$D,CONCATENATE("&lt;",BY$3),Movimientos!$C:$C,"&lt;0")</f>
        <v>0</v>
      </c>
      <c r="BZ10" s="5">
        <f ca="1">SUMIFS(Movimientos!$C:$C,Movimientos!$A:$A,$B10,Movimientos!$D:$D,CONCATENATE("&lt;=",BZ$3),Movimientos!$C:$C,"&gt;0")+SUMIFS(Movimientos!$C:$C,Movimientos!$A:$A,$B10,Movimientos!$D:$D,CONCATENATE("&lt;",BZ$3),Movimientos!$C:$C,"&lt;0")</f>
        <v>0</v>
      </c>
      <c r="CA10" s="5">
        <f ca="1">SUMIFS(Movimientos!$C:$C,Movimientos!$A:$A,$B10,Movimientos!$D:$D,CONCATENATE("&lt;=",CA$3),Movimientos!$C:$C,"&gt;0")+SUMIFS(Movimientos!$C:$C,Movimientos!$A:$A,$B10,Movimientos!$D:$D,CONCATENATE("&lt;",CA$3),Movimientos!$C:$C,"&lt;0")</f>
        <v>0</v>
      </c>
      <c r="CB10" s="5">
        <f ca="1">SUMIFS(Movimientos!$C:$C,Movimientos!$A:$A,$B10,Movimientos!$D:$D,CONCATENATE("&lt;=",CB$3),Movimientos!$C:$C,"&gt;0")+SUMIFS(Movimientos!$C:$C,Movimientos!$A:$A,$B10,Movimientos!$D:$D,CONCATENATE("&lt;",CB$3),Movimientos!$C:$C,"&lt;0")</f>
        <v>0</v>
      </c>
      <c r="CC10" s="5">
        <f ca="1">SUMIFS(Movimientos!$C:$C,Movimientos!$A:$A,$B10,Movimientos!$D:$D,CONCATENATE("&lt;=",CC$3),Movimientos!$C:$C,"&gt;0")+SUMIFS(Movimientos!$C:$C,Movimientos!$A:$A,$B10,Movimientos!$D:$D,CONCATENATE("&lt;",CC$3),Movimientos!$C:$C,"&lt;0")</f>
        <v>0</v>
      </c>
      <c r="CD10" s="5">
        <f ca="1">SUMIFS(Movimientos!$C:$C,Movimientos!$A:$A,$B10,Movimientos!$D:$D,CONCATENATE("&lt;=",CD$3),Movimientos!$C:$C,"&gt;0")+SUMIFS(Movimientos!$C:$C,Movimientos!$A:$A,$B10,Movimientos!$D:$D,CONCATENATE("&lt;",CD$3),Movimientos!$C:$C,"&lt;0")</f>
        <v>0</v>
      </c>
      <c r="CE10" s="5">
        <f ca="1">SUMIFS(Movimientos!$C:$C,Movimientos!$A:$A,$B10,Movimientos!$D:$D,CONCATENATE("&lt;=",CE$3),Movimientos!$C:$C,"&gt;0")+SUMIFS(Movimientos!$C:$C,Movimientos!$A:$A,$B10,Movimientos!$D:$D,CONCATENATE("&lt;",CE$3),Movimientos!$C:$C,"&lt;0")</f>
        <v>0</v>
      </c>
      <c r="CF10" s="5">
        <f ca="1">SUMIFS(Movimientos!$C:$C,Movimientos!$A:$A,$B10,Movimientos!$D:$D,CONCATENATE("&lt;=",CF$3),Movimientos!$C:$C,"&gt;0")+SUMIFS(Movimientos!$C:$C,Movimientos!$A:$A,$B10,Movimientos!$D:$D,CONCATENATE("&lt;",CF$3),Movimientos!$C:$C,"&lt;0")</f>
        <v>0</v>
      </c>
      <c r="CG10" s="5">
        <f ca="1">SUMIFS(Movimientos!$C:$C,Movimientos!$A:$A,$B10,Movimientos!$D:$D,CONCATENATE("&lt;=",CG$3),Movimientos!$C:$C,"&gt;0")+SUMIFS(Movimientos!$C:$C,Movimientos!$A:$A,$B10,Movimientos!$D:$D,CONCATENATE("&lt;",CG$3),Movimientos!$C:$C,"&lt;0")</f>
        <v>0</v>
      </c>
      <c r="CH10" s="5">
        <f ca="1">SUMIFS(Movimientos!$C:$C,Movimientos!$A:$A,$B10,Movimientos!$D:$D,CONCATENATE("&lt;=",CH$3),Movimientos!$C:$C,"&gt;0")+SUMIFS(Movimientos!$C:$C,Movimientos!$A:$A,$B10,Movimientos!$D:$D,CONCATENATE("&lt;",CH$3),Movimientos!$C:$C,"&lt;0")</f>
        <v>0</v>
      </c>
      <c r="CI10" s="5">
        <f ca="1">SUMIFS(Movimientos!$C:$C,Movimientos!$A:$A,$B10,Movimientos!$D:$D,CONCATENATE("&lt;=",CI$3),Movimientos!$C:$C,"&gt;0")+SUMIFS(Movimientos!$C:$C,Movimientos!$A:$A,$B10,Movimientos!$D:$D,CONCATENATE("&lt;",CI$3),Movimientos!$C:$C,"&lt;0")</f>
        <v>0</v>
      </c>
      <c r="CJ10" s="5">
        <f ca="1">SUMIFS(Movimientos!$C:$C,Movimientos!$A:$A,$B10,Movimientos!$D:$D,CONCATENATE("&lt;=",CJ$3),Movimientos!$C:$C,"&gt;0")+SUMIFS(Movimientos!$C:$C,Movimientos!$A:$A,$B10,Movimientos!$D:$D,CONCATENATE("&lt;",CJ$3),Movimientos!$C:$C,"&lt;0")</f>
        <v>0</v>
      </c>
      <c r="CK10" s="5">
        <f ca="1">SUMIFS(Movimientos!$C:$C,Movimientos!$A:$A,$B10,Movimientos!$D:$D,CONCATENATE("&lt;=",CK$3),Movimientos!$C:$C,"&gt;0")+SUMIFS(Movimientos!$C:$C,Movimientos!$A:$A,$B10,Movimientos!$D:$D,CONCATENATE("&lt;",CK$3),Movimientos!$C:$C,"&lt;0")</f>
        <v>0</v>
      </c>
      <c r="CL10" s="5">
        <f ca="1">SUMIFS(Movimientos!$C:$C,Movimientos!$A:$A,$B10,Movimientos!$D:$D,CONCATENATE("&lt;=",CL$3),Movimientos!$C:$C,"&gt;0")+SUMIFS(Movimientos!$C:$C,Movimientos!$A:$A,$B10,Movimientos!$D:$D,CONCATENATE("&lt;",CL$3),Movimientos!$C:$C,"&lt;0")</f>
        <v>0</v>
      </c>
      <c r="CM10" s="5">
        <f ca="1">SUMIFS(Movimientos!$C:$C,Movimientos!$A:$A,$B10,Movimientos!$D:$D,CONCATENATE("&lt;=",CM$3),Movimientos!$C:$C,"&gt;0")+SUMIFS(Movimientos!$C:$C,Movimientos!$A:$A,$B10,Movimientos!$D:$D,CONCATENATE("&lt;",CM$3),Movimientos!$C:$C,"&lt;0")</f>
        <v>0</v>
      </c>
      <c r="CN10" s="5">
        <f ca="1">SUMIFS(Movimientos!$C:$C,Movimientos!$A:$A,$B10,Movimientos!$D:$D,CONCATENATE("&lt;=",CN$3),Movimientos!$C:$C,"&gt;0")+SUMIFS(Movimientos!$C:$C,Movimientos!$A:$A,$B10,Movimientos!$D:$D,CONCATENATE("&lt;",CN$3),Movimientos!$C:$C,"&lt;0")</f>
        <v>0</v>
      </c>
      <c r="CO10" s="5">
        <f ca="1">SUMIFS(Movimientos!$C:$C,Movimientos!$A:$A,$B10,Movimientos!$D:$D,CONCATENATE("&lt;=",CO$3),Movimientos!$C:$C,"&gt;0")+SUMIFS(Movimientos!$C:$C,Movimientos!$A:$A,$B10,Movimientos!$D:$D,CONCATENATE("&lt;",CO$3),Movimientos!$C:$C,"&lt;0")</f>
        <v>0</v>
      </c>
      <c r="CP10" s="5">
        <f ca="1">SUMIFS(Movimientos!$C:$C,Movimientos!$A:$A,$B10,Movimientos!$D:$D,CONCATENATE("&lt;=",CP$3),Movimientos!$C:$C,"&gt;0")+SUMIFS(Movimientos!$C:$C,Movimientos!$A:$A,$B10,Movimientos!$D:$D,CONCATENATE("&lt;",CP$3),Movimientos!$C:$C,"&lt;0")</f>
        <v>0</v>
      </c>
      <c r="CQ10" s="5">
        <f ca="1">SUMIFS(Movimientos!$C:$C,Movimientos!$A:$A,$B10,Movimientos!$D:$D,CONCATENATE("&lt;=",CQ$3),Movimientos!$C:$C,"&gt;0")+SUMIFS(Movimientos!$C:$C,Movimientos!$A:$A,$B10,Movimientos!$D:$D,CONCATENATE("&lt;",CQ$3),Movimientos!$C:$C,"&lt;0")</f>
        <v>0</v>
      </c>
      <c r="CR10" s="5">
        <f ca="1">SUMIFS(Movimientos!$C:$C,Movimientos!$A:$A,$B10,Movimientos!$D:$D,CONCATENATE("&lt;=",CR$3),Movimientos!$C:$C,"&gt;0")+SUMIFS(Movimientos!$C:$C,Movimientos!$A:$A,$B10,Movimientos!$D:$D,CONCATENATE("&lt;",CR$3),Movimientos!$C:$C,"&lt;0")</f>
        <v>0</v>
      </c>
      <c r="CS10" s="5">
        <f ca="1">SUMIFS(Movimientos!$C:$C,Movimientos!$A:$A,$B10,Movimientos!$D:$D,CONCATENATE("&lt;=",CS$3),Movimientos!$C:$C,"&gt;0")+SUMIFS(Movimientos!$C:$C,Movimientos!$A:$A,$B10,Movimientos!$D:$D,CONCATENATE("&lt;",CS$3),Movimientos!$C:$C,"&lt;0")</f>
        <v>0</v>
      </c>
      <c r="CT10" s="5">
        <f ca="1">SUMIFS(Movimientos!$C:$C,Movimientos!$A:$A,$B10,Movimientos!$D:$D,CONCATENATE("&lt;=",CT$3),Movimientos!$C:$C,"&gt;0")+SUMIFS(Movimientos!$C:$C,Movimientos!$A:$A,$B10,Movimientos!$D:$D,CONCATENATE("&lt;",CT$3),Movimientos!$C:$C,"&lt;0")</f>
        <v>0</v>
      </c>
      <c r="CU10" s="5">
        <f ca="1">SUMIFS(Movimientos!$C:$C,Movimientos!$A:$A,$B10,Movimientos!$D:$D,CONCATENATE("&lt;=",CU$3),Movimientos!$C:$C,"&gt;0")+SUMIFS(Movimientos!$C:$C,Movimientos!$A:$A,$B10,Movimientos!$D:$D,CONCATENATE("&lt;",CU$3),Movimientos!$C:$C,"&lt;0")</f>
        <v>0</v>
      </c>
      <c r="CV10" s="5">
        <f ca="1">SUMIFS(Movimientos!$C:$C,Movimientos!$A:$A,$B10,Movimientos!$D:$D,CONCATENATE("&lt;=",CV$3),Movimientos!$C:$C,"&gt;0")+SUMIFS(Movimientos!$C:$C,Movimientos!$A:$A,$B10,Movimientos!$D:$D,CONCATENATE("&lt;",CV$3),Movimientos!$C:$C,"&lt;0")</f>
        <v>0</v>
      </c>
      <c r="CW10" s="5">
        <f ca="1">SUMIFS(Movimientos!$C:$C,Movimientos!$A:$A,$B10,Movimientos!$D:$D,CONCATENATE("&lt;=",CW$3),Movimientos!$C:$C,"&gt;0")+SUMIFS(Movimientos!$C:$C,Movimientos!$A:$A,$B10,Movimientos!$D:$D,CONCATENATE("&lt;",CW$3),Movimientos!$C:$C,"&lt;0")</f>
        <v>0</v>
      </c>
      <c r="CX10" s="5">
        <f ca="1">SUMIFS(Movimientos!$C:$C,Movimientos!$A:$A,$B10,Movimientos!$D:$D,CONCATENATE("&lt;=",CX$3),Movimientos!$C:$C,"&gt;0")+SUMIFS(Movimientos!$C:$C,Movimientos!$A:$A,$B10,Movimientos!$D:$D,CONCATENATE("&lt;",CX$3),Movimientos!$C:$C,"&lt;0")</f>
        <v>0</v>
      </c>
      <c r="CY10" s="5">
        <f ca="1">SUMIFS(Movimientos!$C:$C,Movimientos!$A:$A,$B10,Movimientos!$D:$D,CONCATENATE("&lt;=",CY$3),Movimientos!$C:$C,"&gt;0")+SUMIFS(Movimientos!$C:$C,Movimientos!$A:$A,$B10,Movimientos!$D:$D,CONCATENATE("&lt;",CY$3),Movimientos!$C:$C,"&lt;0")</f>
        <v>0</v>
      </c>
      <c r="CZ10" s="5">
        <f ca="1">SUMIFS(Movimientos!$C:$C,Movimientos!$A:$A,$B10,Movimientos!$D:$D,CONCATENATE("&lt;=",CZ$3),Movimientos!$C:$C,"&gt;0")+SUMIFS(Movimientos!$C:$C,Movimientos!$A:$A,$B10,Movimientos!$D:$D,CONCATENATE("&lt;",CZ$3),Movimientos!$C:$C,"&lt;0")</f>
        <v>0</v>
      </c>
      <c r="DA10" s="5">
        <f ca="1">SUMIFS(Movimientos!$C:$C,Movimientos!$A:$A,$B10,Movimientos!$D:$D,CONCATENATE("&lt;=",DA$3),Movimientos!$C:$C,"&gt;0")+SUMIFS(Movimientos!$C:$C,Movimientos!$A:$A,$B10,Movimientos!$D:$D,CONCATENATE("&lt;",DA$3),Movimientos!$C:$C,"&lt;0")</f>
        <v>0</v>
      </c>
      <c r="DB10" s="5">
        <f ca="1">SUMIFS(Movimientos!$C:$C,Movimientos!$A:$A,$B10,Movimientos!$D:$D,CONCATENATE("&lt;=",DB$3),Movimientos!$C:$C,"&gt;0")+SUMIFS(Movimientos!$C:$C,Movimientos!$A:$A,$B10,Movimientos!$D:$D,CONCATENATE("&lt;",DB$3),Movimientos!$C:$C,"&lt;0")</f>
        <v>0</v>
      </c>
      <c r="DC10" s="5">
        <f ca="1">SUMIFS(Movimientos!$C:$C,Movimientos!$A:$A,$B10,Movimientos!$D:$D,CONCATENATE("&lt;=",DC$3),Movimientos!$C:$C,"&gt;0")+SUMIFS(Movimientos!$C:$C,Movimientos!$A:$A,$B10,Movimientos!$D:$D,CONCATENATE("&lt;",DC$3),Movimientos!$C:$C,"&lt;0")</f>
        <v>0</v>
      </c>
      <c r="DD10" s="5">
        <f ca="1">SUMIFS(Movimientos!$C:$C,Movimientos!$A:$A,$B10,Movimientos!$D:$D,CONCATENATE("&lt;=",DD$3),Movimientos!$C:$C,"&gt;0")+SUMIFS(Movimientos!$C:$C,Movimientos!$A:$A,$B10,Movimientos!$D:$D,CONCATENATE("&lt;",DD$3),Movimientos!$C:$C,"&lt;0")</f>
        <v>0</v>
      </c>
      <c r="DE10" s="5">
        <f ca="1">SUMIFS(Movimientos!$C:$C,Movimientos!$A:$A,$B10,Movimientos!$D:$D,CONCATENATE("&lt;=",DE$3),Movimientos!$C:$C,"&gt;0")+SUMIFS(Movimientos!$C:$C,Movimientos!$A:$A,$B10,Movimientos!$D:$D,CONCATENATE("&lt;",DE$3),Movimientos!$C:$C,"&lt;0")</f>
        <v>0</v>
      </c>
      <c r="DF10" s="5">
        <f ca="1">SUMIFS(Movimientos!$C:$C,Movimientos!$A:$A,$B10,Movimientos!$D:$D,CONCATENATE("&lt;=",DF$3),Movimientos!$C:$C,"&gt;0")+SUMIFS(Movimientos!$C:$C,Movimientos!$A:$A,$B10,Movimientos!$D:$D,CONCATENATE("&lt;",DF$3),Movimientos!$C:$C,"&lt;0")</f>
        <v>0</v>
      </c>
      <c r="DG10" s="5">
        <f ca="1">SUMIFS(Movimientos!$C:$C,Movimientos!$A:$A,$B10,Movimientos!$D:$D,CONCATENATE("&lt;=",DG$3),Movimientos!$C:$C,"&gt;0")+SUMIFS(Movimientos!$C:$C,Movimientos!$A:$A,$B10,Movimientos!$D:$D,CONCATENATE("&lt;",DG$3),Movimientos!$C:$C,"&lt;0")</f>
        <v>0</v>
      </c>
      <c r="DH10" s="5">
        <f ca="1">SUMIFS(Movimientos!$C:$C,Movimientos!$A:$A,$B10,Movimientos!$D:$D,CONCATENATE("&lt;=",DH$3),Movimientos!$C:$C,"&gt;0")+SUMIFS(Movimientos!$C:$C,Movimientos!$A:$A,$B10,Movimientos!$D:$D,CONCATENATE("&lt;",DH$3),Movimientos!$C:$C,"&lt;0")</f>
        <v>0</v>
      </c>
      <c r="DI10" s="5">
        <f ca="1">SUMIFS(Movimientos!$C:$C,Movimientos!$A:$A,$B10,Movimientos!$D:$D,CONCATENATE("&lt;=",DI$3),Movimientos!$C:$C,"&gt;0")+SUMIFS(Movimientos!$C:$C,Movimientos!$A:$A,$B10,Movimientos!$D:$D,CONCATENATE("&lt;",DI$3),Movimientos!$C:$C,"&lt;0")</f>
        <v>0</v>
      </c>
      <c r="DJ10" s="5">
        <f ca="1">SUMIFS(Movimientos!$C:$C,Movimientos!$A:$A,$B10,Movimientos!$D:$D,CONCATENATE("&lt;=",DJ$3),Movimientos!$C:$C,"&gt;0")+SUMIFS(Movimientos!$C:$C,Movimientos!$A:$A,$B10,Movimientos!$D:$D,CONCATENATE("&lt;",DJ$3),Movimientos!$C:$C,"&lt;0")</f>
        <v>0</v>
      </c>
      <c r="DK10" s="5">
        <f ca="1">SUMIFS(Movimientos!$C:$C,Movimientos!$A:$A,$B10,Movimientos!$D:$D,CONCATENATE("&lt;=",DK$3),Movimientos!$C:$C,"&gt;0")+SUMIFS(Movimientos!$C:$C,Movimientos!$A:$A,$B10,Movimientos!$D:$D,CONCATENATE("&lt;",DK$3),Movimientos!$C:$C,"&lt;0")</f>
        <v>0</v>
      </c>
      <c r="DL10" s="5">
        <f ca="1">SUMIFS(Movimientos!$C:$C,Movimientos!$A:$A,$B10,Movimientos!$D:$D,CONCATENATE("&lt;=",DL$3),Movimientos!$C:$C,"&gt;0")+SUMIFS(Movimientos!$C:$C,Movimientos!$A:$A,$B10,Movimientos!$D:$D,CONCATENATE("&lt;",DL$3),Movimientos!$C:$C,"&lt;0")</f>
        <v>0</v>
      </c>
      <c r="DM10" s="5">
        <f ca="1">SUMIFS(Movimientos!$C:$C,Movimientos!$A:$A,$B10,Movimientos!$D:$D,CONCATENATE("&lt;=",DM$3),Movimientos!$C:$C,"&gt;0")+SUMIFS(Movimientos!$C:$C,Movimientos!$A:$A,$B10,Movimientos!$D:$D,CONCATENATE("&lt;",DM$3),Movimientos!$C:$C,"&lt;0")</f>
        <v>0</v>
      </c>
      <c r="DN10" s="5">
        <f ca="1">SUMIFS(Movimientos!$C:$C,Movimientos!$A:$A,$B10,Movimientos!$D:$D,CONCATENATE("&lt;=",DN$3),Movimientos!$C:$C,"&gt;0")+SUMIFS(Movimientos!$C:$C,Movimientos!$A:$A,$B10,Movimientos!$D:$D,CONCATENATE("&lt;",DN$3),Movimientos!$C:$C,"&lt;0")</f>
        <v>0</v>
      </c>
      <c r="DO10" s="5">
        <f ca="1">SUMIFS(Movimientos!$C:$C,Movimientos!$A:$A,$B10,Movimientos!$D:$D,CONCATENATE("&lt;=",DO$3),Movimientos!$C:$C,"&gt;0")+SUMIFS(Movimientos!$C:$C,Movimientos!$A:$A,$B10,Movimientos!$D:$D,CONCATENATE("&lt;",DO$3),Movimientos!$C:$C,"&lt;0")</f>
        <v>0</v>
      </c>
      <c r="DP10" s="5">
        <f ca="1">SUMIFS(Movimientos!$C:$C,Movimientos!$A:$A,$B10,Movimientos!$D:$D,CONCATENATE("&lt;=",DP$3),Movimientos!$C:$C,"&gt;0")+SUMIFS(Movimientos!$C:$C,Movimientos!$A:$A,$B10,Movimientos!$D:$D,CONCATENATE("&lt;",DP$3),Movimientos!$C:$C,"&lt;0")</f>
        <v>0</v>
      </c>
      <c r="DQ10" s="5">
        <f ca="1">SUMIFS(Movimientos!$C:$C,Movimientos!$A:$A,$B10,Movimientos!$D:$D,CONCATENATE("&lt;=",DQ$3),Movimientos!$C:$C,"&gt;0")+SUMIFS(Movimientos!$C:$C,Movimientos!$A:$A,$B10,Movimientos!$D:$D,CONCATENATE("&lt;",DQ$3),Movimientos!$C:$C,"&lt;0")</f>
        <v>0</v>
      </c>
      <c r="DR10" s="5">
        <f ca="1">SUMIFS(Movimientos!$C:$C,Movimientos!$A:$A,$B10,Movimientos!$D:$D,CONCATENATE("&lt;=",DR$3),Movimientos!$C:$C,"&gt;0")+SUMIFS(Movimientos!$C:$C,Movimientos!$A:$A,$B10,Movimientos!$D:$D,CONCATENATE("&lt;",DR$3),Movimientos!$C:$C,"&lt;0")</f>
        <v>0</v>
      </c>
      <c r="DS10" s="5">
        <f ca="1">SUMIFS(Movimientos!$C:$C,Movimientos!$A:$A,$B10,Movimientos!$D:$D,CONCATENATE("&lt;=",DS$3),Movimientos!$C:$C,"&gt;0")+SUMIFS(Movimientos!$C:$C,Movimientos!$A:$A,$B10,Movimientos!$D:$D,CONCATENATE("&lt;",DS$3),Movimientos!$C:$C,"&lt;0")</f>
        <v>0</v>
      </c>
      <c r="DT10" s="5">
        <f ca="1">SUMIFS(Movimientos!$C:$C,Movimientos!$A:$A,$B10,Movimientos!$D:$D,CONCATENATE("&lt;=",DT$3),Movimientos!$C:$C,"&gt;0")+SUMIFS(Movimientos!$C:$C,Movimientos!$A:$A,$B10,Movimientos!$D:$D,CONCATENATE("&lt;",DT$3),Movimientos!$C:$C,"&lt;0")</f>
        <v>0</v>
      </c>
      <c r="DU10" s="5">
        <f ca="1">SUMIFS(Movimientos!$C:$C,Movimientos!$A:$A,$B10,Movimientos!$D:$D,CONCATENATE("&lt;=",DU$3),Movimientos!$C:$C,"&gt;0")+SUMIFS(Movimientos!$C:$C,Movimientos!$A:$A,$B10,Movimientos!$D:$D,CONCATENATE("&lt;",DU$3),Movimientos!$C:$C,"&lt;0")</f>
        <v>0</v>
      </c>
      <c r="DV10" s="5">
        <f ca="1">SUMIFS(Movimientos!$C:$C,Movimientos!$A:$A,$B10,Movimientos!$D:$D,CONCATENATE("&lt;=",DV$3),Movimientos!$C:$C,"&gt;0")+SUMIFS(Movimientos!$C:$C,Movimientos!$A:$A,$B10,Movimientos!$D:$D,CONCATENATE("&lt;",DV$3),Movimientos!$C:$C,"&lt;0")</f>
        <v>0</v>
      </c>
      <c r="DW10" s="5">
        <f ca="1">SUMIFS(Movimientos!$C:$C,Movimientos!$A:$A,$B10,Movimientos!$D:$D,CONCATENATE("&lt;=",DW$3),Movimientos!$C:$C,"&gt;0")+SUMIFS(Movimientos!$C:$C,Movimientos!$A:$A,$B10,Movimientos!$D:$D,CONCATENATE("&lt;",DW$3),Movimientos!$C:$C,"&lt;0")</f>
        <v>0</v>
      </c>
      <c r="DX10" s="5">
        <f ca="1">SUMIFS(Movimientos!$C:$C,Movimientos!$A:$A,$B10,Movimientos!$D:$D,CONCATENATE("&lt;=",DX$3),Movimientos!$C:$C,"&gt;0")+SUMIFS(Movimientos!$C:$C,Movimientos!$A:$A,$B10,Movimientos!$D:$D,CONCATENATE("&lt;",DX$3),Movimientos!$C:$C,"&lt;0")</f>
        <v>0</v>
      </c>
      <c r="DY10" s="5">
        <f ca="1">SUMIFS(Movimientos!$C:$C,Movimientos!$A:$A,$B10,Movimientos!$D:$D,CONCATENATE("&lt;=",DY$3),Movimientos!$C:$C,"&gt;0")+SUMIFS(Movimientos!$C:$C,Movimientos!$A:$A,$B10,Movimientos!$D:$D,CONCATENATE("&lt;",DY$3),Movimientos!$C:$C,"&lt;0")</f>
        <v>0</v>
      </c>
      <c r="DZ10" s="5">
        <f ca="1">SUMIFS(Movimientos!$C:$C,Movimientos!$A:$A,$B10,Movimientos!$D:$D,CONCATENATE("&lt;=",DZ$3),Movimientos!$C:$C,"&gt;0")+SUMIFS(Movimientos!$C:$C,Movimientos!$A:$A,$B10,Movimientos!$D:$D,CONCATENATE("&lt;",DZ$3),Movimientos!$C:$C,"&lt;0")</f>
        <v>0</v>
      </c>
      <c r="EA10" s="5">
        <f ca="1">SUMIFS(Movimientos!$C:$C,Movimientos!$A:$A,$B10,Movimientos!$D:$D,CONCATENATE("&lt;=",EA$3),Movimientos!$C:$C,"&gt;0")+SUMIFS(Movimientos!$C:$C,Movimientos!$A:$A,$B10,Movimientos!$D:$D,CONCATENATE("&lt;",EA$3),Movimientos!$C:$C,"&lt;0")</f>
        <v>0</v>
      </c>
      <c r="EB10" s="5">
        <f ca="1">SUMIFS(Movimientos!$C:$C,Movimientos!$A:$A,$B10,Movimientos!$D:$D,CONCATENATE("&lt;=",EB$3),Movimientos!$C:$C,"&gt;0")+SUMIFS(Movimientos!$C:$C,Movimientos!$A:$A,$B10,Movimientos!$D:$D,CONCATENATE("&lt;",EB$3),Movimientos!$C:$C,"&lt;0")</f>
        <v>0</v>
      </c>
      <c r="EC10" s="5">
        <f ca="1">SUMIFS(Movimientos!$C:$C,Movimientos!$A:$A,$B10,Movimientos!$D:$D,CONCATENATE("&lt;=",EC$3),Movimientos!$C:$C,"&gt;0")+SUMIFS(Movimientos!$C:$C,Movimientos!$A:$A,$B10,Movimientos!$D:$D,CONCATENATE("&lt;",EC$3),Movimientos!$C:$C,"&lt;0")</f>
        <v>0</v>
      </c>
      <c r="ED10" s="5">
        <f ca="1">SUMIFS(Movimientos!$C:$C,Movimientos!$A:$A,$B10,Movimientos!$D:$D,CONCATENATE("&lt;=",ED$3),Movimientos!$C:$C,"&gt;0")+SUMIFS(Movimientos!$C:$C,Movimientos!$A:$A,$B10,Movimientos!$D:$D,CONCATENATE("&lt;",ED$3),Movimientos!$C:$C,"&lt;0")</f>
        <v>0</v>
      </c>
      <c r="EE10" s="5">
        <f ca="1">SUMIFS(Movimientos!$C:$C,Movimientos!$A:$A,$B10,Movimientos!$D:$D,CONCATENATE("&lt;=",EE$3),Movimientos!$C:$C,"&gt;0")+SUMIFS(Movimientos!$C:$C,Movimientos!$A:$A,$B10,Movimientos!$D:$D,CONCATENATE("&lt;",EE$3),Movimientos!$C:$C,"&lt;0")</f>
        <v>0</v>
      </c>
      <c r="EF10" s="5">
        <f ca="1">SUMIFS(Movimientos!$C:$C,Movimientos!$A:$A,$B10,Movimientos!$D:$D,CONCATENATE("&lt;=",EF$3),Movimientos!$C:$C,"&gt;0")+SUMIFS(Movimientos!$C:$C,Movimientos!$A:$A,$B10,Movimientos!$D:$D,CONCATENATE("&lt;",EF$3),Movimientos!$C:$C,"&lt;0")</f>
        <v>0</v>
      </c>
      <c r="EG10" s="5">
        <f ca="1">SUMIFS(Movimientos!$C:$C,Movimientos!$A:$A,$B10,Movimientos!$D:$D,CONCATENATE("&lt;=",EG$3),Movimientos!$C:$C,"&gt;0")+SUMIFS(Movimientos!$C:$C,Movimientos!$A:$A,$B10,Movimientos!$D:$D,CONCATENATE("&lt;",EG$3),Movimientos!$C:$C,"&lt;0")</f>
        <v>0</v>
      </c>
      <c r="EH10" s="5">
        <f ca="1">SUMIFS(Movimientos!$C:$C,Movimientos!$A:$A,$B10,Movimientos!$D:$D,CONCATENATE("&lt;=",EH$3),Movimientos!$C:$C,"&gt;0")+SUMIFS(Movimientos!$C:$C,Movimientos!$A:$A,$B10,Movimientos!$D:$D,CONCATENATE("&lt;",EH$3),Movimientos!$C:$C,"&lt;0")</f>
        <v>0</v>
      </c>
      <c r="EI10" s="5">
        <f ca="1">SUMIFS(Movimientos!$C:$C,Movimientos!$A:$A,$B10,Movimientos!$D:$D,CONCATENATE("&lt;=",EI$3),Movimientos!$C:$C,"&gt;0")+SUMIFS(Movimientos!$C:$C,Movimientos!$A:$A,$B10,Movimientos!$D:$D,CONCATENATE("&lt;",EI$3),Movimientos!$C:$C,"&lt;0")</f>
        <v>0</v>
      </c>
      <c r="EJ10" s="5">
        <f ca="1">SUMIFS(Movimientos!$C:$C,Movimientos!$A:$A,$B10,Movimientos!$D:$D,CONCATENATE("&lt;=",EJ$3),Movimientos!$C:$C,"&gt;0")+SUMIFS(Movimientos!$C:$C,Movimientos!$A:$A,$B10,Movimientos!$D:$D,CONCATENATE("&lt;",EJ$3),Movimientos!$C:$C,"&lt;0")</f>
        <v>0</v>
      </c>
      <c r="EK10" s="5">
        <f ca="1">SUMIFS(Movimientos!$C:$C,Movimientos!$A:$A,$B10,Movimientos!$D:$D,CONCATENATE("&lt;=",EK$3),Movimientos!$C:$C,"&gt;0")+SUMIFS(Movimientos!$C:$C,Movimientos!$A:$A,$B10,Movimientos!$D:$D,CONCATENATE("&lt;",EK$3),Movimientos!$C:$C,"&lt;0")</f>
        <v>0</v>
      </c>
      <c r="EL10" s="5">
        <f ca="1">SUMIFS(Movimientos!$C:$C,Movimientos!$A:$A,$B10,Movimientos!$D:$D,CONCATENATE("&lt;=",EL$3),Movimientos!$C:$C,"&gt;0")+SUMIFS(Movimientos!$C:$C,Movimientos!$A:$A,$B10,Movimientos!$D:$D,CONCATENATE("&lt;",EL$3),Movimientos!$C:$C,"&lt;0")</f>
        <v>0</v>
      </c>
      <c r="EM10" s="5">
        <f ca="1">SUMIFS(Movimientos!$C:$C,Movimientos!$A:$A,$B10,Movimientos!$D:$D,CONCATENATE("&lt;=",EM$3),Movimientos!$C:$C,"&gt;0")+SUMIFS(Movimientos!$C:$C,Movimientos!$A:$A,$B10,Movimientos!$D:$D,CONCATENATE("&lt;",EM$3),Movimientos!$C:$C,"&lt;0")</f>
        <v>0</v>
      </c>
      <c r="EN10" s="5">
        <f ca="1">SUMIFS(Movimientos!$C:$C,Movimientos!$A:$A,$B10,Movimientos!$D:$D,CONCATENATE("&lt;=",EN$3),Movimientos!$C:$C,"&gt;0")+SUMIFS(Movimientos!$C:$C,Movimientos!$A:$A,$B10,Movimientos!$D:$D,CONCATENATE("&lt;",EN$3),Movimientos!$C:$C,"&lt;0")</f>
        <v>0</v>
      </c>
      <c r="EO10" s="5">
        <f ca="1">SUMIFS(Movimientos!$C:$C,Movimientos!$A:$A,$B10,Movimientos!$D:$D,CONCATENATE("&lt;=",EO$3),Movimientos!$C:$C,"&gt;0")+SUMIFS(Movimientos!$C:$C,Movimientos!$A:$A,$B10,Movimientos!$D:$D,CONCATENATE("&lt;",EO$3),Movimientos!$C:$C,"&lt;0")</f>
        <v>0</v>
      </c>
      <c r="EP10" s="5">
        <f ca="1">SUMIFS(Movimientos!$C:$C,Movimientos!$A:$A,$B10,Movimientos!$D:$D,CONCATENATE("&lt;=",EP$3),Movimientos!$C:$C,"&gt;0")+SUMIFS(Movimientos!$C:$C,Movimientos!$A:$A,$B10,Movimientos!$D:$D,CONCATENATE("&lt;",EP$3),Movimientos!$C:$C,"&lt;0")</f>
        <v>0</v>
      </c>
      <c r="EQ10" s="5">
        <f ca="1">SUMIFS(Movimientos!$C:$C,Movimientos!$A:$A,$B10,Movimientos!$D:$D,CONCATENATE("&lt;=",EQ$3),Movimientos!$C:$C,"&gt;0")+SUMIFS(Movimientos!$C:$C,Movimientos!$A:$A,$B10,Movimientos!$D:$D,CONCATENATE("&lt;",EQ$3),Movimientos!$C:$C,"&lt;0")</f>
        <v>0</v>
      </c>
      <c r="ER10" s="5">
        <f ca="1">SUMIFS(Movimientos!$C:$C,Movimientos!$A:$A,$B10,Movimientos!$D:$D,CONCATENATE("&lt;=",ER$3),Movimientos!$C:$C,"&gt;0")+SUMIFS(Movimientos!$C:$C,Movimientos!$A:$A,$B10,Movimientos!$D:$D,CONCATENATE("&lt;",ER$3),Movimientos!$C:$C,"&lt;0")</f>
        <v>0</v>
      </c>
      <c r="ES10" s="5">
        <f ca="1">SUMIFS(Movimientos!$C:$C,Movimientos!$A:$A,$B10,Movimientos!$D:$D,CONCATENATE("&lt;=",ES$3),Movimientos!$C:$C,"&gt;0")+SUMIFS(Movimientos!$C:$C,Movimientos!$A:$A,$B10,Movimientos!$D:$D,CONCATENATE("&lt;",ES$3),Movimientos!$C:$C,"&lt;0")</f>
        <v>0</v>
      </c>
      <c r="ET10" s="5">
        <f ca="1">SUMIFS(Movimientos!$C:$C,Movimientos!$A:$A,$B10,Movimientos!$D:$D,CONCATENATE("&lt;=",ET$3),Movimientos!$C:$C,"&gt;0")+SUMIFS(Movimientos!$C:$C,Movimientos!$A:$A,$B10,Movimientos!$D:$D,CONCATENATE("&lt;",ET$3),Movimientos!$C:$C,"&lt;0")</f>
        <v>0</v>
      </c>
      <c r="EU10" s="5">
        <f ca="1">SUMIFS(Movimientos!$C:$C,Movimientos!$A:$A,$B10,Movimientos!$D:$D,CONCATENATE("&lt;=",EU$3),Movimientos!$C:$C,"&gt;0")+SUMIFS(Movimientos!$C:$C,Movimientos!$A:$A,$B10,Movimientos!$D:$D,CONCATENATE("&lt;",EU$3),Movimientos!$C:$C,"&lt;0")</f>
        <v>0</v>
      </c>
      <c r="EV10" s="5">
        <f ca="1">SUMIFS(Movimientos!$C:$C,Movimientos!$A:$A,$B10,Movimientos!$D:$D,CONCATENATE("&lt;=",EV$3),Movimientos!$C:$C,"&gt;0")+SUMIFS(Movimientos!$C:$C,Movimientos!$A:$A,$B10,Movimientos!$D:$D,CONCATENATE("&lt;",EV$3),Movimientos!$C:$C,"&lt;0")</f>
        <v>0</v>
      </c>
      <c r="EW10" s="5">
        <f ca="1">SUMIFS(Movimientos!$C:$C,Movimientos!$A:$A,$B10,Movimientos!$D:$D,CONCATENATE("&lt;=",EW$3),Movimientos!$C:$C,"&gt;0")+SUMIFS(Movimientos!$C:$C,Movimientos!$A:$A,$B10,Movimientos!$D:$D,CONCATENATE("&lt;",EW$3),Movimientos!$C:$C,"&lt;0")</f>
        <v>0</v>
      </c>
      <c r="EX10" s="5">
        <f ca="1">SUMIFS(Movimientos!$C:$C,Movimientos!$A:$A,$B10,Movimientos!$D:$D,CONCATENATE("&lt;=",EX$3),Movimientos!$C:$C,"&gt;0")+SUMIFS(Movimientos!$C:$C,Movimientos!$A:$A,$B10,Movimientos!$D:$D,CONCATENATE("&lt;",EX$3),Movimientos!$C:$C,"&lt;0")</f>
        <v>0</v>
      </c>
      <c r="EY10" s="5">
        <f ca="1">SUMIFS(Movimientos!$C:$C,Movimientos!$A:$A,$B10,Movimientos!$D:$D,CONCATENATE("&lt;=",EY$3),Movimientos!$C:$C,"&gt;0")+SUMIFS(Movimientos!$C:$C,Movimientos!$A:$A,$B10,Movimientos!$D:$D,CONCATENATE("&lt;",EY$3),Movimientos!$C:$C,"&lt;0")</f>
        <v>0</v>
      </c>
      <c r="EZ10" s="5">
        <f ca="1">SUMIFS(Movimientos!$C:$C,Movimientos!$A:$A,$B10,Movimientos!$D:$D,CONCATENATE("&lt;=",EZ$3),Movimientos!$C:$C,"&gt;0")+SUMIFS(Movimientos!$C:$C,Movimientos!$A:$A,$B10,Movimientos!$D:$D,CONCATENATE("&lt;",EZ$3),Movimientos!$C:$C,"&lt;0")</f>
        <v>0</v>
      </c>
      <c r="FA10" s="5">
        <f ca="1">SUMIFS(Movimientos!$C:$C,Movimientos!$A:$A,$B10,Movimientos!$D:$D,CONCATENATE("&lt;=",FA$3),Movimientos!$C:$C,"&gt;0")+SUMIFS(Movimientos!$C:$C,Movimientos!$A:$A,$B10,Movimientos!$D:$D,CONCATENATE("&lt;",FA$3),Movimientos!$C:$C,"&lt;0")</f>
        <v>0</v>
      </c>
      <c r="FB10" s="5">
        <f ca="1">SUMIFS(Movimientos!$C:$C,Movimientos!$A:$A,$B10,Movimientos!$D:$D,CONCATENATE("&lt;=",FB$3),Movimientos!$C:$C,"&gt;0")+SUMIFS(Movimientos!$C:$C,Movimientos!$A:$A,$B10,Movimientos!$D:$D,CONCATENATE("&lt;",FB$3),Movimientos!$C:$C,"&lt;0")</f>
        <v>0</v>
      </c>
      <c r="FC10" s="5">
        <f ca="1">SUMIFS(Movimientos!$C:$C,Movimientos!$A:$A,$B10,Movimientos!$D:$D,CONCATENATE("&lt;=",FC$3),Movimientos!$C:$C,"&gt;0")+SUMIFS(Movimientos!$C:$C,Movimientos!$A:$A,$B10,Movimientos!$D:$D,CONCATENATE("&lt;",FC$3),Movimientos!$C:$C,"&lt;0")</f>
        <v>0</v>
      </c>
      <c r="FD10" s="5">
        <f ca="1">SUMIFS(Movimientos!$C:$C,Movimientos!$A:$A,$B10,Movimientos!$D:$D,CONCATENATE("&lt;=",FD$3),Movimientos!$C:$C,"&gt;0")+SUMIFS(Movimientos!$C:$C,Movimientos!$A:$A,$B10,Movimientos!$D:$D,CONCATENATE("&lt;",FD$3),Movimientos!$C:$C,"&lt;0")</f>
        <v>0</v>
      </c>
      <c r="FE10" s="5">
        <f ca="1">SUMIFS(Movimientos!$C:$C,Movimientos!$A:$A,$B10,Movimientos!$D:$D,CONCATENATE("&lt;=",FE$3),Movimientos!$C:$C,"&gt;0")+SUMIFS(Movimientos!$C:$C,Movimientos!$A:$A,$B10,Movimientos!$D:$D,CONCATENATE("&lt;",FE$3),Movimientos!$C:$C,"&lt;0")</f>
        <v>0</v>
      </c>
      <c r="FF10" s="5">
        <f ca="1">SUMIFS(Movimientos!$C:$C,Movimientos!$A:$A,$B10,Movimientos!$D:$D,CONCATENATE("&lt;=",FF$3),Movimientos!$C:$C,"&gt;0")+SUMIFS(Movimientos!$C:$C,Movimientos!$A:$A,$B10,Movimientos!$D:$D,CONCATENATE("&lt;",FF$3),Movimientos!$C:$C,"&lt;0")</f>
        <v>0</v>
      </c>
      <c r="FG10" s="5">
        <f ca="1">SUMIFS(Movimientos!$C:$C,Movimientos!$A:$A,$B10,Movimientos!$D:$D,CONCATENATE("&lt;=",FG$3),Movimientos!$C:$C,"&gt;0")+SUMIFS(Movimientos!$C:$C,Movimientos!$A:$A,$B10,Movimientos!$D:$D,CONCATENATE("&lt;",FG$3),Movimientos!$C:$C,"&lt;0")</f>
        <v>0</v>
      </c>
      <c r="FH10" s="5">
        <f ca="1">SUMIFS(Movimientos!$C:$C,Movimientos!$A:$A,$B10,Movimientos!$D:$D,CONCATENATE("&lt;=",FH$3),Movimientos!$C:$C,"&gt;0")+SUMIFS(Movimientos!$C:$C,Movimientos!$A:$A,$B10,Movimientos!$D:$D,CONCATENATE("&lt;",FH$3),Movimientos!$C:$C,"&lt;0")</f>
        <v>0</v>
      </c>
      <c r="FI10" s="5">
        <f ca="1">SUMIFS(Movimientos!$C:$C,Movimientos!$A:$A,$B10,Movimientos!$D:$D,CONCATENATE("&lt;=",FI$3),Movimientos!$C:$C,"&gt;0")+SUMIFS(Movimientos!$C:$C,Movimientos!$A:$A,$B10,Movimientos!$D:$D,CONCATENATE("&lt;",FI$3),Movimientos!$C:$C,"&lt;0")</f>
        <v>0</v>
      </c>
      <c r="FJ10" s="5">
        <f ca="1">SUMIFS(Movimientos!$C:$C,Movimientos!$A:$A,$B10,Movimientos!$D:$D,CONCATENATE("&lt;=",FJ$3),Movimientos!$C:$C,"&gt;0")+SUMIFS(Movimientos!$C:$C,Movimientos!$A:$A,$B10,Movimientos!$D:$D,CONCATENATE("&lt;",FJ$3),Movimientos!$C:$C,"&lt;0")</f>
        <v>0</v>
      </c>
      <c r="FK10" s="5">
        <f ca="1">SUMIFS(Movimientos!$C:$C,Movimientos!$A:$A,$B10,Movimientos!$D:$D,CONCATENATE("&lt;=",FK$3),Movimientos!$C:$C,"&gt;0")+SUMIFS(Movimientos!$C:$C,Movimientos!$A:$A,$B10,Movimientos!$D:$D,CONCATENATE("&lt;",FK$3),Movimientos!$C:$C,"&lt;0")</f>
        <v>0</v>
      </c>
      <c r="FL10" s="5">
        <f ca="1">SUMIFS(Movimientos!$C:$C,Movimientos!$A:$A,$B10,Movimientos!$D:$D,CONCATENATE("&lt;=",FL$3),Movimientos!$C:$C,"&gt;0")+SUMIFS(Movimientos!$C:$C,Movimientos!$A:$A,$B10,Movimientos!$D:$D,CONCATENATE("&lt;",FL$3),Movimientos!$C:$C,"&lt;0")</f>
        <v>0</v>
      </c>
      <c r="FM10" s="5">
        <f ca="1">SUMIFS(Movimientos!$C:$C,Movimientos!$A:$A,$B10,Movimientos!$D:$D,CONCATENATE("&lt;=",FM$3),Movimientos!$C:$C,"&gt;0")+SUMIFS(Movimientos!$C:$C,Movimientos!$A:$A,$B10,Movimientos!$D:$D,CONCATENATE("&lt;",FM$3),Movimientos!$C:$C,"&lt;0")</f>
        <v>0</v>
      </c>
      <c r="FN10" s="5">
        <f ca="1">SUMIFS(Movimientos!$C:$C,Movimientos!$A:$A,$B10,Movimientos!$D:$D,CONCATENATE("&lt;=",FN$3),Movimientos!$C:$C,"&gt;0")+SUMIFS(Movimientos!$C:$C,Movimientos!$A:$A,$B10,Movimientos!$D:$D,CONCATENATE("&lt;",FN$3),Movimientos!$C:$C,"&lt;0")</f>
        <v>0</v>
      </c>
      <c r="FO10" s="5">
        <f ca="1">SUMIFS(Movimientos!$C:$C,Movimientos!$A:$A,$B10,Movimientos!$D:$D,CONCATENATE("&lt;=",FO$3),Movimientos!$C:$C,"&gt;0")+SUMIFS(Movimientos!$C:$C,Movimientos!$A:$A,$B10,Movimientos!$D:$D,CONCATENATE("&lt;",FO$3),Movimientos!$C:$C,"&lt;0")</f>
        <v>0</v>
      </c>
      <c r="FP10" s="5">
        <f ca="1">SUMIFS(Movimientos!$C:$C,Movimientos!$A:$A,$B10,Movimientos!$D:$D,CONCATENATE("&lt;=",FP$3),Movimientos!$C:$C,"&gt;0")+SUMIFS(Movimientos!$C:$C,Movimientos!$A:$A,$B10,Movimientos!$D:$D,CONCATENATE("&lt;",FP$3),Movimientos!$C:$C,"&lt;0")</f>
        <v>0</v>
      </c>
      <c r="FQ10" s="5">
        <f ca="1">SUMIFS(Movimientos!$C:$C,Movimientos!$A:$A,$B10,Movimientos!$D:$D,CONCATENATE("&lt;=",FQ$3),Movimientos!$C:$C,"&gt;0")+SUMIFS(Movimientos!$C:$C,Movimientos!$A:$A,$B10,Movimientos!$D:$D,CONCATENATE("&lt;",FQ$3),Movimientos!$C:$C,"&lt;0")</f>
        <v>0</v>
      </c>
      <c r="FR10" s="5">
        <f ca="1">SUMIFS(Movimientos!$C:$C,Movimientos!$A:$A,$B10,Movimientos!$D:$D,CONCATENATE("&lt;=",FR$3),Movimientos!$C:$C,"&gt;0")+SUMIFS(Movimientos!$C:$C,Movimientos!$A:$A,$B10,Movimientos!$D:$D,CONCATENATE("&lt;",FR$3),Movimientos!$C:$C,"&lt;0")</f>
        <v>0</v>
      </c>
      <c r="FS10" s="5">
        <f ca="1">SUMIFS(Movimientos!$C:$C,Movimientos!$A:$A,$B10,Movimientos!$D:$D,CONCATENATE("&lt;=",FS$3),Movimientos!$C:$C,"&gt;0")+SUMIFS(Movimientos!$C:$C,Movimientos!$A:$A,$B10,Movimientos!$D:$D,CONCATENATE("&lt;",FS$3),Movimientos!$C:$C,"&lt;0")</f>
        <v>0</v>
      </c>
      <c r="FT10" s="5">
        <f ca="1">SUMIFS(Movimientos!$C:$C,Movimientos!$A:$A,$B10,Movimientos!$D:$D,CONCATENATE("&lt;=",FT$3),Movimientos!$C:$C,"&gt;0")+SUMIFS(Movimientos!$C:$C,Movimientos!$A:$A,$B10,Movimientos!$D:$D,CONCATENATE("&lt;",FT$3),Movimientos!$C:$C,"&lt;0")</f>
        <v>0</v>
      </c>
      <c r="FU10" s="5">
        <f ca="1">SUMIFS(Movimientos!$C:$C,Movimientos!$A:$A,$B10,Movimientos!$D:$D,CONCATENATE("&lt;=",FU$3),Movimientos!$C:$C,"&gt;0")+SUMIFS(Movimientos!$C:$C,Movimientos!$A:$A,$B10,Movimientos!$D:$D,CONCATENATE("&lt;",FU$3),Movimientos!$C:$C,"&lt;0")</f>
        <v>0</v>
      </c>
      <c r="FV10" s="5">
        <f ca="1">SUMIFS(Movimientos!$C:$C,Movimientos!$A:$A,$B10,Movimientos!$D:$D,CONCATENATE("&lt;=",FV$3),Movimientos!$C:$C,"&gt;0")+SUMIFS(Movimientos!$C:$C,Movimientos!$A:$A,$B10,Movimientos!$D:$D,CONCATENATE("&lt;",FV$3),Movimientos!$C:$C,"&lt;0")</f>
        <v>0</v>
      </c>
      <c r="FW10" s="5">
        <f ca="1">SUMIFS(Movimientos!$C:$C,Movimientos!$A:$A,$B10,Movimientos!$D:$D,CONCATENATE("&lt;=",FW$3),Movimientos!$C:$C,"&gt;0")+SUMIFS(Movimientos!$C:$C,Movimientos!$A:$A,$B10,Movimientos!$D:$D,CONCATENATE("&lt;",FW$3),Movimientos!$C:$C,"&lt;0")</f>
        <v>0</v>
      </c>
      <c r="FX10" s="5">
        <f ca="1">SUMIFS(Movimientos!$C:$C,Movimientos!$A:$A,$B10,Movimientos!$D:$D,CONCATENATE("&lt;=",FX$3),Movimientos!$C:$C,"&gt;0")+SUMIFS(Movimientos!$C:$C,Movimientos!$A:$A,$B10,Movimientos!$D:$D,CONCATENATE("&lt;",FX$3),Movimientos!$C:$C,"&lt;0")</f>
        <v>0</v>
      </c>
      <c r="FY10" s="5">
        <f ca="1">SUMIFS(Movimientos!$C:$C,Movimientos!$A:$A,$B10,Movimientos!$D:$D,CONCATENATE("&lt;=",FY$3),Movimientos!$C:$C,"&gt;0")+SUMIFS(Movimientos!$C:$C,Movimientos!$A:$A,$B10,Movimientos!$D:$D,CONCATENATE("&lt;",FY$3),Movimientos!$C:$C,"&lt;0")</f>
        <v>0</v>
      </c>
      <c r="FZ10" s="5">
        <f ca="1">SUMIFS(Movimientos!$C:$C,Movimientos!$A:$A,$B10,Movimientos!$D:$D,CONCATENATE("&lt;=",FZ$3),Movimientos!$C:$C,"&gt;0")+SUMIFS(Movimientos!$C:$C,Movimientos!$A:$A,$B10,Movimientos!$D:$D,CONCATENATE("&lt;",FZ$3),Movimientos!$C:$C,"&lt;0")</f>
        <v>0</v>
      </c>
      <c r="GA10" s="5">
        <f ca="1">SUMIFS(Movimientos!$C:$C,Movimientos!$A:$A,$B10,Movimientos!$D:$D,CONCATENATE("&lt;=",GA$3),Movimientos!$C:$C,"&gt;0")+SUMIFS(Movimientos!$C:$C,Movimientos!$A:$A,$B10,Movimientos!$D:$D,CONCATENATE("&lt;",GA$3),Movimientos!$C:$C,"&lt;0")</f>
        <v>0</v>
      </c>
      <c r="GB10" s="5">
        <f ca="1">SUMIFS(Movimientos!$C:$C,Movimientos!$A:$A,$B10,Movimientos!$D:$D,CONCATENATE("&lt;=",GB$3),Movimientos!$C:$C,"&gt;0")+SUMIFS(Movimientos!$C:$C,Movimientos!$A:$A,$B10,Movimientos!$D:$D,CONCATENATE("&lt;",GB$3),Movimientos!$C:$C,"&lt;0")</f>
        <v>0</v>
      </c>
      <c r="GC10" s="5">
        <f ca="1">SUMIFS(Movimientos!$C:$C,Movimientos!$A:$A,$B10,Movimientos!$D:$D,CONCATENATE("&lt;=",GC$3),Movimientos!$C:$C,"&gt;0")+SUMIFS(Movimientos!$C:$C,Movimientos!$A:$A,$B10,Movimientos!$D:$D,CONCATENATE("&lt;",GC$3),Movimientos!$C:$C,"&lt;0")</f>
        <v>0</v>
      </c>
      <c r="GD10" s="5">
        <f ca="1">SUMIFS(Movimientos!$C:$C,Movimientos!$A:$A,$B10,Movimientos!$D:$D,CONCATENATE("&lt;=",GD$3),Movimientos!$C:$C,"&gt;0")+SUMIFS(Movimientos!$C:$C,Movimientos!$A:$A,$B10,Movimientos!$D:$D,CONCATENATE("&lt;",GD$3),Movimientos!$C:$C,"&lt;0")</f>
        <v>0</v>
      </c>
      <c r="GE10" s="5">
        <f ca="1">SUMIFS(Movimientos!$C:$C,Movimientos!$A:$A,$B10,Movimientos!$D:$D,CONCATENATE("&lt;=",GE$3),Movimientos!$C:$C,"&gt;0")+SUMIFS(Movimientos!$C:$C,Movimientos!$A:$A,$B10,Movimientos!$D:$D,CONCATENATE("&lt;",GE$3),Movimientos!$C:$C,"&lt;0")</f>
        <v>0</v>
      </c>
      <c r="GF10" s="5">
        <f ca="1">SUMIFS(Movimientos!$C:$C,Movimientos!$A:$A,$B10,Movimientos!$D:$D,CONCATENATE("&lt;=",GF$3),Movimientos!$C:$C,"&gt;0")+SUMIFS(Movimientos!$C:$C,Movimientos!$A:$A,$B10,Movimientos!$D:$D,CONCATENATE("&lt;",GF$3),Movimientos!$C:$C,"&lt;0")</f>
        <v>0</v>
      </c>
      <c r="GG10" s="5">
        <f ca="1">SUMIFS(Movimientos!$C:$C,Movimientos!$A:$A,$B10,Movimientos!$D:$D,CONCATENATE("&lt;=",GG$3),Movimientos!$C:$C,"&gt;0")+SUMIFS(Movimientos!$C:$C,Movimientos!$A:$A,$B10,Movimientos!$D:$D,CONCATENATE("&lt;",GG$3),Movimientos!$C:$C,"&lt;0")</f>
        <v>0</v>
      </c>
      <c r="GH10" s="5">
        <f ca="1">SUMIFS(Movimientos!$C:$C,Movimientos!$A:$A,$B10,Movimientos!$D:$D,CONCATENATE("&lt;=",GH$3),Movimientos!$C:$C,"&gt;0")+SUMIFS(Movimientos!$C:$C,Movimientos!$A:$A,$B10,Movimientos!$D:$D,CONCATENATE("&lt;",GH$3),Movimientos!$C:$C,"&lt;0")</f>
        <v>0</v>
      </c>
      <c r="GI10" s="5">
        <f ca="1">SUMIFS(Movimientos!$C:$C,Movimientos!$A:$A,$B10,Movimientos!$D:$D,CONCATENATE("&lt;=",GI$3),Movimientos!$C:$C,"&gt;0")+SUMIFS(Movimientos!$C:$C,Movimientos!$A:$A,$B10,Movimientos!$D:$D,CONCATENATE("&lt;",GI$3),Movimientos!$C:$C,"&lt;0")</f>
        <v>0</v>
      </c>
      <c r="GJ10" s="5">
        <f ca="1">SUMIFS(Movimientos!$C:$C,Movimientos!$A:$A,$B10,Movimientos!$D:$D,CONCATENATE("&lt;=",GJ$3),Movimientos!$C:$C,"&gt;0")+SUMIFS(Movimientos!$C:$C,Movimientos!$A:$A,$B10,Movimientos!$D:$D,CONCATENATE("&lt;",GJ$3),Movimientos!$C:$C,"&lt;0")</f>
        <v>0</v>
      </c>
      <c r="GK10" s="5">
        <f ca="1">SUMIFS(Movimientos!$C:$C,Movimientos!$A:$A,$B10,Movimientos!$D:$D,CONCATENATE("&lt;=",GK$3),Movimientos!$C:$C,"&gt;0")+SUMIFS(Movimientos!$C:$C,Movimientos!$A:$A,$B10,Movimientos!$D:$D,CONCATENATE("&lt;",GK$3),Movimientos!$C:$C,"&lt;0")</f>
        <v>0</v>
      </c>
      <c r="GL10" s="5">
        <f ca="1">SUMIFS(Movimientos!$C:$C,Movimientos!$A:$A,$B10,Movimientos!$D:$D,CONCATENATE("&lt;=",GL$3),Movimientos!$C:$C,"&gt;0")+SUMIFS(Movimientos!$C:$C,Movimientos!$A:$A,$B10,Movimientos!$D:$D,CONCATENATE("&lt;",GL$3),Movimientos!$C:$C,"&lt;0")</f>
        <v>0</v>
      </c>
      <c r="GM10" s="5">
        <f ca="1">SUMIFS(Movimientos!$C:$C,Movimientos!$A:$A,$B10,Movimientos!$D:$D,CONCATENATE("&lt;=",GM$3),Movimientos!$C:$C,"&gt;0")+SUMIFS(Movimientos!$C:$C,Movimientos!$A:$A,$B10,Movimientos!$D:$D,CONCATENATE("&lt;",GM$3),Movimientos!$C:$C,"&lt;0")</f>
        <v>0</v>
      </c>
      <c r="GN10" s="5">
        <f ca="1">SUMIFS(Movimientos!$C:$C,Movimientos!$A:$A,$B10,Movimientos!$D:$D,CONCATENATE("&lt;=",GN$3),Movimientos!$C:$C,"&gt;0")+SUMIFS(Movimientos!$C:$C,Movimientos!$A:$A,$B10,Movimientos!$D:$D,CONCATENATE("&lt;",GN$3),Movimientos!$C:$C,"&lt;0")</f>
        <v>0</v>
      </c>
      <c r="GO10" s="5">
        <f ca="1">SUMIFS(Movimientos!$C:$C,Movimientos!$A:$A,$B10,Movimientos!$D:$D,CONCATENATE("&lt;=",GO$3),Movimientos!$C:$C,"&gt;0")+SUMIFS(Movimientos!$C:$C,Movimientos!$A:$A,$B10,Movimientos!$D:$D,CONCATENATE("&lt;",GO$3),Movimientos!$C:$C,"&lt;0")</f>
        <v>0</v>
      </c>
      <c r="GP10" s="5">
        <f ca="1">SUMIFS(Movimientos!$C:$C,Movimientos!$A:$A,$B10,Movimientos!$D:$D,CONCATENATE("&lt;=",GP$3),Movimientos!$C:$C,"&gt;0")+SUMIFS(Movimientos!$C:$C,Movimientos!$A:$A,$B10,Movimientos!$D:$D,CONCATENATE("&lt;",GP$3),Movimientos!$C:$C,"&lt;0")</f>
        <v>0</v>
      </c>
      <c r="GQ10" s="5">
        <f ca="1">SUMIFS(Movimientos!$C:$C,Movimientos!$A:$A,$B10,Movimientos!$D:$D,CONCATENATE("&lt;=",GQ$3),Movimientos!$C:$C,"&gt;0")+SUMIFS(Movimientos!$C:$C,Movimientos!$A:$A,$B10,Movimientos!$D:$D,CONCATENATE("&lt;",GQ$3),Movimientos!$C:$C,"&lt;0")</f>
        <v>0</v>
      </c>
      <c r="GR10" s="5">
        <f ca="1">SUMIFS(Movimientos!$C:$C,Movimientos!$A:$A,$B10,Movimientos!$D:$D,CONCATENATE("&lt;=",GR$3),Movimientos!$C:$C,"&gt;0")+SUMIFS(Movimientos!$C:$C,Movimientos!$A:$A,$B10,Movimientos!$D:$D,CONCATENATE("&lt;",GR$3),Movimientos!$C:$C,"&lt;0")</f>
        <v>0</v>
      </c>
      <c r="GS10" s="5">
        <f ca="1">SUMIFS(Movimientos!$C:$C,Movimientos!$A:$A,$B10,Movimientos!$D:$D,CONCATENATE("&lt;=",GS$3),Movimientos!$C:$C,"&gt;0")+SUMIFS(Movimientos!$C:$C,Movimientos!$A:$A,$B10,Movimientos!$D:$D,CONCATENATE("&lt;",GS$3),Movimientos!$C:$C,"&lt;0")</f>
        <v>0</v>
      </c>
      <c r="GT10" s="5">
        <f ca="1">SUMIFS(Movimientos!$C:$C,Movimientos!$A:$A,$B10,Movimientos!$D:$D,CONCATENATE("&lt;=",GT$3),Movimientos!$C:$C,"&gt;0")+SUMIFS(Movimientos!$C:$C,Movimientos!$A:$A,$B10,Movimientos!$D:$D,CONCATENATE("&lt;",GT$3),Movimientos!$C:$C,"&lt;0")</f>
        <v>0</v>
      </c>
      <c r="GU10" s="5">
        <f ca="1">SUMIFS(Movimientos!$C:$C,Movimientos!$A:$A,$B10,Movimientos!$D:$D,CONCATENATE("&lt;=",GU$3),Movimientos!$C:$C,"&gt;0")+SUMIFS(Movimientos!$C:$C,Movimientos!$A:$A,$B10,Movimientos!$D:$D,CONCATENATE("&lt;",GU$3),Movimientos!$C:$C,"&lt;0")</f>
        <v>0</v>
      </c>
      <c r="GV10" s="5">
        <f ca="1">SUMIFS(Movimientos!$C:$C,Movimientos!$A:$A,$B10,Movimientos!$D:$D,CONCATENATE("&lt;=",GV$3),Movimientos!$C:$C,"&gt;0")+SUMIFS(Movimientos!$C:$C,Movimientos!$A:$A,$B10,Movimientos!$D:$D,CONCATENATE("&lt;",GV$3),Movimientos!$C:$C,"&lt;0")</f>
        <v>0</v>
      </c>
      <c r="GW10" s="5">
        <f ca="1">SUMIFS(Movimientos!$C:$C,Movimientos!$A:$A,$B10,Movimientos!$D:$D,CONCATENATE("&lt;=",GW$3),Movimientos!$C:$C,"&gt;0")+SUMIFS(Movimientos!$C:$C,Movimientos!$A:$A,$B10,Movimientos!$D:$D,CONCATENATE("&lt;",GW$3),Movimientos!$C:$C,"&lt;0")</f>
        <v>0</v>
      </c>
      <c r="GX10" s="5">
        <f ca="1">SUMIFS(Movimientos!$C:$C,Movimientos!$A:$A,$B10,Movimientos!$D:$D,CONCATENATE("&lt;=",GX$3),Movimientos!$C:$C,"&gt;0")+SUMIFS(Movimientos!$C:$C,Movimientos!$A:$A,$B10,Movimientos!$D:$D,CONCATENATE("&lt;",GX$3),Movimientos!$C:$C,"&lt;0")</f>
        <v>0</v>
      </c>
      <c r="GY10" s="5">
        <f ca="1">SUMIFS(Movimientos!$C:$C,Movimientos!$A:$A,$B10,Movimientos!$D:$D,CONCATENATE("&lt;=",GY$3),Movimientos!$C:$C,"&gt;0")+SUMIFS(Movimientos!$C:$C,Movimientos!$A:$A,$B10,Movimientos!$D:$D,CONCATENATE("&lt;",GY$3),Movimientos!$C:$C,"&lt;0")</f>
        <v>0</v>
      </c>
      <c r="GZ10" s="5">
        <f ca="1">SUMIFS(Movimientos!$C:$C,Movimientos!$A:$A,$B10,Movimientos!$D:$D,CONCATENATE("&lt;=",GZ$3),Movimientos!$C:$C,"&gt;0")+SUMIFS(Movimientos!$C:$C,Movimientos!$A:$A,$B10,Movimientos!$D:$D,CONCATENATE("&lt;",GZ$3),Movimientos!$C:$C,"&lt;0")</f>
        <v>0</v>
      </c>
      <c r="HA10" s="5">
        <f ca="1">SUMIFS(Movimientos!$C:$C,Movimientos!$A:$A,$B10,Movimientos!$D:$D,CONCATENATE("&lt;=",HA$3),Movimientos!$C:$C,"&gt;0")+SUMIFS(Movimientos!$C:$C,Movimientos!$A:$A,$B10,Movimientos!$D:$D,CONCATENATE("&lt;",HA$3),Movimientos!$C:$C,"&lt;0")</f>
        <v>0</v>
      </c>
      <c r="HB10" s="5">
        <f ca="1">SUMIFS(Movimientos!$C:$C,Movimientos!$A:$A,$B10,Movimientos!$D:$D,CONCATENATE("&lt;=",HB$3),Movimientos!$C:$C,"&gt;0")+SUMIFS(Movimientos!$C:$C,Movimientos!$A:$A,$B10,Movimientos!$D:$D,CONCATENATE("&lt;",HB$3),Movimientos!$C:$C,"&lt;0")</f>
        <v>0</v>
      </c>
      <c r="HC10" s="5">
        <f ca="1">SUMIFS(Movimientos!$C:$C,Movimientos!$A:$A,$B10,Movimientos!$D:$D,CONCATENATE("&lt;=",HC$3),Movimientos!$C:$C,"&gt;0")+SUMIFS(Movimientos!$C:$C,Movimientos!$A:$A,$B10,Movimientos!$D:$D,CONCATENATE("&lt;",HC$3),Movimientos!$C:$C,"&lt;0")</f>
        <v>0</v>
      </c>
      <c r="HD10" s="5">
        <f ca="1">SUMIFS(Movimientos!$C:$C,Movimientos!$A:$A,$B10,Movimientos!$D:$D,CONCATENATE("&lt;=",HD$3),Movimientos!$C:$C,"&gt;0")+SUMIFS(Movimientos!$C:$C,Movimientos!$A:$A,$B10,Movimientos!$D:$D,CONCATENATE("&lt;",HD$3),Movimientos!$C:$C,"&lt;0")</f>
        <v>0</v>
      </c>
      <c r="HE10" s="5">
        <f ca="1">SUMIFS(Movimientos!$C:$C,Movimientos!$A:$A,$B10,Movimientos!$D:$D,CONCATENATE("&lt;=",HE$3),Movimientos!$C:$C,"&gt;0")+SUMIFS(Movimientos!$C:$C,Movimientos!$A:$A,$B10,Movimientos!$D:$D,CONCATENATE("&lt;",HE$3),Movimientos!$C:$C,"&lt;0")</f>
        <v>0</v>
      </c>
      <c r="HF10" s="5">
        <f ca="1">SUMIFS(Movimientos!$C:$C,Movimientos!$A:$A,$B10,Movimientos!$D:$D,CONCATENATE("&lt;=",HF$3),Movimientos!$C:$C,"&gt;0")+SUMIFS(Movimientos!$C:$C,Movimientos!$A:$A,$B10,Movimientos!$D:$D,CONCATENATE("&lt;",HF$3),Movimientos!$C:$C,"&lt;0")</f>
        <v>0</v>
      </c>
      <c r="HG10" s="5">
        <f ca="1">SUMIFS(Movimientos!$C:$C,Movimientos!$A:$A,$B10,Movimientos!$D:$D,CONCATENATE("&lt;=",HG$3),Movimientos!$C:$C,"&gt;0")+SUMIFS(Movimientos!$C:$C,Movimientos!$A:$A,$B10,Movimientos!$D:$D,CONCATENATE("&lt;",HG$3),Movimientos!$C:$C,"&lt;0")</f>
        <v>0</v>
      </c>
      <c r="HH10" s="5">
        <f ca="1">SUMIFS(Movimientos!$C:$C,Movimientos!$A:$A,$B10,Movimientos!$D:$D,CONCATENATE("&lt;=",HH$3),Movimientos!$C:$C,"&gt;0")+SUMIFS(Movimientos!$C:$C,Movimientos!$A:$A,$B10,Movimientos!$D:$D,CONCATENATE("&lt;",HH$3),Movimientos!$C:$C,"&lt;0")</f>
        <v>0</v>
      </c>
      <c r="HI10" s="5">
        <f ca="1">SUMIFS(Movimientos!$C:$C,Movimientos!$A:$A,$B10,Movimientos!$D:$D,CONCATENATE("&lt;=",HI$3),Movimientos!$C:$C,"&gt;0")+SUMIFS(Movimientos!$C:$C,Movimientos!$A:$A,$B10,Movimientos!$D:$D,CONCATENATE("&lt;",HI$3),Movimientos!$C:$C,"&lt;0")</f>
        <v>0</v>
      </c>
      <c r="HJ10" s="5">
        <f ca="1">SUMIFS(Movimientos!$C:$C,Movimientos!$A:$A,$B10,Movimientos!$D:$D,CONCATENATE("&lt;=",HJ$3),Movimientos!$C:$C,"&gt;0")+SUMIFS(Movimientos!$C:$C,Movimientos!$A:$A,$B10,Movimientos!$D:$D,CONCATENATE("&lt;",HJ$3),Movimientos!$C:$C,"&lt;0")</f>
        <v>0</v>
      </c>
      <c r="HK10" s="5">
        <f ca="1">SUMIFS(Movimientos!$C:$C,Movimientos!$A:$A,$B10,Movimientos!$D:$D,CONCATENATE("&lt;=",HK$3),Movimientos!$C:$C,"&gt;0")+SUMIFS(Movimientos!$C:$C,Movimientos!$A:$A,$B10,Movimientos!$D:$D,CONCATENATE("&lt;",HK$3),Movimientos!$C:$C,"&lt;0")</f>
        <v>0</v>
      </c>
      <c r="HL10" s="5">
        <f ca="1">SUMIFS(Movimientos!$C:$C,Movimientos!$A:$A,$B10,Movimientos!$D:$D,CONCATENATE("&lt;=",HL$3),Movimientos!$C:$C,"&gt;0")+SUMIFS(Movimientos!$C:$C,Movimientos!$A:$A,$B10,Movimientos!$D:$D,CONCATENATE("&lt;",HL$3),Movimientos!$C:$C,"&lt;0")</f>
        <v>0</v>
      </c>
      <c r="HM10" s="5">
        <f ca="1">SUMIFS(Movimientos!$C:$C,Movimientos!$A:$A,$B10,Movimientos!$D:$D,CONCATENATE("&lt;=",HM$3),Movimientos!$C:$C,"&gt;0")+SUMIFS(Movimientos!$C:$C,Movimientos!$A:$A,$B10,Movimientos!$D:$D,CONCATENATE("&lt;",HM$3),Movimientos!$C:$C,"&lt;0")</f>
        <v>0</v>
      </c>
      <c r="HN10" s="5">
        <f ca="1">SUMIFS(Movimientos!$C:$C,Movimientos!$A:$A,$B10,Movimientos!$D:$D,CONCATENATE("&lt;=",HN$3),Movimientos!$C:$C,"&gt;0")+SUMIFS(Movimientos!$C:$C,Movimientos!$A:$A,$B10,Movimientos!$D:$D,CONCATENATE("&lt;",HN$3),Movimientos!$C:$C,"&lt;0")</f>
        <v>0</v>
      </c>
      <c r="HO10" s="5">
        <f ca="1">SUMIFS(Movimientos!$C:$C,Movimientos!$A:$A,$B10,Movimientos!$D:$D,CONCATENATE("&lt;=",HO$3),Movimientos!$C:$C,"&gt;0")+SUMIFS(Movimientos!$C:$C,Movimientos!$A:$A,$B10,Movimientos!$D:$D,CONCATENATE("&lt;",HO$3),Movimientos!$C:$C,"&lt;0")</f>
        <v>0</v>
      </c>
      <c r="HP10" s="5">
        <f ca="1">SUMIFS(Movimientos!$C:$C,Movimientos!$A:$A,$B10,Movimientos!$D:$D,CONCATENATE("&lt;=",HP$3),Movimientos!$C:$C,"&gt;0")+SUMIFS(Movimientos!$C:$C,Movimientos!$A:$A,$B10,Movimientos!$D:$D,CONCATENATE("&lt;",HP$3),Movimientos!$C:$C,"&lt;0")</f>
        <v>0</v>
      </c>
      <c r="HQ10" s="5">
        <f ca="1">SUMIFS(Movimientos!$C:$C,Movimientos!$A:$A,$B10,Movimientos!$D:$D,CONCATENATE("&lt;=",HQ$3),Movimientos!$C:$C,"&gt;0")+SUMIFS(Movimientos!$C:$C,Movimientos!$A:$A,$B10,Movimientos!$D:$D,CONCATENATE("&lt;",HQ$3),Movimientos!$C:$C,"&lt;0")</f>
        <v>0</v>
      </c>
      <c r="HR10" s="5">
        <f ca="1">SUMIFS(Movimientos!$C:$C,Movimientos!$A:$A,$B10,Movimientos!$D:$D,CONCATENATE("&lt;=",HR$3),Movimientos!$C:$C,"&gt;0")+SUMIFS(Movimientos!$C:$C,Movimientos!$A:$A,$B10,Movimientos!$D:$D,CONCATENATE("&lt;",HR$3),Movimientos!$C:$C,"&lt;0")</f>
        <v>0</v>
      </c>
      <c r="HS10" s="5">
        <f ca="1">SUMIFS(Movimientos!$C:$C,Movimientos!$A:$A,$B10,Movimientos!$D:$D,CONCATENATE("&lt;=",HS$3),Movimientos!$C:$C,"&gt;0")+SUMIFS(Movimientos!$C:$C,Movimientos!$A:$A,$B10,Movimientos!$D:$D,CONCATENATE("&lt;",HS$3),Movimientos!$C:$C,"&lt;0")</f>
        <v>0</v>
      </c>
      <c r="HT10" s="5">
        <f ca="1">SUMIFS(Movimientos!$C:$C,Movimientos!$A:$A,$B10,Movimientos!$D:$D,CONCATENATE("&lt;=",HT$3),Movimientos!$C:$C,"&gt;0")+SUMIFS(Movimientos!$C:$C,Movimientos!$A:$A,$B10,Movimientos!$D:$D,CONCATENATE("&lt;",HT$3),Movimientos!$C:$C,"&lt;0")</f>
        <v>0</v>
      </c>
      <c r="HU10" s="5">
        <f ca="1">SUMIFS(Movimientos!$C:$C,Movimientos!$A:$A,$B10,Movimientos!$D:$D,CONCATENATE("&lt;=",HU$3),Movimientos!$C:$C,"&gt;0")+SUMIFS(Movimientos!$C:$C,Movimientos!$A:$A,$B10,Movimientos!$D:$D,CONCATENATE("&lt;",HU$3),Movimientos!$C:$C,"&lt;0")</f>
        <v>0</v>
      </c>
      <c r="HV10" s="5">
        <f ca="1">SUMIFS(Movimientos!$C:$C,Movimientos!$A:$A,$B10,Movimientos!$D:$D,CONCATENATE("&lt;=",HV$3),Movimientos!$C:$C,"&gt;0")+SUMIFS(Movimientos!$C:$C,Movimientos!$A:$A,$B10,Movimientos!$D:$D,CONCATENATE("&lt;",HV$3),Movimientos!$C:$C,"&lt;0")</f>
        <v>0</v>
      </c>
      <c r="HW10" s="5">
        <f ca="1">SUMIFS(Movimientos!$C:$C,Movimientos!$A:$A,$B10,Movimientos!$D:$D,CONCATENATE("&lt;=",HW$3),Movimientos!$C:$C,"&gt;0")+SUMIFS(Movimientos!$C:$C,Movimientos!$A:$A,$B10,Movimientos!$D:$D,CONCATENATE("&lt;",HW$3),Movimientos!$C:$C,"&lt;0")</f>
        <v>0</v>
      </c>
      <c r="HX10" s="5">
        <f ca="1">SUMIFS(Movimientos!$C:$C,Movimientos!$A:$A,$B10,Movimientos!$D:$D,CONCATENATE("&lt;=",HX$3),Movimientos!$C:$C,"&gt;0")+SUMIFS(Movimientos!$C:$C,Movimientos!$A:$A,$B10,Movimientos!$D:$D,CONCATENATE("&lt;",HX$3),Movimientos!$C:$C,"&lt;0")</f>
        <v>0</v>
      </c>
      <c r="HY10" s="5">
        <f ca="1">SUMIFS(Movimientos!$C:$C,Movimientos!$A:$A,$B10,Movimientos!$D:$D,CONCATENATE("&lt;=",HY$3),Movimientos!$C:$C,"&gt;0")+SUMIFS(Movimientos!$C:$C,Movimientos!$A:$A,$B10,Movimientos!$D:$D,CONCATENATE("&lt;",HY$3),Movimientos!$C:$C,"&lt;0")</f>
        <v>0</v>
      </c>
      <c r="HZ10" s="5">
        <f ca="1">SUMIFS(Movimientos!$C:$C,Movimientos!$A:$A,$B10,Movimientos!$D:$D,CONCATENATE("&lt;=",HZ$3),Movimientos!$C:$C,"&gt;0")+SUMIFS(Movimientos!$C:$C,Movimientos!$A:$A,$B10,Movimientos!$D:$D,CONCATENATE("&lt;",HZ$3),Movimientos!$C:$C,"&lt;0")</f>
        <v>0</v>
      </c>
      <c r="IA10" s="5">
        <f ca="1">SUMIFS(Movimientos!$C:$C,Movimientos!$A:$A,$B10,Movimientos!$D:$D,CONCATENATE("&lt;=",IA$3),Movimientos!$C:$C,"&gt;0")+SUMIFS(Movimientos!$C:$C,Movimientos!$A:$A,$B10,Movimientos!$D:$D,CONCATENATE("&lt;",IA$3),Movimientos!$C:$C,"&lt;0")</f>
        <v>0</v>
      </c>
      <c r="IB10" s="5">
        <f ca="1">SUMIFS(Movimientos!$C:$C,Movimientos!$A:$A,$B10,Movimientos!$D:$D,CONCATENATE("&lt;=",IB$3),Movimientos!$C:$C,"&gt;0")+SUMIFS(Movimientos!$C:$C,Movimientos!$A:$A,$B10,Movimientos!$D:$D,CONCATENATE("&lt;",IB$3),Movimientos!$C:$C,"&lt;0")</f>
        <v>0</v>
      </c>
      <c r="IC10" s="5">
        <f ca="1">SUMIFS(Movimientos!$C:$C,Movimientos!$A:$A,$B10,Movimientos!$D:$D,CONCATENATE("&lt;=",IC$3),Movimientos!$C:$C,"&gt;0")+SUMIFS(Movimientos!$C:$C,Movimientos!$A:$A,$B10,Movimientos!$D:$D,CONCATENATE("&lt;",IC$3),Movimientos!$C:$C,"&lt;0")</f>
        <v>0</v>
      </c>
      <c r="ID10" s="5">
        <f ca="1">SUMIFS(Movimientos!$C:$C,Movimientos!$A:$A,$B10,Movimientos!$D:$D,CONCATENATE("&lt;=",ID$3),Movimientos!$C:$C,"&gt;0")+SUMIFS(Movimientos!$C:$C,Movimientos!$A:$A,$B10,Movimientos!$D:$D,CONCATENATE("&lt;",ID$3),Movimientos!$C:$C,"&lt;0")</f>
        <v>0</v>
      </c>
      <c r="IE10" s="5">
        <f ca="1">SUMIFS(Movimientos!$C:$C,Movimientos!$A:$A,$B10,Movimientos!$D:$D,CONCATENATE("&lt;=",IE$3),Movimientos!$C:$C,"&gt;0")+SUMIFS(Movimientos!$C:$C,Movimientos!$A:$A,$B10,Movimientos!$D:$D,CONCATENATE("&lt;",IE$3),Movimientos!$C:$C,"&lt;0")</f>
        <v>0</v>
      </c>
      <c r="IF10" s="5">
        <f ca="1">SUMIFS(Movimientos!$C:$C,Movimientos!$A:$A,$B10,Movimientos!$D:$D,CONCATENATE("&lt;=",IF$3),Movimientos!$C:$C,"&gt;0")+SUMIFS(Movimientos!$C:$C,Movimientos!$A:$A,$B10,Movimientos!$D:$D,CONCATENATE("&lt;",IF$3),Movimientos!$C:$C,"&lt;0")</f>
        <v>0</v>
      </c>
      <c r="IG10" s="5">
        <f ca="1">SUMIFS(Movimientos!$C:$C,Movimientos!$A:$A,$B10,Movimientos!$D:$D,CONCATENATE("&lt;=",IG$3),Movimientos!$C:$C,"&gt;0")+SUMIFS(Movimientos!$C:$C,Movimientos!$A:$A,$B10,Movimientos!$D:$D,CONCATENATE("&lt;",IG$3),Movimientos!$C:$C,"&lt;0")</f>
        <v>0</v>
      </c>
      <c r="IH10" s="5">
        <f ca="1">SUMIFS(Movimientos!$C:$C,Movimientos!$A:$A,$B10,Movimientos!$D:$D,CONCATENATE("&lt;=",IH$3),Movimientos!$C:$C,"&gt;0")+SUMIFS(Movimientos!$C:$C,Movimientos!$A:$A,$B10,Movimientos!$D:$D,CONCATENATE("&lt;",IH$3),Movimientos!$C:$C,"&lt;0")</f>
        <v>0</v>
      </c>
      <c r="II10" s="5">
        <f ca="1">SUMIFS(Movimientos!$C:$C,Movimientos!$A:$A,$B10,Movimientos!$D:$D,CONCATENATE("&lt;=",II$3),Movimientos!$C:$C,"&gt;0")+SUMIFS(Movimientos!$C:$C,Movimientos!$A:$A,$B10,Movimientos!$D:$D,CONCATENATE("&lt;",II$3),Movimientos!$C:$C,"&lt;0")</f>
        <v>0</v>
      </c>
      <c r="IJ10" s="5">
        <f ca="1">SUMIFS(Movimientos!$C:$C,Movimientos!$A:$A,$B10,Movimientos!$D:$D,CONCATENATE("&lt;=",IJ$3),Movimientos!$C:$C,"&gt;0")+SUMIFS(Movimientos!$C:$C,Movimientos!$A:$A,$B10,Movimientos!$D:$D,CONCATENATE("&lt;",IJ$3),Movimientos!$C:$C,"&lt;0")</f>
        <v>0</v>
      </c>
      <c r="IK10" s="5">
        <f ca="1">SUMIFS(Movimientos!$C:$C,Movimientos!$A:$A,$B10,Movimientos!$D:$D,CONCATENATE("&lt;=",IK$3),Movimientos!$C:$C,"&gt;0")+SUMIFS(Movimientos!$C:$C,Movimientos!$A:$A,$B10,Movimientos!$D:$D,CONCATENATE("&lt;",IK$3),Movimientos!$C:$C,"&lt;0")</f>
        <v>0</v>
      </c>
      <c r="IL10" s="5">
        <f ca="1">SUMIFS(Movimientos!$C:$C,Movimientos!$A:$A,$B10,Movimientos!$D:$D,CONCATENATE("&lt;=",IL$3),Movimientos!$C:$C,"&gt;0")+SUMIFS(Movimientos!$C:$C,Movimientos!$A:$A,$B10,Movimientos!$D:$D,CONCATENATE("&lt;",IL$3),Movimientos!$C:$C,"&lt;0")</f>
        <v>0</v>
      </c>
      <c r="IM10" s="5">
        <f ca="1">SUMIFS(Movimientos!$C:$C,Movimientos!$A:$A,$B10,Movimientos!$D:$D,CONCATENATE("&lt;=",IM$3),Movimientos!$C:$C,"&gt;0")+SUMIFS(Movimientos!$C:$C,Movimientos!$A:$A,$B10,Movimientos!$D:$D,CONCATENATE("&lt;",IM$3),Movimientos!$C:$C,"&lt;0")</f>
        <v>0</v>
      </c>
      <c r="IN10" s="5">
        <f ca="1">SUMIFS(Movimientos!$C:$C,Movimientos!$A:$A,$B10,Movimientos!$D:$D,CONCATENATE("&lt;=",IN$3),Movimientos!$C:$C,"&gt;0")+SUMIFS(Movimientos!$C:$C,Movimientos!$A:$A,$B10,Movimientos!$D:$D,CONCATENATE("&lt;",IN$3),Movimientos!$C:$C,"&lt;0")</f>
        <v>0</v>
      </c>
      <c r="IO10" s="5">
        <f ca="1">SUMIFS(Movimientos!$C:$C,Movimientos!$A:$A,$B10,Movimientos!$D:$D,CONCATENATE("&lt;=",IO$3),Movimientos!$C:$C,"&gt;0")+SUMIFS(Movimientos!$C:$C,Movimientos!$A:$A,$B10,Movimientos!$D:$D,CONCATENATE("&lt;",IO$3),Movimientos!$C:$C,"&lt;0")</f>
        <v>0</v>
      </c>
      <c r="IP10" s="5">
        <f ca="1">SUMIFS(Movimientos!$C:$C,Movimientos!$A:$A,$B10,Movimientos!$D:$D,CONCATENATE("&lt;=",IP$3),Movimientos!$C:$C,"&gt;0")+SUMIFS(Movimientos!$C:$C,Movimientos!$A:$A,$B10,Movimientos!$D:$D,CONCATENATE("&lt;",IP$3),Movimientos!$C:$C,"&lt;0")</f>
        <v>0</v>
      </c>
      <c r="IQ10" s="5">
        <f ca="1">SUMIFS(Movimientos!$C:$C,Movimientos!$A:$A,$B10,Movimientos!$D:$D,CONCATENATE("&lt;=",IQ$3),Movimientos!$C:$C,"&gt;0")+SUMIFS(Movimientos!$C:$C,Movimientos!$A:$A,$B10,Movimientos!$D:$D,CONCATENATE("&lt;",IQ$3),Movimientos!$C:$C,"&lt;0")</f>
        <v>0</v>
      </c>
      <c r="IR10" s="5">
        <f ca="1">SUMIFS(Movimientos!$C:$C,Movimientos!$A:$A,$B10,Movimientos!$D:$D,CONCATENATE("&lt;=",IR$3),Movimientos!$C:$C,"&gt;0")+SUMIFS(Movimientos!$C:$C,Movimientos!$A:$A,$B10,Movimientos!$D:$D,CONCATENATE("&lt;",IR$3),Movimientos!$C:$C,"&lt;0")</f>
        <v>0</v>
      </c>
      <c r="IS10" s="5">
        <f ca="1">SUMIFS(Movimientos!$C:$C,Movimientos!$A:$A,$B10,Movimientos!$D:$D,CONCATENATE("&lt;=",IS$3),Movimientos!$C:$C,"&gt;0")+SUMIFS(Movimientos!$C:$C,Movimientos!$A:$A,$B10,Movimientos!$D:$D,CONCATENATE("&lt;",IS$3),Movimientos!$C:$C,"&lt;0")</f>
        <v>0</v>
      </c>
      <c r="IT10" s="5">
        <f ca="1">SUMIFS(Movimientos!$C:$C,Movimientos!$A:$A,$B10,Movimientos!$D:$D,CONCATENATE("&lt;=",IT$3),Movimientos!$C:$C,"&gt;0")+SUMIFS(Movimientos!$C:$C,Movimientos!$A:$A,$B10,Movimientos!$D:$D,CONCATENATE("&lt;",IT$3),Movimientos!$C:$C,"&lt;0")</f>
        <v>0</v>
      </c>
      <c r="IU10" s="5">
        <f ca="1">SUMIFS(Movimientos!$C:$C,Movimientos!$A:$A,$B10,Movimientos!$D:$D,CONCATENATE("&lt;=",IU$3),Movimientos!$C:$C,"&gt;0")+SUMIFS(Movimientos!$C:$C,Movimientos!$A:$A,$B10,Movimientos!$D:$D,CONCATENATE("&lt;",IU$3),Movimientos!$C:$C,"&lt;0")</f>
        <v>0</v>
      </c>
      <c r="IV10" s="5">
        <f ca="1">SUMIFS(Movimientos!$C:$C,Movimientos!$A:$A,$B10,Movimientos!$D:$D,CONCATENATE("&lt;=",IV$3),Movimientos!$C:$C,"&gt;0")+SUMIFS(Movimientos!$C:$C,Movimientos!$A:$A,$B10,Movimientos!$D:$D,CONCATENATE("&lt;",IV$3),Movimientos!$C:$C,"&lt;0")</f>
        <v>0</v>
      </c>
      <c r="IW10" s="5">
        <f ca="1">SUMIFS(Movimientos!$C:$C,Movimientos!$A:$A,$B10,Movimientos!$D:$D,CONCATENATE("&lt;=",IW$3),Movimientos!$C:$C,"&gt;0")+SUMIFS(Movimientos!$C:$C,Movimientos!$A:$A,$B10,Movimientos!$D:$D,CONCATENATE("&lt;",IW$3),Movimientos!$C:$C,"&lt;0")</f>
        <v>0</v>
      </c>
      <c r="IX10" s="5">
        <f ca="1">SUMIFS(Movimientos!$C:$C,Movimientos!$A:$A,$B10,Movimientos!$D:$D,CONCATENATE("&lt;=",IX$3),Movimientos!$C:$C,"&gt;0")+SUMIFS(Movimientos!$C:$C,Movimientos!$A:$A,$B10,Movimientos!$D:$D,CONCATENATE("&lt;",IX$3),Movimientos!$C:$C,"&lt;0")</f>
        <v>0</v>
      </c>
      <c r="IY10" s="5">
        <f ca="1">SUMIFS(Movimientos!$C:$C,Movimientos!$A:$A,$B10,Movimientos!$D:$D,CONCATENATE("&lt;=",IY$3),Movimientos!$C:$C,"&gt;0")+SUMIFS(Movimientos!$C:$C,Movimientos!$A:$A,$B10,Movimientos!$D:$D,CONCATENATE("&lt;",IY$3),Movimientos!$C:$C,"&lt;0")</f>
        <v>0</v>
      </c>
      <c r="IZ10" s="5">
        <f ca="1">SUMIFS(Movimientos!$C:$C,Movimientos!$A:$A,$B10,Movimientos!$D:$D,CONCATENATE("&lt;=",IZ$3),Movimientos!$C:$C,"&gt;0")+SUMIFS(Movimientos!$C:$C,Movimientos!$A:$A,$B10,Movimientos!$D:$D,CONCATENATE("&lt;",IZ$3),Movimientos!$C:$C,"&lt;0")</f>
        <v>0</v>
      </c>
      <c r="JA10" s="5">
        <f ca="1">SUMIFS(Movimientos!$C:$C,Movimientos!$A:$A,$B10,Movimientos!$D:$D,CONCATENATE("&lt;=",JA$3),Movimientos!$C:$C,"&gt;0")+SUMIFS(Movimientos!$C:$C,Movimientos!$A:$A,$B10,Movimientos!$D:$D,CONCATENATE("&lt;",JA$3),Movimientos!$C:$C,"&lt;0")</f>
        <v>0</v>
      </c>
      <c r="JB10" s="5">
        <f ca="1">SUMIFS(Movimientos!$C:$C,Movimientos!$A:$A,$B10,Movimientos!$D:$D,CONCATENATE("&lt;=",JB$3),Movimientos!$C:$C,"&gt;0")+SUMIFS(Movimientos!$C:$C,Movimientos!$A:$A,$B10,Movimientos!$D:$D,CONCATENATE("&lt;",JB$3),Movimientos!$C:$C,"&lt;0")</f>
        <v>0</v>
      </c>
      <c r="JC10" s="5">
        <f ca="1">SUMIFS(Movimientos!$C:$C,Movimientos!$A:$A,$B10,Movimientos!$D:$D,CONCATENATE("&lt;=",JC$3),Movimientos!$C:$C,"&gt;0")+SUMIFS(Movimientos!$C:$C,Movimientos!$A:$A,$B10,Movimientos!$D:$D,CONCATENATE("&lt;",JC$3),Movimientos!$C:$C,"&lt;0")</f>
        <v>0</v>
      </c>
      <c r="JD10" s="5">
        <f ca="1">SUMIFS(Movimientos!$C:$C,Movimientos!$A:$A,$B10,Movimientos!$D:$D,CONCATENATE("&lt;=",JD$3),Movimientos!$C:$C,"&gt;0")+SUMIFS(Movimientos!$C:$C,Movimientos!$A:$A,$B10,Movimientos!$D:$D,CONCATENATE("&lt;",JD$3),Movimientos!$C:$C,"&lt;0")</f>
        <v>0</v>
      </c>
      <c r="JE10" s="5">
        <f ca="1">SUMIFS(Movimientos!$C:$C,Movimientos!$A:$A,$B10,Movimientos!$D:$D,CONCATENATE("&lt;=",JE$3),Movimientos!$C:$C,"&gt;0")+SUMIFS(Movimientos!$C:$C,Movimientos!$A:$A,$B10,Movimientos!$D:$D,CONCATENATE("&lt;",JE$3),Movimientos!$C:$C,"&lt;0")</f>
        <v>0</v>
      </c>
      <c r="JF10" s="5">
        <f ca="1">SUMIFS(Movimientos!$C:$C,Movimientos!$A:$A,$B10,Movimientos!$D:$D,CONCATENATE("&lt;=",JF$3),Movimientos!$C:$C,"&gt;0")+SUMIFS(Movimientos!$C:$C,Movimientos!$A:$A,$B10,Movimientos!$D:$D,CONCATENATE("&lt;",JF$3),Movimientos!$C:$C,"&lt;0")</f>
        <v>0</v>
      </c>
      <c r="JG10" s="5">
        <f ca="1">SUMIFS(Movimientos!$C:$C,Movimientos!$A:$A,$B10,Movimientos!$D:$D,CONCATENATE("&lt;=",JG$3),Movimientos!$C:$C,"&gt;0")+SUMIFS(Movimientos!$C:$C,Movimientos!$A:$A,$B10,Movimientos!$D:$D,CONCATENATE("&lt;",JG$3),Movimientos!$C:$C,"&lt;0")</f>
        <v>0</v>
      </c>
      <c r="JH10" s="5">
        <f ca="1">SUMIFS(Movimientos!$C:$C,Movimientos!$A:$A,$B10,Movimientos!$D:$D,CONCATENATE("&lt;=",JH$3),Movimientos!$C:$C,"&gt;0")+SUMIFS(Movimientos!$C:$C,Movimientos!$A:$A,$B10,Movimientos!$D:$D,CONCATENATE("&lt;",JH$3),Movimientos!$C:$C,"&lt;0")</f>
        <v>0</v>
      </c>
      <c r="JI10" s="5">
        <f ca="1">SUMIFS(Movimientos!$C:$C,Movimientos!$A:$A,$B10,Movimientos!$D:$D,CONCATENATE("&lt;=",JI$3),Movimientos!$C:$C,"&gt;0")+SUMIFS(Movimientos!$C:$C,Movimientos!$A:$A,$B10,Movimientos!$D:$D,CONCATENATE("&lt;",JI$3),Movimientos!$C:$C,"&lt;0")</f>
        <v>0</v>
      </c>
      <c r="JJ10" s="5">
        <f ca="1">SUMIFS(Movimientos!$C:$C,Movimientos!$A:$A,$B10,Movimientos!$D:$D,CONCATENATE("&lt;=",JJ$3),Movimientos!$C:$C,"&gt;0")+SUMIFS(Movimientos!$C:$C,Movimientos!$A:$A,$B10,Movimientos!$D:$D,CONCATENATE("&lt;",JJ$3),Movimientos!$C:$C,"&lt;0")</f>
        <v>0</v>
      </c>
      <c r="JK10" s="5">
        <f ca="1">SUMIFS(Movimientos!$C:$C,Movimientos!$A:$A,$B10,Movimientos!$D:$D,CONCATENATE("&lt;=",JK$3),Movimientos!$C:$C,"&gt;0")+SUMIFS(Movimientos!$C:$C,Movimientos!$A:$A,$B10,Movimientos!$D:$D,CONCATENATE("&lt;",JK$3),Movimientos!$C:$C,"&lt;0")</f>
        <v>0</v>
      </c>
      <c r="JL10" s="5">
        <f ca="1">SUMIFS(Movimientos!$C:$C,Movimientos!$A:$A,$B10,Movimientos!$D:$D,CONCATENATE("&lt;=",JL$3),Movimientos!$C:$C,"&gt;0")+SUMIFS(Movimientos!$C:$C,Movimientos!$A:$A,$B10,Movimientos!$D:$D,CONCATENATE("&lt;",JL$3),Movimientos!$C:$C,"&lt;0")</f>
        <v>0</v>
      </c>
      <c r="JM10" s="5">
        <f ca="1">SUMIFS(Movimientos!$C:$C,Movimientos!$A:$A,$B10,Movimientos!$D:$D,CONCATENATE("&lt;=",JM$3),Movimientos!$C:$C,"&gt;0")+SUMIFS(Movimientos!$C:$C,Movimientos!$A:$A,$B10,Movimientos!$D:$D,CONCATENATE("&lt;",JM$3),Movimientos!$C:$C,"&lt;0")</f>
        <v>0</v>
      </c>
      <c r="JN10" s="5">
        <f ca="1">SUMIFS(Movimientos!$C:$C,Movimientos!$A:$A,$B10,Movimientos!$D:$D,CONCATENATE("&lt;=",JN$3),Movimientos!$C:$C,"&gt;0")+SUMIFS(Movimientos!$C:$C,Movimientos!$A:$A,$B10,Movimientos!$D:$D,CONCATENATE("&lt;",JN$3),Movimientos!$C:$C,"&lt;0")</f>
        <v>0</v>
      </c>
      <c r="JO10" s="5">
        <f ca="1">SUMIFS(Movimientos!$C:$C,Movimientos!$A:$A,$B10,Movimientos!$D:$D,CONCATENATE("&lt;=",JO$3),Movimientos!$C:$C,"&gt;0")+SUMIFS(Movimientos!$C:$C,Movimientos!$A:$A,$B10,Movimientos!$D:$D,CONCATENATE("&lt;",JO$3),Movimientos!$C:$C,"&lt;0")</f>
        <v>0</v>
      </c>
      <c r="JP10" s="5">
        <f ca="1">SUMIFS(Movimientos!$C:$C,Movimientos!$A:$A,$B10,Movimientos!$D:$D,CONCATENATE("&lt;=",JP$3),Movimientos!$C:$C,"&gt;0")+SUMIFS(Movimientos!$C:$C,Movimientos!$A:$A,$B10,Movimientos!$D:$D,CONCATENATE("&lt;",JP$3),Movimientos!$C:$C,"&lt;0")</f>
        <v>0</v>
      </c>
      <c r="JQ10" s="5">
        <f ca="1">SUMIFS(Movimientos!$C:$C,Movimientos!$A:$A,$B10,Movimientos!$D:$D,CONCATENATE("&lt;=",JQ$3),Movimientos!$C:$C,"&gt;0")+SUMIFS(Movimientos!$C:$C,Movimientos!$A:$A,$B10,Movimientos!$D:$D,CONCATENATE("&lt;",JQ$3),Movimientos!$C:$C,"&lt;0")</f>
        <v>0</v>
      </c>
      <c r="JR10" s="5">
        <f ca="1">SUMIFS(Movimientos!$C:$C,Movimientos!$A:$A,$B10,Movimientos!$D:$D,CONCATENATE("&lt;=",JR$3),Movimientos!$C:$C,"&gt;0")+SUMIFS(Movimientos!$C:$C,Movimientos!$A:$A,$B10,Movimientos!$D:$D,CONCATENATE("&lt;",JR$3),Movimientos!$C:$C,"&lt;0")</f>
        <v>0</v>
      </c>
      <c r="JS10" s="5">
        <f ca="1">SUMIFS(Movimientos!$C:$C,Movimientos!$A:$A,$B10,Movimientos!$D:$D,CONCATENATE("&lt;=",JS$3),Movimientos!$C:$C,"&gt;0")+SUMIFS(Movimientos!$C:$C,Movimientos!$A:$A,$B10,Movimientos!$D:$D,CONCATENATE("&lt;",JS$3),Movimientos!$C:$C,"&lt;0")</f>
        <v>0</v>
      </c>
      <c r="JT10" s="5">
        <f ca="1">SUMIFS(Movimientos!$C:$C,Movimientos!$A:$A,$B10,Movimientos!$D:$D,CONCATENATE("&lt;=",JT$3),Movimientos!$C:$C,"&gt;0")+SUMIFS(Movimientos!$C:$C,Movimientos!$A:$A,$B10,Movimientos!$D:$D,CONCATENATE("&lt;",JT$3),Movimientos!$C:$C,"&lt;0")</f>
        <v>0</v>
      </c>
      <c r="JU10" s="5">
        <f ca="1">SUMIFS(Movimientos!$C:$C,Movimientos!$A:$A,$B10,Movimientos!$D:$D,CONCATENATE("&lt;=",JU$3),Movimientos!$C:$C,"&gt;0")+SUMIFS(Movimientos!$C:$C,Movimientos!$A:$A,$B10,Movimientos!$D:$D,CONCATENATE("&lt;",JU$3),Movimientos!$C:$C,"&lt;0")</f>
        <v>0</v>
      </c>
      <c r="JV10" s="5">
        <f ca="1">SUMIFS(Movimientos!$C:$C,Movimientos!$A:$A,$B10,Movimientos!$D:$D,CONCATENATE("&lt;=",JV$3),Movimientos!$C:$C,"&gt;0")+SUMIFS(Movimientos!$C:$C,Movimientos!$A:$A,$B10,Movimientos!$D:$D,CONCATENATE("&lt;",JV$3),Movimientos!$C:$C,"&lt;0")</f>
        <v>0</v>
      </c>
      <c r="JW10" s="5">
        <f ca="1">SUMIFS(Movimientos!$C:$C,Movimientos!$A:$A,$B10,Movimientos!$D:$D,CONCATENATE("&lt;=",JW$3),Movimientos!$C:$C,"&gt;0")+SUMIFS(Movimientos!$C:$C,Movimientos!$A:$A,$B10,Movimientos!$D:$D,CONCATENATE("&lt;",JW$3),Movimientos!$C:$C,"&lt;0")</f>
        <v>0</v>
      </c>
      <c r="JX10" s="5">
        <f ca="1">SUMIFS(Movimientos!$C:$C,Movimientos!$A:$A,$B10,Movimientos!$D:$D,CONCATENATE("&lt;=",JX$3),Movimientos!$C:$C,"&gt;0")+SUMIFS(Movimientos!$C:$C,Movimientos!$A:$A,$B10,Movimientos!$D:$D,CONCATENATE("&lt;",JX$3),Movimientos!$C:$C,"&lt;0")</f>
        <v>0</v>
      </c>
      <c r="JY10" s="5">
        <f ca="1">SUMIFS(Movimientos!$C:$C,Movimientos!$A:$A,$B10,Movimientos!$D:$D,CONCATENATE("&lt;=",JY$3),Movimientos!$C:$C,"&gt;0")+SUMIFS(Movimientos!$C:$C,Movimientos!$A:$A,$B10,Movimientos!$D:$D,CONCATENATE("&lt;",JY$3),Movimientos!$C:$C,"&lt;0")</f>
        <v>0</v>
      </c>
      <c r="JZ10" s="5">
        <f ca="1">SUMIFS(Movimientos!$C:$C,Movimientos!$A:$A,$B10,Movimientos!$D:$D,CONCATENATE("&lt;=",JZ$3),Movimientos!$C:$C,"&gt;0")+SUMIFS(Movimientos!$C:$C,Movimientos!$A:$A,$B10,Movimientos!$D:$D,CONCATENATE("&lt;",JZ$3),Movimientos!$C:$C,"&lt;0")</f>
        <v>0</v>
      </c>
      <c r="KA10" s="5">
        <f ca="1">SUMIFS(Movimientos!$C:$C,Movimientos!$A:$A,$B10,Movimientos!$D:$D,CONCATENATE("&lt;=",KA$3),Movimientos!$C:$C,"&gt;0")+SUMIFS(Movimientos!$C:$C,Movimientos!$A:$A,$B10,Movimientos!$D:$D,CONCATENATE("&lt;",KA$3),Movimientos!$C:$C,"&lt;0")</f>
        <v>0</v>
      </c>
      <c r="KB10" s="5">
        <f ca="1">SUMIFS(Movimientos!$C:$C,Movimientos!$A:$A,$B10,Movimientos!$D:$D,CONCATENATE("&lt;=",KB$3),Movimientos!$C:$C,"&gt;0")+SUMIFS(Movimientos!$C:$C,Movimientos!$A:$A,$B10,Movimientos!$D:$D,CONCATENATE("&lt;",KB$3),Movimientos!$C:$C,"&lt;0")</f>
        <v>0</v>
      </c>
      <c r="KC10" s="5">
        <f ca="1">SUMIFS(Movimientos!$C:$C,Movimientos!$A:$A,$B10,Movimientos!$D:$D,CONCATENATE("&lt;=",KC$3),Movimientos!$C:$C,"&gt;0")+SUMIFS(Movimientos!$C:$C,Movimientos!$A:$A,$B10,Movimientos!$D:$D,CONCATENATE("&lt;",KC$3),Movimientos!$C:$C,"&lt;0")</f>
        <v>0</v>
      </c>
      <c r="KD10" s="5">
        <f ca="1">SUMIFS(Movimientos!$C:$C,Movimientos!$A:$A,$B10,Movimientos!$D:$D,CONCATENATE("&lt;=",KD$3),Movimientos!$C:$C,"&gt;0")+SUMIFS(Movimientos!$C:$C,Movimientos!$A:$A,$B10,Movimientos!$D:$D,CONCATENATE("&lt;",KD$3),Movimientos!$C:$C,"&lt;0")</f>
        <v>0</v>
      </c>
      <c r="KE10" s="5">
        <f ca="1">SUMIFS(Movimientos!$C:$C,Movimientos!$A:$A,$B10,Movimientos!$D:$D,CONCATENATE("&lt;=",KE$3),Movimientos!$C:$C,"&gt;0")+SUMIFS(Movimientos!$C:$C,Movimientos!$A:$A,$B10,Movimientos!$D:$D,CONCATENATE("&lt;",KE$3),Movimientos!$C:$C,"&lt;0")</f>
        <v>0</v>
      </c>
      <c r="KF10" s="5">
        <f ca="1">SUMIFS(Movimientos!$C:$C,Movimientos!$A:$A,$B10,Movimientos!$D:$D,CONCATENATE("&lt;=",KF$3),Movimientos!$C:$C,"&gt;0")+SUMIFS(Movimientos!$C:$C,Movimientos!$A:$A,$B10,Movimientos!$D:$D,CONCATENATE("&lt;",KF$3),Movimientos!$C:$C,"&lt;0")</f>
        <v>0</v>
      </c>
      <c r="KG10" s="5">
        <f ca="1">SUMIFS(Movimientos!$C:$C,Movimientos!$A:$A,$B10,Movimientos!$D:$D,CONCATENATE("&lt;=",KG$3),Movimientos!$C:$C,"&gt;0")+SUMIFS(Movimientos!$C:$C,Movimientos!$A:$A,$B10,Movimientos!$D:$D,CONCATENATE("&lt;",KG$3),Movimientos!$C:$C,"&lt;0")</f>
        <v>0</v>
      </c>
      <c r="KH10" s="5">
        <f ca="1">SUMIFS(Movimientos!$C:$C,Movimientos!$A:$A,$B10,Movimientos!$D:$D,CONCATENATE("&lt;=",KH$3),Movimientos!$C:$C,"&gt;0")+SUMIFS(Movimientos!$C:$C,Movimientos!$A:$A,$B10,Movimientos!$D:$D,CONCATENATE("&lt;",KH$3),Movimientos!$C:$C,"&lt;0")</f>
        <v>0</v>
      </c>
      <c r="KI10" s="5">
        <f ca="1">SUMIFS(Movimientos!$C:$C,Movimientos!$A:$A,$B10,Movimientos!$D:$D,CONCATENATE("&lt;=",KI$3),Movimientos!$C:$C,"&gt;0")+SUMIFS(Movimientos!$C:$C,Movimientos!$A:$A,$B10,Movimientos!$D:$D,CONCATENATE("&lt;",KI$3),Movimientos!$C:$C,"&lt;0")</f>
        <v>0</v>
      </c>
      <c r="KJ10" s="5">
        <f ca="1">SUMIFS(Movimientos!$C:$C,Movimientos!$A:$A,$B10,Movimientos!$D:$D,CONCATENATE("&lt;=",KJ$3),Movimientos!$C:$C,"&gt;0")+SUMIFS(Movimientos!$C:$C,Movimientos!$A:$A,$B10,Movimientos!$D:$D,CONCATENATE("&lt;",KJ$3),Movimientos!$C:$C,"&lt;0")</f>
        <v>0</v>
      </c>
      <c r="KK10" s="5">
        <f ca="1">SUMIFS(Movimientos!$C:$C,Movimientos!$A:$A,$B10,Movimientos!$D:$D,CONCATENATE("&lt;=",KK$3),Movimientos!$C:$C,"&gt;0")+SUMIFS(Movimientos!$C:$C,Movimientos!$A:$A,$B10,Movimientos!$D:$D,CONCATENATE("&lt;",KK$3),Movimientos!$C:$C,"&lt;0")</f>
        <v>0</v>
      </c>
      <c r="KL10" s="5">
        <f ca="1">SUMIFS(Movimientos!$C:$C,Movimientos!$A:$A,$B10,Movimientos!$D:$D,CONCATENATE("&lt;=",KL$3),Movimientos!$C:$C,"&gt;0")+SUMIFS(Movimientos!$C:$C,Movimientos!$A:$A,$B10,Movimientos!$D:$D,CONCATENATE("&lt;",KL$3),Movimientos!$C:$C,"&lt;0")</f>
        <v>0</v>
      </c>
      <c r="KM10" s="5">
        <f ca="1">SUMIFS(Movimientos!$C:$C,Movimientos!$A:$A,$B10,Movimientos!$D:$D,CONCATENATE("&lt;=",KM$3),Movimientos!$C:$C,"&gt;0")+SUMIFS(Movimientos!$C:$C,Movimientos!$A:$A,$B10,Movimientos!$D:$D,CONCATENATE("&lt;",KM$3),Movimientos!$C:$C,"&lt;0")</f>
        <v>0</v>
      </c>
      <c r="KN10" s="5">
        <f ca="1">SUMIFS(Movimientos!$C:$C,Movimientos!$A:$A,$B10,Movimientos!$D:$D,CONCATENATE("&lt;=",KN$3),Movimientos!$C:$C,"&gt;0")+SUMIFS(Movimientos!$C:$C,Movimientos!$A:$A,$B10,Movimientos!$D:$D,CONCATENATE("&lt;",KN$3),Movimientos!$C:$C,"&lt;0")</f>
        <v>0</v>
      </c>
      <c r="KO10" s="5">
        <f ca="1">SUMIFS(Movimientos!$C:$C,Movimientos!$A:$A,$B10,Movimientos!$D:$D,CONCATENATE("&lt;=",KO$3),Movimientos!$C:$C,"&gt;0")+SUMIFS(Movimientos!$C:$C,Movimientos!$A:$A,$B10,Movimientos!$D:$D,CONCATENATE("&lt;",KO$3),Movimientos!$C:$C,"&lt;0")</f>
        <v>0</v>
      </c>
      <c r="KP10" s="5">
        <f ca="1">SUMIFS(Movimientos!$C:$C,Movimientos!$A:$A,$B10,Movimientos!$D:$D,CONCATENATE("&lt;=",KP$3),Movimientos!$C:$C,"&gt;0")+SUMIFS(Movimientos!$C:$C,Movimientos!$A:$A,$B10,Movimientos!$D:$D,CONCATENATE("&lt;",KP$3),Movimientos!$C:$C,"&lt;0")</f>
        <v>0</v>
      </c>
      <c r="KQ10" s="5">
        <f ca="1">SUMIFS(Movimientos!$C:$C,Movimientos!$A:$A,$B10,Movimientos!$D:$D,CONCATENATE("&lt;=",KQ$3),Movimientos!$C:$C,"&gt;0")+SUMIFS(Movimientos!$C:$C,Movimientos!$A:$A,$B10,Movimientos!$D:$D,CONCATENATE("&lt;",KQ$3),Movimientos!$C:$C,"&lt;0")</f>
        <v>0</v>
      </c>
      <c r="KR10" s="5">
        <f ca="1">SUMIFS(Movimientos!$C:$C,Movimientos!$A:$A,$B10,Movimientos!$D:$D,CONCATENATE("&lt;=",KR$3),Movimientos!$C:$C,"&gt;0")+SUMIFS(Movimientos!$C:$C,Movimientos!$A:$A,$B10,Movimientos!$D:$D,CONCATENATE("&lt;",KR$3),Movimientos!$C:$C,"&lt;0")</f>
        <v>0</v>
      </c>
      <c r="KS10" s="5">
        <f ca="1">SUMIFS(Movimientos!$C:$C,Movimientos!$A:$A,$B10,Movimientos!$D:$D,CONCATENATE("&lt;=",KS$3),Movimientos!$C:$C,"&gt;0")+SUMIFS(Movimientos!$C:$C,Movimientos!$A:$A,$B10,Movimientos!$D:$D,CONCATENATE("&lt;",KS$3),Movimientos!$C:$C,"&lt;0")</f>
        <v>0</v>
      </c>
      <c r="KT10" s="5">
        <f ca="1">SUMIFS(Movimientos!$C:$C,Movimientos!$A:$A,$B10,Movimientos!$D:$D,CONCATENATE("&lt;=",KT$3),Movimientos!$C:$C,"&gt;0")+SUMIFS(Movimientos!$C:$C,Movimientos!$A:$A,$B10,Movimientos!$D:$D,CONCATENATE("&lt;",KT$3),Movimientos!$C:$C,"&lt;0")</f>
        <v>0</v>
      </c>
      <c r="KU10" s="5">
        <f ca="1">SUMIFS(Movimientos!$C:$C,Movimientos!$A:$A,$B10,Movimientos!$D:$D,CONCATENATE("&lt;=",KU$3),Movimientos!$C:$C,"&gt;0")+SUMIFS(Movimientos!$C:$C,Movimientos!$A:$A,$B10,Movimientos!$D:$D,CONCATENATE("&lt;",KU$3),Movimientos!$C:$C,"&lt;0")</f>
        <v>0</v>
      </c>
      <c r="KV10" s="5">
        <f ca="1">SUMIFS(Movimientos!$C:$C,Movimientos!$A:$A,$B10,Movimientos!$D:$D,CONCATENATE("&lt;=",KV$3),Movimientos!$C:$C,"&gt;0")+SUMIFS(Movimientos!$C:$C,Movimientos!$A:$A,$B10,Movimientos!$D:$D,CONCATENATE("&lt;",KV$3),Movimientos!$C:$C,"&lt;0")</f>
        <v>0</v>
      </c>
      <c r="KW10" s="5">
        <f ca="1">SUMIFS(Movimientos!$C:$C,Movimientos!$A:$A,$B10,Movimientos!$D:$D,CONCATENATE("&lt;=",KW$3),Movimientos!$C:$C,"&gt;0")+SUMIFS(Movimientos!$C:$C,Movimientos!$A:$A,$B10,Movimientos!$D:$D,CONCATENATE("&lt;",KW$3),Movimientos!$C:$C,"&lt;0")</f>
        <v>0</v>
      </c>
      <c r="KX10" s="5">
        <f ca="1">SUMIFS(Movimientos!$C:$C,Movimientos!$A:$A,$B10,Movimientos!$D:$D,CONCATENATE("&lt;=",KX$3),Movimientos!$C:$C,"&gt;0")+SUMIFS(Movimientos!$C:$C,Movimientos!$A:$A,$B10,Movimientos!$D:$D,CONCATENATE("&lt;",KX$3),Movimientos!$C:$C,"&lt;0")</f>
        <v>0</v>
      </c>
      <c r="KY10" s="5">
        <f ca="1">SUMIFS(Movimientos!$C:$C,Movimientos!$A:$A,$B10,Movimientos!$D:$D,CONCATENATE("&lt;=",KY$3),Movimientos!$C:$C,"&gt;0")+SUMIFS(Movimientos!$C:$C,Movimientos!$A:$A,$B10,Movimientos!$D:$D,CONCATENATE("&lt;",KY$3),Movimientos!$C:$C,"&lt;0")</f>
        <v>0</v>
      </c>
      <c r="KZ10" s="5">
        <f ca="1">SUMIFS(Movimientos!$C:$C,Movimientos!$A:$A,$B10,Movimientos!$D:$D,CONCATENATE("&lt;=",KZ$3),Movimientos!$C:$C,"&gt;0")+SUMIFS(Movimientos!$C:$C,Movimientos!$A:$A,$B10,Movimientos!$D:$D,CONCATENATE("&lt;",KZ$3),Movimientos!$C:$C,"&lt;0")</f>
        <v>0</v>
      </c>
      <c r="LA10" s="5">
        <f ca="1">SUMIFS(Movimientos!$C:$C,Movimientos!$A:$A,$B10,Movimientos!$D:$D,CONCATENATE("&lt;=",LA$3),Movimientos!$C:$C,"&gt;0")+SUMIFS(Movimientos!$C:$C,Movimientos!$A:$A,$B10,Movimientos!$D:$D,CONCATENATE("&lt;",LA$3),Movimientos!$C:$C,"&lt;0")</f>
        <v>0</v>
      </c>
      <c r="LB10" s="5">
        <f ca="1">SUMIFS(Movimientos!$C:$C,Movimientos!$A:$A,$B10,Movimientos!$D:$D,CONCATENATE("&lt;=",LB$3),Movimientos!$C:$C,"&gt;0")+SUMIFS(Movimientos!$C:$C,Movimientos!$A:$A,$B10,Movimientos!$D:$D,CONCATENATE("&lt;",LB$3),Movimientos!$C:$C,"&lt;0")</f>
        <v>0</v>
      </c>
      <c r="LC10" s="5">
        <f ca="1">SUMIFS(Movimientos!$C:$C,Movimientos!$A:$A,$B10,Movimientos!$D:$D,CONCATENATE("&lt;=",LC$3),Movimientos!$C:$C,"&gt;0")+SUMIFS(Movimientos!$C:$C,Movimientos!$A:$A,$B10,Movimientos!$D:$D,CONCATENATE("&lt;",LC$3),Movimientos!$C:$C,"&lt;0")</f>
        <v>0</v>
      </c>
      <c r="LD10" s="5">
        <f ca="1">SUMIFS(Movimientos!$C:$C,Movimientos!$A:$A,$B10,Movimientos!$D:$D,CONCATENATE("&lt;=",LD$3),Movimientos!$C:$C,"&gt;0")+SUMIFS(Movimientos!$C:$C,Movimientos!$A:$A,$B10,Movimientos!$D:$D,CONCATENATE("&lt;",LD$3),Movimientos!$C:$C,"&lt;0")</f>
        <v>0</v>
      </c>
      <c r="LE10" s="5">
        <f ca="1">SUMIFS(Movimientos!$C:$C,Movimientos!$A:$A,$B10,Movimientos!$D:$D,CONCATENATE("&lt;=",LE$3),Movimientos!$C:$C,"&gt;0")+SUMIFS(Movimientos!$C:$C,Movimientos!$A:$A,$B10,Movimientos!$D:$D,CONCATENATE("&lt;",LE$3),Movimientos!$C:$C,"&lt;0")</f>
        <v>0</v>
      </c>
      <c r="LF10" s="5">
        <f ca="1">SUMIFS(Movimientos!$C:$C,Movimientos!$A:$A,$B10,Movimientos!$D:$D,CONCATENATE("&lt;=",LF$3),Movimientos!$C:$C,"&gt;0")+SUMIFS(Movimientos!$C:$C,Movimientos!$A:$A,$B10,Movimientos!$D:$D,CONCATENATE("&lt;",LF$3),Movimientos!$C:$C,"&lt;0")</f>
        <v>0</v>
      </c>
      <c r="LG10" s="5">
        <f ca="1">SUMIFS(Movimientos!$C:$C,Movimientos!$A:$A,$B10,Movimientos!$D:$D,CONCATENATE("&lt;=",LG$3),Movimientos!$C:$C,"&gt;0")+SUMIFS(Movimientos!$C:$C,Movimientos!$A:$A,$B10,Movimientos!$D:$D,CONCATENATE("&lt;",LG$3),Movimientos!$C:$C,"&lt;0")</f>
        <v>0</v>
      </c>
      <c r="LH10" s="5">
        <f ca="1">SUMIFS(Movimientos!$C:$C,Movimientos!$A:$A,$B10,Movimientos!$D:$D,CONCATENATE("&lt;=",LH$3),Movimientos!$C:$C,"&gt;0")+SUMIFS(Movimientos!$C:$C,Movimientos!$A:$A,$B10,Movimientos!$D:$D,CONCATENATE("&lt;",LH$3),Movimientos!$C:$C,"&lt;0")</f>
        <v>0</v>
      </c>
      <c r="LI10" s="5">
        <f ca="1">SUMIFS(Movimientos!$C:$C,Movimientos!$A:$A,$B10,Movimientos!$D:$D,CONCATENATE("&lt;=",LI$3),Movimientos!$C:$C,"&gt;0")+SUMIFS(Movimientos!$C:$C,Movimientos!$A:$A,$B10,Movimientos!$D:$D,CONCATENATE("&lt;",LI$3),Movimientos!$C:$C,"&lt;0")</f>
        <v>0</v>
      </c>
      <c r="LJ10" s="5">
        <f ca="1">SUMIFS(Movimientos!$C:$C,Movimientos!$A:$A,$B10,Movimientos!$D:$D,CONCATENATE("&lt;=",LJ$3),Movimientos!$C:$C,"&gt;0")+SUMIFS(Movimientos!$C:$C,Movimientos!$A:$A,$B10,Movimientos!$D:$D,CONCATENATE("&lt;",LJ$3),Movimientos!$C:$C,"&lt;0")</f>
        <v>0</v>
      </c>
      <c r="LK10" s="5">
        <f ca="1">SUMIFS(Movimientos!$C:$C,Movimientos!$A:$A,$B10,Movimientos!$D:$D,CONCATENATE("&lt;=",LK$3),Movimientos!$C:$C,"&gt;0")+SUMIFS(Movimientos!$C:$C,Movimientos!$A:$A,$B10,Movimientos!$D:$D,CONCATENATE("&lt;",LK$3),Movimientos!$C:$C,"&lt;0")</f>
        <v>0</v>
      </c>
      <c r="LL10" s="5">
        <f ca="1">SUMIFS(Movimientos!$C:$C,Movimientos!$A:$A,$B10,Movimientos!$D:$D,CONCATENATE("&lt;=",LL$3),Movimientos!$C:$C,"&gt;0")+SUMIFS(Movimientos!$C:$C,Movimientos!$A:$A,$B10,Movimientos!$D:$D,CONCATENATE("&lt;",LL$3),Movimientos!$C:$C,"&lt;0")</f>
        <v>0</v>
      </c>
      <c r="LM10" s="5">
        <f ca="1">SUMIFS(Movimientos!$C:$C,Movimientos!$A:$A,$B10,Movimientos!$D:$D,CONCATENATE("&lt;=",LM$3),Movimientos!$C:$C,"&gt;0")+SUMIFS(Movimientos!$C:$C,Movimientos!$A:$A,$B10,Movimientos!$D:$D,CONCATENATE("&lt;",LM$3),Movimientos!$C:$C,"&lt;0")</f>
        <v>0</v>
      </c>
      <c r="LN10" s="5">
        <f ca="1">SUMIFS(Movimientos!$C:$C,Movimientos!$A:$A,$B10,Movimientos!$D:$D,CONCATENATE("&lt;=",LN$3),Movimientos!$C:$C,"&gt;0")+SUMIFS(Movimientos!$C:$C,Movimientos!$A:$A,$B10,Movimientos!$D:$D,CONCATENATE("&lt;",LN$3),Movimientos!$C:$C,"&lt;0")</f>
        <v>0</v>
      </c>
      <c r="LO10" s="5">
        <f ca="1">SUMIFS(Movimientos!$C:$C,Movimientos!$A:$A,$B10,Movimientos!$D:$D,CONCATENATE("&lt;=",LO$3),Movimientos!$C:$C,"&gt;0")+SUMIFS(Movimientos!$C:$C,Movimientos!$A:$A,$B10,Movimientos!$D:$D,CONCATENATE("&lt;",LO$3),Movimientos!$C:$C,"&lt;0")</f>
        <v>0</v>
      </c>
      <c r="LP10" s="5">
        <f ca="1">SUMIFS(Movimientos!$C:$C,Movimientos!$A:$A,$B10,Movimientos!$D:$D,CONCATENATE("&lt;=",LP$3),Movimientos!$C:$C,"&gt;0")+SUMIFS(Movimientos!$C:$C,Movimientos!$A:$A,$B10,Movimientos!$D:$D,CONCATENATE("&lt;",LP$3),Movimientos!$C:$C,"&lt;0")</f>
        <v>0</v>
      </c>
      <c r="LQ10" s="5">
        <f ca="1">SUMIFS(Movimientos!$C:$C,Movimientos!$A:$A,$B10,Movimientos!$D:$D,CONCATENATE("&lt;=",LQ$3),Movimientos!$C:$C,"&gt;0")+SUMIFS(Movimientos!$C:$C,Movimientos!$A:$A,$B10,Movimientos!$D:$D,CONCATENATE("&lt;",LQ$3),Movimientos!$C:$C,"&lt;0")</f>
        <v>0</v>
      </c>
      <c r="LR10" s="5">
        <f ca="1">SUMIFS(Movimientos!$C:$C,Movimientos!$A:$A,$B10,Movimientos!$D:$D,CONCATENATE("&lt;=",LR$3),Movimientos!$C:$C,"&gt;0")+SUMIFS(Movimientos!$C:$C,Movimientos!$A:$A,$B10,Movimientos!$D:$D,CONCATENATE("&lt;",LR$3),Movimientos!$C:$C,"&lt;0")</f>
        <v>0</v>
      </c>
      <c r="LS10" s="5">
        <f ca="1">SUMIFS(Movimientos!$C:$C,Movimientos!$A:$A,$B10,Movimientos!$D:$D,CONCATENATE("&lt;=",LS$3),Movimientos!$C:$C,"&gt;0")+SUMIFS(Movimientos!$C:$C,Movimientos!$A:$A,$B10,Movimientos!$D:$D,CONCATENATE("&lt;",LS$3),Movimientos!$C:$C,"&lt;0")</f>
        <v>0</v>
      </c>
      <c r="LT10" s="5">
        <f ca="1">SUMIFS(Movimientos!$C:$C,Movimientos!$A:$A,$B10,Movimientos!$D:$D,CONCATENATE("&lt;=",LT$3),Movimientos!$C:$C,"&gt;0")+SUMIFS(Movimientos!$C:$C,Movimientos!$A:$A,$B10,Movimientos!$D:$D,CONCATENATE("&lt;",LT$3),Movimientos!$C:$C,"&lt;0")</f>
        <v>0</v>
      </c>
      <c r="LU10" s="5">
        <f ca="1">SUMIFS(Movimientos!$C:$C,Movimientos!$A:$A,$B10,Movimientos!$D:$D,CONCATENATE("&lt;=",LU$3),Movimientos!$C:$C,"&gt;0")+SUMIFS(Movimientos!$C:$C,Movimientos!$A:$A,$B10,Movimientos!$D:$D,CONCATENATE("&lt;",LU$3),Movimientos!$C:$C,"&lt;0")</f>
        <v>0</v>
      </c>
      <c r="LV10" s="5">
        <f ca="1">SUMIFS(Movimientos!$C:$C,Movimientos!$A:$A,$B10,Movimientos!$D:$D,CONCATENATE("&lt;=",LV$3),Movimientos!$C:$C,"&gt;0")+SUMIFS(Movimientos!$C:$C,Movimientos!$A:$A,$B10,Movimientos!$D:$D,CONCATENATE("&lt;",LV$3),Movimientos!$C:$C,"&lt;0")</f>
        <v>0</v>
      </c>
      <c r="LW10" s="5">
        <f ca="1">SUMIFS(Movimientos!$C:$C,Movimientos!$A:$A,$B10,Movimientos!$D:$D,CONCATENATE("&lt;=",LW$3),Movimientos!$C:$C,"&gt;0")+SUMIFS(Movimientos!$C:$C,Movimientos!$A:$A,$B10,Movimientos!$D:$D,CONCATENATE("&lt;",LW$3),Movimientos!$C:$C,"&lt;0")</f>
        <v>0</v>
      </c>
      <c r="LX10" s="5">
        <f ca="1">SUMIFS(Movimientos!$C:$C,Movimientos!$A:$A,$B10,Movimientos!$D:$D,CONCATENATE("&lt;=",LX$3),Movimientos!$C:$C,"&gt;0")+SUMIFS(Movimientos!$C:$C,Movimientos!$A:$A,$B10,Movimientos!$D:$D,CONCATENATE("&lt;",LX$3),Movimientos!$C:$C,"&lt;0")</f>
        <v>0</v>
      </c>
      <c r="LY10" s="5">
        <f ca="1">SUMIFS(Movimientos!$C:$C,Movimientos!$A:$A,$B10,Movimientos!$D:$D,CONCATENATE("&lt;=",LY$3),Movimientos!$C:$C,"&gt;0")+SUMIFS(Movimientos!$C:$C,Movimientos!$A:$A,$B10,Movimientos!$D:$D,CONCATENATE("&lt;",LY$3),Movimientos!$C:$C,"&lt;0")</f>
        <v>0</v>
      </c>
      <c r="LZ10" s="5">
        <f ca="1">SUMIFS(Movimientos!$C:$C,Movimientos!$A:$A,$B10,Movimientos!$D:$D,CONCATENATE("&lt;=",LZ$3),Movimientos!$C:$C,"&gt;0")+SUMIFS(Movimientos!$C:$C,Movimientos!$A:$A,$B10,Movimientos!$D:$D,CONCATENATE("&lt;",LZ$3),Movimientos!$C:$C,"&lt;0")</f>
        <v>0</v>
      </c>
      <c r="MA10" s="5">
        <f ca="1">SUMIFS(Movimientos!$C:$C,Movimientos!$A:$A,$B10,Movimientos!$D:$D,CONCATENATE("&lt;=",MA$3),Movimientos!$C:$C,"&gt;0")+SUMIFS(Movimientos!$C:$C,Movimientos!$A:$A,$B10,Movimientos!$D:$D,CONCATENATE("&lt;",MA$3),Movimientos!$C:$C,"&lt;0")</f>
        <v>0</v>
      </c>
      <c r="MB10" s="5">
        <f ca="1">SUMIFS(Movimientos!$C:$C,Movimientos!$A:$A,$B10,Movimientos!$D:$D,CONCATENATE("&lt;=",MB$3),Movimientos!$C:$C,"&gt;0")+SUMIFS(Movimientos!$C:$C,Movimientos!$A:$A,$B10,Movimientos!$D:$D,CONCATENATE("&lt;",MB$3),Movimientos!$C:$C,"&lt;0")</f>
        <v>0</v>
      </c>
      <c r="MC10" s="5">
        <f ca="1">SUMIFS(Movimientos!$C:$C,Movimientos!$A:$A,$B10,Movimientos!$D:$D,CONCATENATE("&lt;=",MC$3),Movimientos!$C:$C,"&gt;0")+SUMIFS(Movimientos!$C:$C,Movimientos!$A:$A,$B10,Movimientos!$D:$D,CONCATENATE("&lt;",MC$3),Movimientos!$C:$C,"&lt;0")</f>
        <v>0</v>
      </c>
      <c r="MD10" s="5">
        <f ca="1">SUMIFS(Movimientos!$C:$C,Movimientos!$A:$A,$B10,Movimientos!$D:$D,CONCATENATE("&lt;=",MD$3),Movimientos!$C:$C,"&gt;0")+SUMIFS(Movimientos!$C:$C,Movimientos!$A:$A,$B10,Movimientos!$D:$D,CONCATENATE("&lt;",MD$3),Movimientos!$C:$C,"&lt;0")</f>
        <v>0</v>
      </c>
      <c r="ME10" s="5">
        <f ca="1">SUMIFS(Movimientos!$C:$C,Movimientos!$A:$A,$B10,Movimientos!$D:$D,CONCATENATE("&lt;=",ME$3),Movimientos!$C:$C,"&gt;0")+SUMIFS(Movimientos!$C:$C,Movimientos!$A:$A,$B10,Movimientos!$D:$D,CONCATENATE("&lt;",ME$3),Movimientos!$C:$C,"&lt;0")</f>
        <v>0</v>
      </c>
      <c r="MF10" s="5">
        <f ca="1">SUMIFS(Movimientos!$C:$C,Movimientos!$A:$A,$B10,Movimientos!$D:$D,CONCATENATE("&lt;=",MF$3),Movimientos!$C:$C,"&gt;0")+SUMIFS(Movimientos!$C:$C,Movimientos!$A:$A,$B10,Movimientos!$D:$D,CONCATENATE("&lt;",MF$3),Movimientos!$C:$C,"&lt;0")</f>
        <v>0</v>
      </c>
      <c r="MG10" s="5">
        <f ca="1">SUMIFS(Movimientos!$C:$C,Movimientos!$A:$A,$B10,Movimientos!$D:$D,CONCATENATE("&lt;=",MG$3),Movimientos!$C:$C,"&gt;0")+SUMIFS(Movimientos!$C:$C,Movimientos!$A:$A,$B10,Movimientos!$D:$D,CONCATENATE("&lt;",MG$3),Movimientos!$C:$C,"&lt;0")</f>
        <v>0</v>
      </c>
      <c r="MH10" s="5">
        <f ca="1">SUMIFS(Movimientos!$C:$C,Movimientos!$A:$A,$B10,Movimientos!$D:$D,CONCATENATE("&lt;=",MH$3),Movimientos!$C:$C,"&gt;0")+SUMIFS(Movimientos!$C:$C,Movimientos!$A:$A,$B10,Movimientos!$D:$D,CONCATENATE("&lt;",MH$3),Movimientos!$C:$C,"&lt;0")</f>
        <v>0</v>
      </c>
      <c r="MI10" s="5">
        <f ca="1">SUMIFS(Movimientos!$C:$C,Movimientos!$A:$A,$B10,Movimientos!$D:$D,CONCATENATE("&lt;=",MI$3),Movimientos!$C:$C,"&gt;0")+SUMIFS(Movimientos!$C:$C,Movimientos!$A:$A,$B10,Movimientos!$D:$D,CONCATENATE("&lt;",MI$3),Movimientos!$C:$C,"&lt;0")</f>
        <v>0</v>
      </c>
      <c r="MJ10" s="5">
        <f ca="1">SUMIFS(Movimientos!$C:$C,Movimientos!$A:$A,$B10,Movimientos!$D:$D,CONCATENATE("&lt;=",MJ$3),Movimientos!$C:$C,"&gt;0")+SUMIFS(Movimientos!$C:$C,Movimientos!$A:$A,$B10,Movimientos!$D:$D,CONCATENATE("&lt;",MJ$3),Movimientos!$C:$C,"&lt;0")</f>
        <v>0</v>
      </c>
      <c r="MK10" s="5">
        <f ca="1">SUMIFS(Movimientos!$C:$C,Movimientos!$A:$A,$B10,Movimientos!$D:$D,CONCATENATE("&lt;=",MK$3),Movimientos!$C:$C,"&gt;0")+SUMIFS(Movimientos!$C:$C,Movimientos!$A:$A,$B10,Movimientos!$D:$D,CONCATENATE("&lt;",MK$3),Movimientos!$C:$C,"&lt;0")</f>
        <v>0</v>
      </c>
      <c r="ML10" s="5">
        <f ca="1">SUMIFS(Movimientos!$C:$C,Movimientos!$A:$A,$B10,Movimientos!$D:$D,CONCATENATE("&lt;=",ML$3),Movimientos!$C:$C,"&gt;0")+SUMIFS(Movimientos!$C:$C,Movimientos!$A:$A,$B10,Movimientos!$D:$D,CONCATENATE("&lt;",ML$3),Movimientos!$C:$C,"&lt;0")</f>
        <v>0</v>
      </c>
      <c r="MM10" s="5">
        <f ca="1">SUMIFS(Movimientos!$C:$C,Movimientos!$A:$A,$B10,Movimientos!$D:$D,CONCATENATE("&lt;=",MM$3),Movimientos!$C:$C,"&gt;0")+SUMIFS(Movimientos!$C:$C,Movimientos!$A:$A,$B10,Movimientos!$D:$D,CONCATENATE("&lt;",MM$3),Movimientos!$C:$C,"&lt;0")</f>
        <v>0</v>
      </c>
      <c r="MN10" s="5">
        <f ca="1">SUMIFS(Movimientos!$C:$C,Movimientos!$A:$A,$B10,Movimientos!$D:$D,CONCATENATE("&lt;=",MN$3),Movimientos!$C:$C,"&gt;0")+SUMIFS(Movimientos!$C:$C,Movimientos!$A:$A,$B10,Movimientos!$D:$D,CONCATENATE("&lt;",MN$3),Movimientos!$C:$C,"&lt;0")</f>
        <v>0</v>
      </c>
      <c r="MO10" s="5">
        <f ca="1">SUMIFS(Movimientos!$C:$C,Movimientos!$A:$A,$B10,Movimientos!$D:$D,CONCATENATE("&lt;=",MO$3),Movimientos!$C:$C,"&gt;0")+SUMIFS(Movimientos!$C:$C,Movimientos!$A:$A,$B10,Movimientos!$D:$D,CONCATENATE("&lt;",MO$3),Movimientos!$C:$C,"&lt;0")</f>
        <v>0</v>
      </c>
      <c r="MP10" s="5">
        <f ca="1">SUMIFS(Movimientos!$C:$C,Movimientos!$A:$A,$B10,Movimientos!$D:$D,CONCATENATE("&lt;=",MP$3),Movimientos!$C:$C,"&gt;0")+SUMIFS(Movimientos!$C:$C,Movimientos!$A:$A,$B10,Movimientos!$D:$D,CONCATENATE("&lt;",MP$3),Movimientos!$C:$C,"&lt;0")</f>
        <v>0</v>
      </c>
      <c r="MQ10" s="5">
        <f ca="1">SUMIFS(Movimientos!$C:$C,Movimientos!$A:$A,$B10,Movimientos!$D:$D,CONCATENATE("&lt;=",MQ$3),Movimientos!$C:$C,"&gt;0")+SUMIFS(Movimientos!$C:$C,Movimientos!$A:$A,$B10,Movimientos!$D:$D,CONCATENATE("&lt;",MQ$3),Movimientos!$C:$C,"&lt;0")</f>
        <v>0</v>
      </c>
      <c r="MR10" s="5">
        <f ca="1">SUMIFS(Movimientos!$C:$C,Movimientos!$A:$A,$B10,Movimientos!$D:$D,CONCATENATE("&lt;=",MR$3),Movimientos!$C:$C,"&gt;0")+SUMIFS(Movimientos!$C:$C,Movimientos!$A:$A,$B10,Movimientos!$D:$D,CONCATENATE("&lt;",MR$3),Movimientos!$C:$C,"&lt;0")</f>
        <v>0</v>
      </c>
      <c r="MS10" s="5">
        <f ca="1">SUMIFS(Movimientos!$C:$C,Movimientos!$A:$A,$B10,Movimientos!$D:$D,CONCATENATE("&lt;=",MS$3),Movimientos!$C:$C,"&gt;0")+SUMIFS(Movimientos!$C:$C,Movimientos!$A:$A,$B10,Movimientos!$D:$D,CONCATENATE("&lt;",MS$3),Movimientos!$C:$C,"&lt;0")</f>
        <v>0</v>
      </c>
      <c r="MT10" s="5">
        <f ca="1">SUMIFS(Movimientos!$C:$C,Movimientos!$A:$A,$B10,Movimientos!$D:$D,CONCATENATE("&lt;=",MT$3),Movimientos!$C:$C,"&gt;0")+SUMIFS(Movimientos!$C:$C,Movimientos!$A:$A,$B10,Movimientos!$D:$D,CONCATENATE("&lt;",MT$3),Movimientos!$C:$C,"&lt;0")</f>
        <v>0</v>
      </c>
      <c r="MU10" s="5">
        <f ca="1">SUMIFS(Movimientos!$C:$C,Movimientos!$A:$A,$B10,Movimientos!$D:$D,CONCATENATE("&lt;=",MU$3),Movimientos!$C:$C,"&gt;0")+SUMIFS(Movimientos!$C:$C,Movimientos!$A:$A,$B10,Movimientos!$D:$D,CONCATENATE("&lt;",MU$3),Movimientos!$C:$C,"&lt;0")</f>
        <v>0</v>
      </c>
      <c r="MV10" s="5">
        <f ca="1">SUMIFS(Movimientos!$C:$C,Movimientos!$A:$A,$B10,Movimientos!$D:$D,CONCATENATE("&lt;=",MV$3),Movimientos!$C:$C,"&gt;0")+SUMIFS(Movimientos!$C:$C,Movimientos!$A:$A,$B10,Movimientos!$D:$D,CONCATENATE("&lt;",MV$3),Movimientos!$C:$C,"&lt;0")</f>
        <v>0</v>
      </c>
      <c r="MW10" s="5">
        <f ca="1">SUMIFS(Movimientos!$C:$C,Movimientos!$A:$A,$B10,Movimientos!$D:$D,CONCATENATE("&lt;=",MW$3),Movimientos!$C:$C,"&gt;0")+SUMIFS(Movimientos!$C:$C,Movimientos!$A:$A,$B10,Movimientos!$D:$D,CONCATENATE("&lt;",MW$3),Movimientos!$C:$C,"&lt;0")</f>
        <v>0</v>
      </c>
      <c r="MX10" s="5">
        <f ca="1">SUMIFS(Movimientos!$C:$C,Movimientos!$A:$A,$B10,Movimientos!$D:$D,CONCATENATE("&lt;=",MX$3),Movimientos!$C:$C,"&gt;0")+SUMIFS(Movimientos!$C:$C,Movimientos!$A:$A,$B10,Movimientos!$D:$D,CONCATENATE("&lt;",MX$3),Movimientos!$C:$C,"&lt;0")</f>
        <v>0</v>
      </c>
      <c r="MY10" s="5">
        <f ca="1">SUMIFS(Movimientos!$C:$C,Movimientos!$A:$A,$B10,Movimientos!$D:$D,CONCATENATE("&lt;=",MY$3),Movimientos!$C:$C,"&gt;0")+SUMIFS(Movimientos!$C:$C,Movimientos!$A:$A,$B10,Movimientos!$D:$D,CONCATENATE("&lt;",MY$3),Movimientos!$C:$C,"&lt;0")</f>
        <v>0</v>
      </c>
      <c r="MZ10" s="5">
        <f ca="1">SUMIFS(Movimientos!$C:$C,Movimientos!$A:$A,$B10,Movimientos!$D:$D,CONCATENATE("&lt;=",MZ$3),Movimientos!$C:$C,"&gt;0")+SUMIFS(Movimientos!$C:$C,Movimientos!$A:$A,$B10,Movimientos!$D:$D,CONCATENATE("&lt;",MZ$3),Movimientos!$C:$C,"&lt;0")</f>
        <v>0</v>
      </c>
      <c r="NA10" s="5">
        <f ca="1">SUMIFS(Movimientos!$C:$C,Movimientos!$A:$A,$B10,Movimientos!$D:$D,CONCATENATE("&lt;=",NA$3),Movimientos!$C:$C,"&gt;0")+SUMIFS(Movimientos!$C:$C,Movimientos!$A:$A,$B10,Movimientos!$D:$D,CONCATENATE("&lt;",NA$3),Movimientos!$C:$C,"&lt;0")</f>
        <v>0</v>
      </c>
      <c r="NB10" s="5">
        <f ca="1">SUMIFS(Movimientos!$C:$C,Movimientos!$A:$A,$B10,Movimientos!$D:$D,CONCATENATE("&lt;=",NB$3),Movimientos!$C:$C,"&gt;0")+SUMIFS(Movimientos!$C:$C,Movimientos!$A:$A,$B10,Movimientos!$D:$D,CONCATENATE("&lt;",NB$3),Movimientos!$C:$C,"&lt;0")</f>
        <v>0</v>
      </c>
      <c r="NC10" s="5">
        <f ca="1">SUMIFS(Movimientos!$C:$C,Movimientos!$A:$A,$B10,Movimientos!$D:$D,CONCATENATE("&lt;=",NC$3),Movimientos!$C:$C,"&gt;0")+SUMIFS(Movimientos!$C:$C,Movimientos!$A:$A,$B10,Movimientos!$D:$D,CONCATENATE("&lt;",NC$3),Movimientos!$C:$C,"&lt;0")</f>
        <v>0</v>
      </c>
      <c r="ND10" s="5">
        <f ca="1">SUMIFS(Movimientos!$C:$C,Movimientos!$A:$A,$B10,Movimientos!$D:$D,CONCATENATE("&lt;=",ND$3),Movimientos!$C:$C,"&gt;0")+SUMIFS(Movimientos!$C:$C,Movimientos!$A:$A,$B10,Movimientos!$D:$D,CONCATENATE("&lt;",ND$3),Movimientos!$C:$C,"&lt;0")</f>
        <v>0</v>
      </c>
      <c r="NE10" s="5">
        <f ca="1">SUMIFS(Movimientos!$C:$C,Movimientos!$A:$A,$B10,Movimientos!$D:$D,CONCATENATE("&lt;=",NE$3),Movimientos!$C:$C,"&gt;0")+SUMIFS(Movimientos!$C:$C,Movimientos!$A:$A,$B10,Movimientos!$D:$D,CONCATENATE("&lt;",NE$3),Movimientos!$C:$C,"&lt;0")</f>
        <v>0</v>
      </c>
      <c r="NF10" s="5">
        <f ca="1">SUMIFS(Movimientos!$C:$C,Movimientos!$A:$A,$B10,Movimientos!$D:$D,CONCATENATE("&lt;=",NF$3),Movimientos!$C:$C,"&gt;0")+SUMIFS(Movimientos!$C:$C,Movimientos!$A:$A,$B10,Movimientos!$D:$D,CONCATENATE("&lt;",NF$3),Movimientos!$C:$C,"&lt;0")</f>
        <v>0</v>
      </c>
      <c r="NG10" s="5">
        <f ca="1">SUMIFS(Movimientos!$C:$C,Movimientos!$A:$A,$B10,Movimientos!$D:$D,CONCATENATE("&lt;=",NG$3),Movimientos!$C:$C,"&gt;0")+SUMIFS(Movimientos!$C:$C,Movimientos!$A:$A,$B10,Movimientos!$D:$D,CONCATENATE("&lt;",NG$3),Movimientos!$C:$C,"&lt;0")</f>
        <v>0</v>
      </c>
      <c r="NH10" s="5">
        <f ca="1">SUMIFS(Movimientos!$C:$C,Movimientos!$A:$A,$B10,Movimientos!$D:$D,CONCATENATE("&lt;=",NH$3),Movimientos!$C:$C,"&gt;0")+SUMIFS(Movimientos!$C:$C,Movimientos!$A:$A,$B10,Movimientos!$D:$D,CONCATENATE("&lt;",NH$3),Movimientos!$C:$C,"&lt;0")</f>
        <v>0</v>
      </c>
      <c r="NI10" s="5">
        <f ca="1">SUMIFS(Movimientos!$C:$C,Movimientos!$A:$A,$B10,Movimientos!$D:$D,CONCATENATE("&lt;=",NI$3),Movimientos!$C:$C,"&gt;0")+SUMIFS(Movimientos!$C:$C,Movimientos!$A:$A,$B10,Movimientos!$D:$D,CONCATENATE("&lt;",NI$3),Movimientos!$C:$C,"&lt;0")</f>
        <v>0</v>
      </c>
      <c r="NJ10" s="5">
        <f ca="1">SUMIFS(Movimientos!$C:$C,Movimientos!$A:$A,$B10,Movimientos!$D:$D,CONCATENATE("&lt;=",NJ$3),Movimientos!$C:$C,"&gt;0")+SUMIFS(Movimientos!$C:$C,Movimientos!$A:$A,$B10,Movimientos!$D:$D,CONCATENATE("&lt;",NJ$3),Movimientos!$C:$C,"&lt;0")</f>
        <v>0</v>
      </c>
      <c r="NK10" s="5">
        <f ca="1">SUMIFS(Movimientos!$C:$C,Movimientos!$A:$A,$B10,Movimientos!$D:$D,CONCATENATE("&lt;=",NK$3),Movimientos!$C:$C,"&gt;0")+SUMIFS(Movimientos!$C:$C,Movimientos!$A:$A,$B10,Movimientos!$D:$D,CONCATENATE("&lt;",NK$3),Movimientos!$C:$C,"&lt;0")</f>
        <v>0</v>
      </c>
      <c r="NL10" s="5">
        <f ca="1">SUMIFS(Movimientos!$C:$C,Movimientos!$A:$A,$B10,Movimientos!$D:$D,CONCATENATE("&lt;=",NL$3),Movimientos!$C:$C,"&gt;0")+SUMIFS(Movimientos!$C:$C,Movimientos!$A:$A,$B10,Movimientos!$D:$D,CONCATENATE("&lt;",NL$3),Movimientos!$C:$C,"&lt;0")</f>
        <v>0</v>
      </c>
      <c r="NM10" s="5">
        <f ca="1">SUMIFS(Movimientos!$C:$C,Movimientos!$A:$A,$B10,Movimientos!$D:$D,CONCATENATE("&lt;=",NM$3),Movimientos!$C:$C,"&gt;0")+SUMIFS(Movimientos!$C:$C,Movimientos!$A:$A,$B10,Movimientos!$D:$D,CONCATENATE("&lt;",NM$3),Movimientos!$C:$C,"&lt;0")</f>
        <v>0</v>
      </c>
      <c r="NN10" s="5">
        <f ca="1">SUMIFS(Movimientos!$C:$C,Movimientos!$A:$A,$B10,Movimientos!$D:$D,CONCATENATE("&lt;=",NN$3),Movimientos!$C:$C,"&gt;0")+SUMIFS(Movimientos!$C:$C,Movimientos!$A:$A,$B10,Movimientos!$D:$D,CONCATENATE("&lt;",NN$3),Movimientos!$C:$C,"&lt;0")</f>
        <v>0</v>
      </c>
      <c r="NO10" s="5">
        <f ca="1">SUMIFS(Movimientos!$C:$C,Movimientos!$A:$A,$B10,Movimientos!$D:$D,CONCATENATE("&lt;=",NO$3),Movimientos!$C:$C,"&gt;0")+SUMIFS(Movimientos!$C:$C,Movimientos!$A:$A,$B10,Movimientos!$D:$D,CONCATENATE("&lt;",NO$3),Movimientos!$C:$C,"&lt;0")</f>
        <v>0</v>
      </c>
      <c r="NP10" s="5">
        <f ca="1">SUMIFS(Movimientos!$C:$C,Movimientos!$A:$A,$B10,Movimientos!$D:$D,CONCATENATE("&lt;=",NP$3),Movimientos!$C:$C,"&gt;0")+SUMIFS(Movimientos!$C:$C,Movimientos!$A:$A,$B10,Movimientos!$D:$D,CONCATENATE("&lt;",NP$3),Movimientos!$C:$C,"&lt;0")</f>
        <v>0</v>
      </c>
      <c r="NQ10" s="5">
        <f ca="1">SUMIFS(Movimientos!$C:$C,Movimientos!$A:$A,$B10,Movimientos!$D:$D,CONCATENATE("&lt;=",NQ$3),Movimientos!$C:$C,"&gt;0")+SUMIFS(Movimientos!$C:$C,Movimientos!$A:$A,$B10,Movimientos!$D:$D,CONCATENATE("&lt;",NQ$3),Movimientos!$C:$C,"&lt;0")</f>
        <v>0</v>
      </c>
      <c r="NR10" s="5">
        <f ca="1">SUMIFS(Movimientos!$C:$C,Movimientos!$A:$A,$B10,Movimientos!$D:$D,CONCATENATE("&lt;=",NR$3),Movimientos!$C:$C,"&gt;0")+SUMIFS(Movimientos!$C:$C,Movimientos!$A:$A,$B10,Movimientos!$D:$D,CONCATENATE("&lt;",NR$3),Movimientos!$C:$C,"&lt;0")</f>
        <v>0</v>
      </c>
      <c r="NS10" s="5">
        <f ca="1">SUMIFS(Movimientos!$C:$C,Movimientos!$A:$A,$B10,Movimientos!$D:$D,CONCATENATE("&lt;=",NS$3),Movimientos!$C:$C,"&gt;0")+SUMIFS(Movimientos!$C:$C,Movimientos!$A:$A,$B10,Movimientos!$D:$D,CONCATENATE("&lt;",NS$3),Movimientos!$C:$C,"&lt;0")</f>
        <v>0</v>
      </c>
      <c r="NT10" s="5">
        <f ca="1">SUMIFS(Movimientos!$C:$C,Movimientos!$A:$A,$B10,Movimientos!$D:$D,CONCATENATE("&lt;=",NT$3),Movimientos!$C:$C,"&gt;0")+SUMIFS(Movimientos!$C:$C,Movimientos!$A:$A,$B10,Movimientos!$D:$D,CONCATENATE("&lt;",NT$3),Movimientos!$C:$C,"&lt;0")</f>
        <v>0</v>
      </c>
      <c r="NU10" s="5">
        <f ca="1">SUMIFS(Movimientos!$C:$C,Movimientos!$A:$A,$B10,Movimientos!$D:$D,CONCATENATE("&lt;=",NU$3),Movimientos!$C:$C,"&gt;0")+SUMIFS(Movimientos!$C:$C,Movimientos!$A:$A,$B10,Movimientos!$D:$D,CONCATENATE("&lt;",NU$3),Movimientos!$C:$C,"&lt;0")</f>
        <v>0</v>
      </c>
      <c r="NV10" s="5">
        <f ca="1">SUMIFS(Movimientos!$C:$C,Movimientos!$A:$A,$B10,Movimientos!$D:$D,CONCATENATE("&lt;=",NV$3),Movimientos!$C:$C,"&gt;0")+SUMIFS(Movimientos!$C:$C,Movimientos!$A:$A,$B10,Movimientos!$D:$D,CONCATENATE("&lt;",NV$3),Movimientos!$C:$C,"&lt;0")</f>
        <v>0</v>
      </c>
      <c r="NW10" s="5">
        <f ca="1">SUMIFS(Movimientos!$C:$C,Movimientos!$A:$A,$B10,Movimientos!$D:$D,CONCATENATE("&lt;=",NW$3),Movimientos!$C:$C,"&gt;0")+SUMIFS(Movimientos!$C:$C,Movimientos!$A:$A,$B10,Movimientos!$D:$D,CONCATENATE("&lt;",NW$3),Movimientos!$C:$C,"&lt;0")</f>
        <v>0</v>
      </c>
      <c r="NX10" s="5">
        <f ca="1">SUMIFS(Movimientos!$C:$C,Movimientos!$A:$A,$B10,Movimientos!$D:$D,CONCATENATE("&lt;=",NX$3),Movimientos!$C:$C,"&gt;0")+SUMIFS(Movimientos!$C:$C,Movimientos!$A:$A,$B10,Movimientos!$D:$D,CONCATENATE("&lt;",NX$3),Movimientos!$C:$C,"&lt;0")</f>
        <v>0</v>
      </c>
      <c r="NY10" s="5">
        <f ca="1">SUMIFS(Movimientos!$C:$C,Movimientos!$A:$A,$B10,Movimientos!$D:$D,CONCATENATE("&lt;=",NY$3),Movimientos!$C:$C,"&gt;0")+SUMIFS(Movimientos!$C:$C,Movimientos!$A:$A,$B10,Movimientos!$D:$D,CONCATENATE("&lt;",NY$3),Movimientos!$C:$C,"&lt;0")</f>
        <v>0</v>
      </c>
      <c r="NZ10" s="5">
        <f ca="1">SUMIFS(Movimientos!$C:$C,Movimientos!$A:$A,$B10,Movimientos!$D:$D,CONCATENATE("&lt;=",NZ$3),Movimientos!$C:$C,"&gt;0")+SUMIFS(Movimientos!$C:$C,Movimientos!$A:$A,$B10,Movimientos!$D:$D,CONCATENATE("&lt;",NZ$3),Movimientos!$C:$C,"&lt;0")</f>
        <v>0</v>
      </c>
      <c r="OA10" s="5">
        <f ca="1">SUMIFS(Movimientos!$C:$C,Movimientos!$A:$A,$B10,Movimientos!$D:$D,CONCATENATE("&lt;=",OA$3),Movimientos!$C:$C,"&gt;0")+SUMIFS(Movimientos!$C:$C,Movimientos!$A:$A,$B10,Movimientos!$D:$D,CONCATENATE("&lt;",OA$3),Movimientos!$C:$C,"&lt;0")</f>
        <v>0</v>
      </c>
      <c r="OB10" s="5">
        <f ca="1">SUMIFS(Movimientos!$C:$C,Movimientos!$A:$A,$B10,Movimientos!$D:$D,CONCATENATE("&lt;=",OB$3),Movimientos!$C:$C,"&gt;0")+SUMIFS(Movimientos!$C:$C,Movimientos!$A:$A,$B10,Movimientos!$D:$D,CONCATENATE("&lt;",OB$3),Movimientos!$C:$C,"&lt;0")</f>
        <v>0</v>
      </c>
      <c r="OC10" s="5">
        <f ca="1">SUMIFS(Movimientos!$C:$C,Movimientos!$A:$A,$B10,Movimientos!$D:$D,CONCATENATE("&lt;=",OC$3),Movimientos!$C:$C,"&gt;0")+SUMIFS(Movimientos!$C:$C,Movimientos!$A:$A,$B10,Movimientos!$D:$D,CONCATENATE("&lt;",OC$3),Movimientos!$C:$C,"&lt;0")</f>
        <v>0</v>
      </c>
      <c r="OD10" s="5">
        <f ca="1">SUMIFS(Movimientos!$C:$C,Movimientos!$A:$A,$B10,Movimientos!$D:$D,CONCATENATE("&lt;=",OD$3),Movimientos!$C:$C,"&gt;0")+SUMIFS(Movimientos!$C:$C,Movimientos!$A:$A,$B10,Movimientos!$D:$D,CONCATENATE("&lt;",OD$3),Movimientos!$C:$C,"&lt;0")</f>
        <v>0</v>
      </c>
      <c r="OE10" s="5">
        <f ca="1">SUMIFS(Movimientos!$C:$C,Movimientos!$A:$A,$B10,Movimientos!$D:$D,CONCATENATE("&lt;=",OE$3),Movimientos!$C:$C,"&gt;0")+SUMIFS(Movimientos!$C:$C,Movimientos!$A:$A,$B10,Movimientos!$D:$D,CONCATENATE("&lt;",OE$3),Movimientos!$C:$C,"&lt;0")</f>
        <v>0</v>
      </c>
      <c r="OF10" s="5">
        <f ca="1">SUMIFS(Movimientos!$C:$C,Movimientos!$A:$A,$B10,Movimientos!$D:$D,CONCATENATE("&lt;=",OF$3),Movimientos!$C:$C,"&gt;0")+SUMIFS(Movimientos!$C:$C,Movimientos!$A:$A,$B10,Movimientos!$D:$D,CONCATENATE("&lt;",OF$3),Movimientos!$C:$C,"&lt;0")</f>
        <v>0</v>
      </c>
      <c r="OG10" s="5">
        <f ca="1">SUMIFS(Movimientos!$C:$C,Movimientos!$A:$A,$B10,Movimientos!$D:$D,CONCATENATE("&lt;=",OG$3),Movimientos!$C:$C,"&gt;0")+SUMIFS(Movimientos!$C:$C,Movimientos!$A:$A,$B10,Movimientos!$D:$D,CONCATENATE("&lt;",OG$3),Movimientos!$C:$C,"&lt;0")</f>
        <v>0</v>
      </c>
      <c r="OH10" s="5">
        <f ca="1">SUMIFS(Movimientos!$C:$C,Movimientos!$A:$A,$B10,Movimientos!$D:$D,CONCATENATE("&lt;=",OH$3),Movimientos!$C:$C,"&gt;0")+SUMIFS(Movimientos!$C:$C,Movimientos!$A:$A,$B10,Movimientos!$D:$D,CONCATENATE("&lt;",OH$3),Movimientos!$C:$C,"&lt;0")</f>
        <v>0</v>
      </c>
      <c r="OI10" s="5">
        <f ca="1">SUMIFS(Movimientos!$C:$C,Movimientos!$A:$A,$B10,Movimientos!$D:$D,CONCATENATE("&lt;=",OI$3),Movimientos!$C:$C,"&gt;0")+SUMIFS(Movimientos!$C:$C,Movimientos!$A:$A,$B10,Movimientos!$D:$D,CONCATENATE("&lt;",OI$3),Movimientos!$C:$C,"&lt;0")</f>
        <v>0</v>
      </c>
      <c r="OJ10" s="5">
        <f ca="1">SUMIFS(Movimientos!$C:$C,Movimientos!$A:$A,$B10,Movimientos!$D:$D,CONCATENATE("&lt;=",OJ$3),Movimientos!$C:$C,"&gt;0")+SUMIFS(Movimientos!$C:$C,Movimientos!$A:$A,$B10,Movimientos!$D:$D,CONCATENATE("&lt;",OJ$3),Movimientos!$C:$C,"&lt;0")</f>
        <v>0</v>
      </c>
      <c r="OK10" s="5">
        <f ca="1">SUMIFS(Movimientos!$C:$C,Movimientos!$A:$A,$B10,Movimientos!$D:$D,CONCATENATE("&lt;=",OK$3),Movimientos!$C:$C,"&gt;0")+SUMIFS(Movimientos!$C:$C,Movimientos!$A:$A,$B10,Movimientos!$D:$D,CONCATENATE("&lt;",OK$3),Movimientos!$C:$C,"&lt;0")</f>
        <v>0</v>
      </c>
      <c r="OL10" s="5">
        <f ca="1">SUMIFS(Movimientos!$C:$C,Movimientos!$A:$A,$B10,Movimientos!$D:$D,CONCATENATE("&lt;=",OL$3),Movimientos!$C:$C,"&gt;0")+SUMIFS(Movimientos!$C:$C,Movimientos!$A:$A,$B10,Movimientos!$D:$D,CONCATENATE("&lt;",OL$3),Movimientos!$C:$C,"&lt;0")</f>
        <v>0</v>
      </c>
      <c r="OM10" s="5">
        <f ca="1">SUMIFS(Movimientos!$C:$C,Movimientos!$A:$A,$B10,Movimientos!$D:$D,CONCATENATE("&lt;=",OM$3),Movimientos!$C:$C,"&gt;0")+SUMIFS(Movimientos!$C:$C,Movimientos!$A:$A,$B10,Movimientos!$D:$D,CONCATENATE("&lt;",OM$3),Movimientos!$C:$C,"&lt;0")</f>
        <v>0</v>
      </c>
      <c r="ON10" s="5">
        <f ca="1">SUMIFS(Movimientos!$C:$C,Movimientos!$A:$A,$B10,Movimientos!$D:$D,CONCATENATE("&lt;=",ON$3),Movimientos!$C:$C,"&gt;0")+SUMIFS(Movimientos!$C:$C,Movimientos!$A:$A,$B10,Movimientos!$D:$D,CONCATENATE("&lt;",ON$3),Movimientos!$C:$C,"&lt;0")</f>
        <v>0</v>
      </c>
      <c r="OO10" s="5">
        <f ca="1">SUMIFS(Movimientos!$C:$C,Movimientos!$A:$A,$B10,Movimientos!$D:$D,CONCATENATE("&lt;=",OO$3),Movimientos!$C:$C,"&gt;0")+SUMIFS(Movimientos!$C:$C,Movimientos!$A:$A,$B10,Movimientos!$D:$D,CONCATENATE("&lt;",OO$3),Movimientos!$C:$C,"&lt;0")</f>
        <v>0</v>
      </c>
      <c r="OP10" s="5">
        <f ca="1">SUMIFS(Movimientos!$C:$C,Movimientos!$A:$A,$B10,Movimientos!$D:$D,CONCATENATE("&lt;=",OP$3),Movimientos!$C:$C,"&gt;0")+SUMIFS(Movimientos!$C:$C,Movimientos!$A:$A,$B10,Movimientos!$D:$D,CONCATENATE("&lt;",OP$3),Movimientos!$C:$C,"&lt;0")</f>
        <v>0</v>
      </c>
      <c r="OQ10" s="5">
        <f ca="1">SUMIFS(Movimientos!$C:$C,Movimientos!$A:$A,$B10,Movimientos!$D:$D,CONCATENATE("&lt;=",OQ$3),Movimientos!$C:$C,"&gt;0")+SUMIFS(Movimientos!$C:$C,Movimientos!$A:$A,$B10,Movimientos!$D:$D,CONCATENATE("&lt;",OQ$3),Movimientos!$C:$C,"&lt;0")</f>
        <v>0</v>
      </c>
      <c r="OR10" s="5">
        <f ca="1">SUMIFS(Movimientos!$C:$C,Movimientos!$A:$A,$B10,Movimientos!$D:$D,CONCATENATE("&lt;=",OR$3),Movimientos!$C:$C,"&gt;0")+SUMIFS(Movimientos!$C:$C,Movimientos!$A:$A,$B10,Movimientos!$D:$D,CONCATENATE("&lt;",OR$3),Movimientos!$C:$C,"&lt;0")</f>
        <v>0</v>
      </c>
      <c r="OS10" s="5">
        <f ca="1">SUMIFS(Movimientos!$C:$C,Movimientos!$A:$A,$B10,Movimientos!$D:$D,CONCATENATE("&lt;=",OS$3),Movimientos!$C:$C,"&gt;0")+SUMIFS(Movimientos!$C:$C,Movimientos!$A:$A,$B10,Movimientos!$D:$D,CONCATENATE("&lt;",OS$3),Movimientos!$C:$C,"&lt;0")</f>
        <v>0</v>
      </c>
      <c r="OT10" s="5">
        <f ca="1">SUMIFS(Movimientos!$C:$C,Movimientos!$A:$A,$B10,Movimientos!$D:$D,CONCATENATE("&lt;=",OT$3),Movimientos!$C:$C,"&gt;0")+SUMIFS(Movimientos!$C:$C,Movimientos!$A:$A,$B10,Movimientos!$D:$D,CONCATENATE("&lt;",OT$3),Movimientos!$C:$C,"&lt;0")</f>
        <v>0</v>
      </c>
      <c r="OU10" s="5">
        <f ca="1">SUMIFS(Movimientos!$C:$C,Movimientos!$A:$A,$B10,Movimientos!$D:$D,CONCATENATE("&lt;=",OU$3),Movimientos!$C:$C,"&gt;0")+SUMIFS(Movimientos!$C:$C,Movimientos!$A:$A,$B10,Movimientos!$D:$D,CONCATENATE("&lt;",OU$3),Movimientos!$C:$C,"&lt;0")</f>
        <v>0</v>
      </c>
      <c r="OV10" s="5">
        <f ca="1">SUMIFS(Movimientos!$C:$C,Movimientos!$A:$A,$B10,Movimientos!$D:$D,CONCATENATE("&lt;=",OV$3),Movimientos!$C:$C,"&gt;0")+SUMIFS(Movimientos!$C:$C,Movimientos!$A:$A,$B10,Movimientos!$D:$D,CONCATENATE("&lt;",OV$3),Movimientos!$C:$C,"&lt;0")</f>
        <v>0</v>
      </c>
      <c r="OW10" s="5">
        <f ca="1">SUMIFS(Movimientos!$C:$C,Movimientos!$A:$A,$B10,Movimientos!$D:$D,CONCATENATE("&lt;=",OW$3),Movimientos!$C:$C,"&gt;0")+SUMIFS(Movimientos!$C:$C,Movimientos!$A:$A,$B10,Movimientos!$D:$D,CONCATENATE("&lt;",OW$3),Movimientos!$C:$C,"&lt;0")</f>
        <v>0</v>
      </c>
      <c r="OX10" s="5">
        <f ca="1">SUMIFS(Movimientos!$C:$C,Movimientos!$A:$A,$B10,Movimientos!$D:$D,CONCATENATE("&lt;=",OX$3),Movimientos!$C:$C,"&gt;0")+SUMIFS(Movimientos!$C:$C,Movimientos!$A:$A,$B10,Movimientos!$D:$D,CONCATENATE("&lt;",OX$3),Movimientos!$C:$C,"&lt;0")</f>
        <v>0</v>
      </c>
      <c r="OY10" s="5">
        <f ca="1">SUMIFS(Movimientos!$C:$C,Movimientos!$A:$A,$B10,Movimientos!$D:$D,CONCATENATE("&lt;=",OY$3),Movimientos!$C:$C,"&gt;0")+SUMIFS(Movimientos!$C:$C,Movimientos!$A:$A,$B10,Movimientos!$D:$D,CONCATENATE("&lt;",OY$3),Movimientos!$C:$C,"&lt;0")</f>
        <v>0</v>
      </c>
      <c r="OZ10" s="5">
        <f ca="1">SUMIFS(Movimientos!$C:$C,Movimientos!$A:$A,$B10,Movimientos!$D:$D,CONCATENATE("&lt;=",OZ$3),Movimientos!$C:$C,"&gt;0")+SUMIFS(Movimientos!$C:$C,Movimientos!$A:$A,$B10,Movimientos!$D:$D,CONCATENATE("&lt;",OZ$3),Movimientos!$C:$C,"&lt;0")</f>
        <v>0</v>
      </c>
      <c r="PA10" s="5">
        <f ca="1">SUMIFS(Movimientos!$C:$C,Movimientos!$A:$A,$B10,Movimientos!$D:$D,CONCATENATE("&lt;=",PA$3),Movimientos!$C:$C,"&gt;0")+SUMIFS(Movimientos!$C:$C,Movimientos!$A:$A,$B10,Movimientos!$D:$D,CONCATENATE("&lt;",PA$3),Movimientos!$C:$C,"&lt;0")</f>
        <v>0</v>
      </c>
      <c r="PB10" s="5">
        <f ca="1">SUMIFS(Movimientos!$C:$C,Movimientos!$A:$A,$B10,Movimientos!$D:$D,CONCATENATE("&lt;=",PB$3),Movimientos!$C:$C,"&gt;0")+SUMIFS(Movimientos!$C:$C,Movimientos!$A:$A,$B10,Movimientos!$D:$D,CONCATENATE("&lt;",PB$3),Movimientos!$C:$C,"&lt;0")</f>
        <v>0</v>
      </c>
      <c r="PC10" s="5">
        <f ca="1">SUMIFS(Movimientos!$C:$C,Movimientos!$A:$A,$B10,Movimientos!$D:$D,CONCATENATE("&lt;=",PC$3),Movimientos!$C:$C,"&gt;0")+SUMIFS(Movimientos!$C:$C,Movimientos!$A:$A,$B10,Movimientos!$D:$D,CONCATENATE("&lt;",PC$3),Movimientos!$C:$C,"&lt;0")</f>
        <v>0</v>
      </c>
      <c r="PD10" s="5">
        <f ca="1">SUMIFS(Movimientos!$C:$C,Movimientos!$A:$A,$B10,Movimientos!$D:$D,CONCATENATE("&lt;=",PD$3),Movimientos!$C:$C,"&gt;0")+SUMIFS(Movimientos!$C:$C,Movimientos!$A:$A,$B10,Movimientos!$D:$D,CONCATENATE("&lt;",PD$3),Movimientos!$C:$C,"&lt;0")</f>
        <v>0</v>
      </c>
      <c r="PE10" s="5">
        <f ca="1">SUMIFS(Movimientos!$C:$C,Movimientos!$A:$A,$B10,Movimientos!$D:$D,CONCATENATE("&lt;=",PE$3),Movimientos!$C:$C,"&gt;0")+SUMIFS(Movimientos!$C:$C,Movimientos!$A:$A,$B10,Movimientos!$D:$D,CONCATENATE("&lt;",PE$3),Movimientos!$C:$C,"&lt;0")</f>
        <v>0</v>
      </c>
      <c r="PF10" s="5">
        <f ca="1">SUMIFS(Movimientos!$C:$C,Movimientos!$A:$A,$B10,Movimientos!$D:$D,CONCATENATE("&lt;=",PF$3),Movimientos!$C:$C,"&gt;0")+SUMIFS(Movimientos!$C:$C,Movimientos!$A:$A,$B10,Movimientos!$D:$D,CONCATENATE("&lt;",PF$3),Movimientos!$C:$C,"&lt;0")</f>
        <v>0</v>
      </c>
      <c r="PG10" s="5">
        <f ca="1">SUMIFS(Movimientos!$C:$C,Movimientos!$A:$A,$B10,Movimientos!$D:$D,CONCATENATE("&lt;=",PG$3),Movimientos!$C:$C,"&gt;0")+SUMIFS(Movimientos!$C:$C,Movimientos!$A:$A,$B10,Movimientos!$D:$D,CONCATENATE("&lt;",PG$3),Movimientos!$C:$C,"&lt;0")</f>
        <v>0</v>
      </c>
      <c r="PH10" s="5">
        <f ca="1">SUMIFS(Movimientos!$C:$C,Movimientos!$A:$A,$B10,Movimientos!$D:$D,CONCATENATE("&lt;=",PH$3),Movimientos!$C:$C,"&gt;0")+SUMIFS(Movimientos!$C:$C,Movimientos!$A:$A,$B10,Movimientos!$D:$D,CONCATENATE("&lt;",PH$3),Movimientos!$C:$C,"&lt;0")</f>
        <v>0</v>
      </c>
      <c r="PI10" s="5">
        <f ca="1">SUMIFS(Movimientos!$C:$C,Movimientos!$A:$A,$B10,Movimientos!$D:$D,CONCATENATE("&lt;=",PI$3),Movimientos!$C:$C,"&gt;0")+SUMIFS(Movimientos!$C:$C,Movimientos!$A:$A,$B10,Movimientos!$D:$D,CONCATENATE("&lt;",PI$3),Movimientos!$C:$C,"&lt;0")</f>
        <v>0</v>
      </c>
      <c r="PJ10" s="5">
        <f ca="1">SUMIFS(Movimientos!$C:$C,Movimientos!$A:$A,$B10,Movimientos!$D:$D,CONCATENATE("&lt;=",PJ$3),Movimientos!$C:$C,"&gt;0")+SUMIFS(Movimientos!$C:$C,Movimientos!$A:$A,$B10,Movimientos!$D:$D,CONCATENATE("&lt;",PJ$3),Movimientos!$C:$C,"&lt;0")</f>
        <v>0</v>
      </c>
      <c r="PK10" s="5">
        <f ca="1">SUMIFS(Movimientos!$C:$C,Movimientos!$A:$A,$B10,Movimientos!$D:$D,CONCATENATE("&lt;=",PK$3),Movimientos!$C:$C,"&gt;0")+SUMIFS(Movimientos!$C:$C,Movimientos!$A:$A,$B10,Movimientos!$D:$D,CONCATENATE("&lt;",PK$3),Movimientos!$C:$C,"&lt;0")</f>
        <v>0</v>
      </c>
      <c r="PL10" s="5">
        <f ca="1">SUMIFS(Movimientos!$C:$C,Movimientos!$A:$A,$B10,Movimientos!$D:$D,CONCATENATE("&lt;=",PL$3),Movimientos!$C:$C,"&gt;0")+SUMIFS(Movimientos!$C:$C,Movimientos!$A:$A,$B10,Movimientos!$D:$D,CONCATENATE("&lt;",PL$3),Movimientos!$C:$C,"&lt;0")</f>
        <v>0</v>
      </c>
      <c r="PM10" s="5">
        <f ca="1">SUMIFS(Movimientos!$C:$C,Movimientos!$A:$A,$B10,Movimientos!$D:$D,CONCATENATE("&lt;=",PM$3),Movimientos!$C:$C,"&gt;0")+SUMIFS(Movimientos!$C:$C,Movimientos!$A:$A,$B10,Movimientos!$D:$D,CONCATENATE("&lt;",PM$3),Movimientos!$C:$C,"&lt;0")</f>
        <v>0</v>
      </c>
      <c r="PN10" s="5">
        <f ca="1">SUMIFS(Movimientos!$C:$C,Movimientos!$A:$A,$B10,Movimientos!$D:$D,CONCATENATE("&lt;=",PN$3),Movimientos!$C:$C,"&gt;0")+SUMIFS(Movimientos!$C:$C,Movimientos!$A:$A,$B10,Movimientos!$D:$D,CONCATENATE("&lt;",PN$3),Movimientos!$C:$C,"&lt;0")</f>
        <v>0</v>
      </c>
      <c r="PO10" s="5">
        <f ca="1">SUMIFS(Movimientos!$C:$C,Movimientos!$A:$A,$B10,Movimientos!$D:$D,CONCATENATE("&lt;=",PO$3),Movimientos!$C:$C,"&gt;0")+SUMIFS(Movimientos!$C:$C,Movimientos!$A:$A,$B10,Movimientos!$D:$D,CONCATENATE("&lt;",PO$3),Movimientos!$C:$C,"&lt;0")</f>
        <v>0</v>
      </c>
      <c r="PP10" s="5">
        <f ca="1">SUMIFS(Movimientos!$C:$C,Movimientos!$A:$A,$B10,Movimientos!$D:$D,CONCATENATE("&lt;=",PP$3),Movimientos!$C:$C,"&gt;0")+SUMIFS(Movimientos!$C:$C,Movimientos!$A:$A,$B10,Movimientos!$D:$D,CONCATENATE("&lt;",PP$3),Movimientos!$C:$C,"&lt;0")</f>
        <v>0</v>
      </c>
      <c r="PQ10" s="5">
        <f ca="1">SUMIFS(Movimientos!$C:$C,Movimientos!$A:$A,$B10,Movimientos!$D:$D,CONCATENATE("&lt;=",PQ$3),Movimientos!$C:$C,"&gt;0")+SUMIFS(Movimientos!$C:$C,Movimientos!$A:$A,$B10,Movimientos!$D:$D,CONCATENATE("&lt;",PQ$3),Movimientos!$C:$C,"&lt;0")</f>
        <v>0</v>
      </c>
      <c r="PR10" s="5">
        <f ca="1">SUMIFS(Movimientos!$C:$C,Movimientos!$A:$A,$B10,Movimientos!$D:$D,CONCATENATE("&lt;=",PR$3),Movimientos!$C:$C,"&gt;0")+SUMIFS(Movimientos!$C:$C,Movimientos!$A:$A,$B10,Movimientos!$D:$D,CONCATENATE("&lt;",PR$3),Movimientos!$C:$C,"&lt;0")</f>
        <v>0</v>
      </c>
      <c r="PS10" s="5">
        <f ca="1">SUMIFS(Movimientos!$C:$C,Movimientos!$A:$A,$B10,Movimientos!$D:$D,CONCATENATE("&lt;=",PS$3),Movimientos!$C:$C,"&gt;0")+SUMIFS(Movimientos!$C:$C,Movimientos!$A:$A,$B10,Movimientos!$D:$D,CONCATENATE("&lt;",PS$3),Movimientos!$C:$C,"&lt;0")</f>
        <v>0</v>
      </c>
      <c r="PT10" s="5">
        <f ca="1">SUMIFS(Movimientos!$C:$C,Movimientos!$A:$A,$B10,Movimientos!$D:$D,CONCATENATE("&lt;=",PT$3),Movimientos!$C:$C,"&gt;0")+SUMIFS(Movimientos!$C:$C,Movimientos!$A:$A,$B10,Movimientos!$D:$D,CONCATENATE("&lt;",PT$3),Movimientos!$C:$C,"&lt;0")</f>
        <v>0</v>
      </c>
      <c r="PU10" s="5">
        <f ca="1">SUMIFS(Movimientos!$C:$C,Movimientos!$A:$A,$B10,Movimientos!$D:$D,CONCATENATE("&lt;=",PU$3),Movimientos!$C:$C,"&gt;0")+SUMIFS(Movimientos!$C:$C,Movimientos!$A:$A,$B10,Movimientos!$D:$D,CONCATENATE("&lt;",PU$3),Movimientos!$C:$C,"&lt;0")</f>
        <v>0</v>
      </c>
      <c r="PV10" s="5">
        <f ca="1">SUMIFS(Movimientos!$C:$C,Movimientos!$A:$A,$B10,Movimientos!$D:$D,CONCATENATE("&lt;=",PV$3),Movimientos!$C:$C,"&gt;0")+SUMIFS(Movimientos!$C:$C,Movimientos!$A:$A,$B10,Movimientos!$D:$D,CONCATENATE("&lt;",PV$3),Movimientos!$C:$C,"&lt;0")</f>
        <v>0</v>
      </c>
      <c r="PW10" s="5">
        <f ca="1">SUMIFS(Movimientos!$C:$C,Movimientos!$A:$A,$B10,Movimientos!$D:$D,CONCATENATE("&lt;=",PW$3),Movimientos!$C:$C,"&gt;0")+SUMIFS(Movimientos!$C:$C,Movimientos!$A:$A,$B10,Movimientos!$D:$D,CONCATENATE("&lt;",PW$3),Movimientos!$C:$C,"&lt;0")</f>
        <v>0</v>
      </c>
      <c r="PX10" s="5">
        <f ca="1">SUMIFS(Movimientos!$C:$C,Movimientos!$A:$A,$B10,Movimientos!$D:$D,CONCATENATE("&lt;=",PX$3),Movimientos!$C:$C,"&gt;0")+SUMIFS(Movimientos!$C:$C,Movimientos!$A:$A,$B10,Movimientos!$D:$D,CONCATENATE("&lt;",PX$3),Movimientos!$C:$C,"&lt;0")</f>
        <v>0</v>
      </c>
      <c r="PY10" s="5">
        <f ca="1">SUMIFS(Movimientos!$C:$C,Movimientos!$A:$A,$B10,Movimientos!$D:$D,CONCATENATE("&lt;=",PY$3),Movimientos!$C:$C,"&gt;0")+SUMIFS(Movimientos!$C:$C,Movimientos!$A:$A,$B10,Movimientos!$D:$D,CONCATENATE("&lt;",PY$3),Movimientos!$C:$C,"&lt;0")</f>
        <v>0</v>
      </c>
      <c r="PZ10" s="5">
        <f ca="1">SUMIFS(Movimientos!$C:$C,Movimientos!$A:$A,$B10,Movimientos!$D:$D,CONCATENATE("&lt;=",PZ$3),Movimientos!$C:$C,"&gt;0")+SUMIFS(Movimientos!$C:$C,Movimientos!$A:$A,$B10,Movimientos!$D:$D,CONCATENATE("&lt;",PZ$3),Movimientos!$C:$C,"&lt;0")</f>
        <v>0</v>
      </c>
      <c r="QA10" s="5">
        <f ca="1">SUMIFS(Movimientos!$C:$C,Movimientos!$A:$A,$B10,Movimientos!$D:$D,CONCATENATE("&lt;=",QA$3),Movimientos!$C:$C,"&gt;0")+SUMIFS(Movimientos!$C:$C,Movimientos!$A:$A,$B10,Movimientos!$D:$D,CONCATENATE("&lt;",QA$3),Movimientos!$C:$C,"&lt;0")</f>
        <v>0</v>
      </c>
      <c r="QB10" s="5">
        <f ca="1">SUMIFS(Movimientos!$C:$C,Movimientos!$A:$A,$B10,Movimientos!$D:$D,CONCATENATE("&lt;=",QB$3),Movimientos!$C:$C,"&gt;0")+SUMIFS(Movimientos!$C:$C,Movimientos!$A:$A,$B10,Movimientos!$D:$D,CONCATENATE("&lt;",QB$3),Movimientos!$C:$C,"&lt;0")</f>
        <v>0</v>
      </c>
      <c r="QC10" s="5">
        <f ca="1">SUMIFS(Movimientos!$C:$C,Movimientos!$A:$A,$B10,Movimientos!$D:$D,CONCATENATE("&lt;=",QC$3),Movimientos!$C:$C,"&gt;0")+SUMIFS(Movimientos!$C:$C,Movimientos!$A:$A,$B10,Movimientos!$D:$D,CONCATENATE("&lt;",QC$3),Movimientos!$C:$C,"&lt;0")</f>
        <v>0</v>
      </c>
      <c r="QD10" s="5">
        <f ca="1">SUMIFS(Movimientos!$C:$C,Movimientos!$A:$A,$B10,Movimientos!$D:$D,CONCATENATE("&lt;=",QD$3),Movimientos!$C:$C,"&gt;0")+SUMIFS(Movimientos!$C:$C,Movimientos!$A:$A,$B10,Movimientos!$D:$D,CONCATENATE("&lt;",QD$3),Movimientos!$C:$C,"&lt;0")</f>
        <v>0</v>
      </c>
      <c r="QE10" s="5">
        <f ca="1">SUMIFS(Movimientos!$C:$C,Movimientos!$A:$A,$B10,Movimientos!$D:$D,CONCATENATE("&lt;=",QE$3),Movimientos!$C:$C,"&gt;0")+SUMIFS(Movimientos!$C:$C,Movimientos!$A:$A,$B10,Movimientos!$D:$D,CONCATENATE("&lt;",QE$3),Movimientos!$C:$C,"&lt;0")</f>
        <v>0</v>
      </c>
      <c r="QF10" s="5">
        <f ca="1">SUMIFS(Movimientos!$C:$C,Movimientos!$A:$A,$B10,Movimientos!$D:$D,CONCATENATE("&lt;=",QF$3),Movimientos!$C:$C,"&gt;0")+SUMIFS(Movimientos!$C:$C,Movimientos!$A:$A,$B10,Movimientos!$D:$D,CONCATENATE("&lt;",QF$3),Movimientos!$C:$C,"&lt;0")</f>
        <v>0</v>
      </c>
      <c r="QG10" s="5">
        <f ca="1">SUMIFS(Movimientos!$C:$C,Movimientos!$A:$A,$B10,Movimientos!$D:$D,CONCATENATE("&lt;=",QG$3),Movimientos!$C:$C,"&gt;0")+SUMIFS(Movimientos!$C:$C,Movimientos!$A:$A,$B10,Movimientos!$D:$D,CONCATENATE("&lt;",QG$3),Movimientos!$C:$C,"&lt;0")</f>
        <v>0</v>
      </c>
      <c r="QH10" s="5">
        <f ca="1">SUMIFS(Movimientos!$C:$C,Movimientos!$A:$A,$B10,Movimientos!$D:$D,CONCATENATE("&lt;=",QH$3),Movimientos!$C:$C,"&gt;0")+SUMIFS(Movimientos!$C:$C,Movimientos!$A:$A,$B10,Movimientos!$D:$D,CONCATENATE("&lt;",QH$3),Movimientos!$C:$C,"&lt;0")</f>
        <v>0</v>
      </c>
      <c r="QI10" s="5">
        <f ca="1">SUMIFS(Movimientos!$C:$C,Movimientos!$A:$A,$B10,Movimientos!$D:$D,CONCATENATE("&lt;=",QI$3),Movimientos!$C:$C,"&gt;0")+SUMIFS(Movimientos!$C:$C,Movimientos!$A:$A,$B10,Movimientos!$D:$D,CONCATENATE("&lt;",QI$3),Movimientos!$C:$C,"&lt;0")</f>
        <v>0</v>
      </c>
      <c r="QJ10" s="5">
        <f ca="1">SUMIFS(Movimientos!$C:$C,Movimientos!$A:$A,$B10,Movimientos!$D:$D,CONCATENATE("&lt;=",QJ$3),Movimientos!$C:$C,"&gt;0")+SUMIFS(Movimientos!$C:$C,Movimientos!$A:$A,$B10,Movimientos!$D:$D,CONCATENATE("&lt;",QJ$3),Movimientos!$C:$C,"&lt;0")</f>
        <v>0</v>
      </c>
      <c r="QK10" s="5">
        <f ca="1">SUMIFS(Movimientos!$C:$C,Movimientos!$A:$A,$B10,Movimientos!$D:$D,CONCATENATE("&lt;=",QK$3),Movimientos!$C:$C,"&gt;0")+SUMIFS(Movimientos!$C:$C,Movimientos!$A:$A,$B10,Movimientos!$D:$D,CONCATENATE("&lt;",QK$3),Movimientos!$C:$C,"&lt;0")</f>
        <v>0</v>
      </c>
      <c r="QL10" s="5">
        <f ca="1">SUMIFS(Movimientos!$C:$C,Movimientos!$A:$A,$B10,Movimientos!$D:$D,CONCATENATE("&lt;=",QL$3),Movimientos!$C:$C,"&gt;0")+SUMIFS(Movimientos!$C:$C,Movimientos!$A:$A,$B10,Movimientos!$D:$D,CONCATENATE("&lt;",QL$3),Movimientos!$C:$C,"&lt;0")</f>
        <v>0</v>
      </c>
      <c r="QM10" s="5">
        <f ca="1">SUMIFS(Movimientos!$C:$C,Movimientos!$A:$A,$B10,Movimientos!$D:$D,CONCATENATE("&lt;=",QM$3),Movimientos!$C:$C,"&gt;0")+SUMIFS(Movimientos!$C:$C,Movimientos!$A:$A,$B10,Movimientos!$D:$D,CONCATENATE("&lt;",QM$3),Movimientos!$C:$C,"&lt;0")</f>
        <v>0</v>
      </c>
      <c r="QN10" s="5">
        <f ca="1">SUMIFS(Movimientos!$C:$C,Movimientos!$A:$A,$B10,Movimientos!$D:$D,CONCATENATE("&lt;=",QN$3),Movimientos!$C:$C,"&gt;0")+SUMIFS(Movimientos!$C:$C,Movimientos!$A:$A,$B10,Movimientos!$D:$D,CONCATENATE("&lt;",QN$3),Movimientos!$C:$C,"&lt;0")</f>
        <v>0</v>
      </c>
      <c r="QO10" s="5">
        <f ca="1">SUMIFS(Movimientos!$C:$C,Movimientos!$A:$A,$B10,Movimientos!$D:$D,CONCATENATE("&lt;=",QO$3),Movimientos!$C:$C,"&gt;0")+SUMIFS(Movimientos!$C:$C,Movimientos!$A:$A,$B10,Movimientos!$D:$D,CONCATENATE("&lt;",QO$3),Movimientos!$C:$C,"&lt;0")</f>
        <v>0</v>
      </c>
      <c r="QP10" s="5">
        <f ca="1">SUMIFS(Movimientos!$C:$C,Movimientos!$A:$A,$B10,Movimientos!$D:$D,CONCATENATE("&lt;=",QP$3),Movimientos!$C:$C,"&gt;0")+SUMIFS(Movimientos!$C:$C,Movimientos!$A:$A,$B10,Movimientos!$D:$D,CONCATENATE("&lt;",QP$3),Movimientos!$C:$C,"&lt;0")</f>
        <v>0</v>
      </c>
      <c r="QQ10" s="5">
        <f ca="1">SUMIFS(Movimientos!$C:$C,Movimientos!$A:$A,$B10,Movimientos!$D:$D,CONCATENATE("&lt;=",QQ$3),Movimientos!$C:$C,"&gt;0")+SUMIFS(Movimientos!$C:$C,Movimientos!$A:$A,$B10,Movimientos!$D:$D,CONCATENATE("&lt;",QQ$3),Movimientos!$C:$C,"&lt;0")</f>
        <v>0</v>
      </c>
      <c r="QR10" s="5">
        <f ca="1">SUMIFS(Movimientos!$C:$C,Movimientos!$A:$A,$B10,Movimientos!$D:$D,CONCATENATE("&lt;=",QR$3),Movimientos!$C:$C,"&gt;0")+SUMIFS(Movimientos!$C:$C,Movimientos!$A:$A,$B10,Movimientos!$D:$D,CONCATENATE("&lt;",QR$3),Movimientos!$C:$C,"&lt;0")</f>
        <v>0</v>
      </c>
      <c r="QS10" s="5">
        <f ca="1">SUMIFS(Movimientos!$C:$C,Movimientos!$A:$A,$B10,Movimientos!$D:$D,CONCATENATE("&lt;=",QS$3),Movimientos!$C:$C,"&gt;0")+SUMIFS(Movimientos!$C:$C,Movimientos!$A:$A,$B10,Movimientos!$D:$D,CONCATENATE("&lt;",QS$3),Movimientos!$C:$C,"&lt;0")</f>
        <v>0</v>
      </c>
      <c r="QT10" s="5">
        <f ca="1">SUMIFS(Movimientos!$C:$C,Movimientos!$A:$A,$B10,Movimientos!$D:$D,CONCATENATE("&lt;=",QT$3),Movimientos!$C:$C,"&gt;0")+SUMIFS(Movimientos!$C:$C,Movimientos!$A:$A,$B10,Movimientos!$D:$D,CONCATENATE("&lt;",QT$3),Movimientos!$C:$C,"&lt;0")</f>
        <v>0</v>
      </c>
      <c r="QU10" s="5">
        <f ca="1">SUMIFS(Movimientos!$C:$C,Movimientos!$A:$A,$B10,Movimientos!$D:$D,CONCATENATE("&lt;=",QU$3),Movimientos!$C:$C,"&gt;0")+SUMIFS(Movimientos!$C:$C,Movimientos!$A:$A,$B10,Movimientos!$D:$D,CONCATENATE("&lt;",QU$3),Movimientos!$C:$C,"&lt;0")</f>
        <v>0</v>
      </c>
      <c r="QV10" s="5">
        <f ca="1">SUMIFS(Movimientos!$C:$C,Movimientos!$A:$A,$B10,Movimientos!$D:$D,CONCATENATE("&lt;=",QV$3),Movimientos!$C:$C,"&gt;0")+SUMIFS(Movimientos!$C:$C,Movimientos!$A:$A,$B10,Movimientos!$D:$D,CONCATENATE("&lt;",QV$3),Movimientos!$C:$C,"&lt;0")</f>
        <v>0</v>
      </c>
      <c r="QW10" s="5">
        <f ca="1">SUMIFS(Movimientos!$C:$C,Movimientos!$A:$A,$B10,Movimientos!$D:$D,CONCATENATE("&lt;=",QW$3),Movimientos!$C:$C,"&gt;0")+SUMIFS(Movimientos!$C:$C,Movimientos!$A:$A,$B10,Movimientos!$D:$D,CONCATENATE("&lt;",QW$3),Movimientos!$C:$C,"&lt;0")</f>
        <v>0</v>
      </c>
      <c r="QX10" s="5">
        <f ca="1">SUMIFS(Movimientos!$C:$C,Movimientos!$A:$A,$B10,Movimientos!$D:$D,CONCATENATE("&lt;=",QX$3),Movimientos!$C:$C,"&gt;0")+SUMIFS(Movimientos!$C:$C,Movimientos!$A:$A,$B10,Movimientos!$D:$D,CONCATENATE("&lt;",QX$3),Movimientos!$C:$C,"&lt;0")</f>
        <v>0</v>
      </c>
      <c r="QY10" s="5">
        <f ca="1">SUMIFS(Movimientos!$C:$C,Movimientos!$A:$A,$B10,Movimientos!$D:$D,CONCATENATE("&lt;=",QY$3),Movimientos!$C:$C,"&gt;0")+SUMIFS(Movimientos!$C:$C,Movimientos!$A:$A,$B10,Movimientos!$D:$D,CONCATENATE("&lt;",QY$3),Movimientos!$C:$C,"&lt;0")</f>
        <v>0</v>
      </c>
      <c r="QZ10" s="5">
        <f ca="1">SUMIFS(Movimientos!$C:$C,Movimientos!$A:$A,$B10,Movimientos!$D:$D,CONCATENATE("&lt;=",QZ$3),Movimientos!$C:$C,"&gt;0")+SUMIFS(Movimientos!$C:$C,Movimientos!$A:$A,$B10,Movimientos!$D:$D,CONCATENATE("&lt;",QZ$3),Movimientos!$C:$C,"&lt;0")</f>
        <v>0</v>
      </c>
      <c r="RA10" s="5">
        <f ca="1">SUMIFS(Movimientos!$C:$C,Movimientos!$A:$A,$B10,Movimientos!$D:$D,CONCATENATE("&lt;=",RA$3),Movimientos!$C:$C,"&gt;0")+SUMIFS(Movimientos!$C:$C,Movimientos!$A:$A,$B10,Movimientos!$D:$D,CONCATENATE("&lt;",RA$3),Movimientos!$C:$C,"&lt;0")</f>
        <v>0</v>
      </c>
      <c r="RB10" s="5">
        <f ca="1">SUMIFS(Movimientos!$C:$C,Movimientos!$A:$A,$B10,Movimientos!$D:$D,CONCATENATE("&lt;=",RB$3),Movimientos!$C:$C,"&gt;0")+SUMIFS(Movimientos!$C:$C,Movimientos!$A:$A,$B10,Movimientos!$D:$D,CONCATENATE("&lt;",RB$3),Movimientos!$C:$C,"&lt;0")</f>
        <v>0</v>
      </c>
      <c r="RC10" s="5">
        <f ca="1">SUMIFS(Movimientos!$C:$C,Movimientos!$A:$A,$B10,Movimientos!$D:$D,CONCATENATE("&lt;=",RC$3),Movimientos!$C:$C,"&gt;0")+SUMIFS(Movimientos!$C:$C,Movimientos!$A:$A,$B10,Movimientos!$D:$D,CONCATENATE("&lt;",RC$3),Movimientos!$C:$C,"&lt;0")</f>
        <v>0</v>
      </c>
      <c r="RD10" s="5">
        <f ca="1">SUMIFS(Movimientos!$C:$C,Movimientos!$A:$A,$B10,Movimientos!$D:$D,CONCATENATE("&lt;=",RD$3),Movimientos!$C:$C,"&gt;0")+SUMIFS(Movimientos!$C:$C,Movimientos!$A:$A,$B10,Movimientos!$D:$D,CONCATENATE("&lt;",RD$3),Movimientos!$C:$C,"&lt;0")</f>
        <v>0</v>
      </c>
      <c r="RE10" s="5">
        <f ca="1">SUMIFS(Movimientos!$C:$C,Movimientos!$A:$A,$B10,Movimientos!$D:$D,CONCATENATE("&lt;=",RE$3),Movimientos!$C:$C,"&gt;0")+SUMIFS(Movimientos!$C:$C,Movimientos!$A:$A,$B10,Movimientos!$D:$D,CONCATENATE("&lt;",RE$3),Movimientos!$C:$C,"&lt;0")</f>
        <v>0</v>
      </c>
      <c r="RF10" s="5">
        <f ca="1">SUMIFS(Movimientos!$C:$C,Movimientos!$A:$A,$B10,Movimientos!$D:$D,CONCATENATE("&lt;=",RF$3),Movimientos!$C:$C,"&gt;0")+SUMIFS(Movimientos!$C:$C,Movimientos!$A:$A,$B10,Movimientos!$D:$D,CONCATENATE("&lt;",RF$3),Movimientos!$C:$C,"&lt;0")</f>
        <v>0</v>
      </c>
      <c r="RG10" s="5">
        <f ca="1">SUMIFS(Movimientos!$C:$C,Movimientos!$A:$A,$B10,Movimientos!$D:$D,CONCATENATE("&lt;=",RG$3),Movimientos!$C:$C,"&gt;0")+SUMIFS(Movimientos!$C:$C,Movimientos!$A:$A,$B10,Movimientos!$D:$D,CONCATENATE("&lt;",RG$3),Movimientos!$C:$C,"&lt;0")</f>
        <v>0</v>
      </c>
      <c r="RH10" s="5">
        <f ca="1">SUMIFS(Movimientos!$C:$C,Movimientos!$A:$A,$B10,Movimientos!$D:$D,CONCATENATE("&lt;=",RH$3),Movimientos!$C:$C,"&gt;0")+SUMIFS(Movimientos!$C:$C,Movimientos!$A:$A,$B10,Movimientos!$D:$D,CONCATENATE("&lt;",RH$3),Movimientos!$C:$C,"&lt;0")</f>
        <v>0</v>
      </c>
      <c r="RI10" s="5">
        <f ca="1">SUMIFS(Movimientos!$C:$C,Movimientos!$A:$A,$B10,Movimientos!$D:$D,CONCATENATE("&lt;=",RI$3),Movimientos!$C:$C,"&gt;0")+SUMIFS(Movimientos!$C:$C,Movimientos!$A:$A,$B10,Movimientos!$D:$D,CONCATENATE("&lt;",RI$3),Movimientos!$C:$C,"&lt;0")</f>
        <v>0</v>
      </c>
      <c r="RJ10" s="5">
        <f ca="1">SUMIFS(Movimientos!$C:$C,Movimientos!$A:$A,$B10,Movimientos!$D:$D,CONCATENATE("&lt;=",RJ$3),Movimientos!$C:$C,"&gt;0")+SUMIFS(Movimientos!$C:$C,Movimientos!$A:$A,$B10,Movimientos!$D:$D,CONCATENATE("&lt;",RJ$3),Movimientos!$C:$C,"&lt;0")</f>
        <v>0</v>
      </c>
      <c r="RK10" s="5">
        <f ca="1">SUMIFS(Movimientos!$C:$C,Movimientos!$A:$A,$B10,Movimientos!$D:$D,CONCATENATE("&lt;=",RK$3),Movimientos!$C:$C,"&gt;0")+SUMIFS(Movimientos!$C:$C,Movimientos!$A:$A,$B10,Movimientos!$D:$D,CONCATENATE("&lt;",RK$3),Movimientos!$C:$C,"&lt;0")</f>
        <v>0</v>
      </c>
      <c r="RL10" s="5">
        <f ca="1">SUMIFS(Movimientos!$C:$C,Movimientos!$A:$A,$B10,Movimientos!$D:$D,CONCATENATE("&lt;=",RL$3),Movimientos!$C:$C,"&gt;0")+SUMIFS(Movimientos!$C:$C,Movimientos!$A:$A,$B10,Movimientos!$D:$D,CONCATENATE("&lt;",RL$3),Movimientos!$C:$C,"&lt;0")</f>
        <v>0</v>
      </c>
      <c r="RM10" s="5">
        <f ca="1">SUMIFS(Movimientos!$C:$C,Movimientos!$A:$A,$B10,Movimientos!$D:$D,CONCATENATE("&lt;=",RM$3),Movimientos!$C:$C,"&gt;0")+SUMIFS(Movimientos!$C:$C,Movimientos!$A:$A,$B10,Movimientos!$D:$D,CONCATENATE("&lt;",RM$3),Movimientos!$C:$C,"&lt;0")</f>
        <v>0</v>
      </c>
      <c r="RN10" s="5">
        <f ca="1">SUMIFS(Movimientos!$C:$C,Movimientos!$A:$A,$B10,Movimientos!$D:$D,CONCATENATE("&lt;=",RN$3),Movimientos!$C:$C,"&gt;0")+SUMIFS(Movimientos!$C:$C,Movimientos!$A:$A,$B10,Movimientos!$D:$D,CONCATENATE("&lt;",RN$3),Movimientos!$C:$C,"&lt;0")</f>
        <v>0</v>
      </c>
      <c r="RO10" s="5">
        <f ca="1">SUMIFS(Movimientos!$C:$C,Movimientos!$A:$A,$B10,Movimientos!$D:$D,CONCATENATE("&lt;=",RO$3),Movimientos!$C:$C,"&gt;0")+SUMIFS(Movimientos!$C:$C,Movimientos!$A:$A,$B10,Movimientos!$D:$D,CONCATENATE("&lt;",RO$3),Movimientos!$C:$C,"&lt;0")</f>
        <v>0</v>
      </c>
      <c r="RP10" s="5">
        <f ca="1">SUMIFS(Movimientos!$C:$C,Movimientos!$A:$A,$B10,Movimientos!$D:$D,CONCATENATE("&lt;=",RP$3),Movimientos!$C:$C,"&gt;0")+SUMIFS(Movimientos!$C:$C,Movimientos!$A:$A,$B10,Movimientos!$D:$D,CONCATENATE("&lt;",RP$3),Movimientos!$C:$C,"&lt;0")</f>
        <v>0</v>
      </c>
      <c r="RQ10" s="5">
        <f ca="1">SUMIFS(Movimientos!$C:$C,Movimientos!$A:$A,$B10,Movimientos!$D:$D,CONCATENATE("&lt;=",RQ$3),Movimientos!$C:$C,"&gt;0")+SUMIFS(Movimientos!$C:$C,Movimientos!$A:$A,$B10,Movimientos!$D:$D,CONCATENATE("&lt;",RQ$3),Movimientos!$C:$C,"&lt;0")</f>
        <v>0</v>
      </c>
      <c r="RR10" s="5">
        <f ca="1">SUMIFS(Movimientos!$C:$C,Movimientos!$A:$A,$B10,Movimientos!$D:$D,CONCATENATE("&lt;=",RR$3),Movimientos!$C:$C,"&gt;0")+SUMIFS(Movimientos!$C:$C,Movimientos!$A:$A,$B10,Movimientos!$D:$D,CONCATENATE("&lt;",RR$3),Movimientos!$C:$C,"&lt;0")</f>
        <v>0</v>
      </c>
      <c r="RS10" s="5">
        <f ca="1">SUMIFS(Movimientos!$C:$C,Movimientos!$A:$A,$B10,Movimientos!$D:$D,CONCATENATE("&lt;=",RS$3),Movimientos!$C:$C,"&gt;0")+SUMIFS(Movimientos!$C:$C,Movimientos!$A:$A,$B10,Movimientos!$D:$D,CONCATENATE("&lt;",RS$3),Movimientos!$C:$C,"&lt;0")</f>
        <v>0</v>
      </c>
      <c r="RT10" s="5">
        <f ca="1">SUMIFS(Movimientos!$C:$C,Movimientos!$A:$A,$B10,Movimientos!$D:$D,CONCATENATE("&lt;=",RT$3),Movimientos!$C:$C,"&gt;0")+SUMIFS(Movimientos!$C:$C,Movimientos!$A:$A,$B10,Movimientos!$D:$D,CONCATENATE("&lt;",RT$3),Movimientos!$C:$C,"&lt;0")</f>
        <v>0</v>
      </c>
      <c r="RU10" s="5">
        <f ca="1">SUMIFS(Movimientos!$C:$C,Movimientos!$A:$A,$B10,Movimientos!$D:$D,CONCATENATE("&lt;=",RU$3),Movimientos!$C:$C,"&gt;0")+SUMIFS(Movimientos!$C:$C,Movimientos!$A:$A,$B10,Movimientos!$D:$D,CONCATENATE("&lt;",RU$3),Movimientos!$C:$C,"&lt;0")</f>
        <v>0</v>
      </c>
      <c r="RV10" s="5">
        <f ca="1">SUMIFS(Movimientos!$C:$C,Movimientos!$A:$A,$B10,Movimientos!$D:$D,CONCATENATE("&lt;=",RV$3),Movimientos!$C:$C,"&gt;0")+SUMIFS(Movimientos!$C:$C,Movimientos!$A:$A,$B10,Movimientos!$D:$D,CONCATENATE("&lt;",RV$3),Movimientos!$C:$C,"&lt;0")</f>
        <v>0</v>
      </c>
      <c r="RW10" s="5">
        <f ca="1">SUMIFS(Movimientos!$C:$C,Movimientos!$A:$A,$B10,Movimientos!$D:$D,CONCATENATE("&lt;=",RW$3),Movimientos!$C:$C,"&gt;0")+SUMIFS(Movimientos!$C:$C,Movimientos!$A:$A,$B10,Movimientos!$D:$D,CONCATENATE("&lt;",RW$3),Movimientos!$C:$C,"&lt;0")</f>
        <v>0</v>
      </c>
      <c r="RX10" s="5">
        <f ca="1">SUMIFS(Movimientos!$C:$C,Movimientos!$A:$A,$B10,Movimientos!$D:$D,CONCATENATE("&lt;=",RX$3),Movimientos!$C:$C,"&gt;0")+SUMIFS(Movimientos!$C:$C,Movimientos!$A:$A,$B10,Movimientos!$D:$D,CONCATENATE("&lt;",RX$3),Movimientos!$C:$C,"&lt;0")</f>
        <v>0</v>
      </c>
      <c r="RY10" s="5">
        <f ca="1">SUMIFS(Movimientos!$C:$C,Movimientos!$A:$A,$B10,Movimientos!$D:$D,CONCATENATE("&lt;=",RY$3),Movimientos!$C:$C,"&gt;0")+SUMIFS(Movimientos!$C:$C,Movimientos!$A:$A,$B10,Movimientos!$D:$D,CONCATENATE("&lt;",RY$3),Movimientos!$C:$C,"&lt;0")</f>
        <v>0</v>
      </c>
      <c r="RZ10" s="5">
        <f ca="1">SUMIFS(Movimientos!$C:$C,Movimientos!$A:$A,$B10,Movimientos!$D:$D,CONCATENATE("&lt;=",RZ$3),Movimientos!$C:$C,"&gt;0")+SUMIFS(Movimientos!$C:$C,Movimientos!$A:$A,$B10,Movimientos!$D:$D,CONCATENATE("&lt;",RZ$3),Movimientos!$C:$C,"&lt;0")</f>
        <v>0</v>
      </c>
      <c r="SA10" s="5">
        <f ca="1">SUMIFS(Movimientos!$C:$C,Movimientos!$A:$A,$B10,Movimientos!$D:$D,CONCATENATE("&lt;=",SA$3),Movimientos!$C:$C,"&gt;0")+SUMIFS(Movimientos!$C:$C,Movimientos!$A:$A,$B10,Movimientos!$D:$D,CONCATENATE("&lt;",SA$3),Movimientos!$C:$C,"&lt;0")</f>
        <v>0</v>
      </c>
      <c r="SB10" s="5">
        <f ca="1">SUMIFS(Movimientos!$C:$C,Movimientos!$A:$A,$B10,Movimientos!$D:$D,CONCATENATE("&lt;=",SB$3),Movimientos!$C:$C,"&gt;0")+SUMIFS(Movimientos!$C:$C,Movimientos!$A:$A,$B10,Movimientos!$D:$D,CONCATENATE("&lt;",SB$3),Movimientos!$C:$C,"&lt;0")</f>
        <v>0</v>
      </c>
      <c r="SC10" s="5">
        <f ca="1">SUMIFS(Movimientos!$C:$C,Movimientos!$A:$A,$B10,Movimientos!$D:$D,CONCATENATE("&lt;=",SC$3),Movimientos!$C:$C,"&gt;0")+SUMIFS(Movimientos!$C:$C,Movimientos!$A:$A,$B10,Movimientos!$D:$D,CONCATENATE("&lt;",SC$3),Movimientos!$C:$C,"&lt;0")</f>
        <v>0</v>
      </c>
      <c r="SD10" s="5">
        <f ca="1">SUMIFS(Movimientos!$C:$C,Movimientos!$A:$A,$B10,Movimientos!$D:$D,CONCATENATE("&lt;=",SD$3),Movimientos!$C:$C,"&gt;0")+SUMIFS(Movimientos!$C:$C,Movimientos!$A:$A,$B10,Movimientos!$D:$D,CONCATENATE("&lt;",SD$3),Movimientos!$C:$C,"&lt;0")</f>
        <v>0</v>
      </c>
      <c r="SE10" s="5">
        <f ca="1">SUMIFS(Movimientos!$C:$C,Movimientos!$A:$A,$B10,Movimientos!$D:$D,CONCATENATE("&lt;=",SE$3),Movimientos!$C:$C,"&gt;0")+SUMIFS(Movimientos!$C:$C,Movimientos!$A:$A,$B10,Movimientos!$D:$D,CONCATENATE("&lt;",SE$3),Movimientos!$C:$C,"&lt;0")</f>
        <v>0</v>
      </c>
      <c r="SF10" s="5">
        <f ca="1">SUMIFS(Movimientos!$C:$C,Movimientos!$A:$A,$B10,Movimientos!$D:$D,CONCATENATE("&lt;=",SF$3),Movimientos!$C:$C,"&gt;0")+SUMIFS(Movimientos!$C:$C,Movimientos!$A:$A,$B10,Movimientos!$D:$D,CONCATENATE("&lt;",SF$3),Movimientos!$C:$C,"&lt;0")</f>
        <v>0</v>
      </c>
      <c r="SG10" s="5">
        <f ca="1">SUMIFS(Movimientos!$C:$C,Movimientos!$A:$A,$B10,Movimientos!$D:$D,CONCATENATE("&lt;=",SG$3),Movimientos!$C:$C,"&gt;0")+SUMIFS(Movimientos!$C:$C,Movimientos!$A:$A,$B10,Movimientos!$D:$D,CONCATENATE("&lt;",SG$3),Movimientos!$C:$C,"&lt;0")</f>
        <v>0</v>
      </c>
      <c r="SH10" s="5">
        <f ca="1">SUMIFS(Movimientos!$C:$C,Movimientos!$A:$A,$B10,Movimientos!$D:$D,CONCATENATE("&lt;=",SH$3),Movimientos!$C:$C,"&gt;0")+SUMIFS(Movimientos!$C:$C,Movimientos!$A:$A,$B10,Movimientos!$D:$D,CONCATENATE("&lt;",SH$3),Movimientos!$C:$C,"&lt;0")</f>
        <v>0</v>
      </c>
      <c r="SI10" s="5">
        <f ca="1">SUMIFS(Movimientos!$C:$C,Movimientos!$A:$A,$B10,Movimientos!$D:$D,CONCATENATE("&lt;=",SI$3),Movimientos!$C:$C,"&gt;0")+SUMIFS(Movimientos!$C:$C,Movimientos!$A:$A,$B10,Movimientos!$D:$D,CONCATENATE("&lt;",SI$3),Movimientos!$C:$C,"&lt;0")</f>
        <v>0</v>
      </c>
      <c r="SJ10" s="5">
        <f ca="1">SUMIFS(Movimientos!$C:$C,Movimientos!$A:$A,$B10,Movimientos!$D:$D,CONCATENATE("&lt;=",SJ$3),Movimientos!$C:$C,"&gt;0")+SUMIFS(Movimientos!$C:$C,Movimientos!$A:$A,$B10,Movimientos!$D:$D,CONCATENATE("&lt;",SJ$3),Movimientos!$C:$C,"&lt;0")</f>
        <v>0</v>
      </c>
      <c r="SK10" s="5">
        <f ca="1">SUMIFS(Movimientos!$C:$C,Movimientos!$A:$A,$B10,Movimientos!$D:$D,CONCATENATE("&lt;=",SK$3),Movimientos!$C:$C,"&gt;0")+SUMIFS(Movimientos!$C:$C,Movimientos!$A:$A,$B10,Movimientos!$D:$D,CONCATENATE("&lt;",SK$3),Movimientos!$C:$C,"&lt;0")</f>
        <v>0</v>
      </c>
      <c r="SL10" s="5">
        <f ca="1">SUMIFS(Movimientos!$C:$C,Movimientos!$A:$A,$B10,Movimientos!$D:$D,CONCATENATE("&lt;=",SL$3),Movimientos!$C:$C,"&gt;0")+SUMIFS(Movimientos!$C:$C,Movimientos!$A:$A,$B10,Movimientos!$D:$D,CONCATENATE("&lt;",SL$3),Movimientos!$C:$C,"&lt;0")</f>
        <v>0</v>
      </c>
      <c r="SM10" s="5">
        <f ca="1">SUMIFS(Movimientos!$C:$C,Movimientos!$A:$A,$B10,Movimientos!$D:$D,CONCATENATE("&lt;=",SM$3),Movimientos!$C:$C,"&gt;0")+SUMIFS(Movimientos!$C:$C,Movimientos!$A:$A,$B10,Movimientos!$D:$D,CONCATENATE("&lt;",SM$3),Movimientos!$C:$C,"&lt;0")</f>
        <v>0</v>
      </c>
      <c r="SN10" s="5">
        <f ca="1">SUMIFS(Movimientos!$C:$C,Movimientos!$A:$A,$B10,Movimientos!$D:$D,CONCATENATE("&lt;=",SN$3),Movimientos!$C:$C,"&gt;0")+SUMIFS(Movimientos!$C:$C,Movimientos!$A:$A,$B10,Movimientos!$D:$D,CONCATENATE("&lt;",SN$3),Movimientos!$C:$C,"&lt;0")</f>
        <v>0</v>
      </c>
      <c r="SO10" s="5">
        <f ca="1">SUMIFS(Movimientos!$C:$C,Movimientos!$A:$A,$B10,Movimientos!$D:$D,CONCATENATE("&lt;=",SO$3),Movimientos!$C:$C,"&gt;0")+SUMIFS(Movimientos!$C:$C,Movimientos!$A:$A,$B10,Movimientos!$D:$D,CONCATENATE("&lt;",SO$3),Movimientos!$C:$C,"&lt;0")</f>
        <v>0</v>
      </c>
      <c r="SP10" s="5">
        <f ca="1">SUMIFS(Movimientos!$C:$C,Movimientos!$A:$A,$B10,Movimientos!$D:$D,CONCATENATE("&lt;=",SP$3),Movimientos!$C:$C,"&gt;0")+SUMIFS(Movimientos!$C:$C,Movimientos!$A:$A,$B10,Movimientos!$D:$D,CONCATENATE("&lt;",SP$3),Movimientos!$C:$C,"&lt;0")</f>
        <v>0</v>
      </c>
      <c r="SQ10" s="5">
        <f ca="1">SUMIFS(Movimientos!$C:$C,Movimientos!$A:$A,$B10,Movimientos!$D:$D,CONCATENATE("&lt;=",SQ$3),Movimientos!$C:$C,"&gt;0")+SUMIFS(Movimientos!$C:$C,Movimientos!$A:$A,$B10,Movimientos!$D:$D,CONCATENATE("&lt;",SQ$3),Movimientos!$C:$C,"&lt;0")</f>
        <v>0</v>
      </c>
      <c r="SR10" s="5">
        <f ca="1">SUMIFS(Movimientos!$C:$C,Movimientos!$A:$A,$B10,Movimientos!$D:$D,CONCATENATE("&lt;=",SR$3),Movimientos!$C:$C,"&gt;0")+SUMIFS(Movimientos!$C:$C,Movimientos!$A:$A,$B10,Movimientos!$D:$D,CONCATENATE("&lt;",SR$3),Movimientos!$C:$C,"&lt;0")</f>
        <v>0</v>
      </c>
      <c r="SS10" s="5">
        <f ca="1">SUMIFS(Movimientos!$C:$C,Movimientos!$A:$A,$B10,Movimientos!$D:$D,CONCATENATE("&lt;=",SS$3),Movimientos!$C:$C,"&gt;0")+SUMIFS(Movimientos!$C:$C,Movimientos!$A:$A,$B10,Movimientos!$D:$D,CONCATENATE("&lt;",SS$3),Movimientos!$C:$C,"&lt;0")</f>
        <v>0</v>
      </c>
      <c r="ST10" s="5">
        <f ca="1">SUMIFS(Movimientos!$C:$C,Movimientos!$A:$A,$B10,Movimientos!$D:$D,CONCATENATE("&lt;=",ST$3),Movimientos!$C:$C,"&gt;0")+SUMIFS(Movimientos!$C:$C,Movimientos!$A:$A,$B10,Movimientos!$D:$D,CONCATENATE("&lt;",ST$3),Movimientos!$C:$C,"&lt;0")</f>
        <v>0</v>
      </c>
      <c r="SU10" s="5">
        <f ca="1">SUMIFS(Movimientos!$C:$C,Movimientos!$A:$A,$B10,Movimientos!$D:$D,CONCATENATE("&lt;=",SU$3),Movimientos!$C:$C,"&gt;0")+SUMIFS(Movimientos!$C:$C,Movimientos!$A:$A,$B10,Movimientos!$D:$D,CONCATENATE("&lt;",SU$3),Movimientos!$C:$C,"&lt;0")</f>
        <v>0</v>
      </c>
      <c r="SV10" s="5">
        <f ca="1">SUMIFS(Movimientos!$C:$C,Movimientos!$A:$A,$B10,Movimientos!$D:$D,CONCATENATE("&lt;=",SV$3),Movimientos!$C:$C,"&gt;0")+SUMIFS(Movimientos!$C:$C,Movimientos!$A:$A,$B10,Movimientos!$D:$D,CONCATENATE("&lt;",SV$3),Movimientos!$C:$C,"&lt;0")</f>
        <v>0</v>
      </c>
      <c r="SW10" s="5">
        <f ca="1">SUMIFS(Movimientos!$C:$C,Movimientos!$A:$A,$B10,Movimientos!$D:$D,CONCATENATE("&lt;=",SW$3),Movimientos!$C:$C,"&gt;0")+SUMIFS(Movimientos!$C:$C,Movimientos!$A:$A,$B10,Movimientos!$D:$D,CONCATENATE("&lt;",SW$3),Movimientos!$C:$C,"&lt;0")</f>
        <v>0</v>
      </c>
      <c r="SX10" s="5">
        <f ca="1">SUMIFS(Movimientos!$C:$C,Movimientos!$A:$A,$B10,Movimientos!$D:$D,CONCATENATE("&lt;=",SX$3),Movimientos!$C:$C,"&gt;0")+SUMIFS(Movimientos!$C:$C,Movimientos!$A:$A,$B10,Movimientos!$D:$D,CONCATENATE("&lt;",SX$3),Movimientos!$C:$C,"&lt;0")</f>
        <v>0</v>
      </c>
      <c r="SY10" s="5">
        <f ca="1">SUMIFS(Movimientos!$C:$C,Movimientos!$A:$A,$B10,Movimientos!$D:$D,CONCATENATE("&lt;=",SY$3),Movimientos!$C:$C,"&gt;0")+SUMIFS(Movimientos!$C:$C,Movimientos!$A:$A,$B10,Movimientos!$D:$D,CONCATENATE("&lt;",SY$3),Movimientos!$C:$C,"&lt;0")</f>
        <v>0</v>
      </c>
      <c r="SZ10" s="5">
        <f ca="1">SUMIFS(Movimientos!$C:$C,Movimientos!$A:$A,$B10,Movimientos!$D:$D,CONCATENATE("&lt;=",SZ$3),Movimientos!$C:$C,"&gt;0")+SUMIFS(Movimientos!$C:$C,Movimientos!$A:$A,$B10,Movimientos!$D:$D,CONCATENATE("&lt;",SZ$3),Movimientos!$C:$C,"&lt;0")</f>
        <v>0</v>
      </c>
      <c r="TA10" s="5">
        <f ca="1">SUMIFS(Movimientos!$C:$C,Movimientos!$A:$A,$B10,Movimientos!$D:$D,CONCATENATE("&lt;=",TA$3),Movimientos!$C:$C,"&gt;0")+SUMIFS(Movimientos!$C:$C,Movimientos!$A:$A,$B10,Movimientos!$D:$D,CONCATENATE("&lt;",TA$3),Movimientos!$C:$C,"&lt;0")</f>
        <v>0</v>
      </c>
      <c r="TB10" s="5">
        <f ca="1">SUMIFS(Movimientos!$C:$C,Movimientos!$A:$A,$B10,Movimientos!$D:$D,CONCATENATE("&lt;=",TB$3),Movimientos!$C:$C,"&gt;0")+SUMIFS(Movimientos!$C:$C,Movimientos!$A:$A,$B10,Movimientos!$D:$D,CONCATENATE("&lt;",TB$3),Movimientos!$C:$C,"&lt;0")</f>
        <v>0</v>
      </c>
      <c r="TC10" s="5">
        <f ca="1">SUMIFS(Movimientos!$C:$C,Movimientos!$A:$A,$B10,Movimientos!$D:$D,CONCATENATE("&lt;=",TC$3),Movimientos!$C:$C,"&gt;0")+SUMIFS(Movimientos!$C:$C,Movimientos!$A:$A,$B10,Movimientos!$D:$D,CONCATENATE("&lt;",TC$3),Movimientos!$C:$C,"&lt;0")</f>
        <v>0</v>
      </c>
      <c r="TD10" s="5">
        <f ca="1">SUMIFS(Movimientos!$C:$C,Movimientos!$A:$A,$B10,Movimientos!$D:$D,CONCATENATE("&lt;=",TD$3),Movimientos!$C:$C,"&gt;0")+SUMIFS(Movimientos!$C:$C,Movimientos!$A:$A,$B10,Movimientos!$D:$D,CONCATENATE("&lt;",TD$3),Movimientos!$C:$C,"&lt;0")</f>
        <v>0</v>
      </c>
      <c r="TE10" s="5">
        <f ca="1">SUMIFS(Movimientos!$C:$C,Movimientos!$A:$A,$B10,Movimientos!$D:$D,CONCATENATE("&lt;=",TE$3),Movimientos!$C:$C,"&gt;0")+SUMIFS(Movimientos!$C:$C,Movimientos!$A:$A,$B10,Movimientos!$D:$D,CONCATENATE("&lt;",TE$3),Movimientos!$C:$C,"&lt;0")</f>
        <v>0</v>
      </c>
      <c r="TF10" s="5">
        <f ca="1">SUMIFS(Movimientos!$C:$C,Movimientos!$A:$A,$B10,Movimientos!$D:$D,CONCATENATE("&lt;=",TF$3),Movimientos!$C:$C,"&gt;0")+SUMIFS(Movimientos!$C:$C,Movimientos!$A:$A,$B10,Movimientos!$D:$D,CONCATENATE("&lt;",TF$3),Movimientos!$C:$C,"&lt;0")</f>
        <v>0</v>
      </c>
    </row>
    <row r="11" spans="1:526">
      <c r="A11" s="31" t="s">
        <v>48</v>
      </c>
      <c r="B11" s="4">
        <f>Cartera!B11</f>
        <v>0</v>
      </c>
      <c r="C11" s="4">
        <f>Cartera!C11</f>
        <v>0</v>
      </c>
      <c r="D11" s="5">
        <f ca="1">SUMIFS(Movimientos!$C:$C,Movimientos!$A:$A,$B11,Movimientos!$D:$D,CONCATENATE("&lt;=",D$3),Movimientos!$C:$C,"&gt;0")+SUMIFS(Movimientos!$C:$C,Movimientos!$A:$A,$B11,Movimientos!$D:$D,CONCATENATE("&lt;",D$3),Movimientos!$C:$C,"&lt;0")</f>
        <v>0</v>
      </c>
      <c r="E11" s="5">
        <f ca="1">SUMIFS(Movimientos!$C:$C,Movimientos!$A:$A,$B11,Movimientos!$D:$D,CONCATENATE("&lt;=",E$3),Movimientos!$C:$C,"&gt;0")+SUMIFS(Movimientos!$C:$C,Movimientos!$A:$A,$B11,Movimientos!$D:$D,CONCATENATE("&lt;",E$3),Movimientos!$C:$C,"&lt;0")</f>
        <v>0</v>
      </c>
      <c r="F11" s="5">
        <f ca="1">SUMIFS(Movimientos!$C:$C,Movimientos!$A:$A,$B11,Movimientos!$D:$D,CONCATENATE("&lt;=",F$3),Movimientos!$C:$C,"&gt;0")+SUMIFS(Movimientos!$C:$C,Movimientos!$A:$A,$B11,Movimientos!$D:$D,CONCATENATE("&lt;",F$3),Movimientos!$C:$C,"&lt;0")</f>
        <v>0</v>
      </c>
      <c r="G11" s="5">
        <f ca="1">SUMIFS(Movimientos!$C:$C,Movimientos!$A:$A,$B11,Movimientos!$D:$D,CONCATENATE("&lt;=",G$3),Movimientos!$C:$C,"&gt;0")+SUMIFS(Movimientos!$C:$C,Movimientos!$A:$A,$B11,Movimientos!$D:$D,CONCATENATE("&lt;",G$3),Movimientos!$C:$C,"&lt;0")</f>
        <v>0</v>
      </c>
      <c r="H11" s="5">
        <f ca="1">SUMIFS(Movimientos!$C:$C,Movimientos!$A:$A,$B11,Movimientos!$D:$D,CONCATENATE("&lt;=",H$3),Movimientos!$C:$C,"&gt;0")+SUMIFS(Movimientos!$C:$C,Movimientos!$A:$A,$B11,Movimientos!$D:$D,CONCATENATE("&lt;",H$3),Movimientos!$C:$C,"&lt;0")</f>
        <v>0</v>
      </c>
      <c r="I11" s="5">
        <f ca="1">SUMIFS(Movimientos!$C:$C,Movimientos!$A:$A,$B11,Movimientos!$D:$D,CONCATENATE("&lt;=",I$3),Movimientos!$C:$C,"&gt;0")+SUMIFS(Movimientos!$C:$C,Movimientos!$A:$A,$B11,Movimientos!$D:$D,CONCATENATE("&lt;",I$3),Movimientos!$C:$C,"&lt;0")</f>
        <v>0</v>
      </c>
      <c r="J11" s="5">
        <f ca="1">SUMIFS(Movimientos!$C:$C,Movimientos!$A:$A,$B11,Movimientos!$D:$D,CONCATENATE("&lt;=",J$3),Movimientos!$C:$C,"&gt;0")+SUMIFS(Movimientos!$C:$C,Movimientos!$A:$A,$B11,Movimientos!$D:$D,CONCATENATE("&lt;",J$3),Movimientos!$C:$C,"&lt;0")</f>
        <v>0</v>
      </c>
      <c r="K11" s="5">
        <f ca="1">SUMIFS(Movimientos!$C:$C,Movimientos!$A:$A,$B11,Movimientos!$D:$D,CONCATENATE("&lt;=",K$3),Movimientos!$C:$C,"&gt;0")+SUMIFS(Movimientos!$C:$C,Movimientos!$A:$A,$B11,Movimientos!$D:$D,CONCATENATE("&lt;",K$3),Movimientos!$C:$C,"&lt;0")</f>
        <v>0</v>
      </c>
      <c r="L11" s="5">
        <f ca="1">SUMIFS(Movimientos!$C:$C,Movimientos!$A:$A,$B11,Movimientos!$D:$D,CONCATENATE("&lt;=",L$3),Movimientos!$C:$C,"&gt;0")+SUMIFS(Movimientos!$C:$C,Movimientos!$A:$A,$B11,Movimientos!$D:$D,CONCATENATE("&lt;",L$3),Movimientos!$C:$C,"&lt;0")</f>
        <v>0</v>
      </c>
      <c r="M11" s="5">
        <f ca="1">SUMIFS(Movimientos!$C:$C,Movimientos!$A:$A,$B11,Movimientos!$D:$D,CONCATENATE("&lt;=",M$3),Movimientos!$C:$C,"&gt;0")+SUMIFS(Movimientos!$C:$C,Movimientos!$A:$A,$B11,Movimientos!$D:$D,CONCATENATE("&lt;",M$3),Movimientos!$C:$C,"&lt;0")</f>
        <v>0</v>
      </c>
      <c r="N11" s="5">
        <f ca="1">SUMIFS(Movimientos!$C:$C,Movimientos!$A:$A,$B11,Movimientos!$D:$D,CONCATENATE("&lt;=",N$3),Movimientos!$C:$C,"&gt;0")+SUMIFS(Movimientos!$C:$C,Movimientos!$A:$A,$B11,Movimientos!$D:$D,CONCATENATE("&lt;",N$3),Movimientos!$C:$C,"&lt;0")</f>
        <v>0</v>
      </c>
      <c r="O11" s="5">
        <f ca="1">SUMIFS(Movimientos!$C:$C,Movimientos!$A:$A,$B11,Movimientos!$D:$D,CONCATENATE("&lt;=",O$3),Movimientos!$C:$C,"&gt;0")+SUMIFS(Movimientos!$C:$C,Movimientos!$A:$A,$B11,Movimientos!$D:$D,CONCATENATE("&lt;",O$3),Movimientos!$C:$C,"&lt;0")</f>
        <v>0</v>
      </c>
      <c r="P11" s="5">
        <f ca="1">SUMIFS(Movimientos!$C:$C,Movimientos!$A:$A,$B11,Movimientos!$D:$D,CONCATENATE("&lt;=",P$3),Movimientos!$C:$C,"&gt;0")+SUMIFS(Movimientos!$C:$C,Movimientos!$A:$A,$B11,Movimientos!$D:$D,CONCATENATE("&lt;",P$3),Movimientos!$C:$C,"&lt;0")</f>
        <v>0</v>
      </c>
      <c r="Q11" s="5">
        <f ca="1">SUMIFS(Movimientos!$C:$C,Movimientos!$A:$A,$B11,Movimientos!$D:$D,CONCATENATE("&lt;=",Q$3),Movimientos!$C:$C,"&gt;0")+SUMIFS(Movimientos!$C:$C,Movimientos!$A:$A,$B11,Movimientos!$D:$D,CONCATENATE("&lt;",Q$3),Movimientos!$C:$C,"&lt;0")</f>
        <v>0</v>
      </c>
      <c r="R11" s="5">
        <f ca="1">SUMIFS(Movimientos!$C:$C,Movimientos!$A:$A,$B11,Movimientos!$D:$D,CONCATENATE("&lt;=",R$3),Movimientos!$C:$C,"&gt;0")+SUMIFS(Movimientos!$C:$C,Movimientos!$A:$A,$B11,Movimientos!$D:$D,CONCATENATE("&lt;",R$3),Movimientos!$C:$C,"&lt;0")</f>
        <v>0</v>
      </c>
      <c r="S11" s="5">
        <f ca="1">SUMIFS(Movimientos!$C:$C,Movimientos!$A:$A,$B11,Movimientos!$D:$D,CONCATENATE("&lt;=",S$3),Movimientos!$C:$C,"&gt;0")+SUMIFS(Movimientos!$C:$C,Movimientos!$A:$A,$B11,Movimientos!$D:$D,CONCATENATE("&lt;",S$3),Movimientos!$C:$C,"&lt;0")</f>
        <v>0</v>
      </c>
      <c r="T11" s="5">
        <f ca="1">SUMIFS(Movimientos!$C:$C,Movimientos!$A:$A,$B11,Movimientos!$D:$D,CONCATENATE("&lt;=",T$3),Movimientos!$C:$C,"&gt;0")+SUMIFS(Movimientos!$C:$C,Movimientos!$A:$A,$B11,Movimientos!$D:$D,CONCATENATE("&lt;",T$3),Movimientos!$C:$C,"&lt;0")</f>
        <v>0</v>
      </c>
      <c r="U11" s="5">
        <f ca="1">SUMIFS(Movimientos!$C:$C,Movimientos!$A:$A,$B11,Movimientos!$D:$D,CONCATENATE("&lt;=",U$3),Movimientos!$C:$C,"&gt;0")+SUMIFS(Movimientos!$C:$C,Movimientos!$A:$A,$B11,Movimientos!$D:$D,CONCATENATE("&lt;",U$3),Movimientos!$C:$C,"&lt;0")</f>
        <v>0</v>
      </c>
      <c r="V11" s="5">
        <f ca="1">SUMIFS(Movimientos!$C:$C,Movimientos!$A:$A,$B11,Movimientos!$D:$D,CONCATENATE("&lt;=",V$3),Movimientos!$C:$C,"&gt;0")+SUMIFS(Movimientos!$C:$C,Movimientos!$A:$A,$B11,Movimientos!$D:$D,CONCATENATE("&lt;",V$3),Movimientos!$C:$C,"&lt;0")</f>
        <v>0</v>
      </c>
      <c r="W11" s="5">
        <f ca="1">SUMIFS(Movimientos!$C:$C,Movimientos!$A:$A,$B11,Movimientos!$D:$D,CONCATENATE("&lt;=",W$3),Movimientos!$C:$C,"&gt;0")+SUMIFS(Movimientos!$C:$C,Movimientos!$A:$A,$B11,Movimientos!$D:$D,CONCATENATE("&lt;",W$3),Movimientos!$C:$C,"&lt;0")</f>
        <v>0</v>
      </c>
      <c r="X11" s="5">
        <f ca="1">SUMIFS(Movimientos!$C:$C,Movimientos!$A:$A,$B11,Movimientos!$D:$D,CONCATENATE("&lt;=",X$3),Movimientos!$C:$C,"&gt;0")+SUMIFS(Movimientos!$C:$C,Movimientos!$A:$A,$B11,Movimientos!$D:$D,CONCATENATE("&lt;",X$3),Movimientos!$C:$C,"&lt;0")</f>
        <v>0</v>
      </c>
      <c r="Y11" s="5">
        <f ca="1">SUMIFS(Movimientos!$C:$C,Movimientos!$A:$A,$B11,Movimientos!$D:$D,CONCATENATE("&lt;=",Y$3),Movimientos!$C:$C,"&gt;0")+SUMIFS(Movimientos!$C:$C,Movimientos!$A:$A,$B11,Movimientos!$D:$D,CONCATENATE("&lt;",Y$3),Movimientos!$C:$C,"&lt;0")</f>
        <v>0</v>
      </c>
      <c r="Z11" s="5">
        <f ca="1">SUMIFS(Movimientos!$C:$C,Movimientos!$A:$A,$B11,Movimientos!$D:$D,CONCATENATE("&lt;=",Z$3),Movimientos!$C:$C,"&gt;0")+SUMIFS(Movimientos!$C:$C,Movimientos!$A:$A,$B11,Movimientos!$D:$D,CONCATENATE("&lt;",Z$3),Movimientos!$C:$C,"&lt;0")</f>
        <v>0</v>
      </c>
      <c r="AA11" s="5">
        <f ca="1">SUMIFS(Movimientos!$C:$C,Movimientos!$A:$A,$B11,Movimientos!$D:$D,CONCATENATE("&lt;=",AA$3),Movimientos!$C:$C,"&gt;0")+SUMIFS(Movimientos!$C:$C,Movimientos!$A:$A,$B11,Movimientos!$D:$D,CONCATENATE("&lt;",AA$3),Movimientos!$C:$C,"&lt;0")</f>
        <v>0</v>
      </c>
      <c r="AB11" s="5">
        <f ca="1">SUMIFS(Movimientos!$C:$C,Movimientos!$A:$A,$B11,Movimientos!$D:$D,CONCATENATE("&lt;=",AB$3),Movimientos!$C:$C,"&gt;0")+SUMIFS(Movimientos!$C:$C,Movimientos!$A:$A,$B11,Movimientos!$D:$D,CONCATENATE("&lt;",AB$3),Movimientos!$C:$C,"&lt;0")</f>
        <v>0</v>
      </c>
      <c r="AC11" s="5">
        <f ca="1">SUMIFS(Movimientos!$C:$C,Movimientos!$A:$A,$B11,Movimientos!$D:$D,CONCATENATE("&lt;=",AC$3),Movimientos!$C:$C,"&gt;0")+SUMIFS(Movimientos!$C:$C,Movimientos!$A:$A,$B11,Movimientos!$D:$D,CONCATENATE("&lt;",AC$3),Movimientos!$C:$C,"&lt;0")</f>
        <v>0</v>
      </c>
      <c r="AD11" s="5">
        <f ca="1">SUMIFS(Movimientos!$C:$C,Movimientos!$A:$A,$B11,Movimientos!$D:$D,CONCATENATE("&lt;=",AD$3),Movimientos!$C:$C,"&gt;0")+SUMIFS(Movimientos!$C:$C,Movimientos!$A:$A,$B11,Movimientos!$D:$D,CONCATENATE("&lt;",AD$3),Movimientos!$C:$C,"&lt;0")</f>
        <v>0</v>
      </c>
      <c r="AE11" s="5">
        <f ca="1">SUMIFS(Movimientos!$C:$C,Movimientos!$A:$A,$B11,Movimientos!$D:$D,CONCATENATE("&lt;=",AE$3),Movimientos!$C:$C,"&gt;0")+SUMIFS(Movimientos!$C:$C,Movimientos!$A:$A,$B11,Movimientos!$D:$D,CONCATENATE("&lt;",AE$3),Movimientos!$C:$C,"&lt;0")</f>
        <v>0</v>
      </c>
      <c r="AF11" s="5">
        <f ca="1">SUMIFS(Movimientos!$C:$C,Movimientos!$A:$A,$B11,Movimientos!$D:$D,CONCATENATE("&lt;=",AF$3),Movimientos!$C:$C,"&gt;0")+SUMIFS(Movimientos!$C:$C,Movimientos!$A:$A,$B11,Movimientos!$D:$D,CONCATENATE("&lt;",AF$3),Movimientos!$C:$C,"&lt;0")</f>
        <v>0</v>
      </c>
      <c r="AG11" s="5">
        <f ca="1">SUMIFS(Movimientos!$C:$C,Movimientos!$A:$A,$B11,Movimientos!$D:$D,CONCATENATE("&lt;=",AG$3),Movimientos!$C:$C,"&gt;0")+SUMIFS(Movimientos!$C:$C,Movimientos!$A:$A,$B11,Movimientos!$D:$D,CONCATENATE("&lt;",AG$3),Movimientos!$C:$C,"&lt;0")</f>
        <v>0</v>
      </c>
      <c r="AH11" s="5">
        <f ca="1">SUMIFS(Movimientos!$C:$C,Movimientos!$A:$A,$B11,Movimientos!$D:$D,CONCATENATE("&lt;=",AH$3),Movimientos!$C:$C,"&gt;0")+SUMIFS(Movimientos!$C:$C,Movimientos!$A:$A,$B11,Movimientos!$D:$D,CONCATENATE("&lt;",AH$3),Movimientos!$C:$C,"&lt;0")</f>
        <v>0</v>
      </c>
      <c r="AI11" s="5">
        <f ca="1">SUMIFS(Movimientos!$C:$C,Movimientos!$A:$A,$B11,Movimientos!$D:$D,CONCATENATE("&lt;=",AI$3),Movimientos!$C:$C,"&gt;0")+SUMIFS(Movimientos!$C:$C,Movimientos!$A:$A,$B11,Movimientos!$D:$D,CONCATENATE("&lt;",AI$3),Movimientos!$C:$C,"&lt;0")</f>
        <v>0</v>
      </c>
      <c r="AJ11" s="5">
        <f ca="1">SUMIFS(Movimientos!$C:$C,Movimientos!$A:$A,$B11,Movimientos!$D:$D,CONCATENATE("&lt;=",AJ$3),Movimientos!$C:$C,"&gt;0")+SUMIFS(Movimientos!$C:$C,Movimientos!$A:$A,$B11,Movimientos!$D:$D,CONCATENATE("&lt;",AJ$3),Movimientos!$C:$C,"&lt;0")</f>
        <v>0</v>
      </c>
      <c r="AK11" s="5">
        <f ca="1">SUMIFS(Movimientos!$C:$C,Movimientos!$A:$A,$B11,Movimientos!$D:$D,CONCATENATE("&lt;=",AK$3),Movimientos!$C:$C,"&gt;0")+SUMIFS(Movimientos!$C:$C,Movimientos!$A:$A,$B11,Movimientos!$D:$D,CONCATENATE("&lt;",AK$3),Movimientos!$C:$C,"&lt;0")</f>
        <v>0</v>
      </c>
      <c r="AL11" s="5">
        <f ca="1">SUMIFS(Movimientos!$C:$C,Movimientos!$A:$A,$B11,Movimientos!$D:$D,CONCATENATE("&lt;=",AL$3),Movimientos!$C:$C,"&gt;0")+SUMIFS(Movimientos!$C:$C,Movimientos!$A:$A,$B11,Movimientos!$D:$D,CONCATENATE("&lt;",AL$3),Movimientos!$C:$C,"&lt;0")</f>
        <v>0</v>
      </c>
      <c r="AM11" s="5">
        <f ca="1">SUMIFS(Movimientos!$C:$C,Movimientos!$A:$A,$B11,Movimientos!$D:$D,CONCATENATE("&lt;=",AM$3),Movimientos!$C:$C,"&gt;0")+SUMIFS(Movimientos!$C:$C,Movimientos!$A:$A,$B11,Movimientos!$D:$D,CONCATENATE("&lt;",AM$3),Movimientos!$C:$C,"&lt;0")</f>
        <v>0</v>
      </c>
      <c r="AN11" s="5">
        <f ca="1">SUMIFS(Movimientos!$C:$C,Movimientos!$A:$A,$B11,Movimientos!$D:$D,CONCATENATE("&lt;=",AN$3),Movimientos!$C:$C,"&gt;0")+SUMIFS(Movimientos!$C:$C,Movimientos!$A:$A,$B11,Movimientos!$D:$D,CONCATENATE("&lt;",AN$3),Movimientos!$C:$C,"&lt;0")</f>
        <v>0</v>
      </c>
      <c r="AO11" s="5">
        <f ca="1">SUMIFS(Movimientos!$C:$C,Movimientos!$A:$A,$B11,Movimientos!$D:$D,CONCATENATE("&lt;=",AO$3),Movimientos!$C:$C,"&gt;0")+SUMIFS(Movimientos!$C:$C,Movimientos!$A:$A,$B11,Movimientos!$D:$D,CONCATENATE("&lt;",AO$3),Movimientos!$C:$C,"&lt;0")</f>
        <v>0</v>
      </c>
      <c r="AP11" s="5">
        <f ca="1">SUMIFS(Movimientos!$C:$C,Movimientos!$A:$A,$B11,Movimientos!$D:$D,CONCATENATE("&lt;=",AP$3),Movimientos!$C:$C,"&gt;0")+SUMIFS(Movimientos!$C:$C,Movimientos!$A:$A,$B11,Movimientos!$D:$D,CONCATENATE("&lt;",AP$3),Movimientos!$C:$C,"&lt;0")</f>
        <v>0</v>
      </c>
      <c r="AQ11" s="5">
        <f ca="1">SUMIFS(Movimientos!$C:$C,Movimientos!$A:$A,$B11,Movimientos!$D:$D,CONCATENATE("&lt;=",AQ$3),Movimientos!$C:$C,"&gt;0")+SUMIFS(Movimientos!$C:$C,Movimientos!$A:$A,$B11,Movimientos!$D:$D,CONCATENATE("&lt;",AQ$3),Movimientos!$C:$C,"&lt;0")</f>
        <v>0</v>
      </c>
      <c r="AR11" s="5">
        <f ca="1">SUMIFS(Movimientos!$C:$C,Movimientos!$A:$A,$B11,Movimientos!$D:$D,CONCATENATE("&lt;=",AR$3),Movimientos!$C:$C,"&gt;0")+SUMIFS(Movimientos!$C:$C,Movimientos!$A:$A,$B11,Movimientos!$D:$D,CONCATENATE("&lt;",AR$3),Movimientos!$C:$C,"&lt;0")</f>
        <v>0</v>
      </c>
      <c r="AS11" s="5">
        <f ca="1">SUMIFS(Movimientos!$C:$C,Movimientos!$A:$A,$B11,Movimientos!$D:$D,CONCATENATE("&lt;=",AS$3),Movimientos!$C:$C,"&gt;0")+SUMIFS(Movimientos!$C:$C,Movimientos!$A:$A,$B11,Movimientos!$D:$D,CONCATENATE("&lt;",AS$3),Movimientos!$C:$C,"&lt;0")</f>
        <v>0</v>
      </c>
      <c r="AT11" s="5">
        <f ca="1">SUMIFS(Movimientos!$C:$C,Movimientos!$A:$A,$B11,Movimientos!$D:$D,CONCATENATE("&lt;=",AT$3),Movimientos!$C:$C,"&gt;0")+SUMIFS(Movimientos!$C:$C,Movimientos!$A:$A,$B11,Movimientos!$D:$D,CONCATENATE("&lt;",AT$3),Movimientos!$C:$C,"&lt;0")</f>
        <v>0</v>
      </c>
      <c r="AU11" s="5">
        <f ca="1">SUMIFS(Movimientos!$C:$C,Movimientos!$A:$A,$B11,Movimientos!$D:$D,CONCATENATE("&lt;=",AU$3),Movimientos!$C:$C,"&gt;0")+SUMIFS(Movimientos!$C:$C,Movimientos!$A:$A,$B11,Movimientos!$D:$D,CONCATENATE("&lt;",AU$3),Movimientos!$C:$C,"&lt;0")</f>
        <v>0</v>
      </c>
      <c r="AV11" s="5">
        <f ca="1">SUMIFS(Movimientos!$C:$C,Movimientos!$A:$A,$B11,Movimientos!$D:$D,CONCATENATE("&lt;=",AV$3),Movimientos!$C:$C,"&gt;0")+SUMIFS(Movimientos!$C:$C,Movimientos!$A:$A,$B11,Movimientos!$D:$D,CONCATENATE("&lt;",AV$3),Movimientos!$C:$C,"&lt;0")</f>
        <v>0</v>
      </c>
      <c r="AW11" s="5">
        <f ca="1">SUMIFS(Movimientos!$C:$C,Movimientos!$A:$A,$B11,Movimientos!$D:$D,CONCATENATE("&lt;=",AW$3),Movimientos!$C:$C,"&gt;0")+SUMIFS(Movimientos!$C:$C,Movimientos!$A:$A,$B11,Movimientos!$D:$D,CONCATENATE("&lt;",AW$3),Movimientos!$C:$C,"&lt;0")</f>
        <v>0</v>
      </c>
      <c r="AX11" s="5">
        <f ca="1">SUMIFS(Movimientos!$C:$C,Movimientos!$A:$A,$B11,Movimientos!$D:$D,CONCATENATE("&lt;=",AX$3),Movimientos!$C:$C,"&gt;0")+SUMIFS(Movimientos!$C:$C,Movimientos!$A:$A,$B11,Movimientos!$D:$D,CONCATENATE("&lt;",AX$3),Movimientos!$C:$C,"&lt;0")</f>
        <v>0</v>
      </c>
      <c r="AY11" s="5">
        <f ca="1">SUMIFS(Movimientos!$C:$C,Movimientos!$A:$A,$B11,Movimientos!$D:$D,CONCATENATE("&lt;=",AY$3),Movimientos!$C:$C,"&gt;0")+SUMIFS(Movimientos!$C:$C,Movimientos!$A:$A,$B11,Movimientos!$D:$D,CONCATENATE("&lt;",AY$3),Movimientos!$C:$C,"&lt;0")</f>
        <v>0</v>
      </c>
      <c r="AZ11" s="5">
        <f ca="1">SUMIFS(Movimientos!$C:$C,Movimientos!$A:$A,$B11,Movimientos!$D:$D,CONCATENATE("&lt;=",AZ$3),Movimientos!$C:$C,"&gt;0")+SUMIFS(Movimientos!$C:$C,Movimientos!$A:$A,$B11,Movimientos!$D:$D,CONCATENATE("&lt;",AZ$3),Movimientos!$C:$C,"&lt;0")</f>
        <v>0</v>
      </c>
      <c r="BA11" s="5">
        <f ca="1">SUMIFS(Movimientos!$C:$C,Movimientos!$A:$A,$B11,Movimientos!$D:$D,CONCATENATE("&lt;=",BA$3),Movimientos!$C:$C,"&gt;0")+SUMIFS(Movimientos!$C:$C,Movimientos!$A:$A,$B11,Movimientos!$D:$D,CONCATENATE("&lt;",BA$3),Movimientos!$C:$C,"&lt;0")</f>
        <v>0</v>
      </c>
      <c r="BB11" s="5">
        <f ca="1">SUMIFS(Movimientos!$C:$C,Movimientos!$A:$A,$B11,Movimientos!$D:$D,CONCATENATE("&lt;=",BB$3),Movimientos!$C:$C,"&gt;0")+SUMIFS(Movimientos!$C:$C,Movimientos!$A:$A,$B11,Movimientos!$D:$D,CONCATENATE("&lt;",BB$3),Movimientos!$C:$C,"&lt;0")</f>
        <v>0</v>
      </c>
      <c r="BC11" s="5">
        <f ca="1">SUMIFS(Movimientos!$C:$C,Movimientos!$A:$A,$B11,Movimientos!$D:$D,CONCATENATE("&lt;=",BC$3),Movimientos!$C:$C,"&gt;0")+SUMIFS(Movimientos!$C:$C,Movimientos!$A:$A,$B11,Movimientos!$D:$D,CONCATENATE("&lt;",BC$3),Movimientos!$C:$C,"&lt;0")</f>
        <v>0</v>
      </c>
      <c r="BD11" s="5">
        <f ca="1">SUMIFS(Movimientos!$C:$C,Movimientos!$A:$A,$B11,Movimientos!$D:$D,CONCATENATE("&lt;=",BD$3),Movimientos!$C:$C,"&gt;0")+SUMIFS(Movimientos!$C:$C,Movimientos!$A:$A,$B11,Movimientos!$D:$D,CONCATENATE("&lt;",BD$3),Movimientos!$C:$C,"&lt;0")</f>
        <v>0</v>
      </c>
      <c r="BE11" s="5">
        <f ca="1">SUMIFS(Movimientos!$C:$C,Movimientos!$A:$A,$B11,Movimientos!$D:$D,CONCATENATE("&lt;=",BE$3),Movimientos!$C:$C,"&gt;0")+SUMIFS(Movimientos!$C:$C,Movimientos!$A:$A,$B11,Movimientos!$D:$D,CONCATENATE("&lt;",BE$3),Movimientos!$C:$C,"&lt;0")</f>
        <v>0</v>
      </c>
      <c r="BF11" s="5">
        <f ca="1">SUMIFS(Movimientos!$C:$C,Movimientos!$A:$A,$B11,Movimientos!$D:$D,CONCATENATE("&lt;=",BF$3),Movimientos!$C:$C,"&gt;0")+SUMIFS(Movimientos!$C:$C,Movimientos!$A:$A,$B11,Movimientos!$D:$D,CONCATENATE("&lt;",BF$3),Movimientos!$C:$C,"&lt;0")</f>
        <v>0</v>
      </c>
      <c r="BG11" s="5">
        <f ca="1">SUMIFS(Movimientos!$C:$C,Movimientos!$A:$A,$B11,Movimientos!$D:$D,CONCATENATE("&lt;=",BG$3),Movimientos!$C:$C,"&gt;0")+SUMIFS(Movimientos!$C:$C,Movimientos!$A:$A,$B11,Movimientos!$D:$D,CONCATENATE("&lt;",BG$3),Movimientos!$C:$C,"&lt;0")</f>
        <v>0</v>
      </c>
      <c r="BH11" s="5">
        <f ca="1">SUMIFS(Movimientos!$C:$C,Movimientos!$A:$A,$B11,Movimientos!$D:$D,CONCATENATE("&lt;=",BH$3),Movimientos!$C:$C,"&gt;0")+SUMIFS(Movimientos!$C:$C,Movimientos!$A:$A,$B11,Movimientos!$D:$D,CONCATENATE("&lt;",BH$3),Movimientos!$C:$C,"&lt;0")</f>
        <v>0</v>
      </c>
      <c r="BI11" s="5">
        <f ca="1">SUMIFS(Movimientos!$C:$C,Movimientos!$A:$A,$B11,Movimientos!$D:$D,CONCATENATE("&lt;=",BI$3),Movimientos!$C:$C,"&gt;0")+SUMIFS(Movimientos!$C:$C,Movimientos!$A:$A,$B11,Movimientos!$D:$D,CONCATENATE("&lt;",BI$3),Movimientos!$C:$C,"&lt;0")</f>
        <v>0</v>
      </c>
      <c r="BJ11" s="5">
        <f ca="1">SUMIFS(Movimientos!$C:$C,Movimientos!$A:$A,$B11,Movimientos!$D:$D,CONCATENATE("&lt;=",BJ$3),Movimientos!$C:$C,"&gt;0")+SUMIFS(Movimientos!$C:$C,Movimientos!$A:$A,$B11,Movimientos!$D:$D,CONCATENATE("&lt;",BJ$3),Movimientos!$C:$C,"&lt;0")</f>
        <v>0</v>
      </c>
      <c r="BK11" s="5">
        <f ca="1">SUMIFS(Movimientos!$C:$C,Movimientos!$A:$A,$B11,Movimientos!$D:$D,CONCATENATE("&lt;=",BK$3),Movimientos!$C:$C,"&gt;0")+SUMIFS(Movimientos!$C:$C,Movimientos!$A:$A,$B11,Movimientos!$D:$D,CONCATENATE("&lt;",BK$3),Movimientos!$C:$C,"&lt;0")</f>
        <v>0</v>
      </c>
      <c r="BL11" s="5">
        <f ca="1">SUMIFS(Movimientos!$C:$C,Movimientos!$A:$A,$B11,Movimientos!$D:$D,CONCATENATE("&lt;=",BL$3),Movimientos!$C:$C,"&gt;0")+SUMIFS(Movimientos!$C:$C,Movimientos!$A:$A,$B11,Movimientos!$D:$D,CONCATENATE("&lt;",BL$3),Movimientos!$C:$C,"&lt;0")</f>
        <v>0</v>
      </c>
      <c r="BM11" s="5">
        <f ca="1">SUMIFS(Movimientos!$C:$C,Movimientos!$A:$A,$B11,Movimientos!$D:$D,CONCATENATE("&lt;=",BM$3),Movimientos!$C:$C,"&gt;0")+SUMIFS(Movimientos!$C:$C,Movimientos!$A:$A,$B11,Movimientos!$D:$D,CONCATENATE("&lt;",BM$3),Movimientos!$C:$C,"&lt;0")</f>
        <v>0</v>
      </c>
      <c r="BN11" s="5">
        <f ca="1">SUMIFS(Movimientos!$C:$C,Movimientos!$A:$A,$B11,Movimientos!$D:$D,CONCATENATE("&lt;=",BN$3),Movimientos!$C:$C,"&gt;0")+SUMIFS(Movimientos!$C:$C,Movimientos!$A:$A,$B11,Movimientos!$D:$D,CONCATENATE("&lt;",BN$3),Movimientos!$C:$C,"&lt;0")</f>
        <v>0</v>
      </c>
      <c r="BO11" s="5">
        <f ca="1">SUMIFS(Movimientos!$C:$C,Movimientos!$A:$A,$B11,Movimientos!$D:$D,CONCATENATE("&lt;=",BO$3),Movimientos!$C:$C,"&gt;0")+SUMIFS(Movimientos!$C:$C,Movimientos!$A:$A,$B11,Movimientos!$D:$D,CONCATENATE("&lt;",BO$3),Movimientos!$C:$C,"&lt;0")</f>
        <v>0</v>
      </c>
      <c r="BP11" s="5">
        <f ca="1">SUMIFS(Movimientos!$C:$C,Movimientos!$A:$A,$B11,Movimientos!$D:$D,CONCATENATE("&lt;=",BP$3),Movimientos!$C:$C,"&gt;0")+SUMIFS(Movimientos!$C:$C,Movimientos!$A:$A,$B11,Movimientos!$D:$D,CONCATENATE("&lt;",BP$3),Movimientos!$C:$C,"&lt;0")</f>
        <v>0</v>
      </c>
      <c r="BQ11" s="5">
        <f ca="1">SUMIFS(Movimientos!$C:$C,Movimientos!$A:$A,$B11,Movimientos!$D:$D,CONCATENATE("&lt;=",BQ$3),Movimientos!$C:$C,"&gt;0")+SUMIFS(Movimientos!$C:$C,Movimientos!$A:$A,$B11,Movimientos!$D:$D,CONCATENATE("&lt;",BQ$3),Movimientos!$C:$C,"&lt;0")</f>
        <v>0</v>
      </c>
      <c r="BR11" s="5">
        <f ca="1">SUMIFS(Movimientos!$C:$C,Movimientos!$A:$A,$B11,Movimientos!$D:$D,CONCATENATE("&lt;=",BR$3),Movimientos!$C:$C,"&gt;0")+SUMIFS(Movimientos!$C:$C,Movimientos!$A:$A,$B11,Movimientos!$D:$D,CONCATENATE("&lt;",BR$3),Movimientos!$C:$C,"&lt;0")</f>
        <v>0</v>
      </c>
      <c r="BS11" s="5">
        <f ca="1">SUMIFS(Movimientos!$C:$C,Movimientos!$A:$A,$B11,Movimientos!$D:$D,CONCATENATE("&lt;=",BS$3),Movimientos!$C:$C,"&gt;0")+SUMIFS(Movimientos!$C:$C,Movimientos!$A:$A,$B11,Movimientos!$D:$D,CONCATENATE("&lt;",BS$3),Movimientos!$C:$C,"&lt;0")</f>
        <v>0</v>
      </c>
      <c r="BT11" s="5">
        <f ca="1">SUMIFS(Movimientos!$C:$C,Movimientos!$A:$A,$B11,Movimientos!$D:$D,CONCATENATE("&lt;=",BT$3),Movimientos!$C:$C,"&gt;0")+SUMIFS(Movimientos!$C:$C,Movimientos!$A:$A,$B11,Movimientos!$D:$D,CONCATENATE("&lt;",BT$3),Movimientos!$C:$C,"&lt;0")</f>
        <v>0</v>
      </c>
      <c r="BU11" s="5">
        <f ca="1">SUMIFS(Movimientos!$C:$C,Movimientos!$A:$A,$B11,Movimientos!$D:$D,CONCATENATE("&lt;=",BU$3),Movimientos!$C:$C,"&gt;0")+SUMIFS(Movimientos!$C:$C,Movimientos!$A:$A,$B11,Movimientos!$D:$D,CONCATENATE("&lt;",BU$3),Movimientos!$C:$C,"&lt;0")</f>
        <v>0</v>
      </c>
      <c r="BV11" s="5">
        <f ca="1">SUMIFS(Movimientos!$C:$C,Movimientos!$A:$A,$B11,Movimientos!$D:$D,CONCATENATE("&lt;=",BV$3),Movimientos!$C:$C,"&gt;0")+SUMIFS(Movimientos!$C:$C,Movimientos!$A:$A,$B11,Movimientos!$D:$D,CONCATENATE("&lt;",BV$3),Movimientos!$C:$C,"&lt;0")</f>
        <v>0</v>
      </c>
      <c r="BW11" s="5">
        <f ca="1">SUMIFS(Movimientos!$C:$C,Movimientos!$A:$A,$B11,Movimientos!$D:$D,CONCATENATE("&lt;=",BW$3),Movimientos!$C:$C,"&gt;0")+SUMIFS(Movimientos!$C:$C,Movimientos!$A:$A,$B11,Movimientos!$D:$D,CONCATENATE("&lt;",BW$3),Movimientos!$C:$C,"&lt;0")</f>
        <v>0</v>
      </c>
      <c r="BX11" s="5">
        <f ca="1">SUMIFS(Movimientos!$C:$C,Movimientos!$A:$A,$B11,Movimientos!$D:$D,CONCATENATE("&lt;=",BX$3),Movimientos!$C:$C,"&gt;0")+SUMIFS(Movimientos!$C:$C,Movimientos!$A:$A,$B11,Movimientos!$D:$D,CONCATENATE("&lt;",BX$3),Movimientos!$C:$C,"&lt;0")</f>
        <v>0</v>
      </c>
      <c r="BY11" s="5">
        <f ca="1">SUMIFS(Movimientos!$C:$C,Movimientos!$A:$A,$B11,Movimientos!$D:$D,CONCATENATE("&lt;=",BY$3),Movimientos!$C:$C,"&gt;0")+SUMIFS(Movimientos!$C:$C,Movimientos!$A:$A,$B11,Movimientos!$D:$D,CONCATENATE("&lt;",BY$3),Movimientos!$C:$C,"&lt;0")</f>
        <v>0</v>
      </c>
      <c r="BZ11" s="5">
        <f ca="1">SUMIFS(Movimientos!$C:$C,Movimientos!$A:$A,$B11,Movimientos!$D:$D,CONCATENATE("&lt;=",BZ$3),Movimientos!$C:$C,"&gt;0")+SUMIFS(Movimientos!$C:$C,Movimientos!$A:$A,$B11,Movimientos!$D:$D,CONCATENATE("&lt;",BZ$3),Movimientos!$C:$C,"&lt;0")</f>
        <v>0</v>
      </c>
      <c r="CA11" s="5">
        <f ca="1">SUMIFS(Movimientos!$C:$C,Movimientos!$A:$A,$B11,Movimientos!$D:$D,CONCATENATE("&lt;=",CA$3),Movimientos!$C:$C,"&gt;0")+SUMIFS(Movimientos!$C:$C,Movimientos!$A:$A,$B11,Movimientos!$D:$D,CONCATENATE("&lt;",CA$3),Movimientos!$C:$C,"&lt;0")</f>
        <v>0</v>
      </c>
      <c r="CB11" s="5">
        <f ca="1">SUMIFS(Movimientos!$C:$C,Movimientos!$A:$A,$B11,Movimientos!$D:$D,CONCATENATE("&lt;=",CB$3),Movimientos!$C:$C,"&gt;0")+SUMIFS(Movimientos!$C:$C,Movimientos!$A:$A,$B11,Movimientos!$D:$D,CONCATENATE("&lt;",CB$3),Movimientos!$C:$C,"&lt;0")</f>
        <v>0</v>
      </c>
      <c r="CC11" s="5">
        <f ca="1">SUMIFS(Movimientos!$C:$C,Movimientos!$A:$A,$B11,Movimientos!$D:$D,CONCATENATE("&lt;=",CC$3),Movimientos!$C:$C,"&gt;0")+SUMIFS(Movimientos!$C:$C,Movimientos!$A:$A,$B11,Movimientos!$D:$D,CONCATENATE("&lt;",CC$3),Movimientos!$C:$C,"&lt;0")</f>
        <v>0</v>
      </c>
      <c r="CD11" s="5">
        <f ca="1">SUMIFS(Movimientos!$C:$C,Movimientos!$A:$A,$B11,Movimientos!$D:$D,CONCATENATE("&lt;=",CD$3),Movimientos!$C:$C,"&gt;0")+SUMIFS(Movimientos!$C:$C,Movimientos!$A:$A,$B11,Movimientos!$D:$D,CONCATENATE("&lt;",CD$3),Movimientos!$C:$C,"&lt;0")</f>
        <v>0</v>
      </c>
      <c r="CE11" s="5">
        <f ca="1">SUMIFS(Movimientos!$C:$C,Movimientos!$A:$A,$B11,Movimientos!$D:$D,CONCATENATE("&lt;=",CE$3),Movimientos!$C:$C,"&gt;0")+SUMIFS(Movimientos!$C:$C,Movimientos!$A:$A,$B11,Movimientos!$D:$D,CONCATENATE("&lt;",CE$3),Movimientos!$C:$C,"&lt;0")</f>
        <v>0</v>
      </c>
      <c r="CF11" s="5">
        <f ca="1">SUMIFS(Movimientos!$C:$C,Movimientos!$A:$A,$B11,Movimientos!$D:$D,CONCATENATE("&lt;=",CF$3),Movimientos!$C:$C,"&gt;0")+SUMIFS(Movimientos!$C:$C,Movimientos!$A:$A,$B11,Movimientos!$D:$D,CONCATENATE("&lt;",CF$3),Movimientos!$C:$C,"&lt;0")</f>
        <v>0</v>
      </c>
      <c r="CG11" s="5">
        <f ca="1">SUMIFS(Movimientos!$C:$C,Movimientos!$A:$A,$B11,Movimientos!$D:$D,CONCATENATE("&lt;=",CG$3),Movimientos!$C:$C,"&gt;0")+SUMIFS(Movimientos!$C:$C,Movimientos!$A:$A,$B11,Movimientos!$D:$D,CONCATENATE("&lt;",CG$3),Movimientos!$C:$C,"&lt;0")</f>
        <v>0</v>
      </c>
      <c r="CH11" s="5">
        <f ca="1">SUMIFS(Movimientos!$C:$C,Movimientos!$A:$A,$B11,Movimientos!$D:$D,CONCATENATE("&lt;=",CH$3),Movimientos!$C:$C,"&gt;0")+SUMIFS(Movimientos!$C:$C,Movimientos!$A:$A,$B11,Movimientos!$D:$D,CONCATENATE("&lt;",CH$3),Movimientos!$C:$C,"&lt;0")</f>
        <v>0</v>
      </c>
      <c r="CI11" s="5">
        <f ca="1">SUMIFS(Movimientos!$C:$C,Movimientos!$A:$A,$B11,Movimientos!$D:$D,CONCATENATE("&lt;=",CI$3),Movimientos!$C:$C,"&gt;0")+SUMIFS(Movimientos!$C:$C,Movimientos!$A:$A,$B11,Movimientos!$D:$D,CONCATENATE("&lt;",CI$3),Movimientos!$C:$C,"&lt;0")</f>
        <v>0</v>
      </c>
      <c r="CJ11" s="5">
        <f ca="1">SUMIFS(Movimientos!$C:$C,Movimientos!$A:$A,$B11,Movimientos!$D:$D,CONCATENATE("&lt;=",CJ$3),Movimientos!$C:$C,"&gt;0")+SUMIFS(Movimientos!$C:$C,Movimientos!$A:$A,$B11,Movimientos!$D:$D,CONCATENATE("&lt;",CJ$3),Movimientos!$C:$C,"&lt;0")</f>
        <v>0</v>
      </c>
      <c r="CK11" s="5">
        <f ca="1">SUMIFS(Movimientos!$C:$C,Movimientos!$A:$A,$B11,Movimientos!$D:$D,CONCATENATE("&lt;=",CK$3),Movimientos!$C:$C,"&gt;0")+SUMIFS(Movimientos!$C:$C,Movimientos!$A:$A,$B11,Movimientos!$D:$D,CONCATENATE("&lt;",CK$3),Movimientos!$C:$C,"&lt;0")</f>
        <v>0</v>
      </c>
      <c r="CL11" s="5">
        <f ca="1">SUMIFS(Movimientos!$C:$C,Movimientos!$A:$A,$B11,Movimientos!$D:$D,CONCATENATE("&lt;=",CL$3),Movimientos!$C:$C,"&gt;0")+SUMIFS(Movimientos!$C:$C,Movimientos!$A:$A,$B11,Movimientos!$D:$D,CONCATENATE("&lt;",CL$3),Movimientos!$C:$C,"&lt;0")</f>
        <v>0</v>
      </c>
      <c r="CM11" s="5">
        <f ca="1">SUMIFS(Movimientos!$C:$C,Movimientos!$A:$A,$B11,Movimientos!$D:$D,CONCATENATE("&lt;=",CM$3),Movimientos!$C:$C,"&gt;0")+SUMIFS(Movimientos!$C:$C,Movimientos!$A:$A,$B11,Movimientos!$D:$D,CONCATENATE("&lt;",CM$3),Movimientos!$C:$C,"&lt;0")</f>
        <v>0</v>
      </c>
      <c r="CN11" s="5">
        <f ca="1">SUMIFS(Movimientos!$C:$C,Movimientos!$A:$A,$B11,Movimientos!$D:$D,CONCATENATE("&lt;=",CN$3),Movimientos!$C:$C,"&gt;0")+SUMIFS(Movimientos!$C:$C,Movimientos!$A:$A,$B11,Movimientos!$D:$D,CONCATENATE("&lt;",CN$3),Movimientos!$C:$C,"&lt;0")</f>
        <v>0</v>
      </c>
      <c r="CO11" s="5">
        <f ca="1">SUMIFS(Movimientos!$C:$C,Movimientos!$A:$A,$B11,Movimientos!$D:$D,CONCATENATE("&lt;=",CO$3),Movimientos!$C:$C,"&gt;0")+SUMIFS(Movimientos!$C:$C,Movimientos!$A:$A,$B11,Movimientos!$D:$D,CONCATENATE("&lt;",CO$3),Movimientos!$C:$C,"&lt;0")</f>
        <v>0</v>
      </c>
      <c r="CP11" s="5">
        <f ca="1">SUMIFS(Movimientos!$C:$C,Movimientos!$A:$A,$B11,Movimientos!$D:$D,CONCATENATE("&lt;=",CP$3),Movimientos!$C:$C,"&gt;0")+SUMIFS(Movimientos!$C:$C,Movimientos!$A:$A,$B11,Movimientos!$D:$D,CONCATENATE("&lt;",CP$3),Movimientos!$C:$C,"&lt;0")</f>
        <v>0</v>
      </c>
      <c r="CQ11" s="5">
        <f ca="1">SUMIFS(Movimientos!$C:$C,Movimientos!$A:$A,$B11,Movimientos!$D:$D,CONCATENATE("&lt;=",CQ$3),Movimientos!$C:$C,"&gt;0")+SUMIFS(Movimientos!$C:$C,Movimientos!$A:$A,$B11,Movimientos!$D:$D,CONCATENATE("&lt;",CQ$3),Movimientos!$C:$C,"&lt;0")</f>
        <v>0</v>
      </c>
      <c r="CR11" s="5">
        <f ca="1">SUMIFS(Movimientos!$C:$C,Movimientos!$A:$A,$B11,Movimientos!$D:$D,CONCATENATE("&lt;=",CR$3),Movimientos!$C:$C,"&gt;0")+SUMIFS(Movimientos!$C:$C,Movimientos!$A:$A,$B11,Movimientos!$D:$D,CONCATENATE("&lt;",CR$3),Movimientos!$C:$C,"&lt;0")</f>
        <v>0</v>
      </c>
      <c r="CS11" s="5">
        <f ca="1">SUMIFS(Movimientos!$C:$C,Movimientos!$A:$A,$B11,Movimientos!$D:$D,CONCATENATE("&lt;=",CS$3),Movimientos!$C:$C,"&gt;0")+SUMIFS(Movimientos!$C:$C,Movimientos!$A:$A,$B11,Movimientos!$D:$D,CONCATENATE("&lt;",CS$3),Movimientos!$C:$C,"&lt;0")</f>
        <v>0</v>
      </c>
      <c r="CT11" s="5">
        <f ca="1">SUMIFS(Movimientos!$C:$C,Movimientos!$A:$A,$B11,Movimientos!$D:$D,CONCATENATE("&lt;=",CT$3),Movimientos!$C:$C,"&gt;0")+SUMIFS(Movimientos!$C:$C,Movimientos!$A:$A,$B11,Movimientos!$D:$D,CONCATENATE("&lt;",CT$3),Movimientos!$C:$C,"&lt;0")</f>
        <v>0</v>
      </c>
      <c r="CU11" s="5">
        <f ca="1">SUMIFS(Movimientos!$C:$C,Movimientos!$A:$A,$B11,Movimientos!$D:$D,CONCATENATE("&lt;=",CU$3),Movimientos!$C:$C,"&gt;0")+SUMIFS(Movimientos!$C:$C,Movimientos!$A:$A,$B11,Movimientos!$D:$D,CONCATENATE("&lt;",CU$3),Movimientos!$C:$C,"&lt;0")</f>
        <v>0</v>
      </c>
      <c r="CV11" s="5">
        <f ca="1">SUMIFS(Movimientos!$C:$C,Movimientos!$A:$A,$B11,Movimientos!$D:$D,CONCATENATE("&lt;=",CV$3),Movimientos!$C:$C,"&gt;0")+SUMIFS(Movimientos!$C:$C,Movimientos!$A:$A,$B11,Movimientos!$D:$D,CONCATENATE("&lt;",CV$3),Movimientos!$C:$C,"&lt;0")</f>
        <v>0</v>
      </c>
      <c r="CW11" s="5">
        <f ca="1">SUMIFS(Movimientos!$C:$C,Movimientos!$A:$A,$B11,Movimientos!$D:$D,CONCATENATE("&lt;=",CW$3),Movimientos!$C:$C,"&gt;0")+SUMIFS(Movimientos!$C:$C,Movimientos!$A:$A,$B11,Movimientos!$D:$D,CONCATENATE("&lt;",CW$3),Movimientos!$C:$C,"&lt;0")</f>
        <v>0</v>
      </c>
      <c r="CX11" s="5">
        <f ca="1">SUMIFS(Movimientos!$C:$C,Movimientos!$A:$A,$B11,Movimientos!$D:$D,CONCATENATE("&lt;=",CX$3),Movimientos!$C:$C,"&gt;0")+SUMIFS(Movimientos!$C:$C,Movimientos!$A:$A,$B11,Movimientos!$D:$D,CONCATENATE("&lt;",CX$3),Movimientos!$C:$C,"&lt;0")</f>
        <v>0</v>
      </c>
      <c r="CY11" s="5">
        <f ca="1">SUMIFS(Movimientos!$C:$C,Movimientos!$A:$A,$B11,Movimientos!$D:$D,CONCATENATE("&lt;=",CY$3),Movimientos!$C:$C,"&gt;0")+SUMIFS(Movimientos!$C:$C,Movimientos!$A:$A,$B11,Movimientos!$D:$D,CONCATENATE("&lt;",CY$3),Movimientos!$C:$C,"&lt;0")</f>
        <v>0</v>
      </c>
      <c r="CZ11" s="5">
        <f ca="1">SUMIFS(Movimientos!$C:$C,Movimientos!$A:$A,$B11,Movimientos!$D:$D,CONCATENATE("&lt;=",CZ$3),Movimientos!$C:$C,"&gt;0")+SUMIFS(Movimientos!$C:$C,Movimientos!$A:$A,$B11,Movimientos!$D:$D,CONCATENATE("&lt;",CZ$3),Movimientos!$C:$C,"&lt;0")</f>
        <v>0</v>
      </c>
      <c r="DA11" s="5">
        <f ca="1">SUMIFS(Movimientos!$C:$C,Movimientos!$A:$A,$B11,Movimientos!$D:$D,CONCATENATE("&lt;=",DA$3),Movimientos!$C:$C,"&gt;0")+SUMIFS(Movimientos!$C:$C,Movimientos!$A:$A,$B11,Movimientos!$D:$D,CONCATENATE("&lt;",DA$3),Movimientos!$C:$C,"&lt;0")</f>
        <v>0</v>
      </c>
      <c r="DB11" s="5">
        <f ca="1">SUMIFS(Movimientos!$C:$C,Movimientos!$A:$A,$B11,Movimientos!$D:$D,CONCATENATE("&lt;=",DB$3),Movimientos!$C:$C,"&gt;0")+SUMIFS(Movimientos!$C:$C,Movimientos!$A:$A,$B11,Movimientos!$D:$D,CONCATENATE("&lt;",DB$3),Movimientos!$C:$C,"&lt;0")</f>
        <v>0</v>
      </c>
      <c r="DC11" s="5">
        <f ca="1">SUMIFS(Movimientos!$C:$C,Movimientos!$A:$A,$B11,Movimientos!$D:$D,CONCATENATE("&lt;=",DC$3),Movimientos!$C:$C,"&gt;0")+SUMIFS(Movimientos!$C:$C,Movimientos!$A:$A,$B11,Movimientos!$D:$D,CONCATENATE("&lt;",DC$3),Movimientos!$C:$C,"&lt;0")</f>
        <v>0</v>
      </c>
      <c r="DD11" s="5">
        <f ca="1">SUMIFS(Movimientos!$C:$C,Movimientos!$A:$A,$B11,Movimientos!$D:$D,CONCATENATE("&lt;=",DD$3),Movimientos!$C:$C,"&gt;0")+SUMIFS(Movimientos!$C:$C,Movimientos!$A:$A,$B11,Movimientos!$D:$D,CONCATENATE("&lt;",DD$3),Movimientos!$C:$C,"&lt;0")</f>
        <v>0</v>
      </c>
      <c r="DE11" s="5">
        <f ca="1">SUMIFS(Movimientos!$C:$C,Movimientos!$A:$A,$B11,Movimientos!$D:$D,CONCATENATE("&lt;=",DE$3),Movimientos!$C:$C,"&gt;0")+SUMIFS(Movimientos!$C:$C,Movimientos!$A:$A,$B11,Movimientos!$D:$D,CONCATENATE("&lt;",DE$3),Movimientos!$C:$C,"&lt;0")</f>
        <v>0</v>
      </c>
      <c r="DF11" s="5">
        <f ca="1">SUMIFS(Movimientos!$C:$C,Movimientos!$A:$A,$B11,Movimientos!$D:$D,CONCATENATE("&lt;=",DF$3),Movimientos!$C:$C,"&gt;0")+SUMIFS(Movimientos!$C:$C,Movimientos!$A:$A,$B11,Movimientos!$D:$D,CONCATENATE("&lt;",DF$3),Movimientos!$C:$C,"&lt;0")</f>
        <v>0</v>
      </c>
      <c r="DG11" s="5">
        <f ca="1">SUMIFS(Movimientos!$C:$C,Movimientos!$A:$A,$B11,Movimientos!$D:$D,CONCATENATE("&lt;=",DG$3),Movimientos!$C:$C,"&gt;0")+SUMIFS(Movimientos!$C:$C,Movimientos!$A:$A,$B11,Movimientos!$D:$D,CONCATENATE("&lt;",DG$3),Movimientos!$C:$C,"&lt;0")</f>
        <v>0</v>
      </c>
      <c r="DH11" s="5">
        <f ca="1">SUMIFS(Movimientos!$C:$C,Movimientos!$A:$A,$B11,Movimientos!$D:$D,CONCATENATE("&lt;=",DH$3),Movimientos!$C:$C,"&gt;0")+SUMIFS(Movimientos!$C:$C,Movimientos!$A:$A,$B11,Movimientos!$D:$D,CONCATENATE("&lt;",DH$3),Movimientos!$C:$C,"&lt;0")</f>
        <v>0</v>
      </c>
      <c r="DI11" s="5">
        <f ca="1">SUMIFS(Movimientos!$C:$C,Movimientos!$A:$A,$B11,Movimientos!$D:$D,CONCATENATE("&lt;=",DI$3),Movimientos!$C:$C,"&gt;0")+SUMIFS(Movimientos!$C:$C,Movimientos!$A:$A,$B11,Movimientos!$D:$D,CONCATENATE("&lt;",DI$3),Movimientos!$C:$C,"&lt;0")</f>
        <v>0</v>
      </c>
      <c r="DJ11" s="5">
        <f ca="1">SUMIFS(Movimientos!$C:$C,Movimientos!$A:$A,$B11,Movimientos!$D:$D,CONCATENATE("&lt;=",DJ$3),Movimientos!$C:$C,"&gt;0")+SUMIFS(Movimientos!$C:$C,Movimientos!$A:$A,$B11,Movimientos!$D:$D,CONCATENATE("&lt;",DJ$3),Movimientos!$C:$C,"&lt;0")</f>
        <v>0</v>
      </c>
      <c r="DK11" s="5">
        <f ca="1">SUMIFS(Movimientos!$C:$C,Movimientos!$A:$A,$B11,Movimientos!$D:$D,CONCATENATE("&lt;=",DK$3),Movimientos!$C:$C,"&gt;0")+SUMIFS(Movimientos!$C:$C,Movimientos!$A:$A,$B11,Movimientos!$D:$D,CONCATENATE("&lt;",DK$3),Movimientos!$C:$C,"&lt;0")</f>
        <v>0</v>
      </c>
      <c r="DL11" s="5">
        <f ca="1">SUMIFS(Movimientos!$C:$C,Movimientos!$A:$A,$B11,Movimientos!$D:$D,CONCATENATE("&lt;=",DL$3),Movimientos!$C:$C,"&gt;0")+SUMIFS(Movimientos!$C:$C,Movimientos!$A:$A,$B11,Movimientos!$D:$D,CONCATENATE("&lt;",DL$3),Movimientos!$C:$C,"&lt;0")</f>
        <v>0</v>
      </c>
      <c r="DM11" s="5">
        <f ca="1">SUMIFS(Movimientos!$C:$C,Movimientos!$A:$A,$B11,Movimientos!$D:$D,CONCATENATE("&lt;=",DM$3),Movimientos!$C:$C,"&gt;0")+SUMIFS(Movimientos!$C:$C,Movimientos!$A:$A,$B11,Movimientos!$D:$D,CONCATENATE("&lt;",DM$3),Movimientos!$C:$C,"&lt;0")</f>
        <v>0</v>
      </c>
      <c r="DN11" s="5">
        <f ca="1">SUMIFS(Movimientos!$C:$C,Movimientos!$A:$A,$B11,Movimientos!$D:$D,CONCATENATE("&lt;=",DN$3),Movimientos!$C:$C,"&gt;0")+SUMIFS(Movimientos!$C:$C,Movimientos!$A:$A,$B11,Movimientos!$D:$D,CONCATENATE("&lt;",DN$3),Movimientos!$C:$C,"&lt;0")</f>
        <v>0</v>
      </c>
      <c r="DO11" s="5">
        <f ca="1">SUMIFS(Movimientos!$C:$C,Movimientos!$A:$A,$B11,Movimientos!$D:$D,CONCATENATE("&lt;=",DO$3),Movimientos!$C:$C,"&gt;0")+SUMIFS(Movimientos!$C:$C,Movimientos!$A:$A,$B11,Movimientos!$D:$D,CONCATENATE("&lt;",DO$3),Movimientos!$C:$C,"&lt;0")</f>
        <v>0</v>
      </c>
      <c r="DP11" s="5">
        <f ca="1">SUMIFS(Movimientos!$C:$C,Movimientos!$A:$A,$B11,Movimientos!$D:$D,CONCATENATE("&lt;=",DP$3),Movimientos!$C:$C,"&gt;0")+SUMIFS(Movimientos!$C:$C,Movimientos!$A:$A,$B11,Movimientos!$D:$D,CONCATENATE("&lt;",DP$3),Movimientos!$C:$C,"&lt;0")</f>
        <v>0</v>
      </c>
      <c r="DQ11" s="5">
        <f ca="1">SUMIFS(Movimientos!$C:$C,Movimientos!$A:$A,$B11,Movimientos!$D:$D,CONCATENATE("&lt;=",DQ$3),Movimientos!$C:$C,"&gt;0")+SUMIFS(Movimientos!$C:$C,Movimientos!$A:$A,$B11,Movimientos!$D:$D,CONCATENATE("&lt;",DQ$3),Movimientos!$C:$C,"&lt;0")</f>
        <v>0</v>
      </c>
      <c r="DR11" s="5">
        <f ca="1">SUMIFS(Movimientos!$C:$C,Movimientos!$A:$A,$B11,Movimientos!$D:$D,CONCATENATE("&lt;=",DR$3),Movimientos!$C:$C,"&gt;0")+SUMIFS(Movimientos!$C:$C,Movimientos!$A:$A,$B11,Movimientos!$D:$D,CONCATENATE("&lt;",DR$3),Movimientos!$C:$C,"&lt;0")</f>
        <v>0</v>
      </c>
      <c r="DS11" s="5">
        <f ca="1">SUMIFS(Movimientos!$C:$C,Movimientos!$A:$A,$B11,Movimientos!$D:$D,CONCATENATE("&lt;=",DS$3),Movimientos!$C:$C,"&gt;0")+SUMIFS(Movimientos!$C:$C,Movimientos!$A:$A,$B11,Movimientos!$D:$D,CONCATENATE("&lt;",DS$3),Movimientos!$C:$C,"&lt;0")</f>
        <v>0</v>
      </c>
      <c r="DT11" s="5">
        <f ca="1">SUMIFS(Movimientos!$C:$C,Movimientos!$A:$A,$B11,Movimientos!$D:$D,CONCATENATE("&lt;=",DT$3),Movimientos!$C:$C,"&gt;0")+SUMIFS(Movimientos!$C:$C,Movimientos!$A:$A,$B11,Movimientos!$D:$D,CONCATENATE("&lt;",DT$3),Movimientos!$C:$C,"&lt;0")</f>
        <v>0</v>
      </c>
      <c r="DU11" s="5">
        <f ca="1">SUMIFS(Movimientos!$C:$C,Movimientos!$A:$A,$B11,Movimientos!$D:$D,CONCATENATE("&lt;=",DU$3),Movimientos!$C:$C,"&gt;0")+SUMIFS(Movimientos!$C:$C,Movimientos!$A:$A,$B11,Movimientos!$D:$D,CONCATENATE("&lt;",DU$3),Movimientos!$C:$C,"&lt;0")</f>
        <v>0</v>
      </c>
      <c r="DV11" s="5">
        <f ca="1">SUMIFS(Movimientos!$C:$C,Movimientos!$A:$A,$B11,Movimientos!$D:$D,CONCATENATE("&lt;=",DV$3),Movimientos!$C:$C,"&gt;0")+SUMIFS(Movimientos!$C:$C,Movimientos!$A:$A,$B11,Movimientos!$D:$D,CONCATENATE("&lt;",DV$3),Movimientos!$C:$C,"&lt;0")</f>
        <v>0</v>
      </c>
      <c r="DW11" s="5">
        <f ca="1">SUMIFS(Movimientos!$C:$C,Movimientos!$A:$A,$B11,Movimientos!$D:$D,CONCATENATE("&lt;=",DW$3),Movimientos!$C:$C,"&gt;0")+SUMIFS(Movimientos!$C:$C,Movimientos!$A:$A,$B11,Movimientos!$D:$D,CONCATENATE("&lt;",DW$3),Movimientos!$C:$C,"&lt;0")</f>
        <v>0</v>
      </c>
      <c r="DX11" s="5">
        <f ca="1">SUMIFS(Movimientos!$C:$C,Movimientos!$A:$A,$B11,Movimientos!$D:$D,CONCATENATE("&lt;=",DX$3),Movimientos!$C:$C,"&gt;0")+SUMIFS(Movimientos!$C:$C,Movimientos!$A:$A,$B11,Movimientos!$D:$D,CONCATENATE("&lt;",DX$3),Movimientos!$C:$C,"&lt;0")</f>
        <v>0</v>
      </c>
      <c r="DY11" s="5">
        <f ca="1">SUMIFS(Movimientos!$C:$C,Movimientos!$A:$A,$B11,Movimientos!$D:$D,CONCATENATE("&lt;=",DY$3),Movimientos!$C:$C,"&gt;0")+SUMIFS(Movimientos!$C:$C,Movimientos!$A:$A,$B11,Movimientos!$D:$D,CONCATENATE("&lt;",DY$3),Movimientos!$C:$C,"&lt;0")</f>
        <v>0</v>
      </c>
      <c r="DZ11" s="5">
        <f ca="1">SUMIFS(Movimientos!$C:$C,Movimientos!$A:$A,$B11,Movimientos!$D:$D,CONCATENATE("&lt;=",DZ$3),Movimientos!$C:$C,"&gt;0")+SUMIFS(Movimientos!$C:$C,Movimientos!$A:$A,$B11,Movimientos!$D:$D,CONCATENATE("&lt;",DZ$3),Movimientos!$C:$C,"&lt;0")</f>
        <v>0</v>
      </c>
      <c r="EA11" s="5">
        <f ca="1">SUMIFS(Movimientos!$C:$C,Movimientos!$A:$A,$B11,Movimientos!$D:$D,CONCATENATE("&lt;=",EA$3),Movimientos!$C:$C,"&gt;0")+SUMIFS(Movimientos!$C:$C,Movimientos!$A:$A,$B11,Movimientos!$D:$D,CONCATENATE("&lt;",EA$3),Movimientos!$C:$C,"&lt;0")</f>
        <v>0</v>
      </c>
      <c r="EB11" s="5">
        <f ca="1">SUMIFS(Movimientos!$C:$C,Movimientos!$A:$A,$B11,Movimientos!$D:$D,CONCATENATE("&lt;=",EB$3),Movimientos!$C:$C,"&gt;0")+SUMIFS(Movimientos!$C:$C,Movimientos!$A:$A,$B11,Movimientos!$D:$D,CONCATENATE("&lt;",EB$3),Movimientos!$C:$C,"&lt;0")</f>
        <v>0</v>
      </c>
      <c r="EC11" s="5">
        <f ca="1">SUMIFS(Movimientos!$C:$C,Movimientos!$A:$A,$B11,Movimientos!$D:$D,CONCATENATE("&lt;=",EC$3),Movimientos!$C:$C,"&gt;0")+SUMIFS(Movimientos!$C:$C,Movimientos!$A:$A,$B11,Movimientos!$D:$D,CONCATENATE("&lt;",EC$3),Movimientos!$C:$C,"&lt;0")</f>
        <v>0</v>
      </c>
      <c r="ED11" s="5">
        <f ca="1">SUMIFS(Movimientos!$C:$C,Movimientos!$A:$A,$B11,Movimientos!$D:$D,CONCATENATE("&lt;=",ED$3),Movimientos!$C:$C,"&gt;0")+SUMIFS(Movimientos!$C:$C,Movimientos!$A:$A,$B11,Movimientos!$D:$D,CONCATENATE("&lt;",ED$3),Movimientos!$C:$C,"&lt;0")</f>
        <v>0</v>
      </c>
      <c r="EE11" s="5">
        <f ca="1">SUMIFS(Movimientos!$C:$C,Movimientos!$A:$A,$B11,Movimientos!$D:$D,CONCATENATE("&lt;=",EE$3),Movimientos!$C:$C,"&gt;0")+SUMIFS(Movimientos!$C:$C,Movimientos!$A:$A,$B11,Movimientos!$D:$D,CONCATENATE("&lt;",EE$3),Movimientos!$C:$C,"&lt;0")</f>
        <v>0</v>
      </c>
      <c r="EF11" s="5">
        <f ca="1">SUMIFS(Movimientos!$C:$C,Movimientos!$A:$A,$B11,Movimientos!$D:$D,CONCATENATE("&lt;=",EF$3),Movimientos!$C:$C,"&gt;0")+SUMIFS(Movimientos!$C:$C,Movimientos!$A:$A,$B11,Movimientos!$D:$D,CONCATENATE("&lt;",EF$3),Movimientos!$C:$C,"&lt;0")</f>
        <v>0</v>
      </c>
      <c r="EG11" s="5">
        <f ca="1">SUMIFS(Movimientos!$C:$C,Movimientos!$A:$A,$B11,Movimientos!$D:$D,CONCATENATE("&lt;=",EG$3),Movimientos!$C:$C,"&gt;0")+SUMIFS(Movimientos!$C:$C,Movimientos!$A:$A,$B11,Movimientos!$D:$D,CONCATENATE("&lt;",EG$3),Movimientos!$C:$C,"&lt;0")</f>
        <v>0</v>
      </c>
      <c r="EH11" s="5">
        <f ca="1">SUMIFS(Movimientos!$C:$C,Movimientos!$A:$A,$B11,Movimientos!$D:$D,CONCATENATE("&lt;=",EH$3),Movimientos!$C:$C,"&gt;0")+SUMIFS(Movimientos!$C:$C,Movimientos!$A:$A,$B11,Movimientos!$D:$D,CONCATENATE("&lt;",EH$3),Movimientos!$C:$C,"&lt;0")</f>
        <v>0</v>
      </c>
      <c r="EI11" s="5">
        <f ca="1">SUMIFS(Movimientos!$C:$C,Movimientos!$A:$A,$B11,Movimientos!$D:$D,CONCATENATE("&lt;=",EI$3),Movimientos!$C:$C,"&gt;0")+SUMIFS(Movimientos!$C:$C,Movimientos!$A:$A,$B11,Movimientos!$D:$D,CONCATENATE("&lt;",EI$3),Movimientos!$C:$C,"&lt;0")</f>
        <v>0</v>
      </c>
      <c r="EJ11" s="5">
        <f ca="1">SUMIFS(Movimientos!$C:$C,Movimientos!$A:$A,$B11,Movimientos!$D:$D,CONCATENATE("&lt;=",EJ$3),Movimientos!$C:$C,"&gt;0")+SUMIFS(Movimientos!$C:$C,Movimientos!$A:$A,$B11,Movimientos!$D:$D,CONCATENATE("&lt;",EJ$3),Movimientos!$C:$C,"&lt;0")</f>
        <v>0</v>
      </c>
      <c r="EK11" s="5">
        <f ca="1">SUMIFS(Movimientos!$C:$C,Movimientos!$A:$A,$B11,Movimientos!$D:$D,CONCATENATE("&lt;=",EK$3),Movimientos!$C:$C,"&gt;0")+SUMIFS(Movimientos!$C:$C,Movimientos!$A:$A,$B11,Movimientos!$D:$D,CONCATENATE("&lt;",EK$3),Movimientos!$C:$C,"&lt;0")</f>
        <v>0</v>
      </c>
      <c r="EL11" s="5">
        <f ca="1">SUMIFS(Movimientos!$C:$C,Movimientos!$A:$A,$B11,Movimientos!$D:$D,CONCATENATE("&lt;=",EL$3),Movimientos!$C:$C,"&gt;0")+SUMIFS(Movimientos!$C:$C,Movimientos!$A:$A,$B11,Movimientos!$D:$D,CONCATENATE("&lt;",EL$3),Movimientos!$C:$C,"&lt;0")</f>
        <v>0</v>
      </c>
      <c r="EM11" s="5">
        <f ca="1">SUMIFS(Movimientos!$C:$C,Movimientos!$A:$A,$B11,Movimientos!$D:$D,CONCATENATE("&lt;=",EM$3),Movimientos!$C:$C,"&gt;0")+SUMIFS(Movimientos!$C:$C,Movimientos!$A:$A,$B11,Movimientos!$D:$D,CONCATENATE("&lt;",EM$3),Movimientos!$C:$C,"&lt;0")</f>
        <v>0</v>
      </c>
      <c r="EN11" s="5">
        <f ca="1">SUMIFS(Movimientos!$C:$C,Movimientos!$A:$A,$B11,Movimientos!$D:$D,CONCATENATE("&lt;=",EN$3),Movimientos!$C:$C,"&gt;0")+SUMIFS(Movimientos!$C:$C,Movimientos!$A:$A,$B11,Movimientos!$D:$D,CONCATENATE("&lt;",EN$3),Movimientos!$C:$C,"&lt;0")</f>
        <v>0</v>
      </c>
      <c r="EO11" s="5">
        <f ca="1">SUMIFS(Movimientos!$C:$C,Movimientos!$A:$A,$B11,Movimientos!$D:$D,CONCATENATE("&lt;=",EO$3),Movimientos!$C:$C,"&gt;0")+SUMIFS(Movimientos!$C:$C,Movimientos!$A:$A,$B11,Movimientos!$D:$D,CONCATENATE("&lt;",EO$3),Movimientos!$C:$C,"&lt;0")</f>
        <v>0</v>
      </c>
      <c r="EP11" s="5">
        <f ca="1">SUMIFS(Movimientos!$C:$C,Movimientos!$A:$A,$B11,Movimientos!$D:$D,CONCATENATE("&lt;=",EP$3),Movimientos!$C:$C,"&gt;0")+SUMIFS(Movimientos!$C:$C,Movimientos!$A:$A,$B11,Movimientos!$D:$D,CONCATENATE("&lt;",EP$3),Movimientos!$C:$C,"&lt;0")</f>
        <v>0</v>
      </c>
      <c r="EQ11" s="5">
        <f ca="1">SUMIFS(Movimientos!$C:$C,Movimientos!$A:$A,$B11,Movimientos!$D:$D,CONCATENATE("&lt;=",EQ$3),Movimientos!$C:$C,"&gt;0")+SUMIFS(Movimientos!$C:$C,Movimientos!$A:$A,$B11,Movimientos!$D:$D,CONCATENATE("&lt;",EQ$3),Movimientos!$C:$C,"&lt;0")</f>
        <v>0</v>
      </c>
      <c r="ER11" s="5">
        <f ca="1">SUMIFS(Movimientos!$C:$C,Movimientos!$A:$A,$B11,Movimientos!$D:$D,CONCATENATE("&lt;=",ER$3),Movimientos!$C:$C,"&gt;0")+SUMIFS(Movimientos!$C:$C,Movimientos!$A:$A,$B11,Movimientos!$D:$D,CONCATENATE("&lt;",ER$3),Movimientos!$C:$C,"&lt;0")</f>
        <v>0</v>
      </c>
      <c r="ES11" s="5">
        <f ca="1">SUMIFS(Movimientos!$C:$C,Movimientos!$A:$A,$B11,Movimientos!$D:$D,CONCATENATE("&lt;=",ES$3),Movimientos!$C:$C,"&gt;0")+SUMIFS(Movimientos!$C:$C,Movimientos!$A:$A,$B11,Movimientos!$D:$D,CONCATENATE("&lt;",ES$3),Movimientos!$C:$C,"&lt;0")</f>
        <v>0</v>
      </c>
      <c r="ET11" s="5">
        <f ca="1">SUMIFS(Movimientos!$C:$C,Movimientos!$A:$A,$B11,Movimientos!$D:$D,CONCATENATE("&lt;=",ET$3),Movimientos!$C:$C,"&gt;0")+SUMIFS(Movimientos!$C:$C,Movimientos!$A:$A,$B11,Movimientos!$D:$D,CONCATENATE("&lt;",ET$3),Movimientos!$C:$C,"&lt;0")</f>
        <v>0</v>
      </c>
      <c r="EU11" s="5">
        <f ca="1">SUMIFS(Movimientos!$C:$C,Movimientos!$A:$A,$B11,Movimientos!$D:$D,CONCATENATE("&lt;=",EU$3),Movimientos!$C:$C,"&gt;0")+SUMIFS(Movimientos!$C:$C,Movimientos!$A:$A,$B11,Movimientos!$D:$D,CONCATENATE("&lt;",EU$3),Movimientos!$C:$C,"&lt;0")</f>
        <v>0</v>
      </c>
      <c r="EV11" s="5">
        <f ca="1">SUMIFS(Movimientos!$C:$C,Movimientos!$A:$A,$B11,Movimientos!$D:$D,CONCATENATE("&lt;=",EV$3),Movimientos!$C:$C,"&gt;0")+SUMIFS(Movimientos!$C:$C,Movimientos!$A:$A,$B11,Movimientos!$D:$D,CONCATENATE("&lt;",EV$3),Movimientos!$C:$C,"&lt;0")</f>
        <v>0</v>
      </c>
      <c r="EW11" s="5">
        <f ca="1">SUMIFS(Movimientos!$C:$C,Movimientos!$A:$A,$B11,Movimientos!$D:$D,CONCATENATE("&lt;=",EW$3),Movimientos!$C:$C,"&gt;0")+SUMIFS(Movimientos!$C:$C,Movimientos!$A:$A,$B11,Movimientos!$D:$D,CONCATENATE("&lt;",EW$3),Movimientos!$C:$C,"&lt;0")</f>
        <v>0</v>
      </c>
      <c r="EX11" s="5">
        <f ca="1">SUMIFS(Movimientos!$C:$C,Movimientos!$A:$A,$B11,Movimientos!$D:$D,CONCATENATE("&lt;=",EX$3),Movimientos!$C:$C,"&gt;0")+SUMIFS(Movimientos!$C:$C,Movimientos!$A:$A,$B11,Movimientos!$D:$D,CONCATENATE("&lt;",EX$3),Movimientos!$C:$C,"&lt;0")</f>
        <v>0</v>
      </c>
      <c r="EY11" s="5">
        <f ca="1">SUMIFS(Movimientos!$C:$C,Movimientos!$A:$A,$B11,Movimientos!$D:$D,CONCATENATE("&lt;=",EY$3),Movimientos!$C:$C,"&gt;0")+SUMIFS(Movimientos!$C:$C,Movimientos!$A:$A,$B11,Movimientos!$D:$D,CONCATENATE("&lt;",EY$3),Movimientos!$C:$C,"&lt;0")</f>
        <v>0</v>
      </c>
      <c r="EZ11" s="5">
        <f ca="1">SUMIFS(Movimientos!$C:$C,Movimientos!$A:$A,$B11,Movimientos!$D:$D,CONCATENATE("&lt;=",EZ$3),Movimientos!$C:$C,"&gt;0")+SUMIFS(Movimientos!$C:$C,Movimientos!$A:$A,$B11,Movimientos!$D:$D,CONCATENATE("&lt;",EZ$3),Movimientos!$C:$C,"&lt;0")</f>
        <v>0</v>
      </c>
      <c r="FA11" s="5">
        <f ca="1">SUMIFS(Movimientos!$C:$C,Movimientos!$A:$A,$B11,Movimientos!$D:$D,CONCATENATE("&lt;=",FA$3),Movimientos!$C:$C,"&gt;0")+SUMIFS(Movimientos!$C:$C,Movimientos!$A:$A,$B11,Movimientos!$D:$D,CONCATENATE("&lt;",FA$3),Movimientos!$C:$C,"&lt;0")</f>
        <v>0</v>
      </c>
      <c r="FB11" s="5">
        <f ca="1">SUMIFS(Movimientos!$C:$C,Movimientos!$A:$A,$B11,Movimientos!$D:$D,CONCATENATE("&lt;=",FB$3),Movimientos!$C:$C,"&gt;0")+SUMIFS(Movimientos!$C:$C,Movimientos!$A:$A,$B11,Movimientos!$D:$D,CONCATENATE("&lt;",FB$3),Movimientos!$C:$C,"&lt;0")</f>
        <v>0</v>
      </c>
      <c r="FC11" s="5">
        <f ca="1">SUMIFS(Movimientos!$C:$C,Movimientos!$A:$A,$B11,Movimientos!$D:$D,CONCATENATE("&lt;=",FC$3),Movimientos!$C:$C,"&gt;0")+SUMIFS(Movimientos!$C:$C,Movimientos!$A:$A,$B11,Movimientos!$D:$D,CONCATENATE("&lt;",FC$3),Movimientos!$C:$C,"&lt;0")</f>
        <v>0</v>
      </c>
      <c r="FD11" s="5">
        <f ca="1">SUMIFS(Movimientos!$C:$C,Movimientos!$A:$A,$B11,Movimientos!$D:$D,CONCATENATE("&lt;=",FD$3),Movimientos!$C:$C,"&gt;0")+SUMIFS(Movimientos!$C:$C,Movimientos!$A:$A,$B11,Movimientos!$D:$D,CONCATENATE("&lt;",FD$3),Movimientos!$C:$C,"&lt;0")</f>
        <v>0</v>
      </c>
      <c r="FE11" s="5">
        <f ca="1">SUMIFS(Movimientos!$C:$C,Movimientos!$A:$A,$B11,Movimientos!$D:$D,CONCATENATE("&lt;=",FE$3),Movimientos!$C:$C,"&gt;0")+SUMIFS(Movimientos!$C:$C,Movimientos!$A:$A,$B11,Movimientos!$D:$D,CONCATENATE("&lt;",FE$3),Movimientos!$C:$C,"&lt;0")</f>
        <v>0</v>
      </c>
      <c r="FF11" s="5">
        <f ca="1">SUMIFS(Movimientos!$C:$C,Movimientos!$A:$A,$B11,Movimientos!$D:$D,CONCATENATE("&lt;=",FF$3),Movimientos!$C:$C,"&gt;0")+SUMIFS(Movimientos!$C:$C,Movimientos!$A:$A,$B11,Movimientos!$D:$D,CONCATENATE("&lt;",FF$3),Movimientos!$C:$C,"&lt;0")</f>
        <v>0</v>
      </c>
      <c r="FG11" s="5">
        <f ca="1">SUMIFS(Movimientos!$C:$C,Movimientos!$A:$A,$B11,Movimientos!$D:$D,CONCATENATE("&lt;=",FG$3),Movimientos!$C:$C,"&gt;0")+SUMIFS(Movimientos!$C:$C,Movimientos!$A:$A,$B11,Movimientos!$D:$D,CONCATENATE("&lt;",FG$3),Movimientos!$C:$C,"&lt;0")</f>
        <v>0</v>
      </c>
      <c r="FH11" s="5">
        <f ca="1">SUMIFS(Movimientos!$C:$C,Movimientos!$A:$A,$B11,Movimientos!$D:$D,CONCATENATE("&lt;=",FH$3),Movimientos!$C:$C,"&gt;0")+SUMIFS(Movimientos!$C:$C,Movimientos!$A:$A,$B11,Movimientos!$D:$D,CONCATENATE("&lt;",FH$3),Movimientos!$C:$C,"&lt;0")</f>
        <v>0</v>
      </c>
      <c r="FI11" s="5">
        <f ca="1">SUMIFS(Movimientos!$C:$C,Movimientos!$A:$A,$B11,Movimientos!$D:$D,CONCATENATE("&lt;=",FI$3),Movimientos!$C:$C,"&gt;0")+SUMIFS(Movimientos!$C:$C,Movimientos!$A:$A,$B11,Movimientos!$D:$D,CONCATENATE("&lt;",FI$3),Movimientos!$C:$C,"&lt;0")</f>
        <v>0</v>
      </c>
      <c r="FJ11" s="5">
        <f ca="1">SUMIFS(Movimientos!$C:$C,Movimientos!$A:$A,$B11,Movimientos!$D:$D,CONCATENATE("&lt;=",FJ$3),Movimientos!$C:$C,"&gt;0")+SUMIFS(Movimientos!$C:$C,Movimientos!$A:$A,$B11,Movimientos!$D:$D,CONCATENATE("&lt;",FJ$3),Movimientos!$C:$C,"&lt;0")</f>
        <v>0</v>
      </c>
      <c r="FK11" s="5">
        <f ca="1">SUMIFS(Movimientos!$C:$C,Movimientos!$A:$A,$B11,Movimientos!$D:$D,CONCATENATE("&lt;=",FK$3),Movimientos!$C:$C,"&gt;0")+SUMIFS(Movimientos!$C:$C,Movimientos!$A:$A,$B11,Movimientos!$D:$D,CONCATENATE("&lt;",FK$3),Movimientos!$C:$C,"&lt;0")</f>
        <v>0</v>
      </c>
      <c r="FL11" s="5">
        <f ca="1">SUMIFS(Movimientos!$C:$C,Movimientos!$A:$A,$B11,Movimientos!$D:$D,CONCATENATE("&lt;=",FL$3),Movimientos!$C:$C,"&gt;0")+SUMIFS(Movimientos!$C:$C,Movimientos!$A:$A,$B11,Movimientos!$D:$D,CONCATENATE("&lt;",FL$3),Movimientos!$C:$C,"&lt;0")</f>
        <v>0</v>
      </c>
      <c r="FM11" s="5">
        <f ca="1">SUMIFS(Movimientos!$C:$C,Movimientos!$A:$A,$B11,Movimientos!$D:$D,CONCATENATE("&lt;=",FM$3),Movimientos!$C:$C,"&gt;0")+SUMIFS(Movimientos!$C:$C,Movimientos!$A:$A,$B11,Movimientos!$D:$D,CONCATENATE("&lt;",FM$3),Movimientos!$C:$C,"&lt;0")</f>
        <v>0</v>
      </c>
      <c r="FN11" s="5">
        <f ca="1">SUMIFS(Movimientos!$C:$C,Movimientos!$A:$A,$B11,Movimientos!$D:$D,CONCATENATE("&lt;=",FN$3),Movimientos!$C:$C,"&gt;0")+SUMIFS(Movimientos!$C:$C,Movimientos!$A:$A,$B11,Movimientos!$D:$D,CONCATENATE("&lt;",FN$3),Movimientos!$C:$C,"&lt;0")</f>
        <v>0</v>
      </c>
      <c r="FO11" s="5">
        <f ca="1">SUMIFS(Movimientos!$C:$C,Movimientos!$A:$A,$B11,Movimientos!$D:$D,CONCATENATE("&lt;=",FO$3),Movimientos!$C:$C,"&gt;0")+SUMIFS(Movimientos!$C:$C,Movimientos!$A:$A,$B11,Movimientos!$D:$D,CONCATENATE("&lt;",FO$3),Movimientos!$C:$C,"&lt;0")</f>
        <v>0</v>
      </c>
      <c r="FP11" s="5">
        <f ca="1">SUMIFS(Movimientos!$C:$C,Movimientos!$A:$A,$B11,Movimientos!$D:$D,CONCATENATE("&lt;=",FP$3),Movimientos!$C:$C,"&gt;0")+SUMIFS(Movimientos!$C:$C,Movimientos!$A:$A,$B11,Movimientos!$D:$D,CONCATENATE("&lt;",FP$3),Movimientos!$C:$C,"&lt;0")</f>
        <v>0</v>
      </c>
      <c r="FQ11" s="5">
        <f ca="1">SUMIFS(Movimientos!$C:$C,Movimientos!$A:$A,$B11,Movimientos!$D:$D,CONCATENATE("&lt;=",FQ$3),Movimientos!$C:$C,"&gt;0")+SUMIFS(Movimientos!$C:$C,Movimientos!$A:$A,$B11,Movimientos!$D:$D,CONCATENATE("&lt;",FQ$3),Movimientos!$C:$C,"&lt;0")</f>
        <v>0</v>
      </c>
      <c r="FR11" s="5">
        <f ca="1">SUMIFS(Movimientos!$C:$C,Movimientos!$A:$A,$B11,Movimientos!$D:$D,CONCATENATE("&lt;=",FR$3),Movimientos!$C:$C,"&gt;0")+SUMIFS(Movimientos!$C:$C,Movimientos!$A:$A,$B11,Movimientos!$D:$D,CONCATENATE("&lt;",FR$3),Movimientos!$C:$C,"&lt;0")</f>
        <v>0</v>
      </c>
      <c r="FS11" s="5">
        <f ca="1">SUMIFS(Movimientos!$C:$C,Movimientos!$A:$A,$B11,Movimientos!$D:$D,CONCATENATE("&lt;=",FS$3),Movimientos!$C:$C,"&gt;0")+SUMIFS(Movimientos!$C:$C,Movimientos!$A:$A,$B11,Movimientos!$D:$D,CONCATENATE("&lt;",FS$3),Movimientos!$C:$C,"&lt;0")</f>
        <v>0</v>
      </c>
      <c r="FT11" s="5">
        <f ca="1">SUMIFS(Movimientos!$C:$C,Movimientos!$A:$A,$B11,Movimientos!$D:$D,CONCATENATE("&lt;=",FT$3),Movimientos!$C:$C,"&gt;0")+SUMIFS(Movimientos!$C:$C,Movimientos!$A:$A,$B11,Movimientos!$D:$D,CONCATENATE("&lt;",FT$3),Movimientos!$C:$C,"&lt;0")</f>
        <v>0</v>
      </c>
      <c r="FU11" s="5">
        <f ca="1">SUMIFS(Movimientos!$C:$C,Movimientos!$A:$A,$B11,Movimientos!$D:$D,CONCATENATE("&lt;=",FU$3),Movimientos!$C:$C,"&gt;0")+SUMIFS(Movimientos!$C:$C,Movimientos!$A:$A,$B11,Movimientos!$D:$D,CONCATENATE("&lt;",FU$3),Movimientos!$C:$C,"&lt;0")</f>
        <v>0</v>
      </c>
      <c r="FV11" s="5">
        <f ca="1">SUMIFS(Movimientos!$C:$C,Movimientos!$A:$A,$B11,Movimientos!$D:$D,CONCATENATE("&lt;=",FV$3),Movimientos!$C:$C,"&gt;0")+SUMIFS(Movimientos!$C:$C,Movimientos!$A:$A,$B11,Movimientos!$D:$D,CONCATENATE("&lt;",FV$3),Movimientos!$C:$C,"&lt;0")</f>
        <v>0</v>
      </c>
      <c r="FW11" s="5">
        <f ca="1">SUMIFS(Movimientos!$C:$C,Movimientos!$A:$A,$B11,Movimientos!$D:$D,CONCATENATE("&lt;=",FW$3),Movimientos!$C:$C,"&gt;0")+SUMIFS(Movimientos!$C:$C,Movimientos!$A:$A,$B11,Movimientos!$D:$D,CONCATENATE("&lt;",FW$3),Movimientos!$C:$C,"&lt;0")</f>
        <v>0</v>
      </c>
      <c r="FX11" s="5">
        <f ca="1">SUMIFS(Movimientos!$C:$C,Movimientos!$A:$A,$B11,Movimientos!$D:$D,CONCATENATE("&lt;=",FX$3),Movimientos!$C:$C,"&gt;0")+SUMIFS(Movimientos!$C:$C,Movimientos!$A:$A,$B11,Movimientos!$D:$D,CONCATENATE("&lt;",FX$3),Movimientos!$C:$C,"&lt;0")</f>
        <v>0</v>
      </c>
      <c r="FY11" s="5">
        <f ca="1">SUMIFS(Movimientos!$C:$C,Movimientos!$A:$A,$B11,Movimientos!$D:$D,CONCATENATE("&lt;=",FY$3),Movimientos!$C:$C,"&gt;0")+SUMIFS(Movimientos!$C:$C,Movimientos!$A:$A,$B11,Movimientos!$D:$D,CONCATENATE("&lt;",FY$3),Movimientos!$C:$C,"&lt;0")</f>
        <v>0</v>
      </c>
      <c r="FZ11" s="5">
        <f ca="1">SUMIFS(Movimientos!$C:$C,Movimientos!$A:$A,$B11,Movimientos!$D:$D,CONCATENATE("&lt;=",FZ$3),Movimientos!$C:$C,"&gt;0")+SUMIFS(Movimientos!$C:$C,Movimientos!$A:$A,$B11,Movimientos!$D:$D,CONCATENATE("&lt;",FZ$3),Movimientos!$C:$C,"&lt;0")</f>
        <v>0</v>
      </c>
      <c r="GA11" s="5">
        <f ca="1">SUMIFS(Movimientos!$C:$C,Movimientos!$A:$A,$B11,Movimientos!$D:$D,CONCATENATE("&lt;=",GA$3),Movimientos!$C:$C,"&gt;0")+SUMIFS(Movimientos!$C:$C,Movimientos!$A:$A,$B11,Movimientos!$D:$D,CONCATENATE("&lt;",GA$3),Movimientos!$C:$C,"&lt;0")</f>
        <v>0</v>
      </c>
      <c r="GB11" s="5">
        <f ca="1">SUMIFS(Movimientos!$C:$C,Movimientos!$A:$A,$B11,Movimientos!$D:$D,CONCATENATE("&lt;=",GB$3),Movimientos!$C:$C,"&gt;0")+SUMIFS(Movimientos!$C:$C,Movimientos!$A:$A,$B11,Movimientos!$D:$D,CONCATENATE("&lt;",GB$3),Movimientos!$C:$C,"&lt;0")</f>
        <v>0</v>
      </c>
      <c r="GC11" s="5">
        <f ca="1">SUMIFS(Movimientos!$C:$C,Movimientos!$A:$A,$B11,Movimientos!$D:$D,CONCATENATE("&lt;=",GC$3),Movimientos!$C:$C,"&gt;0")+SUMIFS(Movimientos!$C:$C,Movimientos!$A:$A,$B11,Movimientos!$D:$D,CONCATENATE("&lt;",GC$3),Movimientos!$C:$C,"&lt;0")</f>
        <v>0</v>
      </c>
      <c r="GD11" s="5">
        <f ca="1">SUMIFS(Movimientos!$C:$C,Movimientos!$A:$A,$B11,Movimientos!$D:$D,CONCATENATE("&lt;=",GD$3),Movimientos!$C:$C,"&gt;0")+SUMIFS(Movimientos!$C:$C,Movimientos!$A:$A,$B11,Movimientos!$D:$D,CONCATENATE("&lt;",GD$3),Movimientos!$C:$C,"&lt;0")</f>
        <v>0</v>
      </c>
      <c r="GE11" s="5">
        <f ca="1">SUMIFS(Movimientos!$C:$C,Movimientos!$A:$A,$B11,Movimientos!$D:$D,CONCATENATE("&lt;=",GE$3),Movimientos!$C:$C,"&gt;0")+SUMIFS(Movimientos!$C:$C,Movimientos!$A:$A,$B11,Movimientos!$D:$D,CONCATENATE("&lt;",GE$3),Movimientos!$C:$C,"&lt;0")</f>
        <v>0</v>
      </c>
      <c r="GF11" s="5">
        <f ca="1">SUMIFS(Movimientos!$C:$C,Movimientos!$A:$A,$B11,Movimientos!$D:$D,CONCATENATE("&lt;=",GF$3),Movimientos!$C:$C,"&gt;0")+SUMIFS(Movimientos!$C:$C,Movimientos!$A:$A,$B11,Movimientos!$D:$D,CONCATENATE("&lt;",GF$3),Movimientos!$C:$C,"&lt;0")</f>
        <v>0</v>
      </c>
      <c r="GG11" s="5">
        <f ca="1">SUMIFS(Movimientos!$C:$C,Movimientos!$A:$A,$B11,Movimientos!$D:$D,CONCATENATE("&lt;=",GG$3),Movimientos!$C:$C,"&gt;0")+SUMIFS(Movimientos!$C:$C,Movimientos!$A:$A,$B11,Movimientos!$D:$D,CONCATENATE("&lt;",GG$3),Movimientos!$C:$C,"&lt;0")</f>
        <v>0</v>
      </c>
      <c r="GH11" s="5">
        <f ca="1">SUMIFS(Movimientos!$C:$C,Movimientos!$A:$A,$B11,Movimientos!$D:$D,CONCATENATE("&lt;=",GH$3),Movimientos!$C:$C,"&gt;0")+SUMIFS(Movimientos!$C:$C,Movimientos!$A:$A,$B11,Movimientos!$D:$D,CONCATENATE("&lt;",GH$3),Movimientos!$C:$C,"&lt;0")</f>
        <v>0</v>
      </c>
      <c r="GI11" s="5">
        <f ca="1">SUMIFS(Movimientos!$C:$C,Movimientos!$A:$A,$B11,Movimientos!$D:$D,CONCATENATE("&lt;=",GI$3),Movimientos!$C:$C,"&gt;0")+SUMIFS(Movimientos!$C:$C,Movimientos!$A:$A,$B11,Movimientos!$D:$D,CONCATENATE("&lt;",GI$3),Movimientos!$C:$C,"&lt;0")</f>
        <v>0</v>
      </c>
      <c r="GJ11" s="5">
        <f ca="1">SUMIFS(Movimientos!$C:$C,Movimientos!$A:$A,$B11,Movimientos!$D:$D,CONCATENATE("&lt;=",GJ$3),Movimientos!$C:$C,"&gt;0")+SUMIFS(Movimientos!$C:$C,Movimientos!$A:$A,$B11,Movimientos!$D:$D,CONCATENATE("&lt;",GJ$3),Movimientos!$C:$C,"&lt;0")</f>
        <v>0</v>
      </c>
      <c r="GK11" s="5">
        <f ca="1">SUMIFS(Movimientos!$C:$C,Movimientos!$A:$A,$B11,Movimientos!$D:$D,CONCATENATE("&lt;=",GK$3),Movimientos!$C:$C,"&gt;0")+SUMIFS(Movimientos!$C:$C,Movimientos!$A:$A,$B11,Movimientos!$D:$D,CONCATENATE("&lt;",GK$3),Movimientos!$C:$C,"&lt;0")</f>
        <v>0</v>
      </c>
      <c r="GL11" s="5">
        <f ca="1">SUMIFS(Movimientos!$C:$C,Movimientos!$A:$A,$B11,Movimientos!$D:$D,CONCATENATE("&lt;=",GL$3),Movimientos!$C:$C,"&gt;0")+SUMIFS(Movimientos!$C:$C,Movimientos!$A:$A,$B11,Movimientos!$D:$D,CONCATENATE("&lt;",GL$3),Movimientos!$C:$C,"&lt;0")</f>
        <v>0</v>
      </c>
      <c r="GM11" s="5">
        <f ca="1">SUMIFS(Movimientos!$C:$C,Movimientos!$A:$A,$B11,Movimientos!$D:$D,CONCATENATE("&lt;=",GM$3),Movimientos!$C:$C,"&gt;0")+SUMIFS(Movimientos!$C:$C,Movimientos!$A:$A,$B11,Movimientos!$D:$D,CONCATENATE("&lt;",GM$3),Movimientos!$C:$C,"&lt;0")</f>
        <v>0</v>
      </c>
      <c r="GN11" s="5">
        <f ca="1">SUMIFS(Movimientos!$C:$C,Movimientos!$A:$A,$B11,Movimientos!$D:$D,CONCATENATE("&lt;=",GN$3),Movimientos!$C:$C,"&gt;0")+SUMIFS(Movimientos!$C:$C,Movimientos!$A:$A,$B11,Movimientos!$D:$D,CONCATENATE("&lt;",GN$3),Movimientos!$C:$C,"&lt;0")</f>
        <v>0</v>
      </c>
      <c r="GO11" s="5">
        <f ca="1">SUMIFS(Movimientos!$C:$C,Movimientos!$A:$A,$B11,Movimientos!$D:$D,CONCATENATE("&lt;=",GO$3),Movimientos!$C:$C,"&gt;0")+SUMIFS(Movimientos!$C:$C,Movimientos!$A:$A,$B11,Movimientos!$D:$D,CONCATENATE("&lt;",GO$3),Movimientos!$C:$C,"&lt;0")</f>
        <v>0</v>
      </c>
      <c r="GP11" s="5">
        <f ca="1">SUMIFS(Movimientos!$C:$C,Movimientos!$A:$A,$B11,Movimientos!$D:$D,CONCATENATE("&lt;=",GP$3),Movimientos!$C:$C,"&gt;0")+SUMIFS(Movimientos!$C:$C,Movimientos!$A:$A,$B11,Movimientos!$D:$D,CONCATENATE("&lt;",GP$3),Movimientos!$C:$C,"&lt;0")</f>
        <v>0</v>
      </c>
      <c r="GQ11" s="5">
        <f ca="1">SUMIFS(Movimientos!$C:$C,Movimientos!$A:$A,$B11,Movimientos!$D:$D,CONCATENATE("&lt;=",GQ$3),Movimientos!$C:$C,"&gt;0")+SUMIFS(Movimientos!$C:$C,Movimientos!$A:$A,$B11,Movimientos!$D:$D,CONCATENATE("&lt;",GQ$3),Movimientos!$C:$C,"&lt;0")</f>
        <v>0</v>
      </c>
      <c r="GR11" s="5">
        <f ca="1">SUMIFS(Movimientos!$C:$C,Movimientos!$A:$A,$B11,Movimientos!$D:$D,CONCATENATE("&lt;=",GR$3),Movimientos!$C:$C,"&gt;0")+SUMIFS(Movimientos!$C:$C,Movimientos!$A:$A,$B11,Movimientos!$D:$D,CONCATENATE("&lt;",GR$3),Movimientos!$C:$C,"&lt;0")</f>
        <v>0</v>
      </c>
      <c r="GS11" s="5">
        <f ca="1">SUMIFS(Movimientos!$C:$C,Movimientos!$A:$A,$B11,Movimientos!$D:$D,CONCATENATE("&lt;=",GS$3),Movimientos!$C:$C,"&gt;0")+SUMIFS(Movimientos!$C:$C,Movimientos!$A:$A,$B11,Movimientos!$D:$D,CONCATENATE("&lt;",GS$3),Movimientos!$C:$C,"&lt;0")</f>
        <v>0</v>
      </c>
      <c r="GT11" s="5">
        <f ca="1">SUMIFS(Movimientos!$C:$C,Movimientos!$A:$A,$B11,Movimientos!$D:$D,CONCATENATE("&lt;=",GT$3),Movimientos!$C:$C,"&gt;0")+SUMIFS(Movimientos!$C:$C,Movimientos!$A:$A,$B11,Movimientos!$D:$D,CONCATENATE("&lt;",GT$3),Movimientos!$C:$C,"&lt;0")</f>
        <v>0</v>
      </c>
      <c r="GU11" s="5">
        <f ca="1">SUMIFS(Movimientos!$C:$C,Movimientos!$A:$A,$B11,Movimientos!$D:$D,CONCATENATE("&lt;=",GU$3),Movimientos!$C:$C,"&gt;0")+SUMIFS(Movimientos!$C:$C,Movimientos!$A:$A,$B11,Movimientos!$D:$D,CONCATENATE("&lt;",GU$3),Movimientos!$C:$C,"&lt;0")</f>
        <v>0</v>
      </c>
      <c r="GV11" s="5">
        <f ca="1">SUMIFS(Movimientos!$C:$C,Movimientos!$A:$A,$B11,Movimientos!$D:$D,CONCATENATE("&lt;=",GV$3),Movimientos!$C:$C,"&gt;0")+SUMIFS(Movimientos!$C:$C,Movimientos!$A:$A,$B11,Movimientos!$D:$D,CONCATENATE("&lt;",GV$3),Movimientos!$C:$C,"&lt;0")</f>
        <v>0</v>
      </c>
      <c r="GW11" s="5">
        <f ca="1">SUMIFS(Movimientos!$C:$C,Movimientos!$A:$A,$B11,Movimientos!$D:$D,CONCATENATE("&lt;=",GW$3),Movimientos!$C:$C,"&gt;0")+SUMIFS(Movimientos!$C:$C,Movimientos!$A:$A,$B11,Movimientos!$D:$D,CONCATENATE("&lt;",GW$3),Movimientos!$C:$C,"&lt;0")</f>
        <v>0</v>
      </c>
      <c r="GX11" s="5">
        <f ca="1">SUMIFS(Movimientos!$C:$C,Movimientos!$A:$A,$B11,Movimientos!$D:$D,CONCATENATE("&lt;=",GX$3),Movimientos!$C:$C,"&gt;0")+SUMIFS(Movimientos!$C:$C,Movimientos!$A:$A,$B11,Movimientos!$D:$D,CONCATENATE("&lt;",GX$3),Movimientos!$C:$C,"&lt;0")</f>
        <v>0</v>
      </c>
      <c r="GY11" s="5">
        <f ca="1">SUMIFS(Movimientos!$C:$C,Movimientos!$A:$A,$B11,Movimientos!$D:$D,CONCATENATE("&lt;=",GY$3),Movimientos!$C:$C,"&gt;0")+SUMIFS(Movimientos!$C:$C,Movimientos!$A:$A,$B11,Movimientos!$D:$D,CONCATENATE("&lt;",GY$3),Movimientos!$C:$C,"&lt;0")</f>
        <v>0</v>
      </c>
      <c r="GZ11" s="5">
        <f ca="1">SUMIFS(Movimientos!$C:$C,Movimientos!$A:$A,$B11,Movimientos!$D:$D,CONCATENATE("&lt;=",GZ$3),Movimientos!$C:$C,"&gt;0")+SUMIFS(Movimientos!$C:$C,Movimientos!$A:$A,$B11,Movimientos!$D:$D,CONCATENATE("&lt;",GZ$3),Movimientos!$C:$C,"&lt;0")</f>
        <v>0</v>
      </c>
      <c r="HA11" s="5">
        <f ca="1">SUMIFS(Movimientos!$C:$C,Movimientos!$A:$A,$B11,Movimientos!$D:$D,CONCATENATE("&lt;=",HA$3),Movimientos!$C:$C,"&gt;0")+SUMIFS(Movimientos!$C:$C,Movimientos!$A:$A,$B11,Movimientos!$D:$D,CONCATENATE("&lt;",HA$3),Movimientos!$C:$C,"&lt;0")</f>
        <v>0</v>
      </c>
      <c r="HB11" s="5">
        <f ca="1">SUMIFS(Movimientos!$C:$C,Movimientos!$A:$A,$B11,Movimientos!$D:$D,CONCATENATE("&lt;=",HB$3),Movimientos!$C:$C,"&gt;0")+SUMIFS(Movimientos!$C:$C,Movimientos!$A:$A,$B11,Movimientos!$D:$D,CONCATENATE("&lt;",HB$3),Movimientos!$C:$C,"&lt;0")</f>
        <v>0</v>
      </c>
      <c r="HC11" s="5">
        <f ca="1">SUMIFS(Movimientos!$C:$C,Movimientos!$A:$A,$B11,Movimientos!$D:$D,CONCATENATE("&lt;=",HC$3),Movimientos!$C:$C,"&gt;0")+SUMIFS(Movimientos!$C:$C,Movimientos!$A:$A,$B11,Movimientos!$D:$D,CONCATENATE("&lt;",HC$3),Movimientos!$C:$C,"&lt;0")</f>
        <v>0</v>
      </c>
      <c r="HD11" s="5">
        <f ca="1">SUMIFS(Movimientos!$C:$C,Movimientos!$A:$A,$B11,Movimientos!$D:$D,CONCATENATE("&lt;=",HD$3),Movimientos!$C:$C,"&gt;0")+SUMIFS(Movimientos!$C:$C,Movimientos!$A:$A,$B11,Movimientos!$D:$D,CONCATENATE("&lt;",HD$3),Movimientos!$C:$C,"&lt;0")</f>
        <v>0</v>
      </c>
      <c r="HE11" s="5">
        <f ca="1">SUMIFS(Movimientos!$C:$C,Movimientos!$A:$A,$B11,Movimientos!$D:$D,CONCATENATE("&lt;=",HE$3),Movimientos!$C:$C,"&gt;0")+SUMIFS(Movimientos!$C:$C,Movimientos!$A:$A,$B11,Movimientos!$D:$D,CONCATENATE("&lt;",HE$3),Movimientos!$C:$C,"&lt;0")</f>
        <v>0</v>
      </c>
      <c r="HF11" s="5">
        <f ca="1">SUMIFS(Movimientos!$C:$C,Movimientos!$A:$A,$B11,Movimientos!$D:$D,CONCATENATE("&lt;=",HF$3),Movimientos!$C:$C,"&gt;0")+SUMIFS(Movimientos!$C:$C,Movimientos!$A:$A,$B11,Movimientos!$D:$D,CONCATENATE("&lt;",HF$3),Movimientos!$C:$C,"&lt;0")</f>
        <v>0</v>
      </c>
      <c r="HG11" s="5">
        <f ca="1">SUMIFS(Movimientos!$C:$C,Movimientos!$A:$A,$B11,Movimientos!$D:$D,CONCATENATE("&lt;=",HG$3),Movimientos!$C:$C,"&gt;0")+SUMIFS(Movimientos!$C:$C,Movimientos!$A:$A,$B11,Movimientos!$D:$D,CONCATENATE("&lt;",HG$3),Movimientos!$C:$C,"&lt;0")</f>
        <v>0</v>
      </c>
      <c r="HH11" s="5">
        <f ca="1">SUMIFS(Movimientos!$C:$C,Movimientos!$A:$A,$B11,Movimientos!$D:$D,CONCATENATE("&lt;=",HH$3),Movimientos!$C:$C,"&gt;0")+SUMIFS(Movimientos!$C:$C,Movimientos!$A:$A,$B11,Movimientos!$D:$D,CONCATENATE("&lt;",HH$3),Movimientos!$C:$C,"&lt;0")</f>
        <v>0</v>
      </c>
      <c r="HI11" s="5">
        <f ca="1">SUMIFS(Movimientos!$C:$C,Movimientos!$A:$A,$B11,Movimientos!$D:$D,CONCATENATE("&lt;=",HI$3),Movimientos!$C:$C,"&gt;0")+SUMIFS(Movimientos!$C:$C,Movimientos!$A:$A,$B11,Movimientos!$D:$D,CONCATENATE("&lt;",HI$3),Movimientos!$C:$C,"&lt;0")</f>
        <v>0</v>
      </c>
      <c r="HJ11" s="5">
        <f ca="1">SUMIFS(Movimientos!$C:$C,Movimientos!$A:$A,$B11,Movimientos!$D:$D,CONCATENATE("&lt;=",HJ$3),Movimientos!$C:$C,"&gt;0")+SUMIFS(Movimientos!$C:$C,Movimientos!$A:$A,$B11,Movimientos!$D:$D,CONCATENATE("&lt;",HJ$3),Movimientos!$C:$C,"&lt;0")</f>
        <v>0</v>
      </c>
      <c r="HK11" s="5">
        <f ca="1">SUMIFS(Movimientos!$C:$C,Movimientos!$A:$A,$B11,Movimientos!$D:$D,CONCATENATE("&lt;=",HK$3),Movimientos!$C:$C,"&gt;0")+SUMIFS(Movimientos!$C:$C,Movimientos!$A:$A,$B11,Movimientos!$D:$D,CONCATENATE("&lt;",HK$3),Movimientos!$C:$C,"&lt;0")</f>
        <v>0</v>
      </c>
      <c r="HL11" s="5">
        <f ca="1">SUMIFS(Movimientos!$C:$C,Movimientos!$A:$A,$B11,Movimientos!$D:$D,CONCATENATE("&lt;=",HL$3),Movimientos!$C:$C,"&gt;0")+SUMIFS(Movimientos!$C:$C,Movimientos!$A:$A,$B11,Movimientos!$D:$D,CONCATENATE("&lt;",HL$3),Movimientos!$C:$C,"&lt;0")</f>
        <v>0</v>
      </c>
      <c r="HM11" s="5">
        <f ca="1">SUMIFS(Movimientos!$C:$C,Movimientos!$A:$A,$B11,Movimientos!$D:$D,CONCATENATE("&lt;=",HM$3),Movimientos!$C:$C,"&gt;0")+SUMIFS(Movimientos!$C:$C,Movimientos!$A:$A,$B11,Movimientos!$D:$D,CONCATENATE("&lt;",HM$3),Movimientos!$C:$C,"&lt;0")</f>
        <v>0</v>
      </c>
      <c r="HN11" s="5">
        <f ca="1">SUMIFS(Movimientos!$C:$C,Movimientos!$A:$A,$B11,Movimientos!$D:$D,CONCATENATE("&lt;=",HN$3),Movimientos!$C:$C,"&gt;0")+SUMIFS(Movimientos!$C:$C,Movimientos!$A:$A,$B11,Movimientos!$D:$D,CONCATENATE("&lt;",HN$3),Movimientos!$C:$C,"&lt;0")</f>
        <v>0</v>
      </c>
      <c r="HO11" s="5">
        <f ca="1">SUMIFS(Movimientos!$C:$C,Movimientos!$A:$A,$B11,Movimientos!$D:$D,CONCATENATE("&lt;=",HO$3),Movimientos!$C:$C,"&gt;0")+SUMIFS(Movimientos!$C:$C,Movimientos!$A:$A,$B11,Movimientos!$D:$D,CONCATENATE("&lt;",HO$3),Movimientos!$C:$C,"&lt;0")</f>
        <v>0</v>
      </c>
      <c r="HP11" s="5">
        <f ca="1">SUMIFS(Movimientos!$C:$C,Movimientos!$A:$A,$B11,Movimientos!$D:$D,CONCATENATE("&lt;=",HP$3),Movimientos!$C:$C,"&gt;0")+SUMIFS(Movimientos!$C:$C,Movimientos!$A:$A,$B11,Movimientos!$D:$D,CONCATENATE("&lt;",HP$3),Movimientos!$C:$C,"&lt;0")</f>
        <v>0</v>
      </c>
      <c r="HQ11" s="5">
        <f ca="1">SUMIFS(Movimientos!$C:$C,Movimientos!$A:$A,$B11,Movimientos!$D:$D,CONCATENATE("&lt;=",HQ$3),Movimientos!$C:$C,"&gt;0")+SUMIFS(Movimientos!$C:$C,Movimientos!$A:$A,$B11,Movimientos!$D:$D,CONCATENATE("&lt;",HQ$3),Movimientos!$C:$C,"&lt;0")</f>
        <v>0</v>
      </c>
      <c r="HR11" s="5">
        <f ca="1">SUMIFS(Movimientos!$C:$C,Movimientos!$A:$A,$B11,Movimientos!$D:$D,CONCATENATE("&lt;=",HR$3),Movimientos!$C:$C,"&gt;0")+SUMIFS(Movimientos!$C:$C,Movimientos!$A:$A,$B11,Movimientos!$D:$D,CONCATENATE("&lt;",HR$3),Movimientos!$C:$C,"&lt;0")</f>
        <v>0</v>
      </c>
      <c r="HS11" s="5">
        <f ca="1">SUMIFS(Movimientos!$C:$C,Movimientos!$A:$A,$B11,Movimientos!$D:$D,CONCATENATE("&lt;=",HS$3),Movimientos!$C:$C,"&gt;0")+SUMIFS(Movimientos!$C:$C,Movimientos!$A:$A,$B11,Movimientos!$D:$D,CONCATENATE("&lt;",HS$3),Movimientos!$C:$C,"&lt;0")</f>
        <v>0</v>
      </c>
      <c r="HT11" s="5">
        <f ca="1">SUMIFS(Movimientos!$C:$C,Movimientos!$A:$A,$B11,Movimientos!$D:$D,CONCATENATE("&lt;=",HT$3),Movimientos!$C:$C,"&gt;0")+SUMIFS(Movimientos!$C:$C,Movimientos!$A:$A,$B11,Movimientos!$D:$D,CONCATENATE("&lt;",HT$3),Movimientos!$C:$C,"&lt;0")</f>
        <v>0</v>
      </c>
      <c r="HU11" s="5">
        <f ca="1">SUMIFS(Movimientos!$C:$C,Movimientos!$A:$A,$B11,Movimientos!$D:$D,CONCATENATE("&lt;=",HU$3),Movimientos!$C:$C,"&gt;0")+SUMIFS(Movimientos!$C:$C,Movimientos!$A:$A,$B11,Movimientos!$D:$D,CONCATENATE("&lt;",HU$3),Movimientos!$C:$C,"&lt;0")</f>
        <v>0</v>
      </c>
      <c r="HV11" s="5">
        <f ca="1">SUMIFS(Movimientos!$C:$C,Movimientos!$A:$A,$B11,Movimientos!$D:$D,CONCATENATE("&lt;=",HV$3),Movimientos!$C:$C,"&gt;0")+SUMIFS(Movimientos!$C:$C,Movimientos!$A:$A,$B11,Movimientos!$D:$D,CONCATENATE("&lt;",HV$3),Movimientos!$C:$C,"&lt;0")</f>
        <v>0</v>
      </c>
      <c r="HW11" s="5">
        <f ca="1">SUMIFS(Movimientos!$C:$C,Movimientos!$A:$A,$B11,Movimientos!$D:$D,CONCATENATE("&lt;=",HW$3),Movimientos!$C:$C,"&gt;0")+SUMIFS(Movimientos!$C:$C,Movimientos!$A:$A,$B11,Movimientos!$D:$D,CONCATENATE("&lt;",HW$3),Movimientos!$C:$C,"&lt;0")</f>
        <v>0</v>
      </c>
      <c r="HX11" s="5">
        <f ca="1">SUMIFS(Movimientos!$C:$C,Movimientos!$A:$A,$B11,Movimientos!$D:$D,CONCATENATE("&lt;=",HX$3),Movimientos!$C:$C,"&gt;0")+SUMIFS(Movimientos!$C:$C,Movimientos!$A:$A,$B11,Movimientos!$D:$D,CONCATENATE("&lt;",HX$3),Movimientos!$C:$C,"&lt;0")</f>
        <v>0</v>
      </c>
      <c r="HY11" s="5">
        <f ca="1">SUMIFS(Movimientos!$C:$C,Movimientos!$A:$A,$B11,Movimientos!$D:$D,CONCATENATE("&lt;=",HY$3),Movimientos!$C:$C,"&gt;0")+SUMIFS(Movimientos!$C:$C,Movimientos!$A:$A,$B11,Movimientos!$D:$D,CONCATENATE("&lt;",HY$3),Movimientos!$C:$C,"&lt;0")</f>
        <v>0</v>
      </c>
      <c r="HZ11" s="5">
        <f ca="1">SUMIFS(Movimientos!$C:$C,Movimientos!$A:$A,$B11,Movimientos!$D:$D,CONCATENATE("&lt;=",HZ$3),Movimientos!$C:$C,"&gt;0")+SUMIFS(Movimientos!$C:$C,Movimientos!$A:$A,$B11,Movimientos!$D:$D,CONCATENATE("&lt;",HZ$3),Movimientos!$C:$C,"&lt;0")</f>
        <v>0</v>
      </c>
      <c r="IA11" s="5">
        <f ca="1">SUMIFS(Movimientos!$C:$C,Movimientos!$A:$A,$B11,Movimientos!$D:$D,CONCATENATE("&lt;=",IA$3),Movimientos!$C:$C,"&gt;0")+SUMIFS(Movimientos!$C:$C,Movimientos!$A:$A,$B11,Movimientos!$D:$D,CONCATENATE("&lt;",IA$3),Movimientos!$C:$C,"&lt;0")</f>
        <v>0</v>
      </c>
      <c r="IB11" s="5">
        <f ca="1">SUMIFS(Movimientos!$C:$C,Movimientos!$A:$A,$B11,Movimientos!$D:$D,CONCATENATE("&lt;=",IB$3),Movimientos!$C:$C,"&gt;0")+SUMIFS(Movimientos!$C:$C,Movimientos!$A:$A,$B11,Movimientos!$D:$D,CONCATENATE("&lt;",IB$3),Movimientos!$C:$C,"&lt;0")</f>
        <v>0</v>
      </c>
      <c r="IC11" s="5">
        <f ca="1">SUMIFS(Movimientos!$C:$C,Movimientos!$A:$A,$B11,Movimientos!$D:$D,CONCATENATE("&lt;=",IC$3),Movimientos!$C:$C,"&gt;0")+SUMIFS(Movimientos!$C:$C,Movimientos!$A:$A,$B11,Movimientos!$D:$D,CONCATENATE("&lt;",IC$3),Movimientos!$C:$C,"&lt;0")</f>
        <v>0</v>
      </c>
      <c r="ID11" s="5">
        <f ca="1">SUMIFS(Movimientos!$C:$C,Movimientos!$A:$A,$B11,Movimientos!$D:$D,CONCATENATE("&lt;=",ID$3),Movimientos!$C:$C,"&gt;0")+SUMIFS(Movimientos!$C:$C,Movimientos!$A:$A,$B11,Movimientos!$D:$D,CONCATENATE("&lt;",ID$3),Movimientos!$C:$C,"&lt;0")</f>
        <v>0</v>
      </c>
      <c r="IE11" s="5">
        <f ca="1">SUMIFS(Movimientos!$C:$C,Movimientos!$A:$A,$B11,Movimientos!$D:$D,CONCATENATE("&lt;=",IE$3),Movimientos!$C:$C,"&gt;0")+SUMIFS(Movimientos!$C:$C,Movimientos!$A:$A,$B11,Movimientos!$D:$D,CONCATENATE("&lt;",IE$3),Movimientos!$C:$C,"&lt;0")</f>
        <v>0</v>
      </c>
      <c r="IF11" s="5">
        <f ca="1">SUMIFS(Movimientos!$C:$C,Movimientos!$A:$A,$B11,Movimientos!$D:$D,CONCATENATE("&lt;=",IF$3),Movimientos!$C:$C,"&gt;0")+SUMIFS(Movimientos!$C:$C,Movimientos!$A:$A,$B11,Movimientos!$D:$D,CONCATENATE("&lt;",IF$3),Movimientos!$C:$C,"&lt;0")</f>
        <v>0</v>
      </c>
      <c r="IG11" s="5">
        <f ca="1">SUMIFS(Movimientos!$C:$C,Movimientos!$A:$A,$B11,Movimientos!$D:$D,CONCATENATE("&lt;=",IG$3),Movimientos!$C:$C,"&gt;0")+SUMIFS(Movimientos!$C:$C,Movimientos!$A:$A,$B11,Movimientos!$D:$D,CONCATENATE("&lt;",IG$3),Movimientos!$C:$C,"&lt;0")</f>
        <v>0</v>
      </c>
      <c r="IH11" s="5">
        <f ca="1">SUMIFS(Movimientos!$C:$C,Movimientos!$A:$A,$B11,Movimientos!$D:$D,CONCATENATE("&lt;=",IH$3),Movimientos!$C:$C,"&gt;0")+SUMIFS(Movimientos!$C:$C,Movimientos!$A:$A,$B11,Movimientos!$D:$D,CONCATENATE("&lt;",IH$3),Movimientos!$C:$C,"&lt;0")</f>
        <v>0</v>
      </c>
      <c r="II11" s="5">
        <f ca="1">SUMIFS(Movimientos!$C:$C,Movimientos!$A:$A,$B11,Movimientos!$D:$D,CONCATENATE("&lt;=",II$3),Movimientos!$C:$C,"&gt;0")+SUMIFS(Movimientos!$C:$C,Movimientos!$A:$A,$B11,Movimientos!$D:$D,CONCATENATE("&lt;",II$3),Movimientos!$C:$C,"&lt;0")</f>
        <v>0</v>
      </c>
      <c r="IJ11" s="5">
        <f ca="1">SUMIFS(Movimientos!$C:$C,Movimientos!$A:$A,$B11,Movimientos!$D:$D,CONCATENATE("&lt;=",IJ$3),Movimientos!$C:$C,"&gt;0")+SUMIFS(Movimientos!$C:$C,Movimientos!$A:$A,$B11,Movimientos!$D:$D,CONCATENATE("&lt;",IJ$3),Movimientos!$C:$C,"&lt;0")</f>
        <v>0</v>
      </c>
      <c r="IK11" s="5">
        <f ca="1">SUMIFS(Movimientos!$C:$C,Movimientos!$A:$A,$B11,Movimientos!$D:$D,CONCATENATE("&lt;=",IK$3),Movimientos!$C:$C,"&gt;0")+SUMIFS(Movimientos!$C:$C,Movimientos!$A:$A,$B11,Movimientos!$D:$D,CONCATENATE("&lt;",IK$3),Movimientos!$C:$C,"&lt;0")</f>
        <v>0</v>
      </c>
      <c r="IL11" s="5">
        <f ca="1">SUMIFS(Movimientos!$C:$C,Movimientos!$A:$A,$B11,Movimientos!$D:$D,CONCATENATE("&lt;=",IL$3),Movimientos!$C:$C,"&gt;0")+SUMIFS(Movimientos!$C:$C,Movimientos!$A:$A,$B11,Movimientos!$D:$D,CONCATENATE("&lt;",IL$3),Movimientos!$C:$C,"&lt;0")</f>
        <v>0</v>
      </c>
      <c r="IM11" s="5">
        <f ca="1">SUMIFS(Movimientos!$C:$C,Movimientos!$A:$A,$B11,Movimientos!$D:$D,CONCATENATE("&lt;=",IM$3),Movimientos!$C:$C,"&gt;0")+SUMIFS(Movimientos!$C:$C,Movimientos!$A:$A,$B11,Movimientos!$D:$D,CONCATENATE("&lt;",IM$3),Movimientos!$C:$C,"&lt;0")</f>
        <v>0</v>
      </c>
      <c r="IN11" s="5">
        <f ca="1">SUMIFS(Movimientos!$C:$C,Movimientos!$A:$A,$B11,Movimientos!$D:$D,CONCATENATE("&lt;=",IN$3),Movimientos!$C:$C,"&gt;0")+SUMIFS(Movimientos!$C:$C,Movimientos!$A:$A,$B11,Movimientos!$D:$D,CONCATENATE("&lt;",IN$3),Movimientos!$C:$C,"&lt;0")</f>
        <v>0</v>
      </c>
      <c r="IO11" s="5">
        <f ca="1">SUMIFS(Movimientos!$C:$C,Movimientos!$A:$A,$B11,Movimientos!$D:$D,CONCATENATE("&lt;=",IO$3),Movimientos!$C:$C,"&gt;0")+SUMIFS(Movimientos!$C:$C,Movimientos!$A:$A,$B11,Movimientos!$D:$D,CONCATENATE("&lt;",IO$3),Movimientos!$C:$C,"&lt;0")</f>
        <v>0</v>
      </c>
      <c r="IP11" s="5">
        <f ca="1">SUMIFS(Movimientos!$C:$C,Movimientos!$A:$A,$B11,Movimientos!$D:$D,CONCATENATE("&lt;=",IP$3),Movimientos!$C:$C,"&gt;0")+SUMIFS(Movimientos!$C:$C,Movimientos!$A:$A,$B11,Movimientos!$D:$D,CONCATENATE("&lt;",IP$3),Movimientos!$C:$C,"&lt;0")</f>
        <v>0</v>
      </c>
      <c r="IQ11" s="5">
        <f ca="1">SUMIFS(Movimientos!$C:$C,Movimientos!$A:$A,$B11,Movimientos!$D:$D,CONCATENATE("&lt;=",IQ$3),Movimientos!$C:$C,"&gt;0")+SUMIFS(Movimientos!$C:$C,Movimientos!$A:$A,$B11,Movimientos!$D:$D,CONCATENATE("&lt;",IQ$3),Movimientos!$C:$C,"&lt;0")</f>
        <v>0</v>
      </c>
      <c r="IR11" s="5">
        <f ca="1">SUMIFS(Movimientos!$C:$C,Movimientos!$A:$A,$B11,Movimientos!$D:$D,CONCATENATE("&lt;=",IR$3),Movimientos!$C:$C,"&gt;0")+SUMIFS(Movimientos!$C:$C,Movimientos!$A:$A,$B11,Movimientos!$D:$D,CONCATENATE("&lt;",IR$3),Movimientos!$C:$C,"&lt;0")</f>
        <v>0</v>
      </c>
      <c r="IS11" s="5">
        <f ca="1">SUMIFS(Movimientos!$C:$C,Movimientos!$A:$A,$B11,Movimientos!$D:$D,CONCATENATE("&lt;=",IS$3),Movimientos!$C:$C,"&gt;0")+SUMIFS(Movimientos!$C:$C,Movimientos!$A:$A,$B11,Movimientos!$D:$D,CONCATENATE("&lt;",IS$3),Movimientos!$C:$C,"&lt;0")</f>
        <v>0</v>
      </c>
      <c r="IT11" s="5">
        <f ca="1">SUMIFS(Movimientos!$C:$C,Movimientos!$A:$A,$B11,Movimientos!$D:$D,CONCATENATE("&lt;=",IT$3),Movimientos!$C:$C,"&gt;0")+SUMIFS(Movimientos!$C:$C,Movimientos!$A:$A,$B11,Movimientos!$D:$D,CONCATENATE("&lt;",IT$3),Movimientos!$C:$C,"&lt;0")</f>
        <v>0</v>
      </c>
      <c r="IU11" s="5">
        <f ca="1">SUMIFS(Movimientos!$C:$C,Movimientos!$A:$A,$B11,Movimientos!$D:$D,CONCATENATE("&lt;=",IU$3),Movimientos!$C:$C,"&gt;0")+SUMIFS(Movimientos!$C:$C,Movimientos!$A:$A,$B11,Movimientos!$D:$D,CONCATENATE("&lt;",IU$3),Movimientos!$C:$C,"&lt;0")</f>
        <v>0</v>
      </c>
      <c r="IV11" s="5">
        <f ca="1">SUMIFS(Movimientos!$C:$C,Movimientos!$A:$A,$B11,Movimientos!$D:$D,CONCATENATE("&lt;=",IV$3),Movimientos!$C:$C,"&gt;0")+SUMIFS(Movimientos!$C:$C,Movimientos!$A:$A,$B11,Movimientos!$D:$D,CONCATENATE("&lt;",IV$3),Movimientos!$C:$C,"&lt;0")</f>
        <v>0</v>
      </c>
      <c r="IW11" s="5">
        <f ca="1">SUMIFS(Movimientos!$C:$C,Movimientos!$A:$A,$B11,Movimientos!$D:$D,CONCATENATE("&lt;=",IW$3),Movimientos!$C:$C,"&gt;0")+SUMIFS(Movimientos!$C:$C,Movimientos!$A:$A,$B11,Movimientos!$D:$D,CONCATENATE("&lt;",IW$3),Movimientos!$C:$C,"&lt;0")</f>
        <v>0</v>
      </c>
      <c r="IX11" s="5">
        <f ca="1">SUMIFS(Movimientos!$C:$C,Movimientos!$A:$A,$B11,Movimientos!$D:$D,CONCATENATE("&lt;=",IX$3),Movimientos!$C:$C,"&gt;0")+SUMIFS(Movimientos!$C:$C,Movimientos!$A:$A,$B11,Movimientos!$D:$D,CONCATENATE("&lt;",IX$3),Movimientos!$C:$C,"&lt;0")</f>
        <v>0</v>
      </c>
      <c r="IY11" s="5">
        <f ca="1">SUMIFS(Movimientos!$C:$C,Movimientos!$A:$A,$B11,Movimientos!$D:$D,CONCATENATE("&lt;=",IY$3),Movimientos!$C:$C,"&gt;0")+SUMIFS(Movimientos!$C:$C,Movimientos!$A:$A,$B11,Movimientos!$D:$D,CONCATENATE("&lt;",IY$3),Movimientos!$C:$C,"&lt;0")</f>
        <v>0</v>
      </c>
      <c r="IZ11" s="5">
        <f ca="1">SUMIFS(Movimientos!$C:$C,Movimientos!$A:$A,$B11,Movimientos!$D:$D,CONCATENATE("&lt;=",IZ$3),Movimientos!$C:$C,"&gt;0")+SUMIFS(Movimientos!$C:$C,Movimientos!$A:$A,$B11,Movimientos!$D:$D,CONCATENATE("&lt;",IZ$3),Movimientos!$C:$C,"&lt;0")</f>
        <v>0</v>
      </c>
      <c r="JA11" s="5">
        <f ca="1">SUMIFS(Movimientos!$C:$C,Movimientos!$A:$A,$B11,Movimientos!$D:$D,CONCATENATE("&lt;=",JA$3),Movimientos!$C:$C,"&gt;0")+SUMIFS(Movimientos!$C:$C,Movimientos!$A:$A,$B11,Movimientos!$D:$D,CONCATENATE("&lt;",JA$3),Movimientos!$C:$C,"&lt;0")</f>
        <v>0</v>
      </c>
      <c r="JB11" s="5">
        <f ca="1">SUMIFS(Movimientos!$C:$C,Movimientos!$A:$A,$B11,Movimientos!$D:$D,CONCATENATE("&lt;=",JB$3),Movimientos!$C:$C,"&gt;0")+SUMIFS(Movimientos!$C:$C,Movimientos!$A:$A,$B11,Movimientos!$D:$D,CONCATENATE("&lt;",JB$3),Movimientos!$C:$C,"&lt;0")</f>
        <v>0</v>
      </c>
      <c r="JC11" s="5">
        <f ca="1">SUMIFS(Movimientos!$C:$C,Movimientos!$A:$A,$B11,Movimientos!$D:$D,CONCATENATE("&lt;=",JC$3),Movimientos!$C:$C,"&gt;0")+SUMIFS(Movimientos!$C:$C,Movimientos!$A:$A,$B11,Movimientos!$D:$D,CONCATENATE("&lt;",JC$3),Movimientos!$C:$C,"&lt;0")</f>
        <v>0</v>
      </c>
      <c r="JD11" s="5">
        <f ca="1">SUMIFS(Movimientos!$C:$C,Movimientos!$A:$A,$B11,Movimientos!$D:$D,CONCATENATE("&lt;=",JD$3),Movimientos!$C:$C,"&gt;0")+SUMIFS(Movimientos!$C:$C,Movimientos!$A:$A,$B11,Movimientos!$D:$D,CONCATENATE("&lt;",JD$3),Movimientos!$C:$C,"&lt;0")</f>
        <v>0</v>
      </c>
      <c r="JE11" s="5">
        <f ca="1">SUMIFS(Movimientos!$C:$C,Movimientos!$A:$A,$B11,Movimientos!$D:$D,CONCATENATE("&lt;=",JE$3),Movimientos!$C:$C,"&gt;0")+SUMIFS(Movimientos!$C:$C,Movimientos!$A:$A,$B11,Movimientos!$D:$D,CONCATENATE("&lt;",JE$3),Movimientos!$C:$C,"&lt;0")</f>
        <v>0</v>
      </c>
      <c r="JF11" s="5">
        <f ca="1">SUMIFS(Movimientos!$C:$C,Movimientos!$A:$A,$B11,Movimientos!$D:$D,CONCATENATE("&lt;=",JF$3),Movimientos!$C:$C,"&gt;0")+SUMIFS(Movimientos!$C:$C,Movimientos!$A:$A,$B11,Movimientos!$D:$D,CONCATENATE("&lt;",JF$3),Movimientos!$C:$C,"&lt;0")</f>
        <v>0</v>
      </c>
      <c r="JG11" s="5">
        <f ca="1">SUMIFS(Movimientos!$C:$C,Movimientos!$A:$A,$B11,Movimientos!$D:$D,CONCATENATE("&lt;=",JG$3),Movimientos!$C:$C,"&gt;0")+SUMIFS(Movimientos!$C:$C,Movimientos!$A:$A,$B11,Movimientos!$D:$D,CONCATENATE("&lt;",JG$3),Movimientos!$C:$C,"&lt;0")</f>
        <v>0</v>
      </c>
      <c r="JH11" s="5">
        <f ca="1">SUMIFS(Movimientos!$C:$C,Movimientos!$A:$A,$B11,Movimientos!$D:$D,CONCATENATE("&lt;=",JH$3),Movimientos!$C:$C,"&gt;0")+SUMIFS(Movimientos!$C:$C,Movimientos!$A:$A,$B11,Movimientos!$D:$D,CONCATENATE("&lt;",JH$3),Movimientos!$C:$C,"&lt;0")</f>
        <v>0</v>
      </c>
      <c r="JI11" s="5">
        <f ca="1">SUMIFS(Movimientos!$C:$C,Movimientos!$A:$A,$B11,Movimientos!$D:$D,CONCATENATE("&lt;=",JI$3),Movimientos!$C:$C,"&gt;0")+SUMIFS(Movimientos!$C:$C,Movimientos!$A:$A,$B11,Movimientos!$D:$D,CONCATENATE("&lt;",JI$3),Movimientos!$C:$C,"&lt;0")</f>
        <v>0</v>
      </c>
      <c r="JJ11" s="5">
        <f ca="1">SUMIFS(Movimientos!$C:$C,Movimientos!$A:$A,$B11,Movimientos!$D:$D,CONCATENATE("&lt;=",JJ$3),Movimientos!$C:$C,"&gt;0")+SUMIFS(Movimientos!$C:$C,Movimientos!$A:$A,$B11,Movimientos!$D:$D,CONCATENATE("&lt;",JJ$3),Movimientos!$C:$C,"&lt;0")</f>
        <v>0</v>
      </c>
      <c r="JK11" s="5">
        <f ca="1">SUMIFS(Movimientos!$C:$C,Movimientos!$A:$A,$B11,Movimientos!$D:$D,CONCATENATE("&lt;=",JK$3),Movimientos!$C:$C,"&gt;0")+SUMIFS(Movimientos!$C:$C,Movimientos!$A:$A,$B11,Movimientos!$D:$D,CONCATENATE("&lt;",JK$3),Movimientos!$C:$C,"&lt;0")</f>
        <v>0</v>
      </c>
      <c r="JL11" s="5">
        <f ca="1">SUMIFS(Movimientos!$C:$C,Movimientos!$A:$A,$B11,Movimientos!$D:$D,CONCATENATE("&lt;=",JL$3),Movimientos!$C:$C,"&gt;0")+SUMIFS(Movimientos!$C:$C,Movimientos!$A:$A,$B11,Movimientos!$D:$D,CONCATENATE("&lt;",JL$3),Movimientos!$C:$C,"&lt;0")</f>
        <v>0</v>
      </c>
      <c r="JM11" s="5">
        <f ca="1">SUMIFS(Movimientos!$C:$C,Movimientos!$A:$A,$B11,Movimientos!$D:$D,CONCATENATE("&lt;=",JM$3),Movimientos!$C:$C,"&gt;0")+SUMIFS(Movimientos!$C:$C,Movimientos!$A:$A,$B11,Movimientos!$D:$D,CONCATENATE("&lt;",JM$3),Movimientos!$C:$C,"&lt;0")</f>
        <v>0</v>
      </c>
      <c r="JN11" s="5">
        <f ca="1">SUMIFS(Movimientos!$C:$C,Movimientos!$A:$A,$B11,Movimientos!$D:$D,CONCATENATE("&lt;=",JN$3),Movimientos!$C:$C,"&gt;0")+SUMIFS(Movimientos!$C:$C,Movimientos!$A:$A,$B11,Movimientos!$D:$D,CONCATENATE("&lt;",JN$3),Movimientos!$C:$C,"&lt;0")</f>
        <v>0</v>
      </c>
      <c r="JO11" s="5">
        <f ca="1">SUMIFS(Movimientos!$C:$C,Movimientos!$A:$A,$B11,Movimientos!$D:$D,CONCATENATE("&lt;=",JO$3),Movimientos!$C:$C,"&gt;0")+SUMIFS(Movimientos!$C:$C,Movimientos!$A:$A,$B11,Movimientos!$D:$D,CONCATENATE("&lt;",JO$3),Movimientos!$C:$C,"&lt;0")</f>
        <v>0</v>
      </c>
      <c r="JP11" s="5">
        <f ca="1">SUMIFS(Movimientos!$C:$C,Movimientos!$A:$A,$B11,Movimientos!$D:$D,CONCATENATE("&lt;=",JP$3),Movimientos!$C:$C,"&gt;0")+SUMIFS(Movimientos!$C:$C,Movimientos!$A:$A,$B11,Movimientos!$D:$D,CONCATENATE("&lt;",JP$3),Movimientos!$C:$C,"&lt;0")</f>
        <v>0</v>
      </c>
      <c r="JQ11" s="5">
        <f ca="1">SUMIFS(Movimientos!$C:$C,Movimientos!$A:$A,$B11,Movimientos!$D:$D,CONCATENATE("&lt;=",JQ$3),Movimientos!$C:$C,"&gt;0")+SUMIFS(Movimientos!$C:$C,Movimientos!$A:$A,$B11,Movimientos!$D:$D,CONCATENATE("&lt;",JQ$3),Movimientos!$C:$C,"&lt;0")</f>
        <v>0</v>
      </c>
      <c r="JR11" s="5">
        <f ca="1">SUMIFS(Movimientos!$C:$C,Movimientos!$A:$A,$B11,Movimientos!$D:$D,CONCATENATE("&lt;=",JR$3),Movimientos!$C:$C,"&gt;0")+SUMIFS(Movimientos!$C:$C,Movimientos!$A:$A,$B11,Movimientos!$D:$D,CONCATENATE("&lt;",JR$3),Movimientos!$C:$C,"&lt;0")</f>
        <v>0</v>
      </c>
      <c r="JS11" s="5">
        <f ca="1">SUMIFS(Movimientos!$C:$C,Movimientos!$A:$A,$B11,Movimientos!$D:$D,CONCATENATE("&lt;=",JS$3),Movimientos!$C:$C,"&gt;0")+SUMIFS(Movimientos!$C:$C,Movimientos!$A:$A,$B11,Movimientos!$D:$D,CONCATENATE("&lt;",JS$3),Movimientos!$C:$C,"&lt;0")</f>
        <v>0</v>
      </c>
      <c r="JT11" s="5">
        <f ca="1">SUMIFS(Movimientos!$C:$C,Movimientos!$A:$A,$B11,Movimientos!$D:$D,CONCATENATE("&lt;=",JT$3),Movimientos!$C:$C,"&gt;0")+SUMIFS(Movimientos!$C:$C,Movimientos!$A:$A,$B11,Movimientos!$D:$D,CONCATENATE("&lt;",JT$3),Movimientos!$C:$C,"&lt;0")</f>
        <v>0</v>
      </c>
      <c r="JU11" s="5">
        <f ca="1">SUMIFS(Movimientos!$C:$C,Movimientos!$A:$A,$B11,Movimientos!$D:$D,CONCATENATE("&lt;=",JU$3),Movimientos!$C:$C,"&gt;0")+SUMIFS(Movimientos!$C:$C,Movimientos!$A:$A,$B11,Movimientos!$D:$D,CONCATENATE("&lt;",JU$3),Movimientos!$C:$C,"&lt;0")</f>
        <v>0</v>
      </c>
      <c r="JV11" s="5">
        <f ca="1">SUMIFS(Movimientos!$C:$C,Movimientos!$A:$A,$B11,Movimientos!$D:$D,CONCATENATE("&lt;=",JV$3),Movimientos!$C:$C,"&gt;0")+SUMIFS(Movimientos!$C:$C,Movimientos!$A:$A,$B11,Movimientos!$D:$D,CONCATENATE("&lt;",JV$3),Movimientos!$C:$C,"&lt;0")</f>
        <v>0</v>
      </c>
      <c r="JW11" s="5">
        <f ca="1">SUMIFS(Movimientos!$C:$C,Movimientos!$A:$A,$B11,Movimientos!$D:$D,CONCATENATE("&lt;=",JW$3),Movimientos!$C:$C,"&gt;0")+SUMIFS(Movimientos!$C:$C,Movimientos!$A:$A,$B11,Movimientos!$D:$D,CONCATENATE("&lt;",JW$3),Movimientos!$C:$C,"&lt;0")</f>
        <v>0</v>
      </c>
      <c r="JX11" s="5">
        <f ca="1">SUMIFS(Movimientos!$C:$C,Movimientos!$A:$A,$B11,Movimientos!$D:$D,CONCATENATE("&lt;=",JX$3),Movimientos!$C:$C,"&gt;0")+SUMIFS(Movimientos!$C:$C,Movimientos!$A:$A,$B11,Movimientos!$D:$D,CONCATENATE("&lt;",JX$3),Movimientos!$C:$C,"&lt;0")</f>
        <v>0</v>
      </c>
      <c r="JY11" s="5">
        <f ca="1">SUMIFS(Movimientos!$C:$C,Movimientos!$A:$A,$B11,Movimientos!$D:$D,CONCATENATE("&lt;=",JY$3),Movimientos!$C:$C,"&gt;0")+SUMIFS(Movimientos!$C:$C,Movimientos!$A:$A,$B11,Movimientos!$D:$D,CONCATENATE("&lt;",JY$3),Movimientos!$C:$C,"&lt;0")</f>
        <v>0</v>
      </c>
      <c r="JZ11" s="5">
        <f ca="1">SUMIFS(Movimientos!$C:$C,Movimientos!$A:$A,$B11,Movimientos!$D:$D,CONCATENATE("&lt;=",JZ$3),Movimientos!$C:$C,"&gt;0")+SUMIFS(Movimientos!$C:$C,Movimientos!$A:$A,$B11,Movimientos!$D:$D,CONCATENATE("&lt;",JZ$3),Movimientos!$C:$C,"&lt;0")</f>
        <v>0</v>
      </c>
      <c r="KA11" s="5">
        <f ca="1">SUMIFS(Movimientos!$C:$C,Movimientos!$A:$A,$B11,Movimientos!$D:$D,CONCATENATE("&lt;=",KA$3),Movimientos!$C:$C,"&gt;0")+SUMIFS(Movimientos!$C:$C,Movimientos!$A:$A,$B11,Movimientos!$D:$D,CONCATENATE("&lt;",KA$3),Movimientos!$C:$C,"&lt;0")</f>
        <v>0</v>
      </c>
      <c r="KB11" s="5">
        <f ca="1">SUMIFS(Movimientos!$C:$C,Movimientos!$A:$A,$B11,Movimientos!$D:$D,CONCATENATE("&lt;=",KB$3),Movimientos!$C:$C,"&gt;0")+SUMIFS(Movimientos!$C:$C,Movimientos!$A:$A,$B11,Movimientos!$D:$D,CONCATENATE("&lt;",KB$3),Movimientos!$C:$C,"&lt;0")</f>
        <v>0</v>
      </c>
      <c r="KC11" s="5">
        <f ca="1">SUMIFS(Movimientos!$C:$C,Movimientos!$A:$A,$B11,Movimientos!$D:$D,CONCATENATE("&lt;=",KC$3),Movimientos!$C:$C,"&gt;0")+SUMIFS(Movimientos!$C:$C,Movimientos!$A:$A,$B11,Movimientos!$D:$D,CONCATENATE("&lt;",KC$3),Movimientos!$C:$C,"&lt;0")</f>
        <v>0</v>
      </c>
      <c r="KD11" s="5">
        <f ca="1">SUMIFS(Movimientos!$C:$C,Movimientos!$A:$A,$B11,Movimientos!$D:$D,CONCATENATE("&lt;=",KD$3),Movimientos!$C:$C,"&gt;0")+SUMIFS(Movimientos!$C:$C,Movimientos!$A:$A,$B11,Movimientos!$D:$D,CONCATENATE("&lt;",KD$3),Movimientos!$C:$C,"&lt;0")</f>
        <v>0</v>
      </c>
      <c r="KE11" s="5">
        <f ca="1">SUMIFS(Movimientos!$C:$C,Movimientos!$A:$A,$B11,Movimientos!$D:$D,CONCATENATE("&lt;=",KE$3),Movimientos!$C:$C,"&gt;0")+SUMIFS(Movimientos!$C:$C,Movimientos!$A:$A,$B11,Movimientos!$D:$D,CONCATENATE("&lt;",KE$3),Movimientos!$C:$C,"&lt;0")</f>
        <v>0</v>
      </c>
      <c r="KF11" s="5">
        <f ca="1">SUMIFS(Movimientos!$C:$C,Movimientos!$A:$A,$B11,Movimientos!$D:$D,CONCATENATE("&lt;=",KF$3),Movimientos!$C:$C,"&gt;0")+SUMIFS(Movimientos!$C:$C,Movimientos!$A:$A,$B11,Movimientos!$D:$D,CONCATENATE("&lt;",KF$3),Movimientos!$C:$C,"&lt;0")</f>
        <v>0</v>
      </c>
      <c r="KG11" s="5">
        <f ca="1">SUMIFS(Movimientos!$C:$C,Movimientos!$A:$A,$B11,Movimientos!$D:$D,CONCATENATE("&lt;=",KG$3),Movimientos!$C:$C,"&gt;0")+SUMIFS(Movimientos!$C:$C,Movimientos!$A:$A,$B11,Movimientos!$D:$D,CONCATENATE("&lt;",KG$3),Movimientos!$C:$C,"&lt;0")</f>
        <v>0</v>
      </c>
      <c r="KH11" s="5">
        <f ca="1">SUMIFS(Movimientos!$C:$C,Movimientos!$A:$A,$B11,Movimientos!$D:$D,CONCATENATE("&lt;=",KH$3),Movimientos!$C:$C,"&gt;0")+SUMIFS(Movimientos!$C:$C,Movimientos!$A:$A,$B11,Movimientos!$D:$D,CONCATENATE("&lt;",KH$3),Movimientos!$C:$C,"&lt;0")</f>
        <v>0</v>
      </c>
      <c r="KI11" s="5">
        <f ca="1">SUMIFS(Movimientos!$C:$C,Movimientos!$A:$A,$B11,Movimientos!$D:$D,CONCATENATE("&lt;=",KI$3),Movimientos!$C:$C,"&gt;0")+SUMIFS(Movimientos!$C:$C,Movimientos!$A:$A,$B11,Movimientos!$D:$D,CONCATENATE("&lt;",KI$3),Movimientos!$C:$C,"&lt;0")</f>
        <v>0</v>
      </c>
      <c r="KJ11" s="5">
        <f ca="1">SUMIFS(Movimientos!$C:$C,Movimientos!$A:$A,$B11,Movimientos!$D:$D,CONCATENATE("&lt;=",KJ$3),Movimientos!$C:$C,"&gt;0")+SUMIFS(Movimientos!$C:$C,Movimientos!$A:$A,$B11,Movimientos!$D:$D,CONCATENATE("&lt;",KJ$3),Movimientos!$C:$C,"&lt;0")</f>
        <v>0</v>
      </c>
      <c r="KK11" s="5">
        <f ca="1">SUMIFS(Movimientos!$C:$C,Movimientos!$A:$A,$B11,Movimientos!$D:$D,CONCATENATE("&lt;=",KK$3),Movimientos!$C:$C,"&gt;0")+SUMIFS(Movimientos!$C:$C,Movimientos!$A:$A,$B11,Movimientos!$D:$D,CONCATENATE("&lt;",KK$3),Movimientos!$C:$C,"&lt;0")</f>
        <v>0</v>
      </c>
      <c r="KL11" s="5">
        <f ca="1">SUMIFS(Movimientos!$C:$C,Movimientos!$A:$A,$B11,Movimientos!$D:$D,CONCATENATE("&lt;=",KL$3),Movimientos!$C:$C,"&gt;0")+SUMIFS(Movimientos!$C:$C,Movimientos!$A:$A,$B11,Movimientos!$D:$D,CONCATENATE("&lt;",KL$3),Movimientos!$C:$C,"&lt;0")</f>
        <v>0</v>
      </c>
      <c r="KM11" s="5">
        <f ca="1">SUMIFS(Movimientos!$C:$C,Movimientos!$A:$A,$B11,Movimientos!$D:$D,CONCATENATE("&lt;=",KM$3),Movimientos!$C:$C,"&gt;0")+SUMIFS(Movimientos!$C:$C,Movimientos!$A:$A,$B11,Movimientos!$D:$D,CONCATENATE("&lt;",KM$3),Movimientos!$C:$C,"&lt;0")</f>
        <v>0</v>
      </c>
      <c r="KN11" s="5">
        <f ca="1">SUMIFS(Movimientos!$C:$C,Movimientos!$A:$A,$B11,Movimientos!$D:$D,CONCATENATE("&lt;=",KN$3),Movimientos!$C:$C,"&gt;0")+SUMIFS(Movimientos!$C:$C,Movimientos!$A:$A,$B11,Movimientos!$D:$D,CONCATENATE("&lt;",KN$3),Movimientos!$C:$C,"&lt;0")</f>
        <v>0</v>
      </c>
      <c r="KO11" s="5">
        <f ca="1">SUMIFS(Movimientos!$C:$C,Movimientos!$A:$A,$B11,Movimientos!$D:$D,CONCATENATE("&lt;=",KO$3),Movimientos!$C:$C,"&gt;0")+SUMIFS(Movimientos!$C:$C,Movimientos!$A:$A,$B11,Movimientos!$D:$D,CONCATENATE("&lt;",KO$3),Movimientos!$C:$C,"&lt;0")</f>
        <v>0</v>
      </c>
      <c r="KP11" s="5">
        <f ca="1">SUMIFS(Movimientos!$C:$C,Movimientos!$A:$A,$B11,Movimientos!$D:$D,CONCATENATE("&lt;=",KP$3),Movimientos!$C:$C,"&gt;0")+SUMIFS(Movimientos!$C:$C,Movimientos!$A:$A,$B11,Movimientos!$D:$D,CONCATENATE("&lt;",KP$3),Movimientos!$C:$C,"&lt;0")</f>
        <v>0</v>
      </c>
      <c r="KQ11" s="5">
        <f ca="1">SUMIFS(Movimientos!$C:$C,Movimientos!$A:$A,$B11,Movimientos!$D:$D,CONCATENATE("&lt;=",KQ$3),Movimientos!$C:$C,"&gt;0")+SUMIFS(Movimientos!$C:$C,Movimientos!$A:$A,$B11,Movimientos!$D:$D,CONCATENATE("&lt;",KQ$3),Movimientos!$C:$C,"&lt;0")</f>
        <v>0</v>
      </c>
      <c r="KR11" s="5">
        <f ca="1">SUMIFS(Movimientos!$C:$C,Movimientos!$A:$A,$B11,Movimientos!$D:$D,CONCATENATE("&lt;=",KR$3),Movimientos!$C:$C,"&gt;0")+SUMIFS(Movimientos!$C:$C,Movimientos!$A:$A,$B11,Movimientos!$D:$D,CONCATENATE("&lt;",KR$3),Movimientos!$C:$C,"&lt;0")</f>
        <v>0</v>
      </c>
      <c r="KS11" s="5">
        <f ca="1">SUMIFS(Movimientos!$C:$C,Movimientos!$A:$A,$B11,Movimientos!$D:$D,CONCATENATE("&lt;=",KS$3),Movimientos!$C:$C,"&gt;0")+SUMIFS(Movimientos!$C:$C,Movimientos!$A:$A,$B11,Movimientos!$D:$D,CONCATENATE("&lt;",KS$3),Movimientos!$C:$C,"&lt;0")</f>
        <v>0</v>
      </c>
      <c r="KT11" s="5">
        <f ca="1">SUMIFS(Movimientos!$C:$C,Movimientos!$A:$A,$B11,Movimientos!$D:$D,CONCATENATE("&lt;=",KT$3),Movimientos!$C:$C,"&gt;0")+SUMIFS(Movimientos!$C:$C,Movimientos!$A:$A,$B11,Movimientos!$D:$D,CONCATENATE("&lt;",KT$3),Movimientos!$C:$C,"&lt;0")</f>
        <v>0</v>
      </c>
      <c r="KU11" s="5">
        <f ca="1">SUMIFS(Movimientos!$C:$C,Movimientos!$A:$A,$B11,Movimientos!$D:$D,CONCATENATE("&lt;=",KU$3),Movimientos!$C:$C,"&gt;0")+SUMIFS(Movimientos!$C:$C,Movimientos!$A:$A,$B11,Movimientos!$D:$D,CONCATENATE("&lt;",KU$3),Movimientos!$C:$C,"&lt;0")</f>
        <v>0</v>
      </c>
      <c r="KV11" s="5">
        <f ca="1">SUMIFS(Movimientos!$C:$C,Movimientos!$A:$A,$B11,Movimientos!$D:$D,CONCATENATE("&lt;=",KV$3),Movimientos!$C:$C,"&gt;0")+SUMIFS(Movimientos!$C:$C,Movimientos!$A:$A,$B11,Movimientos!$D:$D,CONCATENATE("&lt;",KV$3),Movimientos!$C:$C,"&lt;0")</f>
        <v>0</v>
      </c>
      <c r="KW11" s="5">
        <f ca="1">SUMIFS(Movimientos!$C:$C,Movimientos!$A:$A,$B11,Movimientos!$D:$D,CONCATENATE("&lt;=",KW$3),Movimientos!$C:$C,"&gt;0")+SUMIFS(Movimientos!$C:$C,Movimientos!$A:$A,$B11,Movimientos!$D:$D,CONCATENATE("&lt;",KW$3),Movimientos!$C:$C,"&lt;0")</f>
        <v>0</v>
      </c>
      <c r="KX11" s="5">
        <f ca="1">SUMIFS(Movimientos!$C:$C,Movimientos!$A:$A,$B11,Movimientos!$D:$D,CONCATENATE("&lt;=",KX$3),Movimientos!$C:$C,"&gt;0")+SUMIFS(Movimientos!$C:$C,Movimientos!$A:$A,$B11,Movimientos!$D:$D,CONCATENATE("&lt;",KX$3),Movimientos!$C:$C,"&lt;0")</f>
        <v>0</v>
      </c>
      <c r="KY11" s="5">
        <f ca="1">SUMIFS(Movimientos!$C:$C,Movimientos!$A:$A,$B11,Movimientos!$D:$D,CONCATENATE("&lt;=",KY$3),Movimientos!$C:$C,"&gt;0")+SUMIFS(Movimientos!$C:$C,Movimientos!$A:$A,$B11,Movimientos!$D:$D,CONCATENATE("&lt;",KY$3),Movimientos!$C:$C,"&lt;0")</f>
        <v>0</v>
      </c>
      <c r="KZ11" s="5">
        <f ca="1">SUMIFS(Movimientos!$C:$C,Movimientos!$A:$A,$B11,Movimientos!$D:$D,CONCATENATE("&lt;=",KZ$3),Movimientos!$C:$C,"&gt;0")+SUMIFS(Movimientos!$C:$C,Movimientos!$A:$A,$B11,Movimientos!$D:$D,CONCATENATE("&lt;",KZ$3),Movimientos!$C:$C,"&lt;0")</f>
        <v>0</v>
      </c>
      <c r="LA11" s="5">
        <f ca="1">SUMIFS(Movimientos!$C:$C,Movimientos!$A:$A,$B11,Movimientos!$D:$D,CONCATENATE("&lt;=",LA$3),Movimientos!$C:$C,"&gt;0")+SUMIFS(Movimientos!$C:$C,Movimientos!$A:$A,$B11,Movimientos!$D:$D,CONCATENATE("&lt;",LA$3),Movimientos!$C:$C,"&lt;0")</f>
        <v>0</v>
      </c>
      <c r="LB11" s="5">
        <f ca="1">SUMIFS(Movimientos!$C:$C,Movimientos!$A:$A,$B11,Movimientos!$D:$D,CONCATENATE("&lt;=",LB$3),Movimientos!$C:$C,"&gt;0")+SUMIFS(Movimientos!$C:$C,Movimientos!$A:$A,$B11,Movimientos!$D:$D,CONCATENATE("&lt;",LB$3),Movimientos!$C:$C,"&lt;0")</f>
        <v>0</v>
      </c>
      <c r="LC11" s="5">
        <f ca="1">SUMIFS(Movimientos!$C:$C,Movimientos!$A:$A,$B11,Movimientos!$D:$D,CONCATENATE("&lt;=",LC$3),Movimientos!$C:$C,"&gt;0")+SUMIFS(Movimientos!$C:$C,Movimientos!$A:$A,$B11,Movimientos!$D:$D,CONCATENATE("&lt;",LC$3),Movimientos!$C:$C,"&lt;0")</f>
        <v>0</v>
      </c>
      <c r="LD11" s="5">
        <f ca="1">SUMIFS(Movimientos!$C:$C,Movimientos!$A:$A,$B11,Movimientos!$D:$D,CONCATENATE("&lt;=",LD$3),Movimientos!$C:$C,"&gt;0")+SUMIFS(Movimientos!$C:$C,Movimientos!$A:$A,$B11,Movimientos!$D:$D,CONCATENATE("&lt;",LD$3),Movimientos!$C:$C,"&lt;0")</f>
        <v>0</v>
      </c>
      <c r="LE11" s="5">
        <f ca="1">SUMIFS(Movimientos!$C:$C,Movimientos!$A:$A,$B11,Movimientos!$D:$D,CONCATENATE("&lt;=",LE$3),Movimientos!$C:$C,"&gt;0")+SUMIFS(Movimientos!$C:$C,Movimientos!$A:$A,$B11,Movimientos!$D:$D,CONCATENATE("&lt;",LE$3),Movimientos!$C:$C,"&lt;0")</f>
        <v>0</v>
      </c>
      <c r="LF11" s="5">
        <f ca="1">SUMIFS(Movimientos!$C:$C,Movimientos!$A:$A,$B11,Movimientos!$D:$D,CONCATENATE("&lt;=",LF$3),Movimientos!$C:$C,"&gt;0")+SUMIFS(Movimientos!$C:$C,Movimientos!$A:$A,$B11,Movimientos!$D:$D,CONCATENATE("&lt;",LF$3),Movimientos!$C:$C,"&lt;0")</f>
        <v>0</v>
      </c>
      <c r="LG11" s="5">
        <f ca="1">SUMIFS(Movimientos!$C:$C,Movimientos!$A:$A,$B11,Movimientos!$D:$D,CONCATENATE("&lt;=",LG$3),Movimientos!$C:$C,"&gt;0")+SUMIFS(Movimientos!$C:$C,Movimientos!$A:$A,$B11,Movimientos!$D:$D,CONCATENATE("&lt;",LG$3),Movimientos!$C:$C,"&lt;0")</f>
        <v>0</v>
      </c>
      <c r="LH11" s="5">
        <f ca="1">SUMIFS(Movimientos!$C:$C,Movimientos!$A:$A,$B11,Movimientos!$D:$D,CONCATENATE("&lt;=",LH$3),Movimientos!$C:$C,"&gt;0")+SUMIFS(Movimientos!$C:$C,Movimientos!$A:$A,$B11,Movimientos!$D:$D,CONCATENATE("&lt;",LH$3),Movimientos!$C:$C,"&lt;0")</f>
        <v>0</v>
      </c>
      <c r="LI11" s="5">
        <f ca="1">SUMIFS(Movimientos!$C:$C,Movimientos!$A:$A,$B11,Movimientos!$D:$D,CONCATENATE("&lt;=",LI$3),Movimientos!$C:$C,"&gt;0")+SUMIFS(Movimientos!$C:$C,Movimientos!$A:$A,$B11,Movimientos!$D:$D,CONCATENATE("&lt;",LI$3),Movimientos!$C:$C,"&lt;0")</f>
        <v>0</v>
      </c>
      <c r="LJ11" s="5">
        <f ca="1">SUMIFS(Movimientos!$C:$C,Movimientos!$A:$A,$B11,Movimientos!$D:$D,CONCATENATE("&lt;=",LJ$3),Movimientos!$C:$C,"&gt;0")+SUMIFS(Movimientos!$C:$C,Movimientos!$A:$A,$B11,Movimientos!$D:$D,CONCATENATE("&lt;",LJ$3),Movimientos!$C:$C,"&lt;0")</f>
        <v>0</v>
      </c>
      <c r="LK11" s="5">
        <f ca="1">SUMIFS(Movimientos!$C:$C,Movimientos!$A:$A,$B11,Movimientos!$D:$D,CONCATENATE("&lt;=",LK$3),Movimientos!$C:$C,"&gt;0")+SUMIFS(Movimientos!$C:$C,Movimientos!$A:$A,$B11,Movimientos!$D:$D,CONCATENATE("&lt;",LK$3),Movimientos!$C:$C,"&lt;0")</f>
        <v>0</v>
      </c>
      <c r="LL11" s="5">
        <f ca="1">SUMIFS(Movimientos!$C:$C,Movimientos!$A:$A,$B11,Movimientos!$D:$D,CONCATENATE("&lt;=",LL$3),Movimientos!$C:$C,"&gt;0")+SUMIFS(Movimientos!$C:$C,Movimientos!$A:$A,$B11,Movimientos!$D:$D,CONCATENATE("&lt;",LL$3),Movimientos!$C:$C,"&lt;0")</f>
        <v>0</v>
      </c>
      <c r="LM11" s="5">
        <f ca="1">SUMIFS(Movimientos!$C:$C,Movimientos!$A:$A,$B11,Movimientos!$D:$D,CONCATENATE("&lt;=",LM$3),Movimientos!$C:$C,"&gt;0")+SUMIFS(Movimientos!$C:$C,Movimientos!$A:$A,$B11,Movimientos!$D:$D,CONCATENATE("&lt;",LM$3),Movimientos!$C:$C,"&lt;0")</f>
        <v>0</v>
      </c>
      <c r="LN11" s="5">
        <f ca="1">SUMIFS(Movimientos!$C:$C,Movimientos!$A:$A,$B11,Movimientos!$D:$D,CONCATENATE("&lt;=",LN$3),Movimientos!$C:$C,"&gt;0")+SUMIFS(Movimientos!$C:$C,Movimientos!$A:$A,$B11,Movimientos!$D:$D,CONCATENATE("&lt;",LN$3),Movimientos!$C:$C,"&lt;0")</f>
        <v>0</v>
      </c>
      <c r="LO11" s="5">
        <f ca="1">SUMIFS(Movimientos!$C:$C,Movimientos!$A:$A,$B11,Movimientos!$D:$D,CONCATENATE("&lt;=",LO$3),Movimientos!$C:$C,"&gt;0")+SUMIFS(Movimientos!$C:$C,Movimientos!$A:$A,$B11,Movimientos!$D:$D,CONCATENATE("&lt;",LO$3),Movimientos!$C:$C,"&lt;0")</f>
        <v>0</v>
      </c>
      <c r="LP11" s="5">
        <f ca="1">SUMIFS(Movimientos!$C:$C,Movimientos!$A:$A,$B11,Movimientos!$D:$D,CONCATENATE("&lt;=",LP$3),Movimientos!$C:$C,"&gt;0")+SUMIFS(Movimientos!$C:$C,Movimientos!$A:$A,$B11,Movimientos!$D:$D,CONCATENATE("&lt;",LP$3),Movimientos!$C:$C,"&lt;0")</f>
        <v>0</v>
      </c>
      <c r="LQ11" s="5">
        <f ca="1">SUMIFS(Movimientos!$C:$C,Movimientos!$A:$A,$B11,Movimientos!$D:$D,CONCATENATE("&lt;=",LQ$3),Movimientos!$C:$C,"&gt;0")+SUMIFS(Movimientos!$C:$C,Movimientos!$A:$A,$B11,Movimientos!$D:$D,CONCATENATE("&lt;",LQ$3),Movimientos!$C:$C,"&lt;0")</f>
        <v>0</v>
      </c>
      <c r="LR11" s="5">
        <f ca="1">SUMIFS(Movimientos!$C:$C,Movimientos!$A:$A,$B11,Movimientos!$D:$D,CONCATENATE("&lt;=",LR$3),Movimientos!$C:$C,"&gt;0")+SUMIFS(Movimientos!$C:$C,Movimientos!$A:$A,$B11,Movimientos!$D:$D,CONCATENATE("&lt;",LR$3),Movimientos!$C:$C,"&lt;0")</f>
        <v>0</v>
      </c>
      <c r="LS11" s="5">
        <f ca="1">SUMIFS(Movimientos!$C:$C,Movimientos!$A:$A,$B11,Movimientos!$D:$D,CONCATENATE("&lt;=",LS$3),Movimientos!$C:$C,"&gt;0")+SUMIFS(Movimientos!$C:$C,Movimientos!$A:$A,$B11,Movimientos!$D:$D,CONCATENATE("&lt;",LS$3),Movimientos!$C:$C,"&lt;0")</f>
        <v>0</v>
      </c>
      <c r="LT11" s="5">
        <f ca="1">SUMIFS(Movimientos!$C:$C,Movimientos!$A:$A,$B11,Movimientos!$D:$D,CONCATENATE("&lt;=",LT$3),Movimientos!$C:$C,"&gt;0")+SUMIFS(Movimientos!$C:$C,Movimientos!$A:$A,$B11,Movimientos!$D:$D,CONCATENATE("&lt;",LT$3),Movimientos!$C:$C,"&lt;0")</f>
        <v>0</v>
      </c>
      <c r="LU11" s="5">
        <f ca="1">SUMIFS(Movimientos!$C:$C,Movimientos!$A:$A,$B11,Movimientos!$D:$D,CONCATENATE("&lt;=",LU$3),Movimientos!$C:$C,"&gt;0")+SUMIFS(Movimientos!$C:$C,Movimientos!$A:$A,$B11,Movimientos!$D:$D,CONCATENATE("&lt;",LU$3),Movimientos!$C:$C,"&lt;0")</f>
        <v>0</v>
      </c>
      <c r="LV11" s="5">
        <f ca="1">SUMIFS(Movimientos!$C:$C,Movimientos!$A:$A,$B11,Movimientos!$D:$D,CONCATENATE("&lt;=",LV$3),Movimientos!$C:$C,"&gt;0")+SUMIFS(Movimientos!$C:$C,Movimientos!$A:$A,$B11,Movimientos!$D:$D,CONCATENATE("&lt;",LV$3),Movimientos!$C:$C,"&lt;0")</f>
        <v>0</v>
      </c>
      <c r="LW11" s="5">
        <f ca="1">SUMIFS(Movimientos!$C:$C,Movimientos!$A:$A,$B11,Movimientos!$D:$D,CONCATENATE("&lt;=",LW$3),Movimientos!$C:$C,"&gt;0")+SUMIFS(Movimientos!$C:$C,Movimientos!$A:$A,$B11,Movimientos!$D:$D,CONCATENATE("&lt;",LW$3),Movimientos!$C:$C,"&lt;0")</f>
        <v>0</v>
      </c>
      <c r="LX11" s="5">
        <f ca="1">SUMIFS(Movimientos!$C:$C,Movimientos!$A:$A,$B11,Movimientos!$D:$D,CONCATENATE("&lt;=",LX$3),Movimientos!$C:$C,"&gt;0")+SUMIFS(Movimientos!$C:$C,Movimientos!$A:$A,$B11,Movimientos!$D:$D,CONCATENATE("&lt;",LX$3),Movimientos!$C:$C,"&lt;0")</f>
        <v>0</v>
      </c>
      <c r="LY11" s="5">
        <f ca="1">SUMIFS(Movimientos!$C:$C,Movimientos!$A:$A,$B11,Movimientos!$D:$D,CONCATENATE("&lt;=",LY$3),Movimientos!$C:$C,"&gt;0")+SUMIFS(Movimientos!$C:$C,Movimientos!$A:$A,$B11,Movimientos!$D:$D,CONCATENATE("&lt;",LY$3),Movimientos!$C:$C,"&lt;0")</f>
        <v>0</v>
      </c>
      <c r="LZ11" s="5">
        <f ca="1">SUMIFS(Movimientos!$C:$C,Movimientos!$A:$A,$B11,Movimientos!$D:$D,CONCATENATE("&lt;=",LZ$3),Movimientos!$C:$C,"&gt;0")+SUMIFS(Movimientos!$C:$C,Movimientos!$A:$A,$B11,Movimientos!$D:$D,CONCATENATE("&lt;",LZ$3),Movimientos!$C:$C,"&lt;0")</f>
        <v>0</v>
      </c>
      <c r="MA11" s="5">
        <f ca="1">SUMIFS(Movimientos!$C:$C,Movimientos!$A:$A,$B11,Movimientos!$D:$D,CONCATENATE("&lt;=",MA$3),Movimientos!$C:$C,"&gt;0")+SUMIFS(Movimientos!$C:$C,Movimientos!$A:$A,$B11,Movimientos!$D:$D,CONCATENATE("&lt;",MA$3),Movimientos!$C:$C,"&lt;0")</f>
        <v>0</v>
      </c>
      <c r="MB11" s="5">
        <f ca="1">SUMIFS(Movimientos!$C:$C,Movimientos!$A:$A,$B11,Movimientos!$D:$D,CONCATENATE("&lt;=",MB$3),Movimientos!$C:$C,"&gt;0")+SUMIFS(Movimientos!$C:$C,Movimientos!$A:$A,$B11,Movimientos!$D:$D,CONCATENATE("&lt;",MB$3),Movimientos!$C:$C,"&lt;0")</f>
        <v>0</v>
      </c>
      <c r="MC11" s="5">
        <f ca="1">SUMIFS(Movimientos!$C:$C,Movimientos!$A:$A,$B11,Movimientos!$D:$D,CONCATENATE("&lt;=",MC$3),Movimientos!$C:$C,"&gt;0")+SUMIFS(Movimientos!$C:$C,Movimientos!$A:$A,$B11,Movimientos!$D:$D,CONCATENATE("&lt;",MC$3),Movimientos!$C:$C,"&lt;0")</f>
        <v>0</v>
      </c>
      <c r="MD11" s="5">
        <f ca="1">SUMIFS(Movimientos!$C:$C,Movimientos!$A:$A,$B11,Movimientos!$D:$D,CONCATENATE("&lt;=",MD$3),Movimientos!$C:$C,"&gt;0")+SUMIFS(Movimientos!$C:$C,Movimientos!$A:$A,$B11,Movimientos!$D:$D,CONCATENATE("&lt;",MD$3),Movimientos!$C:$C,"&lt;0")</f>
        <v>0</v>
      </c>
      <c r="ME11" s="5">
        <f ca="1">SUMIFS(Movimientos!$C:$C,Movimientos!$A:$A,$B11,Movimientos!$D:$D,CONCATENATE("&lt;=",ME$3),Movimientos!$C:$C,"&gt;0")+SUMIFS(Movimientos!$C:$C,Movimientos!$A:$A,$B11,Movimientos!$D:$D,CONCATENATE("&lt;",ME$3),Movimientos!$C:$C,"&lt;0")</f>
        <v>0</v>
      </c>
      <c r="MF11" s="5">
        <f ca="1">SUMIFS(Movimientos!$C:$C,Movimientos!$A:$A,$B11,Movimientos!$D:$D,CONCATENATE("&lt;=",MF$3),Movimientos!$C:$C,"&gt;0")+SUMIFS(Movimientos!$C:$C,Movimientos!$A:$A,$B11,Movimientos!$D:$D,CONCATENATE("&lt;",MF$3),Movimientos!$C:$C,"&lt;0")</f>
        <v>0</v>
      </c>
      <c r="MG11" s="5">
        <f ca="1">SUMIFS(Movimientos!$C:$C,Movimientos!$A:$A,$B11,Movimientos!$D:$D,CONCATENATE("&lt;=",MG$3),Movimientos!$C:$C,"&gt;0")+SUMIFS(Movimientos!$C:$C,Movimientos!$A:$A,$B11,Movimientos!$D:$D,CONCATENATE("&lt;",MG$3),Movimientos!$C:$C,"&lt;0")</f>
        <v>0</v>
      </c>
      <c r="MH11" s="5">
        <f ca="1">SUMIFS(Movimientos!$C:$C,Movimientos!$A:$A,$B11,Movimientos!$D:$D,CONCATENATE("&lt;=",MH$3),Movimientos!$C:$C,"&gt;0")+SUMIFS(Movimientos!$C:$C,Movimientos!$A:$A,$B11,Movimientos!$D:$D,CONCATENATE("&lt;",MH$3),Movimientos!$C:$C,"&lt;0")</f>
        <v>0</v>
      </c>
      <c r="MI11" s="5">
        <f ca="1">SUMIFS(Movimientos!$C:$C,Movimientos!$A:$A,$B11,Movimientos!$D:$D,CONCATENATE("&lt;=",MI$3),Movimientos!$C:$C,"&gt;0")+SUMIFS(Movimientos!$C:$C,Movimientos!$A:$A,$B11,Movimientos!$D:$D,CONCATENATE("&lt;",MI$3),Movimientos!$C:$C,"&lt;0")</f>
        <v>0</v>
      </c>
      <c r="MJ11" s="5">
        <f ca="1">SUMIFS(Movimientos!$C:$C,Movimientos!$A:$A,$B11,Movimientos!$D:$D,CONCATENATE("&lt;=",MJ$3),Movimientos!$C:$C,"&gt;0")+SUMIFS(Movimientos!$C:$C,Movimientos!$A:$A,$B11,Movimientos!$D:$D,CONCATENATE("&lt;",MJ$3),Movimientos!$C:$C,"&lt;0")</f>
        <v>0</v>
      </c>
      <c r="MK11" s="5">
        <f ca="1">SUMIFS(Movimientos!$C:$C,Movimientos!$A:$A,$B11,Movimientos!$D:$D,CONCATENATE("&lt;=",MK$3),Movimientos!$C:$C,"&gt;0")+SUMIFS(Movimientos!$C:$C,Movimientos!$A:$A,$B11,Movimientos!$D:$D,CONCATENATE("&lt;",MK$3),Movimientos!$C:$C,"&lt;0")</f>
        <v>0</v>
      </c>
      <c r="ML11" s="5">
        <f ca="1">SUMIFS(Movimientos!$C:$C,Movimientos!$A:$A,$B11,Movimientos!$D:$D,CONCATENATE("&lt;=",ML$3),Movimientos!$C:$C,"&gt;0")+SUMIFS(Movimientos!$C:$C,Movimientos!$A:$A,$B11,Movimientos!$D:$D,CONCATENATE("&lt;",ML$3),Movimientos!$C:$C,"&lt;0")</f>
        <v>0</v>
      </c>
      <c r="MM11" s="5">
        <f ca="1">SUMIFS(Movimientos!$C:$C,Movimientos!$A:$A,$B11,Movimientos!$D:$D,CONCATENATE("&lt;=",MM$3),Movimientos!$C:$C,"&gt;0")+SUMIFS(Movimientos!$C:$C,Movimientos!$A:$A,$B11,Movimientos!$D:$D,CONCATENATE("&lt;",MM$3),Movimientos!$C:$C,"&lt;0")</f>
        <v>0</v>
      </c>
      <c r="MN11" s="5">
        <f ca="1">SUMIFS(Movimientos!$C:$C,Movimientos!$A:$A,$B11,Movimientos!$D:$D,CONCATENATE("&lt;=",MN$3),Movimientos!$C:$C,"&gt;0")+SUMIFS(Movimientos!$C:$C,Movimientos!$A:$A,$B11,Movimientos!$D:$D,CONCATENATE("&lt;",MN$3),Movimientos!$C:$C,"&lt;0")</f>
        <v>0</v>
      </c>
      <c r="MO11" s="5">
        <f ca="1">SUMIFS(Movimientos!$C:$C,Movimientos!$A:$A,$B11,Movimientos!$D:$D,CONCATENATE("&lt;=",MO$3),Movimientos!$C:$C,"&gt;0")+SUMIFS(Movimientos!$C:$C,Movimientos!$A:$A,$B11,Movimientos!$D:$D,CONCATENATE("&lt;",MO$3),Movimientos!$C:$C,"&lt;0")</f>
        <v>0</v>
      </c>
      <c r="MP11" s="5">
        <f ca="1">SUMIFS(Movimientos!$C:$C,Movimientos!$A:$A,$B11,Movimientos!$D:$D,CONCATENATE("&lt;=",MP$3),Movimientos!$C:$C,"&gt;0")+SUMIFS(Movimientos!$C:$C,Movimientos!$A:$A,$B11,Movimientos!$D:$D,CONCATENATE("&lt;",MP$3),Movimientos!$C:$C,"&lt;0")</f>
        <v>0</v>
      </c>
      <c r="MQ11" s="5">
        <f ca="1">SUMIFS(Movimientos!$C:$C,Movimientos!$A:$A,$B11,Movimientos!$D:$D,CONCATENATE("&lt;=",MQ$3),Movimientos!$C:$C,"&gt;0")+SUMIFS(Movimientos!$C:$C,Movimientos!$A:$A,$B11,Movimientos!$D:$D,CONCATENATE("&lt;",MQ$3),Movimientos!$C:$C,"&lt;0")</f>
        <v>0</v>
      </c>
      <c r="MR11" s="5">
        <f ca="1">SUMIFS(Movimientos!$C:$C,Movimientos!$A:$A,$B11,Movimientos!$D:$D,CONCATENATE("&lt;=",MR$3),Movimientos!$C:$C,"&gt;0")+SUMIFS(Movimientos!$C:$C,Movimientos!$A:$A,$B11,Movimientos!$D:$D,CONCATENATE("&lt;",MR$3),Movimientos!$C:$C,"&lt;0")</f>
        <v>0</v>
      </c>
      <c r="MS11" s="5">
        <f ca="1">SUMIFS(Movimientos!$C:$C,Movimientos!$A:$A,$B11,Movimientos!$D:$D,CONCATENATE("&lt;=",MS$3),Movimientos!$C:$C,"&gt;0")+SUMIFS(Movimientos!$C:$C,Movimientos!$A:$A,$B11,Movimientos!$D:$D,CONCATENATE("&lt;",MS$3),Movimientos!$C:$C,"&lt;0")</f>
        <v>0</v>
      </c>
      <c r="MT11" s="5">
        <f ca="1">SUMIFS(Movimientos!$C:$C,Movimientos!$A:$A,$B11,Movimientos!$D:$D,CONCATENATE("&lt;=",MT$3),Movimientos!$C:$C,"&gt;0")+SUMIFS(Movimientos!$C:$C,Movimientos!$A:$A,$B11,Movimientos!$D:$D,CONCATENATE("&lt;",MT$3),Movimientos!$C:$C,"&lt;0")</f>
        <v>0</v>
      </c>
      <c r="MU11" s="5">
        <f ca="1">SUMIFS(Movimientos!$C:$C,Movimientos!$A:$A,$B11,Movimientos!$D:$D,CONCATENATE("&lt;=",MU$3),Movimientos!$C:$C,"&gt;0")+SUMIFS(Movimientos!$C:$C,Movimientos!$A:$A,$B11,Movimientos!$D:$D,CONCATENATE("&lt;",MU$3),Movimientos!$C:$C,"&lt;0")</f>
        <v>0</v>
      </c>
      <c r="MV11" s="5">
        <f ca="1">SUMIFS(Movimientos!$C:$C,Movimientos!$A:$A,$B11,Movimientos!$D:$D,CONCATENATE("&lt;=",MV$3),Movimientos!$C:$C,"&gt;0")+SUMIFS(Movimientos!$C:$C,Movimientos!$A:$A,$B11,Movimientos!$D:$D,CONCATENATE("&lt;",MV$3),Movimientos!$C:$C,"&lt;0")</f>
        <v>0</v>
      </c>
      <c r="MW11" s="5">
        <f ca="1">SUMIFS(Movimientos!$C:$C,Movimientos!$A:$A,$B11,Movimientos!$D:$D,CONCATENATE("&lt;=",MW$3),Movimientos!$C:$C,"&gt;0")+SUMIFS(Movimientos!$C:$C,Movimientos!$A:$A,$B11,Movimientos!$D:$D,CONCATENATE("&lt;",MW$3),Movimientos!$C:$C,"&lt;0")</f>
        <v>0</v>
      </c>
      <c r="MX11" s="5">
        <f ca="1">SUMIFS(Movimientos!$C:$C,Movimientos!$A:$A,$B11,Movimientos!$D:$D,CONCATENATE("&lt;=",MX$3),Movimientos!$C:$C,"&gt;0")+SUMIFS(Movimientos!$C:$C,Movimientos!$A:$A,$B11,Movimientos!$D:$D,CONCATENATE("&lt;",MX$3),Movimientos!$C:$C,"&lt;0")</f>
        <v>0</v>
      </c>
      <c r="MY11" s="5">
        <f ca="1">SUMIFS(Movimientos!$C:$C,Movimientos!$A:$A,$B11,Movimientos!$D:$D,CONCATENATE("&lt;=",MY$3),Movimientos!$C:$C,"&gt;0")+SUMIFS(Movimientos!$C:$C,Movimientos!$A:$A,$B11,Movimientos!$D:$D,CONCATENATE("&lt;",MY$3),Movimientos!$C:$C,"&lt;0")</f>
        <v>0</v>
      </c>
      <c r="MZ11" s="5">
        <f ca="1">SUMIFS(Movimientos!$C:$C,Movimientos!$A:$A,$B11,Movimientos!$D:$D,CONCATENATE("&lt;=",MZ$3),Movimientos!$C:$C,"&gt;0")+SUMIFS(Movimientos!$C:$C,Movimientos!$A:$A,$B11,Movimientos!$D:$D,CONCATENATE("&lt;",MZ$3),Movimientos!$C:$C,"&lt;0")</f>
        <v>0</v>
      </c>
      <c r="NA11" s="5">
        <f ca="1">SUMIFS(Movimientos!$C:$C,Movimientos!$A:$A,$B11,Movimientos!$D:$D,CONCATENATE("&lt;=",NA$3),Movimientos!$C:$C,"&gt;0")+SUMIFS(Movimientos!$C:$C,Movimientos!$A:$A,$B11,Movimientos!$D:$D,CONCATENATE("&lt;",NA$3),Movimientos!$C:$C,"&lt;0")</f>
        <v>0</v>
      </c>
      <c r="NB11" s="5">
        <f ca="1">SUMIFS(Movimientos!$C:$C,Movimientos!$A:$A,$B11,Movimientos!$D:$D,CONCATENATE("&lt;=",NB$3),Movimientos!$C:$C,"&gt;0")+SUMIFS(Movimientos!$C:$C,Movimientos!$A:$A,$B11,Movimientos!$D:$D,CONCATENATE("&lt;",NB$3),Movimientos!$C:$C,"&lt;0")</f>
        <v>0</v>
      </c>
      <c r="NC11" s="5">
        <f ca="1">SUMIFS(Movimientos!$C:$C,Movimientos!$A:$A,$B11,Movimientos!$D:$D,CONCATENATE("&lt;=",NC$3),Movimientos!$C:$C,"&gt;0")+SUMIFS(Movimientos!$C:$C,Movimientos!$A:$A,$B11,Movimientos!$D:$D,CONCATENATE("&lt;",NC$3),Movimientos!$C:$C,"&lt;0")</f>
        <v>0</v>
      </c>
      <c r="ND11" s="5">
        <f ca="1">SUMIFS(Movimientos!$C:$C,Movimientos!$A:$A,$B11,Movimientos!$D:$D,CONCATENATE("&lt;=",ND$3),Movimientos!$C:$C,"&gt;0")+SUMIFS(Movimientos!$C:$C,Movimientos!$A:$A,$B11,Movimientos!$D:$D,CONCATENATE("&lt;",ND$3),Movimientos!$C:$C,"&lt;0")</f>
        <v>0</v>
      </c>
      <c r="NE11" s="5">
        <f ca="1">SUMIFS(Movimientos!$C:$C,Movimientos!$A:$A,$B11,Movimientos!$D:$D,CONCATENATE("&lt;=",NE$3),Movimientos!$C:$C,"&gt;0")+SUMIFS(Movimientos!$C:$C,Movimientos!$A:$A,$B11,Movimientos!$D:$D,CONCATENATE("&lt;",NE$3),Movimientos!$C:$C,"&lt;0")</f>
        <v>0</v>
      </c>
      <c r="NF11" s="5">
        <f ca="1">SUMIFS(Movimientos!$C:$C,Movimientos!$A:$A,$B11,Movimientos!$D:$D,CONCATENATE("&lt;=",NF$3),Movimientos!$C:$C,"&gt;0")+SUMIFS(Movimientos!$C:$C,Movimientos!$A:$A,$B11,Movimientos!$D:$D,CONCATENATE("&lt;",NF$3),Movimientos!$C:$C,"&lt;0")</f>
        <v>0</v>
      </c>
      <c r="NG11" s="5">
        <f ca="1">SUMIFS(Movimientos!$C:$C,Movimientos!$A:$A,$B11,Movimientos!$D:$D,CONCATENATE("&lt;=",NG$3),Movimientos!$C:$C,"&gt;0")+SUMIFS(Movimientos!$C:$C,Movimientos!$A:$A,$B11,Movimientos!$D:$D,CONCATENATE("&lt;",NG$3),Movimientos!$C:$C,"&lt;0")</f>
        <v>0</v>
      </c>
      <c r="NH11" s="5">
        <f ca="1">SUMIFS(Movimientos!$C:$C,Movimientos!$A:$A,$B11,Movimientos!$D:$D,CONCATENATE("&lt;=",NH$3),Movimientos!$C:$C,"&gt;0")+SUMIFS(Movimientos!$C:$C,Movimientos!$A:$A,$B11,Movimientos!$D:$D,CONCATENATE("&lt;",NH$3),Movimientos!$C:$C,"&lt;0")</f>
        <v>0</v>
      </c>
      <c r="NI11" s="5">
        <f ca="1">SUMIFS(Movimientos!$C:$C,Movimientos!$A:$A,$B11,Movimientos!$D:$D,CONCATENATE("&lt;=",NI$3),Movimientos!$C:$C,"&gt;0")+SUMIFS(Movimientos!$C:$C,Movimientos!$A:$A,$B11,Movimientos!$D:$D,CONCATENATE("&lt;",NI$3),Movimientos!$C:$C,"&lt;0")</f>
        <v>0</v>
      </c>
      <c r="NJ11" s="5">
        <f ca="1">SUMIFS(Movimientos!$C:$C,Movimientos!$A:$A,$B11,Movimientos!$D:$D,CONCATENATE("&lt;=",NJ$3),Movimientos!$C:$C,"&gt;0")+SUMIFS(Movimientos!$C:$C,Movimientos!$A:$A,$B11,Movimientos!$D:$D,CONCATENATE("&lt;",NJ$3),Movimientos!$C:$C,"&lt;0")</f>
        <v>0</v>
      </c>
      <c r="NK11" s="5">
        <f ca="1">SUMIFS(Movimientos!$C:$C,Movimientos!$A:$A,$B11,Movimientos!$D:$D,CONCATENATE("&lt;=",NK$3),Movimientos!$C:$C,"&gt;0")+SUMIFS(Movimientos!$C:$C,Movimientos!$A:$A,$B11,Movimientos!$D:$D,CONCATENATE("&lt;",NK$3),Movimientos!$C:$C,"&lt;0")</f>
        <v>0</v>
      </c>
      <c r="NL11" s="5">
        <f ca="1">SUMIFS(Movimientos!$C:$C,Movimientos!$A:$A,$B11,Movimientos!$D:$D,CONCATENATE("&lt;=",NL$3),Movimientos!$C:$C,"&gt;0")+SUMIFS(Movimientos!$C:$C,Movimientos!$A:$A,$B11,Movimientos!$D:$D,CONCATENATE("&lt;",NL$3),Movimientos!$C:$C,"&lt;0")</f>
        <v>0</v>
      </c>
      <c r="NM11" s="5">
        <f ca="1">SUMIFS(Movimientos!$C:$C,Movimientos!$A:$A,$B11,Movimientos!$D:$D,CONCATENATE("&lt;=",NM$3),Movimientos!$C:$C,"&gt;0")+SUMIFS(Movimientos!$C:$C,Movimientos!$A:$A,$B11,Movimientos!$D:$D,CONCATENATE("&lt;",NM$3),Movimientos!$C:$C,"&lt;0")</f>
        <v>0</v>
      </c>
      <c r="NN11" s="5">
        <f ca="1">SUMIFS(Movimientos!$C:$C,Movimientos!$A:$A,$B11,Movimientos!$D:$D,CONCATENATE("&lt;=",NN$3),Movimientos!$C:$C,"&gt;0")+SUMIFS(Movimientos!$C:$C,Movimientos!$A:$A,$B11,Movimientos!$D:$D,CONCATENATE("&lt;",NN$3),Movimientos!$C:$C,"&lt;0")</f>
        <v>0</v>
      </c>
      <c r="NO11" s="5">
        <f ca="1">SUMIFS(Movimientos!$C:$C,Movimientos!$A:$A,$B11,Movimientos!$D:$D,CONCATENATE("&lt;=",NO$3),Movimientos!$C:$C,"&gt;0")+SUMIFS(Movimientos!$C:$C,Movimientos!$A:$A,$B11,Movimientos!$D:$D,CONCATENATE("&lt;",NO$3),Movimientos!$C:$C,"&lt;0")</f>
        <v>0</v>
      </c>
      <c r="NP11" s="5">
        <f ca="1">SUMIFS(Movimientos!$C:$C,Movimientos!$A:$A,$B11,Movimientos!$D:$D,CONCATENATE("&lt;=",NP$3),Movimientos!$C:$C,"&gt;0")+SUMIFS(Movimientos!$C:$C,Movimientos!$A:$A,$B11,Movimientos!$D:$D,CONCATENATE("&lt;",NP$3),Movimientos!$C:$C,"&lt;0")</f>
        <v>0</v>
      </c>
      <c r="NQ11" s="5">
        <f ca="1">SUMIFS(Movimientos!$C:$C,Movimientos!$A:$A,$B11,Movimientos!$D:$D,CONCATENATE("&lt;=",NQ$3),Movimientos!$C:$C,"&gt;0")+SUMIFS(Movimientos!$C:$C,Movimientos!$A:$A,$B11,Movimientos!$D:$D,CONCATENATE("&lt;",NQ$3),Movimientos!$C:$C,"&lt;0")</f>
        <v>0</v>
      </c>
      <c r="NR11" s="5">
        <f ca="1">SUMIFS(Movimientos!$C:$C,Movimientos!$A:$A,$B11,Movimientos!$D:$D,CONCATENATE("&lt;=",NR$3),Movimientos!$C:$C,"&gt;0")+SUMIFS(Movimientos!$C:$C,Movimientos!$A:$A,$B11,Movimientos!$D:$D,CONCATENATE("&lt;",NR$3),Movimientos!$C:$C,"&lt;0")</f>
        <v>0</v>
      </c>
      <c r="NS11" s="5">
        <f ca="1">SUMIFS(Movimientos!$C:$C,Movimientos!$A:$A,$B11,Movimientos!$D:$D,CONCATENATE("&lt;=",NS$3),Movimientos!$C:$C,"&gt;0")+SUMIFS(Movimientos!$C:$C,Movimientos!$A:$A,$B11,Movimientos!$D:$D,CONCATENATE("&lt;",NS$3),Movimientos!$C:$C,"&lt;0")</f>
        <v>0</v>
      </c>
      <c r="NT11" s="5">
        <f ca="1">SUMIFS(Movimientos!$C:$C,Movimientos!$A:$A,$B11,Movimientos!$D:$D,CONCATENATE("&lt;=",NT$3),Movimientos!$C:$C,"&gt;0")+SUMIFS(Movimientos!$C:$C,Movimientos!$A:$A,$B11,Movimientos!$D:$D,CONCATENATE("&lt;",NT$3),Movimientos!$C:$C,"&lt;0")</f>
        <v>0</v>
      </c>
      <c r="NU11" s="5">
        <f ca="1">SUMIFS(Movimientos!$C:$C,Movimientos!$A:$A,$B11,Movimientos!$D:$D,CONCATENATE("&lt;=",NU$3),Movimientos!$C:$C,"&gt;0")+SUMIFS(Movimientos!$C:$C,Movimientos!$A:$A,$B11,Movimientos!$D:$D,CONCATENATE("&lt;",NU$3),Movimientos!$C:$C,"&lt;0")</f>
        <v>0</v>
      </c>
      <c r="NV11" s="5">
        <f ca="1">SUMIFS(Movimientos!$C:$C,Movimientos!$A:$A,$B11,Movimientos!$D:$D,CONCATENATE("&lt;=",NV$3),Movimientos!$C:$C,"&gt;0")+SUMIFS(Movimientos!$C:$C,Movimientos!$A:$A,$B11,Movimientos!$D:$D,CONCATENATE("&lt;",NV$3),Movimientos!$C:$C,"&lt;0")</f>
        <v>0</v>
      </c>
      <c r="NW11" s="5">
        <f ca="1">SUMIFS(Movimientos!$C:$C,Movimientos!$A:$A,$B11,Movimientos!$D:$D,CONCATENATE("&lt;=",NW$3),Movimientos!$C:$C,"&gt;0")+SUMIFS(Movimientos!$C:$C,Movimientos!$A:$A,$B11,Movimientos!$D:$D,CONCATENATE("&lt;",NW$3),Movimientos!$C:$C,"&lt;0")</f>
        <v>0</v>
      </c>
      <c r="NX11" s="5">
        <f ca="1">SUMIFS(Movimientos!$C:$C,Movimientos!$A:$A,$B11,Movimientos!$D:$D,CONCATENATE("&lt;=",NX$3),Movimientos!$C:$C,"&gt;0")+SUMIFS(Movimientos!$C:$C,Movimientos!$A:$A,$B11,Movimientos!$D:$D,CONCATENATE("&lt;",NX$3),Movimientos!$C:$C,"&lt;0")</f>
        <v>0</v>
      </c>
      <c r="NY11" s="5">
        <f ca="1">SUMIFS(Movimientos!$C:$C,Movimientos!$A:$A,$B11,Movimientos!$D:$D,CONCATENATE("&lt;=",NY$3),Movimientos!$C:$C,"&gt;0")+SUMIFS(Movimientos!$C:$C,Movimientos!$A:$A,$B11,Movimientos!$D:$D,CONCATENATE("&lt;",NY$3),Movimientos!$C:$C,"&lt;0")</f>
        <v>0</v>
      </c>
      <c r="NZ11" s="5">
        <f ca="1">SUMIFS(Movimientos!$C:$C,Movimientos!$A:$A,$B11,Movimientos!$D:$D,CONCATENATE("&lt;=",NZ$3),Movimientos!$C:$C,"&gt;0")+SUMIFS(Movimientos!$C:$C,Movimientos!$A:$A,$B11,Movimientos!$D:$D,CONCATENATE("&lt;",NZ$3),Movimientos!$C:$C,"&lt;0")</f>
        <v>0</v>
      </c>
      <c r="OA11" s="5">
        <f ca="1">SUMIFS(Movimientos!$C:$C,Movimientos!$A:$A,$B11,Movimientos!$D:$D,CONCATENATE("&lt;=",OA$3),Movimientos!$C:$C,"&gt;0")+SUMIFS(Movimientos!$C:$C,Movimientos!$A:$A,$B11,Movimientos!$D:$D,CONCATENATE("&lt;",OA$3),Movimientos!$C:$C,"&lt;0")</f>
        <v>0</v>
      </c>
      <c r="OB11" s="5">
        <f ca="1">SUMIFS(Movimientos!$C:$C,Movimientos!$A:$A,$B11,Movimientos!$D:$D,CONCATENATE("&lt;=",OB$3),Movimientos!$C:$C,"&gt;0")+SUMIFS(Movimientos!$C:$C,Movimientos!$A:$A,$B11,Movimientos!$D:$D,CONCATENATE("&lt;",OB$3),Movimientos!$C:$C,"&lt;0")</f>
        <v>0</v>
      </c>
      <c r="OC11" s="5">
        <f ca="1">SUMIFS(Movimientos!$C:$C,Movimientos!$A:$A,$B11,Movimientos!$D:$D,CONCATENATE("&lt;=",OC$3),Movimientos!$C:$C,"&gt;0")+SUMIFS(Movimientos!$C:$C,Movimientos!$A:$A,$B11,Movimientos!$D:$D,CONCATENATE("&lt;",OC$3),Movimientos!$C:$C,"&lt;0")</f>
        <v>0</v>
      </c>
      <c r="OD11" s="5">
        <f ca="1">SUMIFS(Movimientos!$C:$C,Movimientos!$A:$A,$B11,Movimientos!$D:$D,CONCATENATE("&lt;=",OD$3),Movimientos!$C:$C,"&gt;0")+SUMIFS(Movimientos!$C:$C,Movimientos!$A:$A,$B11,Movimientos!$D:$D,CONCATENATE("&lt;",OD$3),Movimientos!$C:$C,"&lt;0")</f>
        <v>0</v>
      </c>
      <c r="OE11" s="5">
        <f ca="1">SUMIFS(Movimientos!$C:$C,Movimientos!$A:$A,$B11,Movimientos!$D:$D,CONCATENATE("&lt;=",OE$3),Movimientos!$C:$C,"&gt;0")+SUMIFS(Movimientos!$C:$C,Movimientos!$A:$A,$B11,Movimientos!$D:$D,CONCATENATE("&lt;",OE$3),Movimientos!$C:$C,"&lt;0")</f>
        <v>0</v>
      </c>
      <c r="OF11" s="5">
        <f ca="1">SUMIFS(Movimientos!$C:$C,Movimientos!$A:$A,$B11,Movimientos!$D:$D,CONCATENATE("&lt;=",OF$3),Movimientos!$C:$C,"&gt;0")+SUMIFS(Movimientos!$C:$C,Movimientos!$A:$A,$B11,Movimientos!$D:$D,CONCATENATE("&lt;",OF$3),Movimientos!$C:$C,"&lt;0")</f>
        <v>0</v>
      </c>
      <c r="OG11" s="5">
        <f ca="1">SUMIFS(Movimientos!$C:$C,Movimientos!$A:$A,$B11,Movimientos!$D:$D,CONCATENATE("&lt;=",OG$3),Movimientos!$C:$C,"&gt;0")+SUMIFS(Movimientos!$C:$C,Movimientos!$A:$A,$B11,Movimientos!$D:$D,CONCATENATE("&lt;",OG$3),Movimientos!$C:$C,"&lt;0")</f>
        <v>0</v>
      </c>
      <c r="OH11" s="5">
        <f ca="1">SUMIFS(Movimientos!$C:$C,Movimientos!$A:$A,$B11,Movimientos!$D:$D,CONCATENATE("&lt;=",OH$3),Movimientos!$C:$C,"&gt;0")+SUMIFS(Movimientos!$C:$C,Movimientos!$A:$A,$B11,Movimientos!$D:$D,CONCATENATE("&lt;",OH$3),Movimientos!$C:$C,"&lt;0")</f>
        <v>0</v>
      </c>
      <c r="OI11" s="5">
        <f ca="1">SUMIFS(Movimientos!$C:$C,Movimientos!$A:$A,$B11,Movimientos!$D:$D,CONCATENATE("&lt;=",OI$3),Movimientos!$C:$C,"&gt;0")+SUMIFS(Movimientos!$C:$C,Movimientos!$A:$A,$B11,Movimientos!$D:$D,CONCATENATE("&lt;",OI$3),Movimientos!$C:$C,"&lt;0")</f>
        <v>0</v>
      </c>
      <c r="OJ11" s="5">
        <f ca="1">SUMIFS(Movimientos!$C:$C,Movimientos!$A:$A,$B11,Movimientos!$D:$D,CONCATENATE("&lt;=",OJ$3),Movimientos!$C:$C,"&gt;0")+SUMIFS(Movimientos!$C:$C,Movimientos!$A:$A,$B11,Movimientos!$D:$D,CONCATENATE("&lt;",OJ$3),Movimientos!$C:$C,"&lt;0")</f>
        <v>0</v>
      </c>
      <c r="OK11" s="5">
        <f ca="1">SUMIFS(Movimientos!$C:$C,Movimientos!$A:$A,$B11,Movimientos!$D:$D,CONCATENATE("&lt;=",OK$3),Movimientos!$C:$C,"&gt;0")+SUMIFS(Movimientos!$C:$C,Movimientos!$A:$A,$B11,Movimientos!$D:$D,CONCATENATE("&lt;",OK$3),Movimientos!$C:$C,"&lt;0")</f>
        <v>0</v>
      </c>
      <c r="OL11" s="5">
        <f ca="1">SUMIFS(Movimientos!$C:$C,Movimientos!$A:$A,$B11,Movimientos!$D:$D,CONCATENATE("&lt;=",OL$3),Movimientos!$C:$C,"&gt;0")+SUMIFS(Movimientos!$C:$C,Movimientos!$A:$A,$B11,Movimientos!$D:$D,CONCATENATE("&lt;",OL$3),Movimientos!$C:$C,"&lt;0")</f>
        <v>0</v>
      </c>
      <c r="OM11" s="5">
        <f ca="1">SUMIFS(Movimientos!$C:$C,Movimientos!$A:$A,$B11,Movimientos!$D:$D,CONCATENATE("&lt;=",OM$3),Movimientos!$C:$C,"&gt;0")+SUMIFS(Movimientos!$C:$C,Movimientos!$A:$A,$B11,Movimientos!$D:$D,CONCATENATE("&lt;",OM$3),Movimientos!$C:$C,"&lt;0")</f>
        <v>0</v>
      </c>
      <c r="ON11" s="5">
        <f ca="1">SUMIFS(Movimientos!$C:$C,Movimientos!$A:$A,$B11,Movimientos!$D:$D,CONCATENATE("&lt;=",ON$3),Movimientos!$C:$C,"&gt;0")+SUMIFS(Movimientos!$C:$C,Movimientos!$A:$A,$B11,Movimientos!$D:$D,CONCATENATE("&lt;",ON$3),Movimientos!$C:$C,"&lt;0")</f>
        <v>0</v>
      </c>
      <c r="OO11" s="5">
        <f ca="1">SUMIFS(Movimientos!$C:$C,Movimientos!$A:$A,$B11,Movimientos!$D:$D,CONCATENATE("&lt;=",OO$3),Movimientos!$C:$C,"&gt;0")+SUMIFS(Movimientos!$C:$C,Movimientos!$A:$A,$B11,Movimientos!$D:$D,CONCATENATE("&lt;",OO$3),Movimientos!$C:$C,"&lt;0")</f>
        <v>0</v>
      </c>
      <c r="OP11" s="5">
        <f ca="1">SUMIFS(Movimientos!$C:$C,Movimientos!$A:$A,$B11,Movimientos!$D:$D,CONCATENATE("&lt;=",OP$3),Movimientos!$C:$C,"&gt;0")+SUMIFS(Movimientos!$C:$C,Movimientos!$A:$A,$B11,Movimientos!$D:$D,CONCATENATE("&lt;",OP$3),Movimientos!$C:$C,"&lt;0")</f>
        <v>0</v>
      </c>
      <c r="OQ11" s="5">
        <f ca="1">SUMIFS(Movimientos!$C:$C,Movimientos!$A:$A,$B11,Movimientos!$D:$D,CONCATENATE("&lt;=",OQ$3),Movimientos!$C:$C,"&gt;0")+SUMIFS(Movimientos!$C:$C,Movimientos!$A:$A,$B11,Movimientos!$D:$D,CONCATENATE("&lt;",OQ$3),Movimientos!$C:$C,"&lt;0")</f>
        <v>0</v>
      </c>
      <c r="OR11" s="5">
        <f ca="1">SUMIFS(Movimientos!$C:$C,Movimientos!$A:$A,$B11,Movimientos!$D:$D,CONCATENATE("&lt;=",OR$3),Movimientos!$C:$C,"&gt;0")+SUMIFS(Movimientos!$C:$C,Movimientos!$A:$A,$B11,Movimientos!$D:$D,CONCATENATE("&lt;",OR$3),Movimientos!$C:$C,"&lt;0")</f>
        <v>0</v>
      </c>
      <c r="OS11" s="5">
        <f ca="1">SUMIFS(Movimientos!$C:$C,Movimientos!$A:$A,$B11,Movimientos!$D:$D,CONCATENATE("&lt;=",OS$3),Movimientos!$C:$C,"&gt;0")+SUMIFS(Movimientos!$C:$C,Movimientos!$A:$A,$B11,Movimientos!$D:$D,CONCATENATE("&lt;",OS$3),Movimientos!$C:$C,"&lt;0")</f>
        <v>0</v>
      </c>
      <c r="OT11" s="5">
        <f ca="1">SUMIFS(Movimientos!$C:$C,Movimientos!$A:$A,$B11,Movimientos!$D:$D,CONCATENATE("&lt;=",OT$3),Movimientos!$C:$C,"&gt;0")+SUMIFS(Movimientos!$C:$C,Movimientos!$A:$A,$B11,Movimientos!$D:$D,CONCATENATE("&lt;",OT$3),Movimientos!$C:$C,"&lt;0")</f>
        <v>0</v>
      </c>
      <c r="OU11" s="5">
        <f ca="1">SUMIFS(Movimientos!$C:$C,Movimientos!$A:$A,$B11,Movimientos!$D:$D,CONCATENATE("&lt;=",OU$3),Movimientos!$C:$C,"&gt;0")+SUMIFS(Movimientos!$C:$C,Movimientos!$A:$A,$B11,Movimientos!$D:$D,CONCATENATE("&lt;",OU$3),Movimientos!$C:$C,"&lt;0")</f>
        <v>0</v>
      </c>
      <c r="OV11" s="5">
        <f ca="1">SUMIFS(Movimientos!$C:$C,Movimientos!$A:$A,$B11,Movimientos!$D:$D,CONCATENATE("&lt;=",OV$3),Movimientos!$C:$C,"&gt;0")+SUMIFS(Movimientos!$C:$C,Movimientos!$A:$A,$B11,Movimientos!$D:$D,CONCATENATE("&lt;",OV$3),Movimientos!$C:$C,"&lt;0")</f>
        <v>0</v>
      </c>
      <c r="OW11" s="5">
        <f ca="1">SUMIFS(Movimientos!$C:$C,Movimientos!$A:$A,$B11,Movimientos!$D:$D,CONCATENATE("&lt;=",OW$3),Movimientos!$C:$C,"&gt;0")+SUMIFS(Movimientos!$C:$C,Movimientos!$A:$A,$B11,Movimientos!$D:$D,CONCATENATE("&lt;",OW$3),Movimientos!$C:$C,"&lt;0")</f>
        <v>0</v>
      </c>
      <c r="OX11" s="5">
        <f ca="1">SUMIFS(Movimientos!$C:$C,Movimientos!$A:$A,$B11,Movimientos!$D:$D,CONCATENATE("&lt;=",OX$3),Movimientos!$C:$C,"&gt;0")+SUMIFS(Movimientos!$C:$C,Movimientos!$A:$A,$B11,Movimientos!$D:$D,CONCATENATE("&lt;",OX$3),Movimientos!$C:$C,"&lt;0")</f>
        <v>0</v>
      </c>
      <c r="OY11" s="5">
        <f ca="1">SUMIFS(Movimientos!$C:$C,Movimientos!$A:$A,$B11,Movimientos!$D:$D,CONCATENATE("&lt;=",OY$3),Movimientos!$C:$C,"&gt;0")+SUMIFS(Movimientos!$C:$C,Movimientos!$A:$A,$B11,Movimientos!$D:$D,CONCATENATE("&lt;",OY$3),Movimientos!$C:$C,"&lt;0")</f>
        <v>0</v>
      </c>
      <c r="OZ11" s="5">
        <f ca="1">SUMIFS(Movimientos!$C:$C,Movimientos!$A:$A,$B11,Movimientos!$D:$D,CONCATENATE("&lt;=",OZ$3),Movimientos!$C:$C,"&gt;0")+SUMIFS(Movimientos!$C:$C,Movimientos!$A:$A,$B11,Movimientos!$D:$D,CONCATENATE("&lt;",OZ$3),Movimientos!$C:$C,"&lt;0")</f>
        <v>0</v>
      </c>
      <c r="PA11" s="5">
        <f ca="1">SUMIFS(Movimientos!$C:$C,Movimientos!$A:$A,$B11,Movimientos!$D:$D,CONCATENATE("&lt;=",PA$3),Movimientos!$C:$C,"&gt;0")+SUMIFS(Movimientos!$C:$C,Movimientos!$A:$A,$B11,Movimientos!$D:$D,CONCATENATE("&lt;",PA$3),Movimientos!$C:$C,"&lt;0")</f>
        <v>0</v>
      </c>
      <c r="PB11" s="5">
        <f ca="1">SUMIFS(Movimientos!$C:$C,Movimientos!$A:$A,$B11,Movimientos!$D:$D,CONCATENATE("&lt;=",PB$3),Movimientos!$C:$C,"&gt;0")+SUMIFS(Movimientos!$C:$C,Movimientos!$A:$A,$B11,Movimientos!$D:$D,CONCATENATE("&lt;",PB$3),Movimientos!$C:$C,"&lt;0")</f>
        <v>0</v>
      </c>
      <c r="PC11" s="5">
        <f ca="1">SUMIFS(Movimientos!$C:$C,Movimientos!$A:$A,$B11,Movimientos!$D:$D,CONCATENATE("&lt;=",PC$3),Movimientos!$C:$C,"&gt;0")+SUMIFS(Movimientos!$C:$C,Movimientos!$A:$A,$B11,Movimientos!$D:$D,CONCATENATE("&lt;",PC$3),Movimientos!$C:$C,"&lt;0")</f>
        <v>0</v>
      </c>
      <c r="PD11" s="5">
        <f ca="1">SUMIFS(Movimientos!$C:$C,Movimientos!$A:$A,$B11,Movimientos!$D:$D,CONCATENATE("&lt;=",PD$3),Movimientos!$C:$C,"&gt;0")+SUMIFS(Movimientos!$C:$C,Movimientos!$A:$A,$B11,Movimientos!$D:$D,CONCATENATE("&lt;",PD$3),Movimientos!$C:$C,"&lt;0")</f>
        <v>0</v>
      </c>
      <c r="PE11" s="5">
        <f ca="1">SUMIFS(Movimientos!$C:$C,Movimientos!$A:$A,$B11,Movimientos!$D:$D,CONCATENATE("&lt;=",PE$3),Movimientos!$C:$C,"&gt;0")+SUMIFS(Movimientos!$C:$C,Movimientos!$A:$A,$B11,Movimientos!$D:$D,CONCATENATE("&lt;",PE$3),Movimientos!$C:$C,"&lt;0")</f>
        <v>0</v>
      </c>
      <c r="PF11" s="5">
        <f ca="1">SUMIFS(Movimientos!$C:$C,Movimientos!$A:$A,$B11,Movimientos!$D:$D,CONCATENATE("&lt;=",PF$3),Movimientos!$C:$C,"&gt;0")+SUMIFS(Movimientos!$C:$C,Movimientos!$A:$A,$B11,Movimientos!$D:$D,CONCATENATE("&lt;",PF$3),Movimientos!$C:$C,"&lt;0")</f>
        <v>0</v>
      </c>
      <c r="PG11" s="5">
        <f ca="1">SUMIFS(Movimientos!$C:$C,Movimientos!$A:$A,$B11,Movimientos!$D:$D,CONCATENATE("&lt;=",PG$3),Movimientos!$C:$C,"&gt;0")+SUMIFS(Movimientos!$C:$C,Movimientos!$A:$A,$B11,Movimientos!$D:$D,CONCATENATE("&lt;",PG$3),Movimientos!$C:$C,"&lt;0")</f>
        <v>0</v>
      </c>
      <c r="PH11" s="5">
        <f ca="1">SUMIFS(Movimientos!$C:$C,Movimientos!$A:$A,$B11,Movimientos!$D:$D,CONCATENATE("&lt;=",PH$3),Movimientos!$C:$C,"&gt;0")+SUMIFS(Movimientos!$C:$C,Movimientos!$A:$A,$B11,Movimientos!$D:$D,CONCATENATE("&lt;",PH$3),Movimientos!$C:$C,"&lt;0")</f>
        <v>0</v>
      </c>
      <c r="PI11" s="5">
        <f ca="1">SUMIFS(Movimientos!$C:$C,Movimientos!$A:$A,$B11,Movimientos!$D:$D,CONCATENATE("&lt;=",PI$3),Movimientos!$C:$C,"&gt;0")+SUMIFS(Movimientos!$C:$C,Movimientos!$A:$A,$B11,Movimientos!$D:$D,CONCATENATE("&lt;",PI$3),Movimientos!$C:$C,"&lt;0")</f>
        <v>0</v>
      </c>
      <c r="PJ11" s="5">
        <f ca="1">SUMIFS(Movimientos!$C:$C,Movimientos!$A:$A,$B11,Movimientos!$D:$D,CONCATENATE("&lt;=",PJ$3),Movimientos!$C:$C,"&gt;0")+SUMIFS(Movimientos!$C:$C,Movimientos!$A:$A,$B11,Movimientos!$D:$D,CONCATENATE("&lt;",PJ$3),Movimientos!$C:$C,"&lt;0")</f>
        <v>0</v>
      </c>
      <c r="PK11" s="5">
        <f ca="1">SUMIFS(Movimientos!$C:$C,Movimientos!$A:$A,$B11,Movimientos!$D:$D,CONCATENATE("&lt;=",PK$3),Movimientos!$C:$C,"&gt;0")+SUMIFS(Movimientos!$C:$C,Movimientos!$A:$A,$B11,Movimientos!$D:$D,CONCATENATE("&lt;",PK$3),Movimientos!$C:$C,"&lt;0")</f>
        <v>0</v>
      </c>
      <c r="PL11" s="5">
        <f ca="1">SUMIFS(Movimientos!$C:$C,Movimientos!$A:$A,$B11,Movimientos!$D:$D,CONCATENATE("&lt;=",PL$3),Movimientos!$C:$C,"&gt;0")+SUMIFS(Movimientos!$C:$C,Movimientos!$A:$A,$B11,Movimientos!$D:$D,CONCATENATE("&lt;",PL$3),Movimientos!$C:$C,"&lt;0")</f>
        <v>0</v>
      </c>
      <c r="PM11" s="5">
        <f ca="1">SUMIFS(Movimientos!$C:$C,Movimientos!$A:$A,$B11,Movimientos!$D:$D,CONCATENATE("&lt;=",PM$3),Movimientos!$C:$C,"&gt;0")+SUMIFS(Movimientos!$C:$C,Movimientos!$A:$A,$B11,Movimientos!$D:$D,CONCATENATE("&lt;",PM$3),Movimientos!$C:$C,"&lt;0")</f>
        <v>0</v>
      </c>
      <c r="PN11" s="5">
        <f ca="1">SUMIFS(Movimientos!$C:$C,Movimientos!$A:$A,$B11,Movimientos!$D:$D,CONCATENATE("&lt;=",PN$3),Movimientos!$C:$C,"&gt;0")+SUMIFS(Movimientos!$C:$C,Movimientos!$A:$A,$B11,Movimientos!$D:$D,CONCATENATE("&lt;",PN$3),Movimientos!$C:$C,"&lt;0")</f>
        <v>0</v>
      </c>
      <c r="PO11" s="5">
        <f ca="1">SUMIFS(Movimientos!$C:$C,Movimientos!$A:$A,$B11,Movimientos!$D:$D,CONCATENATE("&lt;=",PO$3),Movimientos!$C:$C,"&gt;0")+SUMIFS(Movimientos!$C:$C,Movimientos!$A:$A,$B11,Movimientos!$D:$D,CONCATENATE("&lt;",PO$3),Movimientos!$C:$C,"&lt;0")</f>
        <v>0</v>
      </c>
      <c r="PP11" s="5">
        <f ca="1">SUMIFS(Movimientos!$C:$C,Movimientos!$A:$A,$B11,Movimientos!$D:$D,CONCATENATE("&lt;=",PP$3),Movimientos!$C:$C,"&gt;0")+SUMIFS(Movimientos!$C:$C,Movimientos!$A:$A,$B11,Movimientos!$D:$D,CONCATENATE("&lt;",PP$3),Movimientos!$C:$C,"&lt;0")</f>
        <v>0</v>
      </c>
      <c r="PQ11" s="5">
        <f ca="1">SUMIFS(Movimientos!$C:$C,Movimientos!$A:$A,$B11,Movimientos!$D:$D,CONCATENATE("&lt;=",PQ$3),Movimientos!$C:$C,"&gt;0")+SUMIFS(Movimientos!$C:$C,Movimientos!$A:$A,$B11,Movimientos!$D:$D,CONCATENATE("&lt;",PQ$3),Movimientos!$C:$C,"&lt;0")</f>
        <v>0</v>
      </c>
      <c r="PR11" s="5">
        <f ca="1">SUMIFS(Movimientos!$C:$C,Movimientos!$A:$A,$B11,Movimientos!$D:$D,CONCATENATE("&lt;=",PR$3),Movimientos!$C:$C,"&gt;0")+SUMIFS(Movimientos!$C:$C,Movimientos!$A:$A,$B11,Movimientos!$D:$D,CONCATENATE("&lt;",PR$3),Movimientos!$C:$C,"&lt;0")</f>
        <v>0</v>
      </c>
      <c r="PS11" s="5">
        <f ca="1">SUMIFS(Movimientos!$C:$C,Movimientos!$A:$A,$B11,Movimientos!$D:$D,CONCATENATE("&lt;=",PS$3),Movimientos!$C:$C,"&gt;0")+SUMIFS(Movimientos!$C:$C,Movimientos!$A:$A,$B11,Movimientos!$D:$D,CONCATENATE("&lt;",PS$3),Movimientos!$C:$C,"&lt;0")</f>
        <v>0</v>
      </c>
      <c r="PT11" s="5">
        <f ca="1">SUMIFS(Movimientos!$C:$C,Movimientos!$A:$A,$B11,Movimientos!$D:$D,CONCATENATE("&lt;=",PT$3),Movimientos!$C:$C,"&gt;0")+SUMIFS(Movimientos!$C:$C,Movimientos!$A:$A,$B11,Movimientos!$D:$D,CONCATENATE("&lt;",PT$3),Movimientos!$C:$C,"&lt;0")</f>
        <v>0</v>
      </c>
      <c r="PU11" s="5">
        <f ca="1">SUMIFS(Movimientos!$C:$C,Movimientos!$A:$A,$B11,Movimientos!$D:$D,CONCATENATE("&lt;=",PU$3),Movimientos!$C:$C,"&gt;0")+SUMIFS(Movimientos!$C:$C,Movimientos!$A:$A,$B11,Movimientos!$D:$D,CONCATENATE("&lt;",PU$3),Movimientos!$C:$C,"&lt;0")</f>
        <v>0</v>
      </c>
      <c r="PV11" s="5">
        <f ca="1">SUMIFS(Movimientos!$C:$C,Movimientos!$A:$A,$B11,Movimientos!$D:$D,CONCATENATE("&lt;=",PV$3),Movimientos!$C:$C,"&gt;0")+SUMIFS(Movimientos!$C:$C,Movimientos!$A:$A,$B11,Movimientos!$D:$D,CONCATENATE("&lt;",PV$3),Movimientos!$C:$C,"&lt;0")</f>
        <v>0</v>
      </c>
      <c r="PW11" s="5">
        <f ca="1">SUMIFS(Movimientos!$C:$C,Movimientos!$A:$A,$B11,Movimientos!$D:$D,CONCATENATE("&lt;=",PW$3),Movimientos!$C:$C,"&gt;0")+SUMIFS(Movimientos!$C:$C,Movimientos!$A:$A,$B11,Movimientos!$D:$D,CONCATENATE("&lt;",PW$3),Movimientos!$C:$C,"&lt;0")</f>
        <v>0</v>
      </c>
      <c r="PX11" s="5">
        <f ca="1">SUMIFS(Movimientos!$C:$C,Movimientos!$A:$A,$B11,Movimientos!$D:$D,CONCATENATE("&lt;=",PX$3),Movimientos!$C:$C,"&gt;0")+SUMIFS(Movimientos!$C:$C,Movimientos!$A:$A,$B11,Movimientos!$D:$D,CONCATENATE("&lt;",PX$3),Movimientos!$C:$C,"&lt;0")</f>
        <v>0</v>
      </c>
      <c r="PY11" s="5">
        <f ca="1">SUMIFS(Movimientos!$C:$C,Movimientos!$A:$A,$B11,Movimientos!$D:$D,CONCATENATE("&lt;=",PY$3),Movimientos!$C:$C,"&gt;0")+SUMIFS(Movimientos!$C:$C,Movimientos!$A:$A,$B11,Movimientos!$D:$D,CONCATENATE("&lt;",PY$3),Movimientos!$C:$C,"&lt;0")</f>
        <v>0</v>
      </c>
      <c r="PZ11" s="5">
        <f ca="1">SUMIFS(Movimientos!$C:$C,Movimientos!$A:$A,$B11,Movimientos!$D:$D,CONCATENATE("&lt;=",PZ$3),Movimientos!$C:$C,"&gt;0")+SUMIFS(Movimientos!$C:$C,Movimientos!$A:$A,$B11,Movimientos!$D:$D,CONCATENATE("&lt;",PZ$3),Movimientos!$C:$C,"&lt;0")</f>
        <v>0</v>
      </c>
      <c r="QA11" s="5">
        <f ca="1">SUMIFS(Movimientos!$C:$C,Movimientos!$A:$A,$B11,Movimientos!$D:$D,CONCATENATE("&lt;=",QA$3),Movimientos!$C:$C,"&gt;0")+SUMIFS(Movimientos!$C:$C,Movimientos!$A:$A,$B11,Movimientos!$D:$D,CONCATENATE("&lt;",QA$3),Movimientos!$C:$C,"&lt;0")</f>
        <v>0</v>
      </c>
      <c r="QB11" s="5">
        <f ca="1">SUMIFS(Movimientos!$C:$C,Movimientos!$A:$A,$B11,Movimientos!$D:$D,CONCATENATE("&lt;=",QB$3),Movimientos!$C:$C,"&gt;0")+SUMIFS(Movimientos!$C:$C,Movimientos!$A:$A,$B11,Movimientos!$D:$D,CONCATENATE("&lt;",QB$3),Movimientos!$C:$C,"&lt;0")</f>
        <v>0</v>
      </c>
      <c r="QC11" s="5">
        <f ca="1">SUMIFS(Movimientos!$C:$C,Movimientos!$A:$A,$B11,Movimientos!$D:$D,CONCATENATE("&lt;=",QC$3),Movimientos!$C:$C,"&gt;0")+SUMIFS(Movimientos!$C:$C,Movimientos!$A:$A,$B11,Movimientos!$D:$D,CONCATENATE("&lt;",QC$3),Movimientos!$C:$C,"&lt;0")</f>
        <v>0</v>
      </c>
      <c r="QD11" s="5">
        <f ca="1">SUMIFS(Movimientos!$C:$C,Movimientos!$A:$A,$B11,Movimientos!$D:$D,CONCATENATE("&lt;=",QD$3),Movimientos!$C:$C,"&gt;0")+SUMIFS(Movimientos!$C:$C,Movimientos!$A:$A,$B11,Movimientos!$D:$D,CONCATENATE("&lt;",QD$3),Movimientos!$C:$C,"&lt;0")</f>
        <v>0</v>
      </c>
      <c r="QE11" s="5">
        <f ca="1">SUMIFS(Movimientos!$C:$C,Movimientos!$A:$A,$B11,Movimientos!$D:$D,CONCATENATE("&lt;=",QE$3),Movimientos!$C:$C,"&gt;0")+SUMIFS(Movimientos!$C:$C,Movimientos!$A:$A,$B11,Movimientos!$D:$D,CONCATENATE("&lt;",QE$3),Movimientos!$C:$C,"&lt;0")</f>
        <v>0</v>
      </c>
      <c r="QF11" s="5">
        <f ca="1">SUMIFS(Movimientos!$C:$C,Movimientos!$A:$A,$B11,Movimientos!$D:$D,CONCATENATE("&lt;=",QF$3),Movimientos!$C:$C,"&gt;0")+SUMIFS(Movimientos!$C:$C,Movimientos!$A:$A,$B11,Movimientos!$D:$D,CONCATENATE("&lt;",QF$3),Movimientos!$C:$C,"&lt;0")</f>
        <v>0</v>
      </c>
      <c r="QG11" s="5">
        <f ca="1">SUMIFS(Movimientos!$C:$C,Movimientos!$A:$A,$B11,Movimientos!$D:$D,CONCATENATE("&lt;=",QG$3),Movimientos!$C:$C,"&gt;0")+SUMIFS(Movimientos!$C:$C,Movimientos!$A:$A,$B11,Movimientos!$D:$D,CONCATENATE("&lt;",QG$3),Movimientos!$C:$C,"&lt;0")</f>
        <v>0</v>
      </c>
      <c r="QH11" s="5">
        <f ca="1">SUMIFS(Movimientos!$C:$C,Movimientos!$A:$A,$B11,Movimientos!$D:$D,CONCATENATE("&lt;=",QH$3),Movimientos!$C:$C,"&gt;0")+SUMIFS(Movimientos!$C:$C,Movimientos!$A:$A,$B11,Movimientos!$D:$D,CONCATENATE("&lt;",QH$3),Movimientos!$C:$C,"&lt;0")</f>
        <v>0</v>
      </c>
      <c r="QI11" s="5">
        <f ca="1">SUMIFS(Movimientos!$C:$C,Movimientos!$A:$A,$B11,Movimientos!$D:$D,CONCATENATE("&lt;=",QI$3),Movimientos!$C:$C,"&gt;0")+SUMIFS(Movimientos!$C:$C,Movimientos!$A:$A,$B11,Movimientos!$D:$D,CONCATENATE("&lt;",QI$3),Movimientos!$C:$C,"&lt;0")</f>
        <v>0</v>
      </c>
      <c r="QJ11" s="5">
        <f ca="1">SUMIFS(Movimientos!$C:$C,Movimientos!$A:$A,$B11,Movimientos!$D:$D,CONCATENATE("&lt;=",QJ$3),Movimientos!$C:$C,"&gt;0")+SUMIFS(Movimientos!$C:$C,Movimientos!$A:$A,$B11,Movimientos!$D:$D,CONCATENATE("&lt;",QJ$3),Movimientos!$C:$C,"&lt;0")</f>
        <v>0</v>
      </c>
      <c r="QK11" s="5">
        <f ca="1">SUMIFS(Movimientos!$C:$C,Movimientos!$A:$A,$B11,Movimientos!$D:$D,CONCATENATE("&lt;=",QK$3),Movimientos!$C:$C,"&gt;0")+SUMIFS(Movimientos!$C:$C,Movimientos!$A:$A,$B11,Movimientos!$D:$D,CONCATENATE("&lt;",QK$3),Movimientos!$C:$C,"&lt;0")</f>
        <v>0</v>
      </c>
      <c r="QL11" s="5">
        <f ca="1">SUMIFS(Movimientos!$C:$C,Movimientos!$A:$A,$B11,Movimientos!$D:$D,CONCATENATE("&lt;=",QL$3),Movimientos!$C:$C,"&gt;0")+SUMIFS(Movimientos!$C:$C,Movimientos!$A:$A,$B11,Movimientos!$D:$D,CONCATENATE("&lt;",QL$3),Movimientos!$C:$C,"&lt;0")</f>
        <v>0</v>
      </c>
      <c r="QM11" s="5">
        <f ca="1">SUMIFS(Movimientos!$C:$C,Movimientos!$A:$A,$B11,Movimientos!$D:$D,CONCATENATE("&lt;=",QM$3),Movimientos!$C:$C,"&gt;0")+SUMIFS(Movimientos!$C:$C,Movimientos!$A:$A,$B11,Movimientos!$D:$D,CONCATENATE("&lt;",QM$3),Movimientos!$C:$C,"&lt;0")</f>
        <v>0</v>
      </c>
      <c r="QN11" s="5">
        <f ca="1">SUMIFS(Movimientos!$C:$C,Movimientos!$A:$A,$B11,Movimientos!$D:$D,CONCATENATE("&lt;=",QN$3),Movimientos!$C:$C,"&gt;0")+SUMIFS(Movimientos!$C:$C,Movimientos!$A:$A,$B11,Movimientos!$D:$D,CONCATENATE("&lt;",QN$3),Movimientos!$C:$C,"&lt;0")</f>
        <v>0</v>
      </c>
      <c r="QO11" s="5">
        <f ca="1">SUMIFS(Movimientos!$C:$C,Movimientos!$A:$A,$B11,Movimientos!$D:$D,CONCATENATE("&lt;=",QO$3),Movimientos!$C:$C,"&gt;0")+SUMIFS(Movimientos!$C:$C,Movimientos!$A:$A,$B11,Movimientos!$D:$D,CONCATENATE("&lt;",QO$3),Movimientos!$C:$C,"&lt;0")</f>
        <v>0</v>
      </c>
      <c r="QP11" s="5">
        <f ca="1">SUMIFS(Movimientos!$C:$C,Movimientos!$A:$A,$B11,Movimientos!$D:$D,CONCATENATE("&lt;=",QP$3),Movimientos!$C:$C,"&gt;0")+SUMIFS(Movimientos!$C:$C,Movimientos!$A:$A,$B11,Movimientos!$D:$D,CONCATENATE("&lt;",QP$3),Movimientos!$C:$C,"&lt;0")</f>
        <v>0</v>
      </c>
      <c r="QQ11" s="5">
        <f ca="1">SUMIFS(Movimientos!$C:$C,Movimientos!$A:$A,$B11,Movimientos!$D:$D,CONCATENATE("&lt;=",QQ$3),Movimientos!$C:$C,"&gt;0")+SUMIFS(Movimientos!$C:$C,Movimientos!$A:$A,$B11,Movimientos!$D:$D,CONCATENATE("&lt;",QQ$3),Movimientos!$C:$C,"&lt;0")</f>
        <v>0</v>
      </c>
      <c r="QR11" s="5">
        <f ca="1">SUMIFS(Movimientos!$C:$C,Movimientos!$A:$A,$B11,Movimientos!$D:$D,CONCATENATE("&lt;=",QR$3),Movimientos!$C:$C,"&gt;0")+SUMIFS(Movimientos!$C:$C,Movimientos!$A:$A,$B11,Movimientos!$D:$D,CONCATENATE("&lt;",QR$3),Movimientos!$C:$C,"&lt;0")</f>
        <v>0</v>
      </c>
      <c r="QS11" s="5">
        <f ca="1">SUMIFS(Movimientos!$C:$C,Movimientos!$A:$A,$B11,Movimientos!$D:$D,CONCATENATE("&lt;=",QS$3),Movimientos!$C:$C,"&gt;0")+SUMIFS(Movimientos!$C:$C,Movimientos!$A:$A,$B11,Movimientos!$D:$D,CONCATENATE("&lt;",QS$3),Movimientos!$C:$C,"&lt;0")</f>
        <v>0</v>
      </c>
      <c r="QT11" s="5">
        <f ca="1">SUMIFS(Movimientos!$C:$C,Movimientos!$A:$A,$B11,Movimientos!$D:$D,CONCATENATE("&lt;=",QT$3),Movimientos!$C:$C,"&gt;0")+SUMIFS(Movimientos!$C:$C,Movimientos!$A:$A,$B11,Movimientos!$D:$D,CONCATENATE("&lt;",QT$3),Movimientos!$C:$C,"&lt;0")</f>
        <v>0</v>
      </c>
      <c r="QU11" s="5">
        <f ca="1">SUMIFS(Movimientos!$C:$C,Movimientos!$A:$A,$B11,Movimientos!$D:$D,CONCATENATE("&lt;=",QU$3),Movimientos!$C:$C,"&gt;0")+SUMIFS(Movimientos!$C:$C,Movimientos!$A:$A,$B11,Movimientos!$D:$D,CONCATENATE("&lt;",QU$3),Movimientos!$C:$C,"&lt;0")</f>
        <v>0</v>
      </c>
      <c r="QV11" s="5">
        <f ca="1">SUMIFS(Movimientos!$C:$C,Movimientos!$A:$A,$B11,Movimientos!$D:$D,CONCATENATE("&lt;=",QV$3),Movimientos!$C:$C,"&gt;0")+SUMIFS(Movimientos!$C:$C,Movimientos!$A:$A,$B11,Movimientos!$D:$D,CONCATENATE("&lt;",QV$3),Movimientos!$C:$C,"&lt;0")</f>
        <v>0</v>
      </c>
      <c r="QW11" s="5">
        <f ca="1">SUMIFS(Movimientos!$C:$C,Movimientos!$A:$A,$B11,Movimientos!$D:$D,CONCATENATE("&lt;=",QW$3),Movimientos!$C:$C,"&gt;0")+SUMIFS(Movimientos!$C:$C,Movimientos!$A:$A,$B11,Movimientos!$D:$D,CONCATENATE("&lt;",QW$3),Movimientos!$C:$C,"&lt;0")</f>
        <v>0</v>
      </c>
      <c r="QX11" s="5">
        <f ca="1">SUMIFS(Movimientos!$C:$C,Movimientos!$A:$A,$B11,Movimientos!$D:$D,CONCATENATE("&lt;=",QX$3),Movimientos!$C:$C,"&gt;0")+SUMIFS(Movimientos!$C:$C,Movimientos!$A:$A,$B11,Movimientos!$D:$D,CONCATENATE("&lt;",QX$3),Movimientos!$C:$C,"&lt;0")</f>
        <v>0</v>
      </c>
      <c r="QY11" s="5">
        <f ca="1">SUMIFS(Movimientos!$C:$C,Movimientos!$A:$A,$B11,Movimientos!$D:$D,CONCATENATE("&lt;=",QY$3),Movimientos!$C:$C,"&gt;0")+SUMIFS(Movimientos!$C:$C,Movimientos!$A:$A,$B11,Movimientos!$D:$D,CONCATENATE("&lt;",QY$3),Movimientos!$C:$C,"&lt;0")</f>
        <v>0</v>
      </c>
      <c r="QZ11" s="5">
        <f ca="1">SUMIFS(Movimientos!$C:$C,Movimientos!$A:$A,$B11,Movimientos!$D:$D,CONCATENATE("&lt;=",QZ$3),Movimientos!$C:$C,"&gt;0")+SUMIFS(Movimientos!$C:$C,Movimientos!$A:$A,$B11,Movimientos!$D:$D,CONCATENATE("&lt;",QZ$3),Movimientos!$C:$C,"&lt;0")</f>
        <v>0</v>
      </c>
      <c r="RA11" s="5">
        <f ca="1">SUMIFS(Movimientos!$C:$C,Movimientos!$A:$A,$B11,Movimientos!$D:$D,CONCATENATE("&lt;=",RA$3),Movimientos!$C:$C,"&gt;0")+SUMIFS(Movimientos!$C:$C,Movimientos!$A:$A,$B11,Movimientos!$D:$D,CONCATENATE("&lt;",RA$3),Movimientos!$C:$C,"&lt;0")</f>
        <v>0</v>
      </c>
      <c r="RB11" s="5">
        <f ca="1">SUMIFS(Movimientos!$C:$C,Movimientos!$A:$A,$B11,Movimientos!$D:$D,CONCATENATE("&lt;=",RB$3),Movimientos!$C:$C,"&gt;0")+SUMIFS(Movimientos!$C:$C,Movimientos!$A:$A,$B11,Movimientos!$D:$D,CONCATENATE("&lt;",RB$3),Movimientos!$C:$C,"&lt;0")</f>
        <v>0</v>
      </c>
      <c r="RC11" s="5">
        <f ca="1">SUMIFS(Movimientos!$C:$C,Movimientos!$A:$A,$B11,Movimientos!$D:$D,CONCATENATE("&lt;=",RC$3),Movimientos!$C:$C,"&gt;0")+SUMIFS(Movimientos!$C:$C,Movimientos!$A:$A,$B11,Movimientos!$D:$D,CONCATENATE("&lt;",RC$3),Movimientos!$C:$C,"&lt;0")</f>
        <v>0</v>
      </c>
      <c r="RD11" s="5">
        <f ca="1">SUMIFS(Movimientos!$C:$C,Movimientos!$A:$A,$B11,Movimientos!$D:$D,CONCATENATE("&lt;=",RD$3),Movimientos!$C:$C,"&gt;0")+SUMIFS(Movimientos!$C:$C,Movimientos!$A:$A,$B11,Movimientos!$D:$D,CONCATENATE("&lt;",RD$3),Movimientos!$C:$C,"&lt;0")</f>
        <v>0</v>
      </c>
      <c r="RE11" s="5">
        <f ca="1">SUMIFS(Movimientos!$C:$C,Movimientos!$A:$A,$B11,Movimientos!$D:$D,CONCATENATE("&lt;=",RE$3),Movimientos!$C:$C,"&gt;0")+SUMIFS(Movimientos!$C:$C,Movimientos!$A:$A,$B11,Movimientos!$D:$D,CONCATENATE("&lt;",RE$3),Movimientos!$C:$C,"&lt;0")</f>
        <v>0</v>
      </c>
      <c r="RF11" s="5">
        <f ca="1">SUMIFS(Movimientos!$C:$C,Movimientos!$A:$A,$B11,Movimientos!$D:$D,CONCATENATE("&lt;=",RF$3),Movimientos!$C:$C,"&gt;0")+SUMIFS(Movimientos!$C:$C,Movimientos!$A:$A,$B11,Movimientos!$D:$D,CONCATENATE("&lt;",RF$3),Movimientos!$C:$C,"&lt;0")</f>
        <v>0</v>
      </c>
      <c r="RG11" s="5">
        <f ca="1">SUMIFS(Movimientos!$C:$C,Movimientos!$A:$A,$B11,Movimientos!$D:$D,CONCATENATE("&lt;=",RG$3),Movimientos!$C:$C,"&gt;0")+SUMIFS(Movimientos!$C:$C,Movimientos!$A:$A,$B11,Movimientos!$D:$D,CONCATENATE("&lt;",RG$3),Movimientos!$C:$C,"&lt;0")</f>
        <v>0</v>
      </c>
      <c r="RH11" s="5">
        <f ca="1">SUMIFS(Movimientos!$C:$C,Movimientos!$A:$A,$B11,Movimientos!$D:$D,CONCATENATE("&lt;=",RH$3),Movimientos!$C:$C,"&gt;0")+SUMIFS(Movimientos!$C:$C,Movimientos!$A:$A,$B11,Movimientos!$D:$D,CONCATENATE("&lt;",RH$3),Movimientos!$C:$C,"&lt;0")</f>
        <v>0</v>
      </c>
      <c r="RI11" s="5">
        <f ca="1">SUMIFS(Movimientos!$C:$C,Movimientos!$A:$A,$B11,Movimientos!$D:$D,CONCATENATE("&lt;=",RI$3),Movimientos!$C:$C,"&gt;0")+SUMIFS(Movimientos!$C:$C,Movimientos!$A:$A,$B11,Movimientos!$D:$D,CONCATENATE("&lt;",RI$3),Movimientos!$C:$C,"&lt;0")</f>
        <v>0</v>
      </c>
      <c r="RJ11" s="5">
        <f ca="1">SUMIFS(Movimientos!$C:$C,Movimientos!$A:$A,$B11,Movimientos!$D:$D,CONCATENATE("&lt;=",RJ$3),Movimientos!$C:$C,"&gt;0")+SUMIFS(Movimientos!$C:$C,Movimientos!$A:$A,$B11,Movimientos!$D:$D,CONCATENATE("&lt;",RJ$3),Movimientos!$C:$C,"&lt;0")</f>
        <v>0</v>
      </c>
      <c r="RK11" s="5">
        <f ca="1">SUMIFS(Movimientos!$C:$C,Movimientos!$A:$A,$B11,Movimientos!$D:$D,CONCATENATE("&lt;=",RK$3),Movimientos!$C:$C,"&gt;0")+SUMIFS(Movimientos!$C:$C,Movimientos!$A:$A,$B11,Movimientos!$D:$D,CONCATENATE("&lt;",RK$3),Movimientos!$C:$C,"&lt;0")</f>
        <v>0</v>
      </c>
      <c r="RL11" s="5">
        <f ca="1">SUMIFS(Movimientos!$C:$C,Movimientos!$A:$A,$B11,Movimientos!$D:$D,CONCATENATE("&lt;=",RL$3),Movimientos!$C:$C,"&gt;0")+SUMIFS(Movimientos!$C:$C,Movimientos!$A:$A,$B11,Movimientos!$D:$D,CONCATENATE("&lt;",RL$3),Movimientos!$C:$C,"&lt;0")</f>
        <v>0</v>
      </c>
      <c r="RM11" s="5">
        <f ca="1">SUMIFS(Movimientos!$C:$C,Movimientos!$A:$A,$B11,Movimientos!$D:$D,CONCATENATE("&lt;=",RM$3),Movimientos!$C:$C,"&gt;0")+SUMIFS(Movimientos!$C:$C,Movimientos!$A:$A,$B11,Movimientos!$D:$D,CONCATENATE("&lt;",RM$3),Movimientos!$C:$C,"&lt;0")</f>
        <v>0</v>
      </c>
      <c r="RN11" s="5">
        <f ca="1">SUMIFS(Movimientos!$C:$C,Movimientos!$A:$A,$B11,Movimientos!$D:$D,CONCATENATE("&lt;=",RN$3),Movimientos!$C:$C,"&gt;0")+SUMIFS(Movimientos!$C:$C,Movimientos!$A:$A,$B11,Movimientos!$D:$D,CONCATENATE("&lt;",RN$3),Movimientos!$C:$C,"&lt;0")</f>
        <v>0</v>
      </c>
      <c r="RO11" s="5">
        <f ca="1">SUMIFS(Movimientos!$C:$C,Movimientos!$A:$A,$B11,Movimientos!$D:$D,CONCATENATE("&lt;=",RO$3),Movimientos!$C:$C,"&gt;0")+SUMIFS(Movimientos!$C:$C,Movimientos!$A:$A,$B11,Movimientos!$D:$D,CONCATENATE("&lt;",RO$3),Movimientos!$C:$C,"&lt;0")</f>
        <v>0</v>
      </c>
      <c r="RP11" s="5">
        <f ca="1">SUMIFS(Movimientos!$C:$C,Movimientos!$A:$A,$B11,Movimientos!$D:$D,CONCATENATE("&lt;=",RP$3),Movimientos!$C:$C,"&gt;0")+SUMIFS(Movimientos!$C:$C,Movimientos!$A:$A,$B11,Movimientos!$D:$D,CONCATENATE("&lt;",RP$3),Movimientos!$C:$C,"&lt;0")</f>
        <v>0</v>
      </c>
      <c r="RQ11" s="5">
        <f ca="1">SUMIFS(Movimientos!$C:$C,Movimientos!$A:$A,$B11,Movimientos!$D:$D,CONCATENATE("&lt;=",RQ$3),Movimientos!$C:$C,"&gt;0")+SUMIFS(Movimientos!$C:$C,Movimientos!$A:$A,$B11,Movimientos!$D:$D,CONCATENATE("&lt;",RQ$3),Movimientos!$C:$C,"&lt;0")</f>
        <v>0</v>
      </c>
      <c r="RR11" s="5">
        <f ca="1">SUMIFS(Movimientos!$C:$C,Movimientos!$A:$A,$B11,Movimientos!$D:$D,CONCATENATE("&lt;=",RR$3),Movimientos!$C:$C,"&gt;0")+SUMIFS(Movimientos!$C:$C,Movimientos!$A:$A,$B11,Movimientos!$D:$D,CONCATENATE("&lt;",RR$3),Movimientos!$C:$C,"&lt;0")</f>
        <v>0</v>
      </c>
      <c r="RS11" s="5">
        <f ca="1">SUMIFS(Movimientos!$C:$C,Movimientos!$A:$A,$B11,Movimientos!$D:$D,CONCATENATE("&lt;=",RS$3),Movimientos!$C:$C,"&gt;0")+SUMIFS(Movimientos!$C:$C,Movimientos!$A:$A,$B11,Movimientos!$D:$D,CONCATENATE("&lt;",RS$3),Movimientos!$C:$C,"&lt;0")</f>
        <v>0</v>
      </c>
      <c r="RT11" s="5">
        <f ca="1">SUMIFS(Movimientos!$C:$C,Movimientos!$A:$A,$B11,Movimientos!$D:$D,CONCATENATE("&lt;=",RT$3),Movimientos!$C:$C,"&gt;0")+SUMIFS(Movimientos!$C:$C,Movimientos!$A:$A,$B11,Movimientos!$D:$D,CONCATENATE("&lt;",RT$3),Movimientos!$C:$C,"&lt;0")</f>
        <v>0</v>
      </c>
      <c r="RU11" s="5">
        <f ca="1">SUMIFS(Movimientos!$C:$C,Movimientos!$A:$A,$B11,Movimientos!$D:$D,CONCATENATE("&lt;=",RU$3),Movimientos!$C:$C,"&gt;0")+SUMIFS(Movimientos!$C:$C,Movimientos!$A:$A,$B11,Movimientos!$D:$D,CONCATENATE("&lt;",RU$3),Movimientos!$C:$C,"&lt;0")</f>
        <v>0</v>
      </c>
      <c r="RV11" s="5">
        <f ca="1">SUMIFS(Movimientos!$C:$C,Movimientos!$A:$A,$B11,Movimientos!$D:$D,CONCATENATE("&lt;=",RV$3),Movimientos!$C:$C,"&gt;0")+SUMIFS(Movimientos!$C:$C,Movimientos!$A:$A,$B11,Movimientos!$D:$D,CONCATENATE("&lt;",RV$3),Movimientos!$C:$C,"&lt;0")</f>
        <v>0</v>
      </c>
      <c r="RW11" s="5">
        <f ca="1">SUMIFS(Movimientos!$C:$C,Movimientos!$A:$A,$B11,Movimientos!$D:$D,CONCATENATE("&lt;=",RW$3),Movimientos!$C:$C,"&gt;0")+SUMIFS(Movimientos!$C:$C,Movimientos!$A:$A,$B11,Movimientos!$D:$D,CONCATENATE("&lt;",RW$3),Movimientos!$C:$C,"&lt;0")</f>
        <v>0</v>
      </c>
      <c r="RX11" s="5">
        <f ca="1">SUMIFS(Movimientos!$C:$C,Movimientos!$A:$A,$B11,Movimientos!$D:$D,CONCATENATE("&lt;=",RX$3),Movimientos!$C:$C,"&gt;0")+SUMIFS(Movimientos!$C:$C,Movimientos!$A:$A,$B11,Movimientos!$D:$D,CONCATENATE("&lt;",RX$3),Movimientos!$C:$C,"&lt;0")</f>
        <v>0</v>
      </c>
      <c r="RY11" s="5">
        <f ca="1">SUMIFS(Movimientos!$C:$C,Movimientos!$A:$A,$B11,Movimientos!$D:$D,CONCATENATE("&lt;=",RY$3),Movimientos!$C:$C,"&gt;0")+SUMIFS(Movimientos!$C:$C,Movimientos!$A:$A,$B11,Movimientos!$D:$D,CONCATENATE("&lt;",RY$3),Movimientos!$C:$C,"&lt;0")</f>
        <v>0</v>
      </c>
      <c r="RZ11" s="5">
        <f ca="1">SUMIFS(Movimientos!$C:$C,Movimientos!$A:$A,$B11,Movimientos!$D:$D,CONCATENATE("&lt;=",RZ$3),Movimientos!$C:$C,"&gt;0")+SUMIFS(Movimientos!$C:$C,Movimientos!$A:$A,$B11,Movimientos!$D:$D,CONCATENATE("&lt;",RZ$3),Movimientos!$C:$C,"&lt;0")</f>
        <v>0</v>
      </c>
      <c r="SA11" s="5">
        <f ca="1">SUMIFS(Movimientos!$C:$C,Movimientos!$A:$A,$B11,Movimientos!$D:$D,CONCATENATE("&lt;=",SA$3),Movimientos!$C:$C,"&gt;0")+SUMIFS(Movimientos!$C:$C,Movimientos!$A:$A,$B11,Movimientos!$D:$D,CONCATENATE("&lt;",SA$3),Movimientos!$C:$C,"&lt;0")</f>
        <v>0</v>
      </c>
      <c r="SB11" s="5">
        <f ca="1">SUMIFS(Movimientos!$C:$C,Movimientos!$A:$A,$B11,Movimientos!$D:$D,CONCATENATE("&lt;=",SB$3),Movimientos!$C:$C,"&gt;0")+SUMIFS(Movimientos!$C:$C,Movimientos!$A:$A,$B11,Movimientos!$D:$D,CONCATENATE("&lt;",SB$3),Movimientos!$C:$C,"&lt;0")</f>
        <v>0</v>
      </c>
      <c r="SC11" s="5">
        <f ca="1">SUMIFS(Movimientos!$C:$C,Movimientos!$A:$A,$B11,Movimientos!$D:$D,CONCATENATE("&lt;=",SC$3),Movimientos!$C:$C,"&gt;0")+SUMIFS(Movimientos!$C:$C,Movimientos!$A:$A,$B11,Movimientos!$D:$D,CONCATENATE("&lt;",SC$3),Movimientos!$C:$C,"&lt;0")</f>
        <v>0</v>
      </c>
      <c r="SD11" s="5">
        <f ca="1">SUMIFS(Movimientos!$C:$C,Movimientos!$A:$A,$B11,Movimientos!$D:$D,CONCATENATE("&lt;=",SD$3),Movimientos!$C:$C,"&gt;0")+SUMIFS(Movimientos!$C:$C,Movimientos!$A:$A,$B11,Movimientos!$D:$D,CONCATENATE("&lt;",SD$3),Movimientos!$C:$C,"&lt;0")</f>
        <v>0</v>
      </c>
      <c r="SE11" s="5">
        <f ca="1">SUMIFS(Movimientos!$C:$C,Movimientos!$A:$A,$B11,Movimientos!$D:$D,CONCATENATE("&lt;=",SE$3),Movimientos!$C:$C,"&gt;0")+SUMIFS(Movimientos!$C:$C,Movimientos!$A:$A,$B11,Movimientos!$D:$D,CONCATENATE("&lt;",SE$3),Movimientos!$C:$C,"&lt;0")</f>
        <v>0</v>
      </c>
      <c r="SF11" s="5">
        <f ca="1">SUMIFS(Movimientos!$C:$C,Movimientos!$A:$A,$B11,Movimientos!$D:$D,CONCATENATE("&lt;=",SF$3),Movimientos!$C:$C,"&gt;0")+SUMIFS(Movimientos!$C:$C,Movimientos!$A:$A,$B11,Movimientos!$D:$D,CONCATENATE("&lt;",SF$3),Movimientos!$C:$C,"&lt;0")</f>
        <v>0</v>
      </c>
      <c r="SG11" s="5">
        <f ca="1">SUMIFS(Movimientos!$C:$C,Movimientos!$A:$A,$B11,Movimientos!$D:$D,CONCATENATE("&lt;=",SG$3),Movimientos!$C:$C,"&gt;0")+SUMIFS(Movimientos!$C:$C,Movimientos!$A:$A,$B11,Movimientos!$D:$D,CONCATENATE("&lt;",SG$3),Movimientos!$C:$C,"&lt;0")</f>
        <v>0</v>
      </c>
      <c r="SH11" s="5">
        <f ca="1">SUMIFS(Movimientos!$C:$C,Movimientos!$A:$A,$B11,Movimientos!$D:$D,CONCATENATE("&lt;=",SH$3),Movimientos!$C:$C,"&gt;0")+SUMIFS(Movimientos!$C:$C,Movimientos!$A:$A,$B11,Movimientos!$D:$D,CONCATENATE("&lt;",SH$3),Movimientos!$C:$C,"&lt;0")</f>
        <v>0</v>
      </c>
      <c r="SI11" s="5">
        <f ca="1">SUMIFS(Movimientos!$C:$C,Movimientos!$A:$A,$B11,Movimientos!$D:$D,CONCATENATE("&lt;=",SI$3),Movimientos!$C:$C,"&gt;0")+SUMIFS(Movimientos!$C:$C,Movimientos!$A:$A,$B11,Movimientos!$D:$D,CONCATENATE("&lt;",SI$3),Movimientos!$C:$C,"&lt;0")</f>
        <v>0</v>
      </c>
      <c r="SJ11" s="5">
        <f ca="1">SUMIFS(Movimientos!$C:$C,Movimientos!$A:$A,$B11,Movimientos!$D:$D,CONCATENATE("&lt;=",SJ$3),Movimientos!$C:$C,"&gt;0")+SUMIFS(Movimientos!$C:$C,Movimientos!$A:$A,$B11,Movimientos!$D:$D,CONCATENATE("&lt;",SJ$3),Movimientos!$C:$C,"&lt;0")</f>
        <v>0</v>
      </c>
      <c r="SK11" s="5">
        <f ca="1">SUMIFS(Movimientos!$C:$C,Movimientos!$A:$A,$B11,Movimientos!$D:$D,CONCATENATE("&lt;=",SK$3),Movimientos!$C:$C,"&gt;0")+SUMIFS(Movimientos!$C:$C,Movimientos!$A:$A,$B11,Movimientos!$D:$D,CONCATENATE("&lt;",SK$3),Movimientos!$C:$C,"&lt;0")</f>
        <v>0</v>
      </c>
      <c r="SL11" s="5">
        <f ca="1">SUMIFS(Movimientos!$C:$C,Movimientos!$A:$A,$B11,Movimientos!$D:$D,CONCATENATE("&lt;=",SL$3),Movimientos!$C:$C,"&gt;0")+SUMIFS(Movimientos!$C:$C,Movimientos!$A:$A,$B11,Movimientos!$D:$D,CONCATENATE("&lt;",SL$3),Movimientos!$C:$C,"&lt;0")</f>
        <v>0</v>
      </c>
      <c r="SM11" s="5">
        <f ca="1">SUMIFS(Movimientos!$C:$C,Movimientos!$A:$A,$B11,Movimientos!$D:$D,CONCATENATE("&lt;=",SM$3),Movimientos!$C:$C,"&gt;0")+SUMIFS(Movimientos!$C:$C,Movimientos!$A:$A,$B11,Movimientos!$D:$D,CONCATENATE("&lt;",SM$3),Movimientos!$C:$C,"&lt;0")</f>
        <v>0</v>
      </c>
      <c r="SN11" s="5">
        <f ca="1">SUMIFS(Movimientos!$C:$C,Movimientos!$A:$A,$B11,Movimientos!$D:$D,CONCATENATE("&lt;=",SN$3),Movimientos!$C:$C,"&gt;0")+SUMIFS(Movimientos!$C:$C,Movimientos!$A:$A,$B11,Movimientos!$D:$D,CONCATENATE("&lt;",SN$3),Movimientos!$C:$C,"&lt;0")</f>
        <v>0</v>
      </c>
      <c r="SO11" s="5">
        <f ca="1">SUMIFS(Movimientos!$C:$C,Movimientos!$A:$A,$B11,Movimientos!$D:$D,CONCATENATE("&lt;=",SO$3),Movimientos!$C:$C,"&gt;0")+SUMIFS(Movimientos!$C:$C,Movimientos!$A:$A,$B11,Movimientos!$D:$D,CONCATENATE("&lt;",SO$3),Movimientos!$C:$C,"&lt;0")</f>
        <v>0</v>
      </c>
      <c r="SP11" s="5">
        <f ca="1">SUMIFS(Movimientos!$C:$C,Movimientos!$A:$A,$B11,Movimientos!$D:$D,CONCATENATE("&lt;=",SP$3),Movimientos!$C:$C,"&gt;0")+SUMIFS(Movimientos!$C:$C,Movimientos!$A:$A,$B11,Movimientos!$D:$D,CONCATENATE("&lt;",SP$3),Movimientos!$C:$C,"&lt;0")</f>
        <v>0</v>
      </c>
      <c r="SQ11" s="5">
        <f ca="1">SUMIFS(Movimientos!$C:$C,Movimientos!$A:$A,$B11,Movimientos!$D:$D,CONCATENATE("&lt;=",SQ$3),Movimientos!$C:$C,"&gt;0")+SUMIFS(Movimientos!$C:$C,Movimientos!$A:$A,$B11,Movimientos!$D:$D,CONCATENATE("&lt;",SQ$3),Movimientos!$C:$C,"&lt;0")</f>
        <v>0</v>
      </c>
      <c r="SR11" s="5">
        <f ca="1">SUMIFS(Movimientos!$C:$C,Movimientos!$A:$A,$B11,Movimientos!$D:$D,CONCATENATE("&lt;=",SR$3),Movimientos!$C:$C,"&gt;0")+SUMIFS(Movimientos!$C:$C,Movimientos!$A:$A,$B11,Movimientos!$D:$D,CONCATENATE("&lt;",SR$3),Movimientos!$C:$C,"&lt;0")</f>
        <v>0</v>
      </c>
      <c r="SS11" s="5">
        <f ca="1">SUMIFS(Movimientos!$C:$C,Movimientos!$A:$A,$B11,Movimientos!$D:$D,CONCATENATE("&lt;=",SS$3),Movimientos!$C:$C,"&gt;0")+SUMIFS(Movimientos!$C:$C,Movimientos!$A:$A,$B11,Movimientos!$D:$D,CONCATENATE("&lt;",SS$3),Movimientos!$C:$C,"&lt;0")</f>
        <v>0</v>
      </c>
      <c r="ST11" s="5">
        <f ca="1">SUMIFS(Movimientos!$C:$C,Movimientos!$A:$A,$B11,Movimientos!$D:$D,CONCATENATE("&lt;=",ST$3),Movimientos!$C:$C,"&gt;0")+SUMIFS(Movimientos!$C:$C,Movimientos!$A:$A,$B11,Movimientos!$D:$D,CONCATENATE("&lt;",ST$3),Movimientos!$C:$C,"&lt;0")</f>
        <v>0</v>
      </c>
      <c r="SU11" s="5">
        <f ca="1">SUMIFS(Movimientos!$C:$C,Movimientos!$A:$A,$B11,Movimientos!$D:$D,CONCATENATE("&lt;=",SU$3),Movimientos!$C:$C,"&gt;0")+SUMIFS(Movimientos!$C:$C,Movimientos!$A:$A,$B11,Movimientos!$D:$D,CONCATENATE("&lt;",SU$3),Movimientos!$C:$C,"&lt;0")</f>
        <v>0</v>
      </c>
      <c r="SV11" s="5">
        <f ca="1">SUMIFS(Movimientos!$C:$C,Movimientos!$A:$A,$B11,Movimientos!$D:$D,CONCATENATE("&lt;=",SV$3),Movimientos!$C:$C,"&gt;0")+SUMIFS(Movimientos!$C:$C,Movimientos!$A:$A,$B11,Movimientos!$D:$D,CONCATENATE("&lt;",SV$3),Movimientos!$C:$C,"&lt;0")</f>
        <v>0</v>
      </c>
      <c r="SW11" s="5">
        <f ca="1">SUMIFS(Movimientos!$C:$C,Movimientos!$A:$A,$B11,Movimientos!$D:$D,CONCATENATE("&lt;=",SW$3),Movimientos!$C:$C,"&gt;0")+SUMIFS(Movimientos!$C:$C,Movimientos!$A:$A,$B11,Movimientos!$D:$D,CONCATENATE("&lt;",SW$3),Movimientos!$C:$C,"&lt;0")</f>
        <v>0</v>
      </c>
      <c r="SX11" s="5">
        <f ca="1">SUMIFS(Movimientos!$C:$C,Movimientos!$A:$A,$B11,Movimientos!$D:$D,CONCATENATE("&lt;=",SX$3),Movimientos!$C:$C,"&gt;0")+SUMIFS(Movimientos!$C:$C,Movimientos!$A:$A,$B11,Movimientos!$D:$D,CONCATENATE("&lt;",SX$3),Movimientos!$C:$C,"&lt;0")</f>
        <v>0</v>
      </c>
      <c r="SY11" s="5">
        <f ca="1">SUMIFS(Movimientos!$C:$C,Movimientos!$A:$A,$B11,Movimientos!$D:$D,CONCATENATE("&lt;=",SY$3),Movimientos!$C:$C,"&gt;0")+SUMIFS(Movimientos!$C:$C,Movimientos!$A:$A,$B11,Movimientos!$D:$D,CONCATENATE("&lt;",SY$3),Movimientos!$C:$C,"&lt;0")</f>
        <v>0</v>
      </c>
      <c r="SZ11" s="5">
        <f ca="1">SUMIFS(Movimientos!$C:$C,Movimientos!$A:$A,$B11,Movimientos!$D:$D,CONCATENATE("&lt;=",SZ$3),Movimientos!$C:$C,"&gt;0")+SUMIFS(Movimientos!$C:$C,Movimientos!$A:$A,$B11,Movimientos!$D:$D,CONCATENATE("&lt;",SZ$3),Movimientos!$C:$C,"&lt;0")</f>
        <v>0</v>
      </c>
      <c r="TA11" s="5">
        <f ca="1">SUMIFS(Movimientos!$C:$C,Movimientos!$A:$A,$B11,Movimientos!$D:$D,CONCATENATE("&lt;=",TA$3),Movimientos!$C:$C,"&gt;0")+SUMIFS(Movimientos!$C:$C,Movimientos!$A:$A,$B11,Movimientos!$D:$D,CONCATENATE("&lt;",TA$3),Movimientos!$C:$C,"&lt;0")</f>
        <v>0</v>
      </c>
      <c r="TB11" s="5">
        <f ca="1">SUMIFS(Movimientos!$C:$C,Movimientos!$A:$A,$B11,Movimientos!$D:$D,CONCATENATE("&lt;=",TB$3),Movimientos!$C:$C,"&gt;0")+SUMIFS(Movimientos!$C:$C,Movimientos!$A:$A,$B11,Movimientos!$D:$D,CONCATENATE("&lt;",TB$3),Movimientos!$C:$C,"&lt;0")</f>
        <v>0</v>
      </c>
      <c r="TC11" s="5">
        <f ca="1">SUMIFS(Movimientos!$C:$C,Movimientos!$A:$A,$B11,Movimientos!$D:$D,CONCATENATE("&lt;=",TC$3),Movimientos!$C:$C,"&gt;0")+SUMIFS(Movimientos!$C:$C,Movimientos!$A:$A,$B11,Movimientos!$D:$D,CONCATENATE("&lt;",TC$3),Movimientos!$C:$C,"&lt;0")</f>
        <v>0</v>
      </c>
      <c r="TD11" s="5">
        <f ca="1">SUMIFS(Movimientos!$C:$C,Movimientos!$A:$A,$B11,Movimientos!$D:$D,CONCATENATE("&lt;=",TD$3),Movimientos!$C:$C,"&gt;0")+SUMIFS(Movimientos!$C:$C,Movimientos!$A:$A,$B11,Movimientos!$D:$D,CONCATENATE("&lt;",TD$3),Movimientos!$C:$C,"&lt;0")</f>
        <v>0</v>
      </c>
      <c r="TE11" s="5">
        <f ca="1">SUMIFS(Movimientos!$C:$C,Movimientos!$A:$A,$B11,Movimientos!$D:$D,CONCATENATE("&lt;=",TE$3),Movimientos!$C:$C,"&gt;0")+SUMIFS(Movimientos!$C:$C,Movimientos!$A:$A,$B11,Movimientos!$D:$D,CONCATENATE("&lt;",TE$3),Movimientos!$C:$C,"&lt;0")</f>
        <v>0</v>
      </c>
      <c r="TF11" s="5">
        <f ca="1">SUMIFS(Movimientos!$C:$C,Movimientos!$A:$A,$B11,Movimientos!$D:$D,CONCATENATE("&lt;=",TF$3),Movimientos!$C:$C,"&gt;0")+SUMIFS(Movimientos!$C:$C,Movimientos!$A:$A,$B11,Movimientos!$D:$D,CONCATENATE("&lt;",TF$3),Movimientos!$C:$C,"&lt;0")</f>
        <v>0</v>
      </c>
    </row>
    <row r="12" spans="1:526">
      <c r="A12" s="31" t="s">
        <v>48</v>
      </c>
      <c r="B12" s="4">
        <f>Cartera!B12</f>
        <v>0</v>
      </c>
      <c r="C12" s="4">
        <f>Cartera!C12</f>
        <v>0</v>
      </c>
      <c r="D12" s="5">
        <f ca="1">SUMIFS(Movimientos!$C:$C,Movimientos!$A:$A,$B12,Movimientos!$D:$D,CONCATENATE("&lt;=",D$3),Movimientos!$C:$C,"&gt;0")+SUMIFS(Movimientos!$C:$C,Movimientos!$A:$A,$B12,Movimientos!$D:$D,CONCATENATE("&lt;",D$3),Movimientos!$C:$C,"&lt;0")</f>
        <v>0</v>
      </c>
      <c r="E12" s="5">
        <f ca="1">SUMIFS(Movimientos!$C:$C,Movimientos!$A:$A,$B12,Movimientos!$D:$D,CONCATENATE("&lt;=",E$3),Movimientos!$C:$C,"&gt;0")+SUMIFS(Movimientos!$C:$C,Movimientos!$A:$A,$B12,Movimientos!$D:$D,CONCATENATE("&lt;",E$3),Movimientos!$C:$C,"&lt;0")</f>
        <v>0</v>
      </c>
      <c r="F12" s="5">
        <f ca="1">SUMIFS(Movimientos!$C:$C,Movimientos!$A:$A,$B12,Movimientos!$D:$D,CONCATENATE("&lt;=",F$3),Movimientos!$C:$C,"&gt;0")+SUMIFS(Movimientos!$C:$C,Movimientos!$A:$A,$B12,Movimientos!$D:$D,CONCATENATE("&lt;",F$3),Movimientos!$C:$C,"&lt;0")</f>
        <v>0</v>
      </c>
      <c r="G12" s="5">
        <f ca="1">SUMIFS(Movimientos!$C:$C,Movimientos!$A:$A,$B12,Movimientos!$D:$D,CONCATENATE("&lt;=",G$3),Movimientos!$C:$C,"&gt;0")+SUMIFS(Movimientos!$C:$C,Movimientos!$A:$A,$B12,Movimientos!$D:$D,CONCATENATE("&lt;",G$3),Movimientos!$C:$C,"&lt;0")</f>
        <v>0</v>
      </c>
      <c r="H12" s="5">
        <f ca="1">SUMIFS(Movimientos!$C:$C,Movimientos!$A:$A,$B12,Movimientos!$D:$D,CONCATENATE("&lt;=",H$3),Movimientos!$C:$C,"&gt;0")+SUMIFS(Movimientos!$C:$C,Movimientos!$A:$A,$B12,Movimientos!$D:$D,CONCATENATE("&lt;",H$3),Movimientos!$C:$C,"&lt;0")</f>
        <v>0</v>
      </c>
      <c r="I12" s="5">
        <f ca="1">SUMIFS(Movimientos!$C:$C,Movimientos!$A:$A,$B12,Movimientos!$D:$D,CONCATENATE("&lt;=",I$3),Movimientos!$C:$C,"&gt;0")+SUMIFS(Movimientos!$C:$C,Movimientos!$A:$A,$B12,Movimientos!$D:$D,CONCATENATE("&lt;",I$3),Movimientos!$C:$C,"&lt;0")</f>
        <v>0</v>
      </c>
      <c r="J12" s="5">
        <f ca="1">SUMIFS(Movimientos!$C:$C,Movimientos!$A:$A,$B12,Movimientos!$D:$D,CONCATENATE("&lt;=",J$3),Movimientos!$C:$C,"&gt;0")+SUMIFS(Movimientos!$C:$C,Movimientos!$A:$A,$B12,Movimientos!$D:$D,CONCATENATE("&lt;",J$3),Movimientos!$C:$C,"&lt;0")</f>
        <v>0</v>
      </c>
      <c r="K12" s="5">
        <f ca="1">SUMIFS(Movimientos!$C:$C,Movimientos!$A:$A,$B12,Movimientos!$D:$D,CONCATENATE("&lt;=",K$3),Movimientos!$C:$C,"&gt;0")+SUMIFS(Movimientos!$C:$C,Movimientos!$A:$A,$B12,Movimientos!$D:$D,CONCATENATE("&lt;",K$3),Movimientos!$C:$C,"&lt;0")</f>
        <v>0</v>
      </c>
      <c r="L12" s="5">
        <f ca="1">SUMIFS(Movimientos!$C:$C,Movimientos!$A:$A,$B12,Movimientos!$D:$D,CONCATENATE("&lt;=",L$3),Movimientos!$C:$C,"&gt;0")+SUMIFS(Movimientos!$C:$C,Movimientos!$A:$A,$B12,Movimientos!$D:$D,CONCATENATE("&lt;",L$3),Movimientos!$C:$C,"&lt;0")</f>
        <v>0</v>
      </c>
      <c r="M12" s="5">
        <f ca="1">SUMIFS(Movimientos!$C:$C,Movimientos!$A:$A,$B12,Movimientos!$D:$D,CONCATENATE("&lt;=",M$3),Movimientos!$C:$C,"&gt;0")+SUMIFS(Movimientos!$C:$C,Movimientos!$A:$A,$B12,Movimientos!$D:$D,CONCATENATE("&lt;",M$3),Movimientos!$C:$C,"&lt;0")</f>
        <v>0</v>
      </c>
      <c r="N12" s="5">
        <f ca="1">SUMIFS(Movimientos!$C:$C,Movimientos!$A:$A,$B12,Movimientos!$D:$D,CONCATENATE("&lt;=",N$3),Movimientos!$C:$C,"&gt;0")+SUMIFS(Movimientos!$C:$C,Movimientos!$A:$A,$B12,Movimientos!$D:$D,CONCATENATE("&lt;",N$3),Movimientos!$C:$C,"&lt;0")</f>
        <v>0</v>
      </c>
      <c r="O12" s="5">
        <f ca="1">SUMIFS(Movimientos!$C:$C,Movimientos!$A:$A,$B12,Movimientos!$D:$D,CONCATENATE("&lt;=",O$3),Movimientos!$C:$C,"&gt;0")+SUMIFS(Movimientos!$C:$C,Movimientos!$A:$A,$B12,Movimientos!$D:$D,CONCATENATE("&lt;",O$3),Movimientos!$C:$C,"&lt;0")</f>
        <v>0</v>
      </c>
      <c r="P12" s="5">
        <f ca="1">SUMIFS(Movimientos!$C:$C,Movimientos!$A:$A,$B12,Movimientos!$D:$D,CONCATENATE("&lt;=",P$3),Movimientos!$C:$C,"&gt;0")+SUMIFS(Movimientos!$C:$C,Movimientos!$A:$A,$B12,Movimientos!$D:$D,CONCATENATE("&lt;",P$3),Movimientos!$C:$C,"&lt;0")</f>
        <v>0</v>
      </c>
      <c r="Q12" s="5">
        <f ca="1">SUMIFS(Movimientos!$C:$C,Movimientos!$A:$A,$B12,Movimientos!$D:$D,CONCATENATE("&lt;=",Q$3),Movimientos!$C:$C,"&gt;0")+SUMIFS(Movimientos!$C:$C,Movimientos!$A:$A,$B12,Movimientos!$D:$D,CONCATENATE("&lt;",Q$3),Movimientos!$C:$C,"&lt;0")</f>
        <v>0</v>
      </c>
      <c r="R12" s="5">
        <f ca="1">SUMIFS(Movimientos!$C:$C,Movimientos!$A:$A,$B12,Movimientos!$D:$D,CONCATENATE("&lt;=",R$3),Movimientos!$C:$C,"&gt;0")+SUMIFS(Movimientos!$C:$C,Movimientos!$A:$A,$B12,Movimientos!$D:$D,CONCATENATE("&lt;",R$3),Movimientos!$C:$C,"&lt;0")</f>
        <v>0</v>
      </c>
      <c r="S12" s="5">
        <f ca="1">SUMIFS(Movimientos!$C:$C,Movimientos!$A:$A,$B12,Movimientos!$D:$D,CONCATENATE("&lt;=",S$3),Movimientos!$C:$C,"&gt;0")+SUMIFS(Movimientos!$C:$C,Movimientos!$A:$A,$B12,Movimientos!$D:$D,CONCATENATE("&lt;",S$3),Movimientos!$C:$C,"&lt;0")</f>
        <v>0</v>
      </c>
      <c r="T12" s="5">
        <f ca="1">SUMIFS(Movimientos!$C:$C,Movimientos!$A:$A,$B12,Movimientos!$D:$D,CONCATENATE("&lt;=",T$3),Movimientos!$C:$C,"&gt;0")+SUMIFS(Movimientos!$C:$C,Movimientos!$A:$A,$B12,Movimientos!$D:$D,CONCATENATE("&lt;",T$3),Movimientos!$C:$C,"&lt;0")</f>
        <v>0</v>
      </c>
      <c r="U12" s="5">
        <f ca="1">SUMIFS(Movimientos!$C:$C,Movimientos!$A:$A,$B12,Movimientos!$D:$D,CONCATENATE("&lt;=",U$3),Movimientos!$C:$C,"&gt;0")+SUMIFS(Movimientos!$C:$C,Movimientos!$A:$A,$B12,Movimientos!$D:$D,CONCATENATE("&lt;",U$3),Movimientos!$C:$C,"&lt;0")</f>
        <v>0</v>
      </c>
      <c r="V12" s="5">
        <f ca="1">SUMIFS(Movimientos!$C:$C,Movimientos!$A:$A,$B12,Movimientos!$D:$D,CONCATENATE("&lt;=",V$3),Movimientos!$C:$C,"&gt;0")+SUMIFS(Movimientos!$C:$C,Movimientos!$A:$A,$B12,Movimientos!$D:$D,CONCATENATE("&lt;",V$3),Movimientos!$C:$C,"&lt;0")</f>
        <v>0</v>
      </c>
      <c r="W12" s="5">
        <f ca="1">SUMIFS(Movimientos!$C:$C,Movimientos!$A:$A,$B12,Movimientos!$D:$D,CONCATENATE("&lt;=",W$3),Movimientos!$C:$C,"&gt;0")+SUMIFS(Movimientos!$C:$C,Movimientos!$A:$A,$B12,Movimientos!$D:$D,CONCATENATE("&lt;",W$3),Movimientos!$C:$C,"&lt;0")</f>
        <v>0</v>
      </c>
      <c r="X12" s="5">
        <f ca="1">SUMIFS(Movimientos!$C:$C,Movimientos!$A:$A,$B12,Movimientos!$D:$D,CONCATENATE("&lt;=",X$3),Movimientos!$C:$C,"&gt;0")+SUMIFS(Movimientos!$C:$C,Movimientos!$A:$A,$B12,Movimientos!$D:$D,CONCATENATE("&lt;",X$3),Movimientos!$C:$C,"&lt;0")</f>
        <v>0</v>
      </c>
      <c r="Y12" s="5">
        <f ca="1">SUMIFS(Movimientos!$C:$C,Movimientos!$A:$A,$B12,Movimientos!$D:$D,CONCATENATE("&lt;=",Y$3),Movimientos!$C:$C,"&gt;0")+SUMIFS(Movimientos!$C:$C,Movimientos!$A:$A,$B12,Movimientos!$D:$D,CONCATENATE("&lt;",Y$3),Movimientos!$C:$C,"&lt;0")</f>
        <v>0</v>
      </c>
      <c r="Z12" s="5">
        <f ca="1">SUMIFS(Movimientos!$C:$C,Movimientos!$A:$A,$B12,Movimientos!$D:$D,CONCATENATE("&lt;=",Z$3),Movimientos!$C:$C,"&gt;0")+SUMIFS(Movimientos!$C:$C,Movimientos!$A:$A,$B12,Movimientos!$D:$D,CONCATENATE("&lt;",Z$3),Movimientos!$C:$C,"&lt;0")</f>
        <v>0</v>
      </c>
      <c r="AA12" s="5">
        <f ca="1">SUMIFS(Movimientos!$C:$C,Movimientos!$A:$A,$B12,Movimientos!$D:$D,CONCATENATE("&lt;=",AA$3),Movimientos!$C:$C,"&gt;0")+SUMIFS(Movimientos!$C:$C,Movimientos!$A:$A,$B12,Movimientos!$D:$D,CONCATENATE("&lt;",AA$3),Movimientos!$C:$C,"&lt;0")</f>
        <v>0</v>
      </c>
      <c r="AB12" s="5">
        <f ca="1">SUMIFS(Movimientos!$C:$C,Movimientos!$A:$A,$B12,Movimientos!$D:$D,CONCATENATE("&lt;=",AB$3),Movimientos!$C:$C,"&gt;0")+SUMIFS(Movimientos!$C:$C,Movimientos!$A:$A,$B12,Movimientos!$D:$D,CONCATENATE("&lt;",AB$3),Movimientos!$C:$C,"&lt;0")</f>
        <v>0</v>
      </c>
      <c r="AC12" s="5">
        <f ca="1">SUMIFS(Movimientos!$C:$C,Movimientos!$A:$A,$B12,Movimientos!$D:$D,CONCATENATE("&lt;=",AC$3),Movimientos!$C:$C,"&gt;0")+SUMIFS(Movimientos!$C:$C,Movimientos!$A:$A,$B12,Movimientos!$D:$D,CONCATENATE("&lt;",AC$3),Movimientos!$C:$C,"&lt;0")</f>
        <v>0</v>
      </c>
      <c r="AD12" s="5">
        <f ca="1">SUMIFS(Movimientos!$C:$C,Movimientos!$A:$A,$B12,Movimientos!$D:$D,CONCATENATE("&lt;=",AD$3),Movimientos!$C:$C,"&gt;0")+SUMIFS(Movimientos!$C:$C,Movimientos!$A:$A,$B12,Movimientos!$D:$D,CONCATENATE("&lt;",AD$3),Movimientos!$C:$C,"&lt;0")</f>
        <v>0</v>
      </c>
      <c r="AE12" s="5">
        <f ca="1">SUMIFS(Movimientos!$C:$C,Movimientos!$A:$A,$B12,Movimientos!$D:$D,CONCATENATE("&lt;=",AE$3),Movimientos!$C:$C,"&gt;0")+SUMIFS(Movimientos!$C:$C,Movimientos!$A:$A,$B12,Movimientos!$D:$D,CONCATENATE("&lt;",AE$3),Movimientos!$C:$C,"&lt;0")</f>
        <v>0</v>
      </c>
      <c r="AF12" s="5">
        <f ca="1">SUMIFS(Movimientos!$C:$C,Movimientos!$A:$A,$B12,Movimientos!$D:$D,CONCATENATE("&lt;=",AF$3),Movimientos!$C:$C,"&gt;0")+SUMIFS(Movimientos!$C:$C,Movimientos!$A:$A,$B12,Movimientos!$D:$D,CONCATENATE("&lt;",AF$3),Movimientos!$C:$C,"&lt;0")</f>
        <v>0</v>
      </c>
      <c r="AG12" s="5">
        <f ca="1">SUMIFS(Movimientos!$C:$C,Movimientos!$A:$A,$B12,Movimientos!$D:$D,CONCATENATE("&lt;=",AG$3),Movimientos!$C:$C,"&gt;0")+SUMIFS(Movimientos!$C:$C,Movimientos!$A:$A,$B12,Movimientos!$D:$D,CONCATENATE("&lt;",AG$3),Movimientos!$C:$C,"&lt;0")</f>
        <v>0</v>
      </c>
      <c r="AH12" s="5">
        <f ca="1">SUMIFS(Movimientos!$C:$C,Movimientos!$A:$A,$B12,Movimientos!$D:$D,CONCATENATE("&lt;=",AH$3),Movimientos!$C:$C,"&gt;0")+SUMIFS(Movimientos!$C:$C,Movimientos!$A:$A,$B12,Movimientos!$D:$D,CONCATENATE("&lt;",AH$3),Movimientos!$C:$C,"&lt;0")</f>
        <v>0</v>
      </c>
      <c r="AI12" s="5">
        <f ca="1">SUMIFS(Movimientos!$C:$C,Movimientos!$A:$A,$B12,Movimientos!$D:$D,CONCATENATE("&lt;=",AI$3),Movimientos!$C:$C,"&gt;0")+SUMIFS(Movimientos!$C:$C,Movimientos!$A:$A,$B12,Movimientos!$D:$D,CONCATENATE("&lt;",AI$3),Movimientos!$C:$C,"&lt;0")</f>
        <v>0</v>
      </c>
      <c r="AJ12" s="5">
        <f ca="1">SUMIFS(Movimientos!$C:$C,Movimientos!$A:$A,$B12,Movimientos!$D:$D,CONCATENATE("&lt;=",AJ$3),Movimientos!$C:$C,"&gt;0")+SUMIFS(Movimientos!$C:$C,Movimientos!$A:$A,$B12,Movimientos!$D:$D,CONCATENATE("&lt;",AJ$3),Movimientos!$C:$C,"&lt;0")</f>
        <v>0</v>
      </c>
      <c r="AK12" s="5">
        <f ca="1">SUMIFS(Movimientos!$C:$C,Movimientos!$A:$A,$B12,Movimientos!$D:$D,CONCATENATE("&lt;=",AK$3),Movimientos!$C:$C,"&gt;0")+SUMIFS(Movimientos!$C:$C,Movimientos!$A:$A,$B12,Movimientos!$D:$D,CONCATENATE("&lt;",AK$3),Movimientos!$C:$C,"&lt;0")</f>
        <v>0</v>
      </c>
      <c r="AL12" s="5">
        <f ca="1">SUMIFS(Movimientos!$C:$C,Movimientos!$A:$A,$B12,Movimientos!$D:$D,CONCATENATE("&lt;=",AL$3),Movimientos!$C:$C,"&gt;0")+SUMIFS(Movimientos!$C:$C,Movimientos!$A:$A,$B12,Movimientos!$D:$D,CONCATENATE("&lt;",AL$3),Movimientos!$C:$C,"&lt;0")</f>
        <v>0</v>
      </c>
      <c r="AM12" s="5">
        <f ca="1">SUMIFS(Movimientos!$C:$C,Movimientos!$A:$A,$B12,Movimientos!$D:$D,CONCATENATE("&lt;=",AM$3),Movimientos!$C:$C,"&gt;0")+SUMIFS(Movimientos!$C:$C,Movimientos!$A:$A,$B12,Movimientos!$D:$D,CONCATENATE("&lt;",AM$3),Movimientos!$C:$C,"&lt;0")</f>
        <v>0</v>
      </c>
      <c r="AN12" s="5">
        <f ca="1">SUMIFS(Movimientos!$C:$C,Movimientos!$A:$A,$B12,Movimientos!$D:$D,CONCATENATE("&lt;=",AN$3),Movimientos!$C:$C,"&gt;0")+SUMIFS(Movimientos!$C:$C,Movimientos!$A:$A,$B12,Movimientos!$D:$D,CONCATENATE("&lt;",AN$3),Movimientos!$C:$C,"&lt;0")</f>
        <v>0</v>
      </c>
      <c r="AO12" s="5">
        <f ca="1">SUMIFS(Movimientos!$C:$C,Movimientos!$A:$A,$B12,Movimientos!$D:$D,CONCATENATE("&lt;=",AO$3),Movimientos!$C:$C,"&gt;0")+SUMIFS(Movimientos!$C:$C,Movimientos!$A:$A,$B12,Movimientos!$D:$D,CONCATENATE("&lt;",AO$3),Movimientos!$C:$C,"&lt;0")</f>
        <v>0</v>
      </c>
      <c r="AP12" s="5">
        <f ca="1">SUMIFS(Movimientos!$C:$C,Movimientos!$A:$A,$B12,Movimientos!$D:$D,CONCATENATE("&lt;=",AP$3),Movimientos!$C:$C,"&gt;0")+SUMIFS(Movimientos!$C:$C,Movimientos!$A:$A,$B12,Movimientos!$D:$D,CONCATENATE("&lt;",AP$3),Movimientos!$C:$C,"&lt;0")</f>
        <v>0</v>
      </c>
      <c r="AQ12" s="5">
        <f ca="1">SUMIFS(Movimientos!$C:$C,Movimientos!$A:$A,$B12,Movimientos!$D:$D,CONCATENATE("&lt;=",AQ$3),Movimientos!$C:$C,"&gt;0")+SUMIFS(Movimientos!$C:$C,Movimientos!$A:$A,$B12,Movimientos!$D:$D,CONCATENATE("&lt;",AQ$3),Movimientos!$C:$C,"&lt;0")</f>
        <v>0</v>
      </c>
      <c r="AR12" s="5">
        <f ca="1">SUMIFS(Movimientos!$C:$C,Movimientos!$A:$A,$B12,Movimientos!$D:$D,CONCATENATE("&lt;=",AR$3),Movimientos!$C:$C,"&gt;0")+SUMIFS(Movimientos!$C:$C,Movimientos!$A:$A,$B12,Movimientos!$D:$D,CONCATENATE("&lt;",AR$3),Movimientos!$C:$C,"&lt;0")</f>
        <v>0</v>
      </c>
      <c r="AS12" s="5">
        <f ca="1">SUMIFS(Movimientos!$C:$C,Movimientos!$A:$A,$B12,Movimientos!$D:$D,CONCATENATE("&lt;=",AS$3),Movimientos!$C:$C,"&gt;0")+SUMIFS(Movimientos!$C:$C,Movimientos!$A:$A,$B12,Movimientos!$D:$D,CONCATENATE("&lt;",AS$3),Movimientos!$C:$C,"&lt;0")</f>
        <v>0</v>
      </c>
      <c r="AT12" s="5">
        <f ca="1">SUMIFS(Movimientos!$C:$C,Movimientos!$A:$A,$B12,Movimientos!$D:$D,CONCATENATE("&lt;=",AT$3),Movimientos!$C:$C,"&gt;0")+SUMIFS(Movimientos!$C:$C,Movimientos!$A:$A,$B12,Movimientos!$D:$D,CONCATENATE("&lt;",AT$3),Movimientos!$C:$C,"&lt;0")</f>
        <v>0</v>
      </c>
      <c r="AU12" s="5">
        <f ca="1">SUMIFS(Movimientos!$C:$C,Movimientos!$A:$A,$B12,Movimientos!$D:$D,CONCATENATE("&lt;=",AU$3),Movimientos!$C:$C,"&gt;0")+SUMIFS(Movimientos!$C:$C,Movimientos!$A:$A,$B12,Movimientos!$D:$D,CONCATENATE("&lt;",AU$3),Movimientos!$C:$C,"&lt;0")</f>
        <v>0</v>
      </c>
      <c r="AV12" s="5">
        <f ca="1">SUMIFS(Movimientos!$C:$C,Movimientos!$A:$A,$B12,Movimientos!$D:$D,CONCATENATE("&lt;=",AV$3),Movimientos!$C:$C,"&gt;0")+SUMIFS(Movimientos!$C:$C,Movimientos!$A:$A,$B12,Movimientos!$D:$D,CONCATENATE("&lt;",AV$3),Movimientos!$C:$C,"&lt;0")</f>
        <v>0</v>
      </c>
      <c r="AW12" s="5">
        <f ca="1">SUMIFS(Movimientos!$C:$C,Movimientos!$A:$A,$B12,Movimientos!$D:$D,CONCATENATE("&lt;=",AW$3),Movimientos!$C:$C,"&gt;0")+SUMIFS(Movimientos!$C:$C,Movimientos!$A:$A,$B12,Movimientos!$D:$D,CONCATENATE("&lt;",AW$3),Movimientos!$C:$C,"&lt;0")</f>
        <v>0</v>
      </c>
      <c r="AX12" s="5">
        <f ca="1">SUMIFS(Movimientos!$C:$C,Movimientos!$A:$A,$B12,Movimientos!$D:$D,CONCATENATE("&lt;=",AX$3),Movimientos!$C:$C,"&gt;0")+SUMIFS(Movimientos!$C:$C,Movimientos!$A:$A,$B12,Movimientos!$D:$D,CONCATENATE("&lt;",AX$3),Movimientos!$C:$C,"&lt;0")</f>
        <v>0</v>
      </c>
      <c r="AY12" s="5">
        <f ca="1">SUMIFS(Movimientos!$C:$C,Movimientos!$A:$A,$B12,Movimientos!$D:$D,CONCATENATE("&lt;=",AY$3),Movimientos!$C:$C,"&gt;0")+SUMIFS(Movimientos!$C:$C,Movimientos!$A:$A,$B12,Movimientos!$D:$D,CONCATENATE("&lt;",AY$3),Movimientos!$C:$C,"&lt;0")</f>
        <v>0</v>
      </c>
      <c r="AZ12" s="5">
        <f ca="1">SUMIFS(Movimientos!$C:$C,Movimientos!$A:$A,$B12,Movimientos!$D:$D,CONCATENATE("&lt;=",AZ$3),Movimientos!$C:$C,"&gt;0")+SUMIFS(Movimientos!$C:$C,Movimientos!$A:$A,$B12,Movimientos!$D:$D,CONCATENATE("&lt;",AZ$3),Movimientos!$C:$C,"&lt;0")</f>
        <v>0</v>
      </c>
      <c r="BA12" s="5">
        <f ca="1">SUMIFS(Movimientos!$C:$C,Movimientos!$A:$A,$B12,Movimientos!$D:$D,CONCATENATE("&lt;=",BA$3),Movimientos!$C:$C,"&gt;0")+SUMIFS(Movimientos!$C:$C,Movimientos!$A:$A,$B12,Movimientos!$D:$D,CONCATENATE("&lt;",BA$3),Movimientos!$C:$C,"&lt;0")</f>
        <v>0</v>
      </c>
      <c r="BB12" s="5">
        <f ca="1">SUMIFS(Movimientos!$C:$C,Movimientos!$A:$A,$B12,Movimientos!$D:$D,CONCATENATE("&lt;=",BB$3),Movimientos!$C:$C,"&gt;0")+SUMIFS(Movimientos!$C:$C,Movimientos!$A:$A,$B12,Movimientos!$D:$D,CONCATENATE("&lt;",BB$3),Movimientos!$C:$C,"&lt;0")</f>
        <v>0</v>
      </c>
      <c r="BC12" s="5">
        <f ca="1">SUMIFS(Movimientos!$C:$C,Movimientos!$A:$A,$B12,Movimientos!$D:$D,CONCATENATE("&lt;=",BC$3),Movimientos!$C:$C,"&gt;0")+SUMIFS(Movimientos!$C:$C,Movimientos!$A:$A,$B12,Movimientos!$D:$D,CONCATENATE("&lt;",BC$3),Movimientos!$C:$C,"&lt;0")</f>
        <v>0</v>
      </c>
      <c r="BD12" s="5">
        <f ca="1">SUMIFS(Movimientos!$C:$C,Movimientos!$A:$A,$B12,Movimientos!$D:$D,CONCATENATE("&lt;=",BD$3),Movimientos!$C:$C,"&gt;0")+SUMIFS(Movimientos!$C:$C,Movimientos!$A:$A,$B12,Movimientos!$D:$D,CONCATENATE("&lt;",BD$3),Movimientos!$C:$C,"&lt;0")</f>
        <v>0</v>
      </c>
      <c r="BE12" s="5">
        <f ca="1">SUMIFS(Movimientos!$C:$C,Movimientos!$A:$A,$B12,Movimientos!$D:$D,CONCATENATE("&lt;=",BE$3),Movimientos!$C:$C,"&gt;0")+SUMIFS(Movimientos!$C:$C,Movimientos!$A:$A,$B12,Movimientos!$D:$D,CONCATENATE("&lt;",BE$3),Movimientos!$C:$C,"&lt;0")</f>
        <v>0</v>
      </c>
      <c r="BF12" s="5">
        <f ca="1">SUMIFS(Movimientos!$C:$C,Movimientos!$A:$A,$B12,Movimientos!$D:$D,CONCATENATE("&lt;=",BF$3),Movimientos!$C:$C,"&gt;0")+SUMIFS(Movimientos!$C:$C,Movimientos!$A:$A,$B12,Movimientos!$D:$D,CONCATENATE("&lt;",BF$3),Movimientos!$C:$C,"&lt;0")</f>
        <v>0</v>
      </c>
      <c r="BG12" s="5">
        <f ca="1">SUMIFS(Movimientos!$C:$C,Movimientos!$A:$A,$B12,Movimientos!$D:$D,CONCATENATE("&lt;=",BG$3),Movimientos!$C:$C,"&gt;0")+SUMIFS(Movimientos!$C:$C,Movimientos!$A:$A,$B12,Movimientos!$D:$D,CONCATENATE("&lt;",BG$3),Movimientos!$C:$C,"&lt;0")</f>
        <v>0</v>
      </c>
      <c r="BH12" s="5">
        <f ca="1">SUMIFS(Movimientos!$C:$C,Movimientos!$A:$A,$B12,Movimientos!$D:$D,CONCATENATE("&lt;=",BH$3),Movimientos!$C:$C,"&gt;0")+SUMIFS(Movimientos!$C:$C,Movimientos!$A:$A,$B12,Movimientos!$D:$D,CONCATENATE("&lt;",BH$3),Movimientos!$C:$C,"&lt;0")</f>
        <v>0</v>
      </c>
      <c r="BI12" s="5">
        <f ca="1">SUMIFS(Movimientos!$C:$C,Movimientos!$A:$A,$B12,Movimientos!$D:$D,CONCATENATE("&lt;=",BI$3),Movimientos!$C:$C,"&gt;0")+SUMIFS(Movimientos!$C:$C,Movimientos!$A:$A,$B12,Movimientos!$D:$D,CONCATENATE("&lt;",BI$3),Movimientos!$C:$C,"&lt;0")</f>
        <v>0</v>
      </c>
      <c r="BJ12" s="5">
        <f ca="1">SUMIFS(Movimientos!$C:$C,Movimientos!$A:$A,$B12,Movimientos!$D:$D,CONCATENATE("&lt;=",BJ$3),Movimientos!$C:$C,"&gt;0")+SUMIFS(Movimientos!$C:$C,Movimientos!$A:$A,$B12,Movimientos!$D:$D,CONCATENATE("&lt;",BJ$3),Movimientos!$C:$C,"&lt;0")</f>
        <v>0</v>
      </c>
      <c r="BK12" s="5">
        <f ca="1">SUMIFS(Movimientos!$C:$C,Movimientos!$A:$A,$B12,Movimientos!$D:$D,CONCATENATE("&lt;=",BK$3),Movimientos!$C:$C,"&gt;0")+SUMIFS(Movimientos!$C:$C,Movimientos!$A:$A,$B12,Movimientos!$D:$D,CONCATENATE("&lt;",BK$3),Movimientos!$C:$C,"&lt;0")</f>
        <v>0</v>
      </c>
      <c r="BL12" s="5">
        <f ca="1">SUMIFS(Movimientos!$C:$C,Movimientos!$A:$A,$B12,Movimientos!$D:$D,CONCATENATE("&lt;=",BL$3),Movimientos!$C:$C,"&gt;0")+SUMIFS(Movimientos!$C:$C,Movimientos!$A:$A,$B12,Movimientos!$D:$D,CONCATENATE("&lt;",BL$3),Movimientos!$C:$C,"&lt;0")</f>
        <v>0</v>
      </c>
      <c r="BM12" s="5">
        <f ca="1">SUMIFS(Movimientos!$C:$C,Movimientos!$A:$A,$B12,Movimientos!$D:$D,CONCATENATE("&lt;=",BM$3),Movimientos!$C:$C,"&gt;0")+SUMIFS(Movimientos!$C:$C,Movimientos!$A:$A,$B12,Movimientos!$D:$D,CONCATENATE("&lt;",BM$3),Movimientos!$C:$C,"&lt;0")</f>
        <v>0</v>
      </c>
      <c r="BN12" s="5">
        <f ca="1">SUMIFS(Movimientos!$C:$C,Movimientos!$A:$A,$B12,Movimientos!$D:$D,CONCATENATE("&lt;=",BN$3),Movimientos!$C:$C,"&gt;0")+SUMIFS(Movimientos!$C:$C,Movimientos!$A:$A,$B12,Movimientos!$D:$D,CONCATENATE("&lt;",BN$3),Movimientos!$C:$C,"&lt;0")</f>
        <v>0</v>
      </c>
      <c r="BO12" s="5">
        <f ca="1">SUMIFS(Movimientos!$C:$C,Movimientos!$A:$A,$B12,Movimientos!$D:$D,CONCATENATE("&lt;=",BO$3),Movimientos!$C:$C,"&gt;0")+SUMIFS(Movimientos!$C:$C,Movimientos!$A:$A,$B12,Movimientos!$D:$D,CONCATENATE("&lt;",BO$3),Movimientos!$C:$C,"&lt;0")</f>
        <v>0</v>
      </c>
      <c r="BP12" s="5">
        <f ca="1">SUMIFS(Movimientos!$C:$C,Movimientos!$A:$A,$B12,Movimientos!$D:$D,CONCATENATE("&lt;=",BP$3),Movimientos!$C:$C,"&gt;0")+SUMIFS(Movimientos!$C:$C,Movimientos!$A:$A,$B12,Movimientos!$D:$D,CONCATENATE("&lt;",BP$3),Movimientos!$C:$C,"&lt;0")</f>
        <v>0</v>
      </c>
      <c r="BQ12" s="5">
        <f ca="1">SUMIFS(Movimientos!$C:$C,Movimientos!$A:$A,$B12,Movimientos!$D:$D,CONCATENATE("&lt;=",BQ$3),Movimientos!$C:$C,"&gt;0")+SUMIFS(Movimientos!$C:$C,Movimientos!$A:$A,$B12,Movimientos!$D:$D,CONCATENATE("&lt;",BQ$3),Movimientos!$C:$C,"&lt;0")</f>
        <v>0</v>
      </c>
      <c r="BR12" s="5">
        <f ca="1">SUMIFS(Movimientos!$C:$C,Movimientos!$A:$A,$B12,Movimientos!$D:$D,CONCATENATE("&lt;=",BR$3),Movimientos!$C:$C,"&gt;0")+SUMIFS(Movimientos!$C:$C,Movimientos!$A:$A,$B12,Movimientos!$D:$D,CONCATENATE("&lt;",BR$3),Movimientos!$C:$C,"&lt;0")</f>
        <v>0</v>
      </c>
      <c r="BS12" s="5">
        <f ca="1">SUMIFS(Movimientos!$C:$C,Movimientos!$A:$A,$B12,Movimientos!$D:$D,CONCATENATE("&lt;=",BS$3),Movimientos!$C:$C,"&gt;0")+SUMIFS(Movimientos!$C:$C,Movimientos!$A:$A,$B12,Movimientos!$D:$D,CONCATENATE("&lt;",BS$3),Movimientos!$C:$C,"&lt;0")</f>
        <v>0</v>
      </c>
      <c r="BT12" s="5">
        <f ca="1">SUMIFS(Movimientos!$C:$C,Movimientos!$A:$A,$B12,Movimientos!$D:$D,CONCATENATE("&lt;=",BT$3),Movimientos!$C:$C,"&gt;0")+SUMIFS(Movimientos!$C:$C,Movimientos!$A:$A,$B12,Movimientos!$D:$D,CONCATENATE("&lt;",BT$3),Movimientos!$C:$C,"&lt;0")</f>
        <v>0</v>
      </c>
      <c r="BU12" s="5">
        <f ca="1">SUMIFS(Movimientos!$C:$C,Movimientos!$A:$A,$B12,Movimientos!$D:$D,CONCATENATE("&lt;=",BU$3),Movimientos!$C:$C,"&gt;0")+SUMIFS(Movimientos!$C:$C,Movimientos!$A:$A,$B12,Movimientos!$D:$D,CONCATENATE("&lt;",BU$3),Movimientos!$C:$C,"&lt;0")</f>
        <v>0</v>
      </c>
      <c r="BV12" s="5">
        <f ca="1">SUMIFS(Movimientos!$C:$C,Movimientos!$A:$A,$B12,Movimientos!$D:$D,CONCATENATE("&lt;=",BV$3),Movimientos!$C:$C,"&gt;0")+SUMIFS(Movimientos!$C:$C,Movimientos!$A:$A,$B12,Movimientos!$D:$D,CONCATENATE("&lt;",BV$3),Movimientos!$C:$C,"&lt;0")</f>
        <v>0</v>
      </c>
      <c r="BW12" s="5">
        <f ca="1">SUMIFS(Movimientos!$C:$C,Movimientos!$A:$A,$B12,Movimientos!$D:$D,CONCATENATE("&lt;=",BW$3),Movimientos!$C:$C,"&gt;0")+SUMIFS(Movimientos!$C:$C,Movimientos!$A:$A,$B12,Movimientos!$D:$D,CONCATENATE("&lt;",BW$3),Movimientos!$C:$C,"&lt;0")</f>
        <v>0</v>
      </c>
      <c r="BX12" s="5">
        <f ca="1">SUMIFS(Movimientos!$C:$C,Movimientos!$A:$A,$B12,Movimientos!$D:$D,CONCATENATE("&lt;=",BX$3),Movimientos!$C:$C,"&gt;0")+SUMIFS(Movimientos!$C:$C,Movimientos!$A:$A,$B12,Movimientos!$D:$D,CONCATENATE("&lt;",BX$3),Movimientos!$C:$C,"&lt;0")</f>
        <v>0</v>
      </c>
      <c r="BY12" s="5">
        <f ca="1">SUMIFS(Movimientos!$C:$C,Movimientos!$A:$A,$B12,Movimientos!$D:$D,CONCATENATE("&lt;=",BY$3),Movimientos!$C:$C,"&gt;0")+SUMIFS(Movimientos!$C:$C,Movimientos!$A:$A,$B12,Movimientos!$D:$D,CONCATENATE("&lt;",BY$3),Movimientos!$C:$C,"&lt;0")</f>
        <v>0</v>
      </c>
      <c r="BZ12" s="5">
        <f ca="1">SUMIFS(Movimientos!$C:$C,Movimientos!$A:$A,$B12,Movimientos!$D:$D,CONCATENATE("&lt;=",BZ$3),Movimientos!$C:$C,"&gt;0")+SUMIFS(Movimientos!$C:$C,Movimientos!$A:$A,$B12,Movimientos!$D:$D,CONCATENATE("&lt;",BZ$3),Movimientos!$C:$C,"&lt;0")</f>
        <v>0</v>
      </c>
      <c r="CA12" s="5">
        <f ca="1">SUMIFS(Movimientos!$C:$C,Movimientos!$A:$A,$B12,Movimientos!$D:$D,CONCATENATE("&lt;=",CA$3),Movimientos!$C:$C,"&gt;0")+SUMIFS(Movimientos!$C:$C,Movimientos!$A:$A,$B12,Movimientos!$D:$D,CONCATENATE("&lt;",CA$3),Movimientos!$C:$C,"&lt;0")</f>
        <v>0</v>
      </c>
      <c r="CB12" s="5">
        <f ca="1">SUMIFS(Movimientos!$C:$C,Movimientos!$A:$A,$B12,Movimientos!$D:$D,CONCATENATE("&lt;=",CB$3),Movimientos!$C:$C,"&gt;0")+SUMIFS(Movimientos!$C:$C,Movimientos!$A:$A,$B12,Movimientos!$D:$D,CONCATENATE("&lt;",CB$3),Movimientos!$C:$C,"&lt;0")</f>
        <v>0</v>
      </c>
      <c r="CC12" s="5">
        <f ca="1">SUMIFS(Movimientos!$C:$C,Movimientos!$A:$A,$B12,Movimientos!$D:$D,CONCATENATE("&lt;=",CC$3),Movimientos!$C:$C,"&gt;0")+SUMIFS(Movimientos!$C:$C,Movimientos!$A:$A,$B12,Movimientos!$D:$D,CONCATENATE("&lt;",CC$3),Movimientos!$C:$C,"&lt;0")</f>
        <v>0</v>
      </c>
      <c r="CD12" s="5">
        <f ca="1">SUMIFS(Movimientos!$C:$C,Movimientos!$A:$A,$B12,Movimientos!$D:$D,CONCATENATE("&lt;=",CD$3),Movimientos!$C:$C,"&gt;0")+SUMIFS(Movimientos!$C:$C,Movimientos!$A:$A,$B12,Movimientos!$D:$D,CONCATENATE("&lt;",CD$3),Movimientos!$C:$C,"&lt;0")</f>
        <v>0</v>
      </c>
      <c r="CE12" s="5">
        <f ca="1">SUMIFS(Movimientos!$C:$C,Movimientos!$A:$A,$B12,Movimientos!$D:$D,CONCATENATE("&lt;=",CE$3),Movimientos!$C:$C,"&gt;0")+SUMIFS(Movimientos!$C:$C,Movimientos!$A:$A,$B12,Movimientos!$D:$D,CONCATENATE("&lt;",CE$3),Movimientos!$C:$C,"&lt;0")</f>
        <v>0</v>
      </c>
      <c r="CF12" s="5">
        <f ca="1">SUMIFS(Movimientos!$C:$C,Movimientos!$A:$A,$B12,Movimientos!$D:$D,CONCATENATE("&lt;=",CF$3),Movimientos!$C:$C,"&gt;0")+SUMIFS(Movimientos!$C:$C,Movimientos!$A:$A,$B12,Movimientos!$D:$D,CONCATENATE("&lt;",CF$3),Movimientos!$C:$C,"&lt;0")</f>
        <v>0</v>
      </c>
      <c r="CG12" s="5">
        <f ca="1">SUMIFS(Movimientos!$C:$C,Movimientos!$A:$A,$B12,Movimientos!$D:$D,CONCATENATE("&lt;=",CG$3),Movimientos!$C:$C,"&gt;0")+SUMIFS(Movimientos!$C:$C,Movimientos!$A:$A,$B12,Movimientos!$D:$D,CONCATENATE("&lt;",CG$3),Movimientos!$C:$C,"&lt;0")</f>
        <v>0</v>
      </c>
      <c r="CH12" s="5">
        <f ca="1">SUMIFS(Movimientos!$C:$C,Movimientos!$A:$A,$B12,Movimientos!$D:$D,CONCATENATE("&lt;=",CH$3),Movimientos!$C:$C,"&gt;0")+SUMIFS(Movimientos!$C:$C,Movimientos!$A:$A,$B12,Movimientos!$D:$D,CONCATENATE("&lt;",CH$3),Movimientos!$C:$C,"&lt;0")</f>
        <v>0</v>
      </c>
      <c r="CI12" s="5">
        <f ca="1">SUMIFS(Movimientos!$C:$C,Movimientos!$A:$A,$B12,Movimientos!$D:$D,CONCATENATE("&lt;=",CI$3),Movimientos!$C:$C,"&gt;0")+SUMIFS(Movimientos!$C:$C,Movimientos!$A:$A,$B12,Movimientos!$D:$D,CONCATENATE("&lt;",CI$3),Movimientos!$C:$C,"&lt;0")</f>
        <v>0</v>
      </c>
      <c r="CJ12" s="5">
        <f ca="1">SUMIFS(Movimientos!$C:$C,Movimientos!$A:$A,$B12,Movimientos!$D:$D,CONCATENATE("&lt;=",CJ$3),Movimientos!$C:$C,"&gt;0")+SUMIFS(Movimientos!$C:$C,Movimientos!$A:$A,$B12,Movimientos!$D:$D,CONCATENATE("&lt;",CJ$3),Movimientos!$C:$C,"&lt;0")</f>
        <v>0</v>
      </c>
      <c r="CK12" s="5">
        <f ca="1">SUMIFS(Movimientos!$C:$C,Movimientos!$A:$A,$B12,Movimientos!$D:$D,CONCATENATE("&lt;=",CK$3),Movimientos!$C:$C,"&gt;0")+SUMIFS(Movimientos!$C:$C,Movimientos!$A:$A,$B12,Movimientos!$D:$D,CONCATENATE("&lt;",CK$3),Movimientos!$C:$C,"&lt;0")</f>
        <v>0</v>
      </c>
      <c r="CL12" s="5">
        <f ca="1">SUMIFS(Movimientos!$C:$C,Movimientos!$A:$A,$B12,Movimientos!$D:$D,CONCATENATE("&lt;=",CL$3),Movimientos!$C:$C,"&gt;0")+SUMIFS(Movimientos!$C:$C,Movimientos!$A:$A,$B12,Movimientos!$D:$D,CONCATENATE("&lt;",CL$3),Movimientos!$C:$C,"&lt;0")</f>
        <v>0</v>
      </c>
      <c r="CM12" s="5">
        <f ca="1">SUMIFS(Movimientos!$C:$C,Movimientos!$A:$A,$B12,Movimientos!$D:$D,CONCATENATE("&lt;=",CM$3),Movimientos!$C:$C,"&gt;0")+SUMIFS(Movimientos!$C:$C,Movimientos!$A:$A,$B12,Movimientos!$D:$D,CONCATENATE("&lt;",CM$3),Movimientos!$C:$C,"&lt;0")</f>
        <v>0</v>
      </c>
      <c r="CN12" s="5">
        <f ca="1">SUMIFS(Movimientos!$C:$C,Movimientos!$A:$A,$B12,Movimientos!$D:$D,CONCATENATE("&lt;=",CN$3),Movimientos!$C:$C,"&gt;0")+SUMIFS(Movimientos!$C:$C,Movimientos!$A:$A,$B12,Movimientos!$D:$D,CONCATENATE("&lt;",CN$3),Movimientos!$C:$C,"&lt;0")</f>
        <v>0</v>
      </c>
      <c r="CO12" s="5">
        <f ca="1">SUMIFS(Movimientos!$C:$C,Movimientos!$A:$A,$B12,Movimientos!$D:$D,CONCATENATE("&lt;=",CO$3),Movimientos!$C:$C,"&gt;0")+SUMIFS(Movimientos!$C:$C,Movimientos!$A:$A,$B12,Movimientos!$D:$D,CONCATENATE("&lt;",CO$3),Movimientos!$C:$C,"&lt;0")</f>
        <v>0</v>
      </c>
      <c r="CP12" s="5">
        <f ca="1">SUMIFS(Movimientos!$C:$C,Movimientos!$A:$A,$B12,Movimientos!$D:$D,CONCATENATE("&lt;=",CP$3),Movimientos!$C:$C,"&gt;0")+SUMIFS(Movimientos!$C:$C,Movimientos!$A:$A,$B12,Movimientos!$D:$D,CONCATENATE("&lt;",CP$3),Movimientos!$C:$C,"&lt;0")</f>
        <v>0</v>
      </c>
      <c r="CQ12" s="5">
        <f ca="1">SUMIFS(Movimientos!$C:$C,Movimientos!$A:$A,$B12,Movimientos!$D:$D,CONCATENATE("&lt;=",CQ$3),Movimientos!$C:$C,"&gt;0")+SUMIFS(Movimientos!$C:$C,Movimientos!$A:$A,$B12,Movimientos!$D:$D,CONCATENATE("&lt;",CQ$3),Movimientos!$C:$C,"&lt;0")</f>
        <v>0</v>
      </c>
      <c r="CR12" s="5">
        <f ca="1">SUMIFS(Movimientos!$C:$C,Movimientos!$A:$A,$B12,Movimientos!$D:$D,CONCATENATE("&lt;=",CR$3),Movimientos!$C:$C,"&gt;0")+SUMIFS(Movimientos!$C:$C,Movimientos!$A:$A,$B12,Movimientos!$D:$D,CONCATENATE("&lt;",CR$3),Movimientos!$C:$C,"&lt;0")</f>
        <v>0</v>
      </c>
      <c r="CS12" s="5">
        <f ca="1">SUMIFS(Movimientos!$C:$C,Movimientos!$A:$A,$B12,Movimientos!$D:$D,CONCATENATE("&lt;=",CS$3),Movimientos!$C:$C,"&gt;0")+SUMIFS(Movimientos!$C:$C,Movimientos!$A:$A,$B12,Movimientos!$D:$D,CONCATENATE("&lt;",CS$3),Movimientos!$C:$C,"&lt;0")</f>
        <v>0</v>
      </c>
      <c r="CT12" s="5">
        <f ca="1">SUMIFS(Movimientos!$C:$C,Movimientos!$A:$A,$B12,Movimientos!$D:$D,CONCATENATE("&lt;=",CT$3),Movimientos!$C:$C,"&gt;0")+SUMIFS(Movimientos!$C:$C,Movimientos!$A:$A,$B12,Movimientos!$D:$D,CONCATENATE("&lt;",CT$3),Movimientos!$C:$C,"&lt;0")</f>
        <v>0</v>
      </c>
      <c r="CU12" s="5">
        <f ca="1">SUMIFS(Movimientos!$C:$C,Movimientos!$A:$A,$B12,Movimientos!$D:$D,CONCATENATE("&lt;=",CU$3),Movimientos!$C:$C,"&gt;0")+SUMIFS(Movimientos!$C:$C,Movimientos!$A:$A,$B12,Movimientos!$D:$D,CONCATENATE("&lt;",CU$3),Movimientos!$C:$C,"&lt;0")</f>
        <v>0</v>
      </c>
      <c r="CV12" s="5">
        <f ca="1">SUMIFS(Movimientos!$C:$C,Movimientos!$A:$A,$B12,Movimientos!$D:$D,CONCATENATE("&lt;=",CV$3),Movimientos!$C:$C,"&gt;0")+SUMIFS(Movimientos!$C:$C,Movimientos!$A:$A,$B12,Movimientos!$D:$D,CONCATENATE("&lt;",CV$3),Movimientos!$C:$C,"&lt;0")</f>
        <v>0</v>
      </c>
      <c r="CW12" s="5">
        <f ca="1">SUMIFS(Movimientos!$C:$C,Movimientos!$A:$A,$B12,Movimientos!$D:$D,CONCATENATE("&lt;=",CW$3),Movimientos!$C:$C,"&gt;0")+SUMIFS(Movimientos!$C:$C,Movimientos!$A:$A,$B12,Movimientos!$D:$D,CONCATENATE("&lt;",CW$3),Movimientos!$C:$C,"&lt;0")</f>
        <v>0</v>
      </c>
      <c r="CX12" s="5">
        <f ca="1">SUMIFS(Movimientos!$C:$C,Movimientos!$A:$A,$B12,Movimientos!$D:$D,CONCATENATE("&lt;=",CX$3),Movimientos!$C:$C,"&gt;0")+SUMIFS(Movimientos!$C:$C,Movimientos!$A:$A,$B12,Movimientos!$D:$D,CONCATENATE("&lt;",CX$3),Movimientos!$C:$C,"&lt;0")</f>
        <v>0</v>
      </c>
      <c r="CY12" s="5">
        <f ca="1">SUMIFS(Movimientos!$C:$C,Movimientos!$A:$A,$B12,Movimientos!$D:$D,CONCATENATE("&lt;=",CY$3),Movimientos!$C:$C,"&gt;0")+SUMIFS(Movimientos!$C:$C,Movimientos!$A:$A,$B12,Movimientos!$D:$D,CONCATENATE("&lt;",CY$3),Movimientos!$C:$C,"&lt;0")</f>
        <v>0</v>
      </c>
      <c r="CZ12" s="5">
        <f ca="1">SUMIFS(Movimientos!$C:$C,Movimientos!$A:$A,$B12,Movimientos!$D:$D,CONCATENATE("&lt;=",CZ$3),Movimientos!$C:$C,"&gt;0")+SUMIFS(Movimientos!$C:$C,Movimientos!$A:$A,$B12,Movimientos!$D:$D,CONCATENATE("&lt;",CZ$3),Movimientos!$C:$C,"&lt;0")</f>
        <v>0</v>
      </c>
      <c r="DA12" s="5">
        <f ca="1">SUMIFS(Movimientos!$C:$C,Movimientos!$A:$A,$B12,Movimientos!$D:$D,CONCATENATE("&lt;=",DA$3),Movimientos!$C:$C,"&gt;0")+SUMIFS(Movimientos!$C:$C,Movimientos!$A:$A,$B12,Movimientos!$D:$D,CONCATENATE("&lt;",DA$3),Movimientos!$C:$C,"&lt;0")</f>
        <v>0</v>
      </c>
      <c r="DB12" s="5">
        <f ca="1">SUMIFS(Movimientos!$C:$C,Movimientos!$A:$A,$B12,Movimientos!$D:$D,CONCATENATE("&lt;=",DB$3),Movimientos!$C:$C,"&gt;0")+SUMIFS(Movimientos!$C:$C,Movimientos!$A:$A,$B12,Movimientos!$D:$D,CONCATENATE("&lt;",DB$3),Movimientos!$C:$C,"&lt;0")</f>
        <v>0</v>
      </c>
      <c r="DC12" s="5">
        <f ca="1">SUMIFS(Movimientos!$C:$C,Movimientos!$A:$A,$B12,Movimientos!$D:$D,CONCATENATE("&lt;=",DC$3),Movimientos!$C:$C,"&gt;0")+SUMIFS(Movimientos!$C:$C,Movimientos!$A:$A,$B12,Movimientos!$D:$D,CONCATENATE("&lt;",DC$3),Movimientos!$C:$C,"&lt;0")</f>
        <v>0</v>
      </c>
      <c r="DD12" s="5">
        <f ca="1">SUMIFS(Movimientos!$C:$C,Movimientos!$A:$A,$B12,Movimientos!$D:$D,CONCATENATE("&lt;=",DD$3),Movimientos!$C:$C,"&gt;0")+SUMIFS(Movimientos!$C:$C,Movimientos!$A:$A,$B12,Movimientos!$D:$D,CONCATENATE("&lt;",DD$3),Movimientos!$C:$C,"&lt;0")</f>
        <v>0</v>
      </c>
      <c r="DE12" s="5">
        <f ca="1">SUMIFS(Movimientos!$C:$C,Movimientos!$A:$A,$B12,Movimientos!$D:$D,CONCATENATE("&lt;=",DE$3),Movimientos!$C:$C,"&gt;0")+SUMIFS(Movimientos!$C:$C,Movimientos!$A:$A,$B12,Movimientos!$D:$D,CONCATENATE("&lt;",DE$3),Movimientos!$C:$C,"&lt;0")</f>
        <v>0</v>
      </c>
      <c r="DF12" s="5">
        <f ca="1">SUMIFS(Movimientos!$C:$C,Movimientos!$A:$A,$B12,Movimientos!$D:$D,CONCATENATE("&lt;=",DF$3),Movimientos!$C:$C,"&gt;0")+SUMIFS(Movimientos!$C:$C,Movimientos!$A:$A,$B12,Movimientos!$D:$D,CONCATENATE("&lt;",DF$3),Movimientos!$C:$C,"&lt;0")</f>
        <v>0</v>
      </c>
      <c r="DG12" s="5">
        <f ca="1">SUMIFS(Movimientos!$C:$C,Movimientos!$A:$A,$B12,Movimientos!$D:$D,CONCATENATE("&lt;=",DG$3),Movimientos!$C:$C,"&gt;0")+SUMIFS(Movimientos!$C:$C,Movimientos!$A:$A,$B12,Movimientos!$D:$D,CONCATENATE("&lt;",DG$3),Movimientos!$C:$C,"&lt;0")</f>
        <v>0</v>
      </c>
      <c r="DH12" s="5">
        <f ca="1">SUMIFS(Movimientos!$C:$C,Movimientos!$A:$A,$B12,Movimientos!$D:$D,CONCATENATE("&lt;=",DH$3),Movimientos!$C:$C,"&gt;0")+SUMIFS(Movimientos!$C:$C,Movimientos!$A:$A,$B12,Movimientos!$D:$D,CONCATENATE("&lt;",DH$3),Movimientos!$C:$C,"&lt;0")</f>
        <v>0</v>
      </c>
      <c r="DI12" s="5">
        <f ca="1">SUMIFS(Movimientos!$C:$C,Movimientos!$A:$A,$B12,Movimientos!$D:$D,CONCATENATE("&lt;=",DI$3),Movimientos!$C:$C,"&gt;0")+SUMIFS(Movimientos!$C:$C,Movimientos!$A:$A,$B12,Movimientos!$D:$D,CONCATENATE("&lt;",DI$3),Movimientos!$C:$C,"&lt;0")</f>
        <v>0</v>
      </c>
      <c r="DJ12" s="5">
        <f ca="1">SUMIFS(Movimientos!$C:$C,Movimientos!$A:$A,$B12,Movimientos!$D:$D,CONCATENATE("&lt;=",DJ$3),Movimientos!$C:$C,"&gt;0")+SUMIFS(Movimientos!$C:$C,Movimientos!$A:$A,$B12,Movimientos!$D:$D,CONCATENATE("&lt;",DJ$3),Movimientos!$C:$C,"&lt;0")</f>
        <v>0</v>
      </c>
      <c r="DK12" s="5">
        <f ca="1">SUMIFS(Movimientos!$C:$C,Movimientos!$A:$A,$B12,Movimientos!$D:$D,CONCATENATE("&lt;=",DK$3),Movimientos!$C:$C,"&gt;0")+SUMIFS(Movimientos!$C:$C,Movimientos!$A:$A,$B12,Movimientos!$D:$D,CONCATENATE("&lt;",DK$3),Movimientos!$C:$C,"&lt;0")</f>
        <v>0</v>
      </c>
      <c r="DL12" s="5">
        <f ca="1">SUMIFS(Movimientos!$C:$C,Movimientos!$A:$A,$B12,Movimientos!$D:$D,CONCATENATE("&lt;=",DL$3),Movimientos!$C:$C,"&gt;0")+SUMIFS(Movimientos!$C:$C,Movimientos!$A:$A,$B12,Movimientos!$D:$D,CONCATENATE("&lt;",DL$3),Movimientos!$C:$C,"&lt;0")</f>
        <v>0</v>
      </c>
      <c r="DM12" s="5">
        <f ca="1">SUMIFS(Movimientos!$C:$C,Movimientos!$A:$A,$B12,Movimientos!$D:$D,CONCATENATE("&lt;=",DM$3),Movimientos!$C:$C,"&gt;0")+SUMIFS(Movimientos!$C:$C,Movimientos!$A:$A,$B12,Movimientos!$D:$D,CONCATENATE("&lt;",DM$3),Movimientos!$C:$C,"&lt;0")</f>
        <v>0</v>
      </c>
      <c r="DN12" s="5">
        <f ca="1">SUMIFS(Movimientos!$C:$C,Movimientos!$A:$A,$B12,Movimientos!$D:$D,CONCATENATE("&lt;=",DN$3),Movimientos!$C:$C,"&gt;0")+SUMIFS(Movimientos!$C:$C,Movimientos!$A:$A,$B12,Movimientos!$D:$D,CONCATENATE("&lt;",DN$3),Movimientos!$C:$C,"&lt;0")</f>
        <v>0</v>
      </c>
      <c r="DO12" s="5">
        <f ca="1">SUMIFS(Movimientos!$C:$C,Movimientos!$A:$A,$B12,Movimientos!$D:$D,CONCATENATE("&lt;=",DO$3),Movimientos!$C:$C,"&gt;0")+SUMIFS(Movimientos!$C:$C,Movimientos!$A:$A,$B12,Movimientos!$D:$D,CONCATENATE("&lt;",DO$3),Movimientos!$C:$C,"&lt;0")</f>
        <v>0</v>
      </c>
      <c r="DP12" s="5">
        <f ca="1">SUMIFS(Movimientos!$C:$C,Movimientos!$A:$A,$B12,Movimientos!$D:$D,CONCATENATE("&lt;=",DP$3),Movimientos!$C:$C,"&gt;0")+SUMIFS(Movimientos!$C:$C,Movimientos!$A:$A,$B12,Movimientos!$D:$D,CONCATENATE("&lt;",DP$3),Movimientos!$C:$C,"&lt;0")</f>
        <v>0</v>
      </c>
      <c r="DQ12" s="5">
        <f ca="1">SUMIFS(Movimientos!$C:$C,Movimientos!$A:$A,$B12,Movimientos!$D:$D,CONCATENATE("&lt;=",DQ$3),Movimientos!$C:$C,"&gt;0")+SUMIFS(Movimientos!$C:$C,Movimientos!$A:$A,$B12,Movimientos!$D:$D,CONCATENATE("&lt;",DQ$3),Movimientos!$C:$C,"&lt;0")</f>
        <v>0</v>
      </c>
      <c r="DR12" s="5">
        <f ca="1">SUMIFS(Movimientos!$C:$C,Movimientos!$A:$A,$B12,Movimientos!$D:$D,CONCATENATE("&lt;=",DR$3),Movimientos!$C:$C,"&gt;0")+SUMIFS(Movimientos!$C:$C,Movimientos!$A:$A,$B12,Movimientos!$D:$D,CONCATENATE("&lt;",DR$3),Movimientos!$C:$C,"&lt;0")</f>
        <v>0</v>
      </c>
      <c r="DS12" s="5">
        <f ca="1">SUMIFS(Movimientos!$C:$C,Movimientos!$A:$A,$B12,Movimientos!$D:$D,CONCATENATE("&lt;=",DS$3),Movimientos!$C:$C,"&gt;0")+SUMIFS(Movimientos!$C:$C,Movimientos!$A:$A,$B12,Movimientos!$D:$D,CONCATENATE("&lt;",DS$3),Movimientos!$C:$C,"&lt;0")</f>
        <v>0</v>
      </c>
      <c r="DT12" s="5">
        <f ca="1">SUMIFS(Movimientos!$C:$C,Movimientos!$A:$A,$B12,Movimientos!$D:$D,CONCATENATE("&lt;=",DT$3),Movimientos!$C:$C,"&gt;0")+SUMIFS(Movimientos!$C:$C,Movimientos!$A:$A,$B12,Movimientos!$D:$D,CONCATENATE("&lt;",DT$3),Movimientos!$C:$C,"&lt;0")</f>
        <v>0</v>
      </c>
      <c r="DU12" s="5">
        <f ca="1">SUMIFS(Movimientos!$C:$C,Movimientos!$A:$A,$B12,Movimientos!$D:$D,CONCATENATE("&lt;=",DU$3),Movimientos!$C:$C,"&gt;0")+SUMIFS(Movimientos!$C:$C,Movimientos!$A:$A,$B12,Movimientos!$D:$D,CONCATENATE("&lt;",DU$3),Movimientos!$C:$C,"&lt;0")</f>
        <v>0</v>
      </c>
      <c r="DV12" s="5">
        <f ca="1">SUMIFS(Movimientos!$C:$C,Movimientos!$A:$A,$B12,Movimientos!$D:$D,CONCATENATE("&lt;=",DV$3),Movimientos!$C:$C,"&gt;0")+SUMIFS(Movimientos!$C:$C,Movimientos!$A:$A,$B12,Movimientos!$D:$D,CONCATENATE("&lt;",DV$3),Movimientos!$C:$C,"&lt;0")</f>
        <v>0</v>
      </c>
      <c r="DW12" s="5">
        <f ca="1">SUMIFS(Movimientos!$C:$C,Movimientos!$A:$A,$B12,Movimientos!$D:$D,CONCATENATE("&lt;=",DW$3),Movimientos!$C:$C,"&gt;0")+SUMIFS(Movimientos!$C:$C,Movimientos!$A:$A,$B12,Movimientos!$D:$D,CONCATENATE("&lt;",DW$3),Movimientos!$C:$C,"&lt;0")</f>
        <v>0</v>
      </c>
      <c r="DX12" s="5">
        <f ca="1">SUMIFS(Movimientos!$C:$C,Movimientos!$A:$A,$B12,Movimientos!$D:$D,CONCATENATE("&lt;=",DX$3),Movimientos!$C:$C,"&gt;0")+SUMIFS(Movimientos!$C:$C,Movimientos!$A:$A,$B12,Movimientos!$D:$D,CONCATENATE("&lt;",DX$3),Movimientos!$C:$C,"&lt;0")</f>
        <v>0</v>
      </c>
      <c r="DY12" s="5">
        <f ca="1">SUMIFS(Movimientos!$C:$C,Movimientos!$A:$A,$B12,Movimientos!$D:$D,CONCATENATE("&lt;=",DY$3),Movimientos!$C:$C,"&gt;0")+SUMIFS(Movimientos!$C:$C,Movimientos!$A:$A,$B12,Movimientos!$D:$D,CONCATENATE("&lt;",DY$3),Movimientos!$C:$C,"&lt;0")</f>
        <v>0</v>
      </c>
      <c r="DZ12" s="5">
        <f ca="1">SUMIFS(Movimientos!$C:$C,Movimientos!$A:$A,$B12,Movimientos!$D:$D,CONCATENATE("&lt;=",DZ$3),Movimientos!$C:$C,"&gt;0")+SUMIFS(Movimientos!$C:$C,Movimientos!$A:$A,$B12,Movimientos!$D:$D,CONCATENATE("&lt;",DZ$3),Movimientos!$C:$C,"&lt;0")</f>
        <v>0</v>
      </c>
      <c r="EA12" s="5">
        <f ca="1">SUMIFS(Movimientos!$C:$C,Movimientos!$A:$A,$B12,Movimientos!$D:$D,CONCATENATE("&lt;=",EA$3),Movimientos!$C:$C,"&gt;0")+SUMIFS(Movimientos!$C:$C,Movimientos!$A:$A,$B12,Movimientos!$D:$D,CONCATENATE("&lt;",EA$3),Movimientos!$C:$C,"&lt;0")</f>
        <v>0</v>
      </c>
      <c r="EB12" s="5">
        <f ca="1">SUMIFS(Movimientos!$C:$C,Movimientos!$A:$A,$B12,Movimientos!$D:$D,CONCATENATE("&lt;=",EB$3),Movimientos!$C:$C,"&gt;0")+SUMIFS(Movimientos!$C:$C,Movimientos!$A:$A,$B12,Movimientos!$D:$D,CONCATENATE("&lt;",EB$3),Movimientos!$C:$C,"&lt;0")</f>
        <v>0</v>
      </c>
      <c r="EC12" s="5">
        <f ca="1">SUMIFS(Movimientos!$C:$C,Movimientos!$A:$A,$B12,Movimientos!$D:$D,CONCATENATE("&lt;=",EC$3),Movimientos!$C:$C,"&gt;0")+SUMIFS(Movimientos!$C:$C,Movimientos!$A:$A,$B12,Movimientos!$D:$D,CONCATENATE("&lt;",EC$3),Movimientos!$C:$C,"&lt;0")</f>
        <v>0</v>
      </c>
      <c r="ED12" s="5">
        <f ca="1">SUMIFS(Movimientos!$C:$C,Movimientos!$A:$A,$B12,Movimientos!$D:$D,CONCATENATE("&lt;=",ED$3),Movimientos!$C:$C,"&gt;0")+SUMIFS(Movimientos!$C:$C,Movimientos!$A:$A,$B12,Movimientos!$D:$D,CONCATENATE("&lt;",ED$3),Movimientos!$C:$C,"&lt;0")</f>
        <v>0</v>
      </c>
      <c r="EE12" s="5">
        <f ca="1">SUMIFS(Movimientos!$C:$C,Movimientos!$A:$A,$B12,Movimientos!$D:$D,CONCATENATE("&lt;=",EE$3),Movimientos!$C:$C,"&gt;0")+SUMIFS(Movimientos!$C:$C,Movimientos!$A:$A,$B12,Movimientos!$D:$D,CONCATENATE("&lt;",EE$3),Movimientos!$C:$C,"&lt;0")</f>
        <v>0</v>
      </c>
      <c r="EF12" s="5">
        <f ca="1">SUMIFS(Movimientos!$C:$C,Movimientos!$A:$A,$B12,Movimientos!$D:$D,CONCATENATE("&lt;=",EF$3),Movimientos!$C:$C,"&gt;0")+SUMIFS(Movimientos!$C:$C,Movimientos!$A:$A,$B12,Movimientos!$D:$D,CONCATENATE("&lt;",EF$3),Movimientos!$C:$C,"&lt;0")</f>
        <v>0</v>
      </c>
      <c r="EG12" s="5">
        <f ca="1">SUMIFS(Movimientos!$C:$C,Movimientos!$A:$A,$B12,Movimientos!$D:$D,CONCATENATE("&lt;=",EG$3),Movimientos!$C:$C,"&gt;0")+SUMIFS(Movimientos!$C:$C,Movimientos!$A:$A,$B12,Movimientos!$D:$D,CONCATENATE("&lt;",EG$3),Movimientos!$C:$C,"&lt;0")</f>
        <v>0</v>
      </c>
      <c r="EH12" s="5">
        <f ca="1">SUMIFS(Movimientos!$C:$C,Movimientos!$A:$A,$B12,Movimientos!$D:$D,CONCATENATE("&lt;=",EH$3),Movimientos!$C:$C,"&gt;0")+SUMIFS(Movimientos!$C:$C,Movimientos!$A:$A,$B12,Movimientos!$D:$D,CONCATENATE("&lt;",EH$3),Movimientos!$C:$C,"&lt;0")</f>
        <v>0</v>
      </c>
      <c r="EI12" s="5">
        <f ca="1">SUMIFS(Movimientos!$C:$C,Movimientos!$A:$A,$B12,Movimientos!$D:$D,CONCATENATE("&lt;=",EI$3),Movimientos!$C:$C,"&gt;0")+SUMIFS(Movimientos!$C:$C,Movimientos!$A:$A,$B12,Movimientos!$D:$D,CONCATENATE("&lt;",EI$3),Movimientos!$C:$C,"&lt;0")</f>
        <v>0</v>
      </c>
      <c r="EJ12" s="5">
        <f ca="1">SUMIFS(Movimientos!$C:$C,Movimientos!$A:$A,$B12,Movimientos!$D:$D,CONCATENATE("&lt;=",EJ$3),Movimientos!$C:$C,"&gt;0")+SUMIFS(Movimientos!$C:$C,Movimientos!$A:$A,$B12,Movimientos!$D:$D,CONCATENATE("&lt;",EJ$3),Movimientos!$C:$C,"&lt;0")</f>
        <v>0</v>
      </c>
      <c r="EK12" s="5">
        <f ca="1">SUMIFS(Movimientos!$C:$C,Movimientos!$A:$A,$B12,Movimientos!$D:$D,CONCATENATE("&lt;=",EK$3),Movimientos!$C:$C,"&gt;0")+SUMIFS(Movimientos!$C:$C,Movimientos!$A:$A,$B12,Movimientos!$D:$D,CONCATENATE("&lt;",EK$3),Movimientos!$C:$C,"&lt;0")</f>
        <v>0</v>
      </c>
      <c r="EL12" s="5">
        <f ca="1">SUMIFS(Movimientos!$C:$C,Movimientos!$A:$A,$B12,Movimientos!$D:$D,CONCATENATE("&lt;=",EL$3),Movimientos!$C:$C,"&gt;0")+SUMIFS(Movimientos!$C:$C,Movimientos!$A:$A,$B12,Movimientos!$D:$D,CONCATENATE("&lt;",EL$3),Movimientos!$C:$C,"&lt;0")</f>
        <v>0</v>
      </c>
      <c r="EM12" s="5">
        <f ca="1">SUMIFS(Movimientos!$C:$C,Movimientos!$A:$A,$B12,Movimientos!$D:$D,CONCATENATE("&lt;=",EM$3),Movimientos!$C:$C,"&gt;0")+SUMIFS(Movimientos!$C:$C,Movimientos!$A:$A,$B12,Movimientos!$D:$D,CONCATENATE("&lt;",EM$3),Movimientos!$C:$C,"&lt;0")</f>
        <v>0</v>
      </c>
      <c r="EN12" s="5">
        <f ca="1">SUMIFS(Movimientos!$C:$C,Movimientos!$A:$A,$B12,Movimientos!$D:$D,CONCATENATE("&lt;=",EN$3),Movimientos!$C:$C,"&gt;0")+SUMIFS(Movimientos!$C:$C,Movimientos!$A:$A,$B12,Movimientos!$D:$D,CONCATENATE("&lt;",EN$3),Movimientos!$C:$C,"&lt;0")</f>
        <v>0</v>
      </c>
      <c r="EO12" s="5">
        <f ca="1">SUMIFS(Movimientos!$C:$C,Movimientos!$A:$A,$B12,Movimientos!$D:$D,CONCATENATE("&lt;=",EO$3),Movimientos!$C:$C,"&gt;0")+SUMIFS(Movimientos!$C:$C,Movimientos!$A:$A,$B12,Movimientos!$D:$D,CONCATENATE("&lt;",EO$3),Movimientos!$C:$C,"&lt;0")</f>
        <v>0</v>
      </c>
      <c r="EP12" s="5">
        <f ca="1">SUMIFS(Movimientos!$C:$C,Movimientos!$A:$A,$B12,Movimientos!$D:$D,CONCATENATE("&lt;=",EP$3),Movimientos!$C:$C,"&gt;0")+SUMIFS(Movimientos!$C:$C,Movimientos!$A:$A,$B12,Movimientos!$D:$D,CONCATENATE("&lt;",EP$3),Movimientos!$C:$C,"&lt;0")</f>
        <v>0</v>
      </c>
      <c r="EQ12" s="5">
        <f ca="1">SUMIFS(Movimientos!$C:$C,Movimientos!$A:$A,$B12,Movimientos!$D:$D,CONCATENATE("&lt;=",EQ$3),Movimientos!$C:$C,"&gt;0")+SUMIFS(Movimientos!$C:$C,Movimientos!$A:$A,$B12,Movimientos!$D:$D,CONCATENATE("&lt;",EQ$3),Movimientos!$C:$C,"&lt;0")</f>
        <v>0</v>
      </c>
      <c r="ER12" s="5">
        <f ca="1">SUMIFS(Movimientos!$C:$C,Movimientos!$A:$A,$B12,Movimientos!$D:$D,CONCATENATE("&lt;=",ER$3),Movimientos!$C:$C,"&gt;0")+SUMIFS(Movimientos!$C:$C,Movimientos!$A:$A,$B12,Movimientos!$D:$D,CONCATENATE("&lt;",ER$3),Movimientos!$C:$C,"&lt;0")</f>
        <v>0</v>
      </c>
      <c r="ES12" s="5">
        <f ca="1">SUMIFS(Movimientos!$C:$C,Movimientos!$A:$A,$B12,Movimientos!$D:$D,CONCATENATE("&lt;=",ES$3),Movimientos!$C:$C,"&gt;0")+SUMIFS(Movimientos!$C:$C,Movimientos!$A:$A,$B12,Movimientos!$D:$D,CONCATENATE("&lt;",ES$3),Movimientos!$C:$C,"&lt;0")</f>
        <v>0</v>
      </c>
      <c r="ET12" s="5">
        <f ca="1">SUMIFS(Movimientos!$C:$C,Movimientos!$A:$A,$B12,Movimientos!$D:$D,CONCATENATE("&lt;=",ET$3),Movimientos!$C:$C,"&gt;0")+SUMIFS(Movimientos!$C:$C,Movimientos!$A:$A,$B12,Movimientos!$D:$D,CONCATENATE("&lt;",ET$3),Movimientos!$C:$C,"&lt;0")</f>
        <v>0</v>
      </c>
      <c r="EU12" s="5">
        <f ca="1">SUMIFS(Movimientos!$C:$C,Movimientos!$A:$A,$B12,Movimientos!$D:$D,CONCATENATE("&lt;=",EU$3),Movimientos!$C:$C,"&gt;0")+SUMIFS(Movimientos!$C:$C,Movimientos!$A:$A,$B12,Movimientos!$D:$D,CONCATENATE("&lt;",EU$3),Movimientos!$C:$C,"&lt;0")</f>
        <v>0</v>
      </c>
      <c r="EV12" s="5">
        <f ca="1">SUMIFS(Movimientos!$C:$C,Movimientos!$A:$A,$B12,Movimientos!$D:$D,CONCATENATE("&lt;=",EV$3),Movimientos!$C:$C,"&gt;0")+SUMIFS(Movimientos!$C:$C,Movimientos!$A:$A,$B12,Movimientos!$D:$D,CONCATENATE("&lt;",EV$3),Movimientos!$C:$C,"&lt;0")</f>
        <v>0</v>
      </c>
      <c r="EW12" s="5">
        <f ca="1">SUMIFS(Movimientos!$C:$C,Movimientos!$A:$A,$B12,Movimientos!$D:$D,CONCATENATE("&lt;=",EW$3),Movimientos!$C:$C,"&gt;0")+SUMIFS(Movimientos!$C:$C,Movimientos!$A:$A,$B12,Movimientos!$D:$D,CONCATENATE("&lt;",EW$3),Movimientos!$C:$C,"&lt;0")</f>
        <v>0</v>
      </c>
      <c r="EX12" s="5">
        <f ca="1">SUMIFS(Movimientos!$C:$C,Movimientos!$A:$A,$B12,Movimientos!$D:$D,CONCATENATE("&lt;=",EX$3),Movimientos!$C:$C,"&gt;0")+SUMIFS(Movimientos!$C:$C,Movimientos!$A:$A,$B12,Movimientos!$D:$D,CONCATENATE("&lt;",EX$3),Movimientos!$C:$C,"&lt;0")</f>
        <v>0</v>
      </c>
      <c r="EY12" s="5">
        <f ca="1">SUMIFS(Movimientos!$C:$C,Movimientos!$A:$A,$B12,Movimientos!$D:$D,CONCATENATE("&lt;=",EY$3),Movimientos!$C:$C,"&gt;0")+SUMIFS(Movimientos!$C:$C,Movimientos!$A:$A,$B12,Movimientos!$D:$D,CONCATENATE("&lt;",EY$3),Movimientos!$C:$C,"&lt;0")</f>
        <v>0</v>
      </c>
      <c r="EZ12" s="5">
        <f ca="1">SUMIFS(Movimientos!$C:$C,Movimientos!$A:$A,$B12,Movimientos!$D:$D,CONCATENATE("&lt;=",EZ$3),Movimientos!$C:$C,"&gt;0")+SUMIFS(Movimientos!$C:$C,Movimientos!$A:$A,$B12,Movimientos!$D:$D,CONCATENATE("&lt;",EZ$3),Movimientos!$C:$C,"&lt;0")</f>
        <v>0</v>
      </c>
      <c r="FA12" s="5">
        <f ca="1">SUMIFS(Movimientos!$C:$C,Movimientos!$A:$A,$B12,Movimientos!$D:$D,CONCATENATE("&lt;=",FA$3),Movimientos!$C:$C,"&gt;0")+SUMIFS(Movimientos!$C:$C,Movimientos!$A:$A,$B12,Movimientos!$D:$D,CONCATENATE("&lt;",FA$3),Movimientos!$C:$C,"&lt;0")</f>
        <v>0</v>
      </c>
      <c r="FB12" s="5">
        <f ca="1">SUMIFS(Movimientos!$C:$C,Movimientos!$A:$A,$B12,Movimientos!$D:$D,CONCATENATE("&lt;=",FB$3),Movimientos!$C:$C,"&gt;0")+SUMIFS(Movimientos!$C:$C,Movimientos!$A:$A,$B12,Movimientos!$D:$D,CONCATENATE("&lt;",FB$3),Movimientos!$C:$C,"&lt;0")</f>
        <v>0</v>
      </c>
      <c r="FC12" s="5">
        <f ca="1">SUMIFS(Movimientos!$C:$C,Movimientos!$A:$A,$B12,Movimientos!$D:$D,CONCATENATE("&lt;=",FC$3),Movimientos!$C:$C,"&gt;0")+SUMIFS(Movimientos!$C:$C,Movimientos!$A:$A,$B12,Movimientos!$D:$D,CONCATENATE("&lt;",FC$3),Movimientos!$C:$C,"&lt;0")</f>
        <v>0</v>
      </c>
      <c r="FD12" s="5">
        <f ca="1">SUMIFS(Movimientos!$C:$C,Movimientos!$A:$A,$B12,Movimientos!$D:$D,CONCATENATE("&lt;=",FD$3),Movimientos!$C:$C,"&gt;0")+SUMIFS(Movimientos!$C:$C,Movimientos!$A:$A,$B12,Movimientos!$D:$D,CONCATENATE("&lt;",FD$3),Movimientos!$C:$C,"&lt;0")</f>
        <v>0</v>
      </c>
      <c r="FE12" s="5">
        <f ca="1">SUMIFS(Movimientos!$C:$C,Movimientos!$A:$A,$B12,Movimientos!$D:$D,CONCATENATE("&lt;=",FE$3),Movimientos!$C:$C,"&gt;0")+SUMIFS(Movimientos!$C:$C,Movimientos!$A:$A,$B12,Movimientos!$D:$D,CONCATENATE("&lt;",FE$3),Movimientos!$C:$C,"&lt;0")</f>
        <v>0</v>
      </c>
      <c r="FF12" s="5">
        <f ca="1">SUMIFS(Movimientos!$C:$C,Movimientos!$A:$A,$B12,Movimientos!$D:$D,CONCATENATE("&lt;=",FF$3),Movimientos!$C:$C,"&gt;0")+SUMIFS(Movimientos!$C:$C,Movimientos!$A:$A,$B12,Movimientos!$D:$D,CONCATENATE("&lt;",FF$3),Movimientos!$C:$C,"&lt;0")</f>
        <v>0</v>
      </c>
      <c r="FG12" s="5">
        <f ca="1">SUMIFS(Movimientos!$C:$C,Movimientos!$A:$A,$B12,Movimientos!$D:$D,CONCATENATE("&lt;=",FG$3),Movimientos!$C:$C,"&gt;0")+SUMIFS(Movimientos!$C:$C,Movimientos!$A:$A,$B12,Movimientos!$D:$D,CONCATENATE("&lt;",FG$3),Movimientos!$C:$C,"&lt;0")</f>
        <v>0</v>
      </c>
      <c r="FH12" s="5">
        <f ca="1">SUMIFS(Movimientos!$C:$C,Movimientos!$A:$A,$B12,Movimientos!$D:$D,CONCATENATE("&lt;=",FH$3),Movimientos!$C:$C,"&gt;0")+SUMIFS(Movimientos!$C:$C,Movimientos!$A:$A,$B12,Movimientos!$D:$D,CONCATENATE("&lt;",FH$3),Movimientos!$C:$C,"&lt;0")</f>
        <v>0</v>
      </c>
      <c r="FI12" s="5">
        <f ca="1">SUMIFS(Movimientos!$C:$C,Movimientos!$A:$A,$B12,Movimientos!$D:$D,CONCATENATE("&lt;=",FI$3),Movimientos!$C:$C,"&gt;0")+SUMIFS(Movimientos!$C:$C,Movimientos!$A:$A,$B12,Movimientos!$D:$D,CONCATENATE("&lt;",FI$3),Movimientos!$C:$C,"&lt;0")</f>
        <v>0</v>
      </c>
      <c r="FJ12" s="5">
        <f ca="1">SUMIFS(Movimientos!$C:$C,Movimientos!$A:$A,$B12,Movimientos!$D:$D,CONCATENATE("&lt;=",FJ$3),Movimientos!$C:$C,"&gt;0")+SUMIFS(Movimientos!$C:$C,Movimientos!$A:$A,$B12,Movimientos!$D:$D,CONCATENATE("&lt;",FJ$3),Movimientos!$C:$C,"&lt;0")</f>
        <v>0</v>
      </c>
      <c r="FK12" s="5">
        <f ca="1">SUMIFS(Movimientos!$C:$C,Movimientos!$A:$A,$B12,Movimientos!$D:$D,CONCATENATE("&lt;=",FK$3),Movimientos!$C:$C,"&gt;0")+SUMIFS(Movimientos!$C:$C,Movimientos!$A:$A,$B12,Movimientos!$D:$D,CONCATENATE("&lt;",FK$3),Movimientos!$C:$C,"&lt;0")</f>
        <v>0</v>
      </c>
      <c r="FL12" s="5">
        <f ca="1">SUMIFS(Movimientos!$C:$C,Movimientos!$A:$A,$B12,Movimientos!$D:$D,CONCATENATE("&lt;=",FL$3),Movimientos!$C:$C,"&gt;0")+SUMIFS(Movimientos!$C:$C,Movimientos!$A:$A,$B12,Movimientos!$D:$D,CONCATENATE("&lt;",FL$3),Movimientos!$C:$C,"&lt;0")</f>
        <v>0</v>
      </c>
      <c r="FM12" s="5">
        <f ca="1">SUMIFS(Movimientos!$C:$C,Movimientos!$A:$A,$B12,Movimientos!$D:$D,CONCATENATE("&lt;=",FM$3),Movimientos!$C:$C,"&gt;0")+SUMIFS(Movimientos!$C:$C,Movimientos!$A:$A,$B12,Movimientos!$D:$D,CONCATENATE("&lt;",FM$3),Movimientos!$C:$C,"&lt;0")</f>
        <v>0</v>
      </c>
      <c r="FN12" s="5">
        <f ca="1">SUMIFS(Movimientos!$C:$C,Movimientos!$A:$A,$B12,Movimientos!$D:$D,CONCATENATE("&lt;=",FN$3),Movimientos!$C:$C,"&gt;0")+SUMIFS(Movimientos!$C:$C,Movimientos!$A:$A,$B12,Movimientos!$D:$D,CONCATENATE("&lt;",FN$3),Movimientos!$C:$C,"&lt;0")</f>
        <v>0</v>
      </c>
      <c r="FO12" s="5">
        <f ca="1">SUMIFS(Movimientos!$C:$C,Movimientos!$A:$A,$B12,Movimientos!$D:$D,CONCATENATE("&lt;=",FO$3),Movimientos!$C:$C,"&gt;0")+SUMIFS(Movimientos!$C:$C,Movimientos!$A:$A,$B12,Movimientos!$D:$D,CONCATENATE("&lt;",FO$3),Movimientos!$C:$C,"&lt;0")</f>
        <v>0</v>
      </c>
      <c r="FP12" s="5">
        <f ca="1">SUMIFS(Movimientos!$C:$C,Movimientos!$A:$A,$B12,Movimientos!$D:$D,CONCATENATE("&lt;=",FP$3),Movimientos!$C:$C,"&gt;0")+SUMIFS(Movimientos!$C:$C,Movimientos!$A:$A,$B12,Movimientos!$D:$D,CONCATENATE("&lt;",FP$3),Movimientos!$C:$C,"&lt;0")</f>
        <v>0</v>
      </c>
      <c r="FQ12" s="5">
        <f ca="1">SUMIFS(Movimientos!$C:$C,Movimientos!$A:$A,$B12,Movimientos!$D:$D,CONCATENATE("&lt;=",FQ$3),Movimientos!$C:$C,"&gt;0")+SUMIFS(Movimientos!$C:$C,Movimientos!$A:$A,$B12,Movimientos!$D:$D,CONCATENATE("&lt;",FQ$3),Movimientos!$C:$C,"&lt;0")</f>
        <v>0</v>
      </c>
      <c r="FR12" s="5">
        <f ca="1">SUMIFS(Movimientos!$C:$C,Movimientos!$A:$A,$B12,Movimientos!$D:$D,CONCATENATE("&lt;=",FR$3),Movimientos!$C:$C,"&gt;0")+SUMIFS(Movimientos!$C:$C,Movimientos!$A:$A,$B12,Movimientos!$D:$D,CONCATENATE("&lt;",FR$3),Movimientos!$C:$C,"&lt;0")</f>
        <v>0</v>
      </c>
      <c r="FS12" s="5">
        <f ca="1">SUMIFS(Movimientos!$C:$C,Movimientos!$A:$A,$B12,Movimientos!$D:$D,CONCATENATE("&lt;=",FS$3),Movimientos!$C:$C,"&gt;0")+SUMIFS(Movimientos!$C:$C,Movimientos!$A:$A,$B12,Movimientos!$D:$D,CONCATENATE("&lt;",FS$3),Movimientos!$C:$C,"&lt;0")</f>
        <v>0</v>
      </c>
      <c r="FT12" s="5">
        <f ca="1">SUMIFS(Movimientos!$C:$C,Movimientos!$A:$A,$B12,Movimientos!$D:$D,CONCATENATE("&lt;=",FT$3),Movimientos!$C:$C,"&gt;0")+SUMIFS(Movimientos!$C:$C,Movimientos!$A:$A,$B12,Movimientos!$D:$D,CONCATENATE("&lt;",FT$3),Movimientos!$C:$C,"&lt;0")</f>
        <v>0</v>
      </c>
      <c r="FU12" s="5">
        <f ca="1">SUMIFS(Movimientos!$C:$C,Movimientos!$A:$A,$B12,Movimientos!$D:$D,CONCATENATE("&lt;=",FU$3),Movimientos!$C:$C,"&gt;0")+SUMIFS(Movimientos!$C:$C,Movimientos!$A:$A,$B12,Movimientos!$D:$D,CONCATENATE("&lt;",FU$3),Movimientos!$C:$C,"&lt;0")</f>
        <v>0</v>
      </c>
      <c r="FV12" s="5">
        <f ca="1">SUMIFS(Movimientos!$C:$C,Movimientos!$A:$A,$B12,Movimientos!$D:$D,CONCATENATE("&lt;=",FV$3),Movimientos!$C:$C,"&gt;0")+SUMIFS(Movimientos!$C:$C,Movimientos!$A:$A,$B12,Movimientos!$D:$D,CONCATENATE("&lt;",FV$3),Movimientos!$C:$C,"&lt;0")</f>
        <v>0</v>
      </c>
      <c r="FW12" s="5">
        <f ca="1">SUMIFS(Movimientos!$C:$C,Movimientos!$A:$A,$B12,Movimientos!$D:$D,CONCATENATE("&lt;=",FW$3),Movimientos!$C:$C,"&gt;0")+SUMIFS(Movimientos!$C:$C,Movimientos!$A:$A,$B12,Movimientos!$D:$D,CONCATENATE("&lt;",FW$3),Movimientos!$C:$C,"&lt;0")</f>
        <v>0</v>
      </c>
      <c r="FX12" s="5">
        <f ca="1">SUMIFS(Movimientos!$C:$C,Movimientos!$A:$A,$B12,Movimientos!$D:$D,CONCATENATE("&lt;=",FX$3),Movimientos!$C:$C,"&gt;0")+SUMIFS(Movimientos!$C:$C,Movimientos!$A:$A,$B12,Movimientos!$D:$D,CONCATENATE("&lt;",FX$3),Movimientos!$C:$C,"&lt;0")</f>
        <v>0</v>
      </c>
      <c r="FY12" s="5">
        <f ca="1">SUMIFS(Movimientos!$C:$C,Movimientos!$A:$A,$B12,Movimientos!$D:$D,CONCATENATE("&lt;=",FY$3),Movimientos!$C:$C,"&gt;0")+SUMIFS(Movimientos!$C:$C,Movimientos!$A:$A,$B12,Movimientos!$D:$D,CONCATENATE("&lt;",FY$3),Movimientos!$C:$C,"&lt;0")</f>
        <v>0</v>
      </c>
      <c r="FZ12" s="5">
        <f ca="1">SUMIFS(Movimientos!$C:$C,Movimientos!$A:$A,$B12,Movimientos!$D:$D,CONCATENATE("&lt;=",FZ$3),Movimientos!$C:$C,"&gt;0")+SUMIFS(Movimientos!$C:$C,Movimientos!$A:$A,$B12,Movimientos!$D:$D,CONCATENATE("&lt;",FZ$3),Movimientos!$C:$C,"&lt;0")</f>
        <v>0</v>
      </c>
      <c r="GA12" s="5">
        <f ca="1">SUMIFS(Movimientos!$C:$C,Movimientos!$A:$A,$B12,Movimientos!$D:$D,CONCATENATE("&lt;=",GA$3),Movimientos!$C:$C,"&gt;0")+SUMIFS(Movimientos!$C:$C,Movimientos!$A:$A,$B12,Movimientos!$D:$D,CONCATENATE("&lt;",GA$3),Movimientos!$C:$C,"&lt;0")</f>
        <v>0</v>
      </c>
      <c r="GB12" s="5">
        <f ca="1">SUMIFS(Movimientos!$C:$C,Movimientos!$A:$A,$B12,Movimientos!$D:$D,CONCATENATE("&lt;=",GB$3),Movimientos!$C:$C,"&gt;0")+SUMIFS(Movimientos!$C:$C,Movimientos!$A:$A,$B12,Movimientos!$D:$D,CONCATENATE("&lt;",GB$3),Movimientos!$C:$C,"&lt;0")</f>
        <v>0</v>
      </c>
      <c r="GC12" s="5">
        <f ca="1">SUMIFS(Movimientos!$C:$C,Movimientos!$A:$A,$B12,Movimientos!$D:$D,CONCATENATE("&lt;=",GC$3),Movimientos!$C:$C,"&gt;0")+SUMIFS(Movimientos!$C:$C,Movimientos!$A:$A,$B12,Movimientos!$D:$D,CONCATENATE("&lt;",GC$3),Movimientos!$C:$C,"&lt;0")</f>
        <v>0</v>
      </c>
      <c r="GD12" s="5">
        <f ca="1">SUMIFS(Movimientos!$C:$C,Movimientos!$A:$A,$B12,Movimientos!$D:$D,CONCATENATE("&lt;=",GD$3),Movimientos!$C:$C,"&gt;0")+SUMIFS(Movimientos!$C:$C,Movimientos!$A:$A,$B12,Movimientos!$D:$D,CONCATENATE("&lt;",GD$3),Movimientos!$C:$C,"&lt;0")</f>
        <v>0</v>
      </c>
      <c r="GE12" s="5">
        <f ca="1">SUMIFS(Movimientos!$C:$C,Movimientos!$A:$A,$B12,Movimientos!$D:$D,CONCATENATE("&lt;=",GE$3),Movimientos!$C:$C,"&gt;0")+SUMIFS(Movimientos!$C:$C,Movimientos!$A:$A,$B12,Movimientos!$D:$D,CONCATENATE("&lt;",GE$3),Movimientos!$C:$C,"&lt;0")</f>
        <v>0</v>
      </c>
      <c r="GF12" s="5">
        <f ca="1">SUMIFS(Movimientos!$C:$C,Movimientos!$A:$A,$B12,Movimientos!$D:$D,CONCATENATE("&lt;=",GF$3),Movimientos!$C:$C,"&gt;0")+SUMIFS(Movimientos!$C:$C,Movimientos!$A:$A,$B12,Movimientos!$D:$D,CONCATENATE("&lt;",GF$3),Movimientos!$C:$C,"&lt;0")</f>
        <v>0</v>
      </c>
      <c r="GG12" s="5">
        <f ca="1">SUMIFS(Movimientos!$C:$C,Movimientos!$A:$A,$B12,Movimientos!$D:$D,CONCATENATE("&lt;=",GG$3),Movimientos!$C:$C,"&gt;0")+SUMIFS(Movimientos!$C:$C,Movimientos!$A:$A,$B12,Movimientos!$D:$D,CONCATENATE("&lt;",GG$3),Movimientos!$C:$C,"&lt;0")</f>
        <v>0</v>
      </c>
      <c r="GH12" s="5">
        <f ca="1">SUMIFS(Movimientos!$C:$C,Movimientos!$A:$A,$B12,Movimientos!$D:$D,CONCATENATE("&lt;=",GH$3),Movimientos!$C:$C,"&gt;0")+SUMIFS(Movimientos!$C:$C,Movimientos!$A:$A,$B12,Movimientos!$D:$D,CONCATENATE("&lt;",GH$3),Movimientos!$C:$C,"&lt;0")</f>
        <v>0</v>
      </c>
      <c r="GI12" s="5">
        <f ca="1">SUMIFS(Movimientos!$C:$C,Movimientos!$A:$A,$B12,Movimientos!$D:$D,CONCATENATE("&lt;=",GI$3),Movimientos!$C:$C,"&gt;0")+SUMIFS(Movimientos!$C:$C,Movimientos!$A:$A,$B12,Movimientos!$D:$D,CONCATENATE("&lt;",GI$3),Movimientos!$C:$C,"&lt;0")</f>
        <v>0</v>
      </c>
      <c r="GJ12" s="5">
        <f ca="1">SUMIFS(Movimientos!$C:$C,Movimientos!$A:$A,$B12,Movimientos!$D:$D,CONCATENATE("&lt;=",GJ$3),Movimientos!$C:$C,"&gt;0")+SUMIFS(Movimientos!$C:$C,Movimientos!$A:$A,$B12,Movimientos!$D:$D,CONCATENATE("&lt;",GJ$3),Movimientos!$C:$C,"&lt;0")</f>
        <v>0</v>
      </c>
      <c r="GK12" s="5">
        <f ca="1">SUMIFS(Movimientos!$C:$C,Movimientos!$A:$A,$B12,Movimientos!$D:$D,CONCATENATE("&lt;=",GK$3),Movimientos!$C:$C,"&gt;0")+SUMIFS(Movimientos!$C:$C,Movimientos!$A:$A,$B12,Movimientos!$D:$D,CONCATENATE("&lt;",GK$3),Movimientos!$C:$C,"&lt;0")</f>
        <v>0</v>
      </c>
      <c r="GL12" s="5">
        <f ca="1">SUMIFS(Movimientos!$C:$C,Movimientos!$A:$A,$B12,Movimientos!$D:$D,CONCATENATE("&lt;=",GL$3),Movimientos!$C:$C,"&gt;0")+SUMIFS(Movimientos!$C:$C,Movimientos!$A:$A,$B12,Movimientos!$D:$D,CONCATENATE("&lt;",GL$3),Movimientos!$C:$C,"&lt;0")</f>
        <v>0</v>
      </c>
      <c r="GM12" s="5">
        <f ca="1">SUMIFS(Movimientos!$C:$C,Movimientos!$A:$A,$B12,Movimientos!$D:$D,CONCATENATE("&lt;=",GM$3),Movimientos!$C:$C,"&gt;0")+SUMIFS(Movimientos!$C:$C,Movimientos!$A:$A,$B12,Movimientos!$D:$D,CONCATENATE("&lt;",GM$3),Movimientos!$C:$C,"&lt;0")</f>
        <v>0</v>
      </c>
      <c r="GN12" s="5">
        <f ca="1">SUMIFS(Movimientos!$C:$C,Movimientos!$A:$A,$B12,Movimientos!$D:$D,CONCATENATE("&lt;=",GN$3),Movimientos!$C:$C,"&gt;0")+SUMIFS(Movimientos!$C:$C,Movimientos!$A:$A,$B12,Movimientos!$D:$D,CONCATENATE("&lt;",GN$3),Movimientos!$C:$C,"&lt;0")</f>
        <v>0</v>
      </c>
      <c r="GO12" s="5">
        <f ca="1">SUMIFS(Movimientos!$C:$C,Movimientos!$A:$A,$B12,Movimientos!$D:$D,CONCATENATE("&lt;=",GO$3),Movimientos!$C:$C,"&gt;0")+SUMIFS(Movimientos!$C:$C,Movimientos!$A:$A,$B12,Movimientos!$D:$D,CONCATENATE("&lt;",GO$3),Movimientos!$C:$C,"&lt;0")</f>
        <v>0</v>
      </c>
      <c r="GP12" s="5">
        <f ca="1">SUMIFS(Movimientos!$C:$C,Movimientos!$A:$A,$B12,Movimientos!$D:$D,CONCATENATE("&lt;=",GP$3),Movimientos!$C:$C,"&gt;0")+SUMIFS(Movimientos!$C:$C,Movimientos!$A:$A,$B12,Movimientos!$D:$D,CONCATENATE("&lt;",GP$3),Movimientos!$C:$C,"&lt;0")</f>
        <v>0</v>
      </c>
      <c r="GQ12" s="5">
        <f ca="1">SUMIFS(Movimientos!$C:$C,Movimientos!$A:$A,$B12,Movimientos!$D:$D,CONCATENATE("&lt;=",GQ$3),Movimientos!$C:$C,"&gt;0")+SUMIFS(Movimientos!$C:$C,Movimientos!$A:$A,$B12,Movimientos!$D:$D,CONCATENATE("&lt;",GQ$3),Movimientos!$C:$C,"&lt;0")</f>
        <v>0</v>
      </c>
      <c r="GR12" s="5">
        <f ca="1">SUMIFS(Movimientos!$C:$C,Movimientos!$A:$A,$B12,Movimientos!$D:$D,CONCATENATE("&lt;=",GR$3),Movimientos!$C:$C,"&gt;0")+SUMIFS(Movimientos!$C:$C,Movimientos!$A:$A,$B12,Movimientos!$D:$D,CONCATENATE("&lt;",GR$3),Movimientos!$C:$C,"&lt;0")</f>
        <v>0</v>
      </c>
      <c r="GS12" s="5">
        <f ca="1">SUMIFS(Movimientos!$C:$C,Movimientos!$A:$A,$B12,Movimientos!$D:$D,CONCATENATE("&lt;=",GS$3),Movimientos!$C:$C,"&gt;0")+SUMIFS(Movimientos!$C:$C,Movimientos!$A:$A,$B12,Movimientos!$D:$D,CONCATENATE("&lt;",GS$3),Movimientos!$C:$C,"&lt;0")</f>
        <v>0</v>
      </c>
      <c r="GT12" s="5">
        <f ca="1">SUMIFS(Movimientos!$C:$C,Movimientos!$A:$A,$B12,Movimientos!$D:$D,CONCATENATE("&lt;=",GT$3),Movimientos!$C:$C,"&gt;0")+SUMIFS(Movimientos!$C:$C,Movimientos!$A:$A,$B12,Movimientos!$D:$D,CONCATENATE("&lt;",GT$3),Movimientos!$C:$C,"&lt;0")</f>
        <v>0</v>
      </c>
      <c r="GU12" s="5">
        <f ca="1">SUMIFS(Movimientos!$C:$C,Movimientos!$A:$A,$B12,Movimientos!$D:$D,CONCATENATE("&lt;=",GU$3),Movimientos!$C:$C,"&gt;0")+SUMIFS(Movimientos!$C:$C,Movimientos!$A:$A,$B12,Movimientos!$D:$D,CONCATENATE("&lt;",GU$3),Movimientos!$C:$C,"&lt;0")</f>
        <v>0</v>
      </c>
      <c r="GV12" s="5">
        <f ca="1">SUMIFS(Movimientos!$C:$C,Movimientos!$A:$A,$B12,Movimientos!$D:$D,CONCATENATE("&lt;=",GV$3),Movimientos!$C:$C,"&gt;0")+SUMIFS(Movimientos!$C:$C,Movimientos!$A:$A,$B12,Movimientos!$D:$D,CONCATENATE("&lt;",GV$3),Movimientos!$C:$C,"&lt;0")</f>
        <v>0</v>
      </c>
      <c r="GW12" s="5">
        <f ca="1">SUMIFS(Movimientos!$C:$C,Movimientos!$A:$A,$B12,Movimientos!$D:$D,CONCATENATE("&lt;=",GW$3),Movimientos!$C:$C,"&gt;0")+SUMIFS(Movimientos!$C:$C,Movimientos!$A:$A,$B12,Movimientos!$D:$D,CONCATENATE("&lt;",GW$3),Movimientos!$C:$C,"&lt;0")</f>
        <v>0</v>
      </c>
      <c r="GX12" s="5">
        <f ca="1">SUMIFS(Movimientos!$C:$C,Movimientos!$A:$A,$B12,Movimientos!$D:$D,CONCATENATE("&lt;=",GX$3),Movimientos!$C:$C,"&gt;0")+SUMIFS(Movimientos!$C:$C,Movimientos!$A:$A,$B12,Movimientos!$D:$D,CONCATENATE("&lt;",GX$3),Movimientos!$C:$C,"&lt;0")</f>
        <v>0</v>
      </c>
      <c r="GY12" s="5">
        <f ca="1">SUMIFS(Movimientos!$C:$C,Movimientos!$A:$A,$B12,Movimientos!$D:$D,CONCATENATE("&lt;=",GY$3),Movimientos!$C:$C,"&gt;0")+SUMIFS(Movimientos!$C:$C,Movimientos!$A:$A,$B12,Movimientos!$D:$D,CONCATENATE("&lt;",GY$3),Movimientos!$C:$C,"&lt;0")</f>
        <v>0</v>
      </c>
      <c r="GZ12" s="5">
        <f ca="1">SUMIFS(Movimientos!$C:$C,Movimientos!$A:$A,$B12,Movimientos!$D:$D,CONCATENATE("&lt;=",GZ$3),Movimientos!$C:$C,"&gt;0")+SUMIFS(Movimientos!$C:$C,Movimientos!$A:$A,$B12,Movimientos!$D:$D,CONCATENATE("&lt;",GZ$3),Movimientos!$C:$C,"&lt;0")</f>
        <v>0</v>
      </c>
      <c r="HA12" s="5">
        <f ca="1">SUMIFS(Movimientos!$C:$C,Movimientos!$A:$A,$B12,Movimientos!$D:$D,CONCATENATE("&lt;=",HA$3),Movimientos!$C:$C,"&gt;0")+SUMIFS(Movimientos!$C:$C,Movimientos!$A:$A,$B12,Movimientos!$D:$D,CONCATENATE("&lt;",HA$3),Movimientos!$C:$C,"&lt;0")</f>
        <v>0</v>
      </c>
      <c r="HB12" s="5">
        <f ca="1">SUMIFS(Movimientos!$C:$C,Movimientos!$A:$A,$B12,Movimientos!$D:$D,CONCATENATE("&lt;=",HB$3),Movimientos!$C:$C,"&gt;0")+SUMIFS(Movimientos!$C:$C,Movimientos!$A:$A,$B12,Movimientos!$D:$D,CONCATENATE("&lt;",HB$3),Movimientos!$C:$C,"&lt;0")</f>
        <v>0</v>
      </c>
      <c r="HC12" s="5">
        <f ca="1">SUMIFS(Movimientos!$C:$C,Movimientos!$A:$A,$B12,Movimientos!$D:$D,CONCATENATE("&lt;=",HC$3),Movimientos!$C:$C,"&gt;0")+SUMIFS(Movimientos!$C:$C,Movimientos!$A:$A,$B12,Movimientos!$D:$D,CONCATENATE("&lt;",HC$3),Movimientos!$C:$C,"&lt;0")</f>
        <v>0</v>
      </c>
      <c r="HD12" s="5">
        <f ca="1">SUMIFS(Movimientos!$C:$C,Movimientos!$A:$A,$B12,Movimientos!$D:$D,CONCATENATE("&lt;=",HD$3),Movimientos!$C:$C,"&gt;0")+SUMIFS(Movimientos!$C:$C,Movimientos!$A:$A,$B12,Movimientos!$D:$D,CONCATENATE("&lt;",HD$3),Movimientos!$C:$C,"&lt;0")</f>
        <v>0</v>
      </c>
      <c r="HE12" s="5">
        <f ca="1">SUMIFS(Movimientos!$C:$C,Movimientos!$A:$A,$B12,Movimientos!$D:$D,CONCATENATE("&lt;=",HE$3),Movimientos!$C:$C,"&gt;0")+SUMIFS(Movimientos!$C:$C,Movimientos!$A:$A,$B12,Movimientos!$D:$D,CONCATENATE("&lt;",HE$3),Movimientos!$C:$C,"&lt;0")</f>
        <v>0</v>
      </c>
      <c r="HF12" s="5">
        <f ca="1">SUMIFS(Movimientos!$C:$C,Movimientos!$A:$A,$B12,Movimientos!$D:$D,CONCATENATE("&lt;=",HF$3),Movimientos!$C:$C,"&gt;0")+SUMIFS(Movimientos!$C:$C,Movimientos!$A:$A,$B12,Movimientos!$D:$D,CONCATENATE("&lt;",HF$3),Movimientos!$C:$C,"&lt;0")</f>
        <v>0</v>
      </c>
      <c r="HG12" s="5">
        <f ca="1">SUMIFS(Movimientos!$C:$C,Movimientos!$A:$A,$B12,Movimientos!$D:$D,CONCATENATE("&lt;=",HG$3),Movimientos!$C:$C,"&gt;0")+SUMIFS(Movimientos!$C:$C,Movimientos!$A:$A,$B12,Movimientos!$D:$D,CONCATENATE("&lt;",HG$3),Movimientos!$C:$C,"&lt;0")</f>
        <v>0</v>
      </c>
      <c r="HH12" s="5">
        <f ca="1">SUMIFS(Movimientos!$C:$C,Movimientos!$A:$A,$B12,Movimientos!$D:$D,CONCATENATE("&lt;=",HH$3),Movimientos!$C:$C,"&gt;0")+SUMIFS(Movimientos!$C:$C,Movimientos!$A:$A,$B12,Movimientos!$D:$D,CONCATENATE("&lt;",HH$3),Movimientos!$C:$C,"&lt;0")</f>
        <v>0</v>
      </c>
      <c r="HI12" s="5">
        <f ca="1">SUMIFS(Movimientos!$C:$C,Movimientos!$A:$A,$B12,Movimientos!$D:$D,CONCATENATE("&lt;=",HI$3),Movimientos!$C:$C,"&gt;0")+SUMIFS(Movimientos!$C:$C,Movimientos!$A:$A,$B12,Movimientos!$D:$D,CONCATENATE("&lt;",HI$3),Movimientos!$C:$C,"&lt;0")</f>
        <v>0</v>
      </c>
      <c r="HJ12" s="5">
        <f ca="1">SUMIFS(Movimientos!$C:$C,Movimientos!$A:$A,$B12,Movimientos!$D:$D,CONCATENATE("&lt;=",HJ$3),Movimientos!$C:$C,"&gt;0")+SUMIFS(Movimientos!$C:$C,Movimientos!$A:$A,$B12,Movimientos!$D:$D,CONCATENATE("&lt;",HJ$3),Movimientos!$C:$C,"&lt;0")</f>
        <v>0</v>
      </c>
      <c r="HK12" s="5">
        <f ca="1">SUMIFS(Movimientos!$C:$C,Movimientos!$A:$A,$B12,Movimientos!$D:$D,CONCATENATE("&lt;=",HK$3),Movimientos!$C:$C,"&gt;0")+SUMIFS(Movimientos!$C:$C,Movimientos!$A:$A,$B12,Movimientos!$D:$D,CONCATENATE("&lt;",HK$3),Movimientos!$C:$C,"&lt;0")</f>
        <v>0</v>
      </c>
      <c r="HL12" s="5">
        <f ca="1">SUMIFS(Movimientos!$C:$C,Movimientos!$A:$A,$B12,Movimientos!$D:$D,CONCATENATE("&lt;=",HL$3),Movimientos!$C:$C,"&gt;0")+SUMIFS(Movimientos!$C:$C,Movimientos!$A:$A,$B12,Movimientos!$D:$D,CONCATENATE("&lt;",HL$3),Movimientos!$C:$C,"&lt;0")</f>
        <v>0</v>
      </c>
      <c r="HM12" s="5">
        <f ca="1">SUMIFS(Movimientos!$C:$C,Movimientos!$A:$A,$B12,Movimientos!$D:$D,CONCATENATE("&lt;=",HM$3),Movimientos!$C:$C,"&gt;0")+SUMIFS(Movimientos!$C:$C,Movimientos!$A:$A,$B12,Movimientos!$D:$D,CONCATENATE("&lt;",HM$3),Movimientos!$C:$C,"&lt;0")</f>
        <v>0</v>
      </c>
      <c r="HN12" s="5">
        <f ca="1">SUMIFS(Movimientos!$C:$C,Movimientos!$A:$A,$B12,Movimientos!$D:$D,CONCATENATE("&lt;=",HN$3),Movimientos!$C:$C,"&gt;0")+SUMIFS(Movimientos!$C:$C,Movimientos!$A:$A,$B12,Movimientos!$D:$D,CONCATENATE("&lt;",HN$3),Movimientos!$C:$C,"&lt;0")</f>
        <v>0</v>
      </c>
      <c r="HO12" s="5">
        <f ca="1">SUMIFS(Movimientos!$C:$C,Movimientos!$A:$A,$B12,Movimientos!$D:$D,CONCATENATE("&lt;=",HO$3),Movimientos!$C:$C,"&gt;0")+SUMIFS(Movimientos!$C:$C,Movimientos!$A:$A,$B12,Movimientos!$D:$D,CONCATENATE("&lt;",HO$3),Movimientos!$C:$C,"&lt;0")</f>
        <v>0</v>
      </c>
      <c r="HP12" s="5">
        <f ca="1">SUMIFS(Movimientos!$C:$C,Movimientos!$A:$A,$B12,Movimientos!$D:$D,CONCATENATE("&lt;=",HP$3),Movimientos!$C:$C,"&gt;0")+SUMIFS(Movimientos!$C:$C,Movimientos!$A:$A,$B12,Movimientos!$D:$D,CONCATENATE("&lt;",HP$3),Movimientos!$C:$C,"&lt;0")</f>
        <v>0</v>
      </c>
      <c r="HQ12" s="5">
        <f ca="1">SUMIFS(Movimientos!$C:$C,Movimientos!$A:$A,$B12,Movimientos!$D:$D,CONCATENATE("&lt;=",HQ$3),Movimientos!$C:$C,"&gt;0")+SUMIFS(Movimientos!$C:$C,Movimientos!$A:$A,$B12,Movimientos!$D:$D,CONCATENATE("&lt;",HQ$3),Movimientos!$C:$C,"&lt;0")</f>
        <v>0</v>
      </c>
      <c r="HR12" s="5">
        <f ca="1">SUMIFS(Movimientos!$C:$C,Movimientos!$A:$A,$B12,Movimientos!$D:$D,CONCATENATE("&lt;=",HR$3),Movimientos!$C:$C,"&gt;0")+SUMIFS(Movimientos!$C:$C,Movimientos!$A:$A,$B12,Movimientos!$D:$D,CONCATENATE("&lt;",HR$3),Movimientos!$C:$C,"&lt;0")</f>
        <v>0</v>
      </c>
      <c r="HS12" s="5">
        <f ca="1">SUMIFS(Movimientos!$C:$C,Movimientos!$A:$A,$B12,Movimientos!$D:$D,CONCATENATE("&lt;=",HS$3),Movimientos!$C:$C,"&gt;0")+SUMIFS(Movimientos!$C:$C,Movimientos!$A:$A,$B12,Movimientos!$D:$D,CONCATENATE("&lt;",HS$3),Movimientos!$C:$C,"&lt;0")</f>
        <v>0</v>
      </c>
      <c r="HT12" s="5">
        <f ca="1">SUMIFS(Movimientos!$C:$C,Movimientos!$A:$A,$B12,Movimientos!$D:$D,CONCATENATE("&lt;=",HT$3),Movimientos!$C:$C,"&gt;0")+SUMIFS(Movimientos!$C:$C,Movimientos!$A:$A,$B12,Movimientos!$D:$D,CONCATENATE("&lt;",HT$3),Movimientos!$C:$C,"&lt;0")</f>
        <v>0</v>
      </c>
      <c r="HU12" s="5">
        <f ca="1">SUMIFS(Movimientos!$C:$C,Movimientos!$A:$A,$B12,Movimientos!$D:$D,CONCATENATE("&lt;=",HU$3),Movimientos!$C:$C,"&gt;0")+SUMIFS(Movimientos!$C:$C,Movimientos!$A:$A,$B12,Movimientos!$D:$D,CONCATENATE("&lt;",HU$3),Movimientos!$C:$C,"&lt;0")</f>
        <v>0</v>
      </c>
      <c r="HV12" s="5">
        <f ca="1">SUMIFS(Movimientos!$C:$C,Movimientos!$A:$A,$B12,Movimientos!$D:$D,CONCATENATE("&lt;=",HV$3),Movimientos!$C:$C,"&gt;0")+SUMIFS(Movimientos!$C:$C,Movimientos!$A:$A,$B12,Movimientos!$D:$D,CONCATENATE("&lt;",HV$3),Movimientos!$C:$C,"&lt;0")</f>
        <v>0</v>
      </c>
      <c r="HW12" s="5">
        <f ca="1">SUMIFS(Movimientos!$C:$C,Movimientos!$A:$A,$B12,Movimientos!$D:$D,CONCATENATE("&lt;=",HW$3),Movimientos!$C:$C,"&gt;0")+SUMIFS(Movimientos!$C:$C,Movimientos!$A:$A,$B12,Movimientos!$D:$D,CONCATENATE("&lt;",HW$3),Movimientos!$C:$C,"&lt;0")</f>
        <v>0</v>
      </c>
      <c r="HX12" s="5">
        <f ca="1">SUMIFS(Movimientos!$C:$C,Movimientos!$A:$A,$B12,Movimientos!$D:$D,CONCATENATE("&lt;=",HX$3),Movimientos!$C:$C,"&gt;0")+SUMIFS(Movimientos!$C:$C,Movimientos!$A:$A,$B12,Movimientos!$D:$D,CONCATENATE("&lt;",HX$3),Movimientos!$C:$C,"&lt;0")</f>
        <v>0</v>
      </c>
      <c r="HY12" s="5">
        <f ca="1">SUMIFS(Movimientos!$C:$C,Movimientos!$A:$A,$B12,Movimientos!$D:$D,CONCATENATE("&lt;=",HY$3),Movimientos!$C:$C,"&gt;0")+SUMIFS(Movimientos!$C:$C,Movimientos!$A:$A,$B12,Movimientos!$D:$D,CONCATENATE("&lt;",HY$3),Movimientos!$C:$C,"&lt;0")</f>
        <v>0</v>
      </c>
      <c r="HZ12" s="5">
        <f ca="1">SUMIFS(Movimientos!$C:$C,Movimientos!$A:$A,$B12,Movimientos!$D:$D,CONCATENATE("&lt;=",HZ$3),Movimientos!$C:$C,"&gt;0")+SUMIFS(Movimientos!$C:$C,Movimientos!$A:$A,$B12,Movimientos!$D:$D,CONCATENATE("&lt;",HZ$3),Movimientos!$C:$C,"&lt;0")</f>
        <v>0</v>
      </c>
      <c r="IA12" s="5">
        <f ca="1">SUMIFS(Movimientos!$C:$C,Movimientos!$A:$A,$B12,Movimientos!$D:$D,CONCATENATE("&lt;=",IA$3),Movimientos!$C:$C,"&gt;0")+SUMIFS(Movimientos!$C:$C,Movimientos!$A:$A,$B12,Movimientos!$D:$D,CONCATENATE("&lt;",IA$3),Movimientos!$C:$C,"&lt;0")</f>
        <v>0</v>
      </c>
      <c r="IB12" s="5">
        <f ca="1">SUMIFS(Movimientos!$C:$C,Movimientos!$A:$A,$B12,Movimientos!$D:$D,CONCATENATE("&lt;=",IB$3),Movimientos!$C:$C,"&gt;0")+SUMIFS(Movimientos!$C:$C,Movimientos!$A:$A,$B12,Movimientos!$D:$D,CONCATENATE("&lt;",IB$3),Movimientos!$C:$C,"&lt;0")</f>
        <v>0</v>
      </c>
      <c r="IC12" s="5">
        <f ca="1">SUMIFS(Movimientos!$C:$C,Movimientos!$A:$A,$B12,Movimientos!$D:$D,CONCATENATE("&lt;=",IC$3),Movimientos!$C:$C,"&gt;0")+SUMIFS(Movimientos!$C:$C,Movimientos!$A:$A,$B12,Movimientos!$D:$D,CONCATENATE("&lt;",IC$3),Movimientos!$C:$C,"&lt;0")</f>
        <v>0</v>
      </c>
      <c r="ID12" s="5">
        <f ca="1">SUMIFS(Movimientos!$C:$C,Movimientos!$A:$A,$B12,Movimientos!$D:$D,CONCATENATE("&lt;=",ID$3),Movimientos!$C:$C,"&gt;0")+SUMIFS(Movimientos!$C:$C,Movimientos!$A:$A,$B12,Movimientos!$D:$D,CONCATENATE("&lt;",ID$3),Movimientos!$C:$C,"&lt;0")</f>
        <v>0</v>
      </c>
      <c r="IE12" s="5">
        <f ca="1">SUMIFS(Movimientos!$C:$C,Movimientos!$A:$A,$B12,Movimientos!$D:$D,CONCATENATE("&lt;=",IE$3),Movimientos!$C:$C,"&gt;0")+SUMIFS(Movimientos!$C:$C,Movimientos!$A:$A,$B12,Movimientos!$D:$D,CONCATENATE("&lt;",IE$3),Movimientos!$C:$C,"&lt;0")</f>
        <v>0</v>
      </c>
      <c r="IF12" s="5">
        <f ca="1">SUMIFS(Movimientos!$C:$C,Movimientos!$A:$A,$B12,Movimientos!$D:$D,CONCATENATE("&lt;=",IF$3),Movimientos!$C:$C,"&gt;0")+SUMIFS(Movimientos!$C:$C,Movimientos!$A:$A,$B12,Movimientos!$D:$D,CONCATENATE("&lt;",IF$3),Movimientos!$C:$C,"&lt;0")</f>
        <v>0</v>
      </c>
      <c r="IG12" s="5">
        <f ca="1">SUMIFS(Movimientos!$C:$C,Movimientos!$A:$A,$B12,Movimientos!$D:$D,CONCATENATE("&lt;=",IG$3),Movimientos!$C:$C,"&gt;0")+SUMIFS(Movimientos!$C:$C,Movimientos!$A:$A,$B12,Movimientos!$D:$D,CONCATENATE("&lt;",IG$3),Movimientos!$C:$C,"&lt;0")</f>
        <v>0</v>
      </c>
      <c r="IH12" s="5">
        <f ca="1">SUMIFS(Movimientos!$C:$C,Movimientos!$A:$A,$B12,Movimientos!$D:$D,CONCATENATE("&lt;=",IH$3),Movimientos!$C:$C,"&gt;0")+SUMIFS(Movimientos!$C:$C,Movimientos!$A:$A,$B12,Movimientos!$D:$D,CONCATENATE("&lt;",IH$3),Movimientos!$C:$C,"&lt;0")</f>
        <v>0</v>
      </c>
      <c r="II12" s="5">
        <f ca="1">SUMIFS(Movimientos!$C:$C,Movimientos!$A:$A,$B12,Movimientos!$D:$D,CONCATENATE("&lt;=",II$3),Movimientos!$C:$C,"&gt;0")+SUMIFS(Movimientos!$C:$C,Movimientos!$A:$A,$B12,Movimientos!$D:$D,CONCATENATE("&lt;",II$3),Movimientos!$C:$C,"&lt;0")</f>
        <v>0</v>
      </c>
      <c r="IJ12" s="5">
        <f ca="1">SUMIFS(Movimientos!$C:$C,Movimientos!$A:$A,$B12,Movimientos!$D:$D,CONCATENATE("&lt;=",IJ$3),Movimientos!$C:$C,"&gt;0")+SUMIFS(Movimientos!$C:$C,Movimientos!$A:$A,$B12,Movimientos!$D:$D,CONCATENATE("&lt;",IJ$3),Movimientos!$C:$C,"&lt;0")</f>
        <v>0</v>
      </c>
      <c r="IK12" s="5">
        <f ca="1">SUMIFS(Movimientos!$C:$C,Movimientos!$A:$A,$B12,Movimientos!$D:$D,CONCATENATE("&lt;=",IK$3),Movimientos!$C:$C,"&gt;0")+SUMIFS(Movimientos!$C:$C,Movimientos!$A:$A,$B12,Movimientos!$D:$D,CONCATENATE("&lt;",IK$3),Movimientos!$C:$C,"&lt;0")</f>
        <v>0</v>
      </c>
      <c r="IL12" s="5">
        <f ca="1">SUMIFS(Movimientos!$C:$C,Movimientos!$A:$A,$B12,Movimientos!$D:$D,CONCATENATE("&lt;=",IL$3),Movimientos!$C:$C,"&gt;0")+SUMIFS(Movimientos!$C:$C,Movimientos!$A:$A,$B12,Movimientos!$D:$D,CONCATENATE("&lt;",IL$3),Movimientos!$C:$C,"&lt;0")</f>
        <v>0</v>
      </c>
      <c r="IM12" s="5">
        <f ca="1">SUMIFS(Movimientos!$C:$C,Movimientos!$A:$A,$B12,Movimientos!$D:$D,CONCATENATE("&lt;=",IM$3),Movimientos!$C:$C,"&gt;0")+SUMIFS(Movimientos!$C:$C,Movimientos!$A:$A,$B12,Movimientos!$D:$D,CONCATENATE("&lt;",IM$3),Movimientos!$C:$C,"&lt;0")</f>
        <v>0</v>
      </c>
      <c r="IN12" s="5">
        <f ca="1">SUMIFS(Movimientos!$C:$C,Movimientos!$A:$A,$B12,Movimientos!$D:$D,CONCATENATE("&lt;=",IN$3),Movimientos!$C:$C,"&gt;0")+SUMIFS(Movimientos!$C:$C,Movimientos!$A:$A,$B12,Movimientos!$D:$D,CONCATENATE("&lt;",IN$3),Movimientos!$C:$C,"&lt;0")</f>
        <v>0</v>
      </c>
      <c r="IO12" s="5">
        <f ca="1">SUMIFS(Movimientos!$C:$C,Movimientos!$A:$A,$B12,Movimientos!$D:$D,CONCATENATE("&lt;=",IO$3),Movimientos!$C:$C,"&gt;0")+SUMIFS(Movimientos!$C:$C,Movimientos!$A:$A,$B12,Movimientos!$D:$D,CONCATENATE("&lt;",IO$3),Movimientos!$C:$C,"&lt;0")</f>
        <v>0</v>
      </c>
      <c r="IP12" s="5">
        <f ca="1">SUMIFS(Movimientos!$C:$C,Movimientos!$A:$A,$B12,Movimientos!$D:$D,CONCATENATE("&lt;=",IP$3),Movimientos!$C:$C,"&gt;0")+SUMIFS(Movimientos!$C:$C,Movimientos!$A:$A,$B12,Movimientos!$D:$D,CONCATENATE("&lt;",IP$3),Movimientos!$C:$C,"&lt;0")</f>
        <v>0</v>
      </c>
      <c r="IQ12" s="5">
        <f ca="1">SUMIFS(Movimientos!$C:$C,Movimientos!$A:$A,$B12,Movimientos!$D:$D,CONCATENATE("&lt;=",IQ$3),Movimientos!$C:$C,"&gt;0")+SUMIFS(Movimientos!$C:$C,Movimientos!$A:$A,$B12,Movimientos!$D:$D,CONCATENATE("&lt;",IQ$3),Movimientos!$C:$C,"&lt;0")</f>
        <v>0</v>
      </c>
      <c r="IR12" s="5">
        <f ca="1">SUMIFS(Movimientos!$C:$C,Movimientos!$A:$A,$B12,Movimientos!$D:$D,CONCATENATE("&lt;=",IR$3),Movimientos!$C:$C,"&gt;0")+SUMIFS(Movimientos!$C:$C,Movimientos!$A:$A,$B12,Movimientos!$D:$D,CONCATENATE("&lt;",IR$3),Movimientos!$C:$C,"&lt;0")</f>
        <v>0</v>
      </c>
      <c r="IS12" s="5">
        <f ca="1">SUMIFS(Movimientos!$C:$C,Movimientos!$A:$A,$B12,Movimientos!$D:$D,CONCATENATE("&lt;=",IS$3),Movimientos!$C:$C,"&gt;0")+SUMIFS(Movimientos!$C:$C,Movimientos!$A:$A,$B12,Movimientos!$D:$D,CONCATENATE("&lt;",IS$3),Movimientos!$C:$C,"&lt;0")</f>
        <v>0</v>
      </c>
      <c r="IT12" s="5">
        <f ca="1">SUMIFS(Movimientos!$C:$C,Movimientos!$A:$A,$B12,Movimientos!$D:$D,CONCATENATE("&lt;=",IT$3),Movimientos!$C:$C,"&gt;0")+SUMIFS(Movimientos!$C:$C,Movimientos!$A:$A,$B12,Movimientos!$D:$D,CONCATENATE("&lt;",IT$3),Movimientos!$C:$C,"&lt;0")</f>
        <v>0</v>
      </c>
      <c r="IU12" s="5">
        <f ca="1">SUMIFS(Movimientos!$C:$C,Movimientos!$A:$A,$B12,Movimientos!$D:$D,CONCATENATE("&lt;=",IU$3),Movimientos!$C:$C,"&gt;0")+SUMIFS(Movimientos!$C:$C,Movimientos!$A:$A,$B12,Movimientos!$D:$D,CONCATENATE("&lt;",IU$3),Movimientos!$C:$C,"&lt;0")</f>
        <v>0</v>
      </c>
      <c r="IV12" s="5">
        <f ca="1">SUMIFS(Movimientos!$C:$C,Movimientos!$A:$A,$B12,Movimientos!$D:$D,CONCATENATE("&lt;=",IV$3),Movimientos!$C:$C,"&gt;0")+SUMIFS(Movimientos!$C:$C,Movimientos!$A:$A,$B12,Movimientos!$D:$D,CONCATENATE("&lt;",IV$3),Movimientos!$C:$C,"&lt;0")</f>
        <v>0</v>
      </c>
      <c r="IW12" s="5">
        <f ca="1">SUMIFS(Movimientos!$C:$C,Movimientos!$A:$A,$B12,Movimientos!$D:$D,CONCATENATE("&lt;=",IW$3),Movimientos!$C:$C,"&gt;0")+SUMIFS(Movimientos!$C:$C,Movimientos!$A:$A,$B12,Movimientos!$D:$D,CONCATENATE("&lt;",IW$3),Movimientos!$C:$C,"&lt;0")</f>
        <v>0</v>
      </c>
      <c r="IX12" s="5">
        <f ca="1">SUMIFS(Movimientos!$C:$C,Movimientos!$A:$A,$B12,Movimientos!$D:$D,CONCATENATE("&lt;=",IX$3),Movimientos!$C:$C,"&gt;0")+SUMIFS(Movimientos!$C:$C,Movimientos!$A:$A,$B12,Movimientos!$D:$D,CONCATENATE("&lt;",IX$3),Movimientos!$C:$C,"&lt;0")</f>
        <v>0</v>
      </c>
      <c r="IY12" s="5">
        <f ca="1">SUMIFS(Movimientos!$C:$C,Movimientos!$A:$A,$B12,Movimientos!$D:$D,CONCATENATE("&lt;=",IY$3),Movimientos!$C:$C,"&gt;0")+SUMIFS(Movimientos!$C:$C,Movimientos!$A:$A,$B12,Movimientos!$D:$D,CONCATENATE("&lt;",IY$3),Movimientos!$C:$C,"&lt;0")</f>
        <v>0</v>
      </c>
      <c r="IZ12" s="5">
        <f ca="1">SUMIFS(Movimientos!$C:$C,Movimientos!$A:$A,$B12,Movimientos!$D:$D,CONCATENATE("&lt;=",IZ$3),Movimientos!$C:$C,"&gt;0")+SUMIFS(Movimientos!$C:$C,Movimientos!$A:$A,$B12,Movimientos!$D:$D,CONCATENATE("&lt;",IZ$3),Movimientos!$C:$C,"&lt;0")</f>
        <v>0</v>
      </c>
      <c r="JA12" s="5">
        <f ca="1">SUMIFS(Movimientos!$C:$C,Movimientos!$A:$A,$B12,Movimientos!$D:$D,CONCATENATE("&lt;=",JA$3),Movimientos!$C:$C,"&gt;0")+SUMIFS(Movimientos!$C:$C,Movimientos!$A:$A,$B12,Movimientos!$D:$D,CONCATENATE("&lt;",JA$3),Movimientos!$C:$C,"&lt;0")</f>
        <v>0</v>
      </c>
      <c r="JB12" s="5">
        <f ca="1">SUMIFS(Movimientos!$C:$C,Movimientos!$A:$A,$B12,Movimientos!$D:$D,CONCATENATE("&lt;=",JB$3),Movimientos!$C:$C,"&gt;0")+SUMIFS(Movimientos!$C:$C,Movimientos!$A:$A,$B12,Movimientos!$D:$D,CONCATENATE("&lt;",JB$3),Movimientos!$C:$C,"&lt;0")</f>
        <v>0</v>
      </c>
      <c r="JC12" s="5">
        <f ca="1">SUMIFS(Movimientos!$C:$C,Movimientos!$A:$A,$B12,Movimientos!$D:$D,CONCATENATE("&lt;=",JC$3),Movimientos!$C:$C,"&gt;0")+SUMIFS(Movimientos!$C:$C,Movimientos!$A:$A,$B12,Movimientos!$D:$D,CONCATENATE("&lt;",JC$3),Movimientos!$C:$C,"&lt;0")</f>
        <v>0</v>
      </c>
      <c r="JD12" s="5">
        <f ca="1">SUMIFS(Movimientos!$C:$C,Movimientos!$A:$A,$B12,Movimientos!$D:$D,CONCATENATE("&lt;=",JD$3),Movimientos!$C:$C,"&gt;0")+SUMIFS(Movimientos!$C:$C,Movimientos!$A:$A,$B12,Movimientos!$D:$D,CONCATENATE("&lt;",JD$3),Movimientos!$C:$C,"&lt;0")</f>
        <v>0</v>
      </c>
      <c r="JE12" s="5">
        <f ca="1">SUMIFS(Movimientos!$C:$C,Movimientos!$A:$A,$B12,Movimientos!$D:$D,CONCATENATE("&lt;=",JE$3),Movimientos!$C:$C,"&gt;0")+SUMIFS(Movimientos!$C:$C,Movimientos!$A:$A,$B12,Movimientos!$D:$D,CONCATENATE("&lt;",JE$3),Movimientos!$C:$C,"&lt;0")</f>
        <v>0</v>
      </c>
      <c r="JF12" s="5">
        <f ca="1">SUMIFS(Movimientos!$C:$C,Movimientos!$A:$A,$B12,Movimientos!$D:$D,CONCATENATE("&lt;=",JF$3),Movimientos!$C:$C,"&gt;0")+SUMIFS(Movimientos!$C:$C,Movimientos!$A:$A,$B12,Movimientos!$D:$D,CONCATENATE("&lt;",JF$3),Movimientos!$C:$C,"&lt;0")</f>
        <v>0</v>
      </c>
      <c r="JG12" s="5">
        <f ca="1">SUMIFS(Movimientos!$C:$C,Movimientos!$A:$A,$B12,Movimientos!$D:$D,CONCATENATE("&lt;=",JG$3),Movimientos!$C:$C,"&gt;0")+SUMIFS(Movimientos!$C:$C,Movimientos!$A:$A,$B12,Movimientos!$D:$D,CONCATENATE("&lt;",JG$3),Movimientos!$C:$C,"&lt;0")</f>
        <v>0</v>
      </c>
      <c r="JH12" s="5">
        <f ca="1">SUMIFS(Movimientos!$C:$C,Movimientos!$A:$A,$B12,Movimientos!$D:$D,CONCATENATE("&lt;=",JH$3),Movimientos!$C:$C,"&gt;0")+SUMIFS(Movimientos!$C:$C,Movimientos!$A:$A,$B12,Movimientos!$D:$D,CONCATENATE("&lt;",JH$3),Movimientos!$C:$C,"&lt;0")</f>
        <v>0</v>
      </c>
      <c r="JI12" s="5">
        <f ca="1">SUMIFS(Movimientos!$C:$C,Movimientos!$A:$A,$B12,Movimientos!$D:$D,CONCATENATE("&lt;=",JI$3),Movimientos!$C:$C,"&gt;0")+SUMIFS(Movimientos!$C:$C,Movimientos!$A:$A,$B12,Movimientos!$D:$D,CONCATENATE("&lt;",JI$3),Movimientos!$C:$C,"&lt;0")</f>
        <v>0</v>
      </c>
      <c r="JJ12" s="5">
        <f ca="1">SUMIFS(Movimientos!$C:$C,Movimientos!$A:$A,$B12,Movimientos!$D:$D,CONCATENATE("&lt;=",JJ$3),Movimientos!$C:$C,"&gt;0")+SUMIFS(Movimientos!$C:$C,Movimientos!$A:$A,$B12,Movimientos!$D:$D,CONCATENATE("&lt;",JJ$3),Movimientos!$C:$C,"&lt;0")</f>
        <v>0</v>
      </c>
      <c r="JK12" s="5">
        <f ca="1">SUMIFS(Movimientos!$C:$C,Movimientos!$A:$A,$B12,Movimientos!$D:$D,CONCATENATE("&lt;=",JK$3),Movimientos!$C:$C,"&gt;0")+SUMIFS(Movimientos!$C:$C,Movimientos!$A:$A,$B12,Movimientos!$D:$D,CONCATENATE("&lt;",JK$3),Movimientos!$C:$C,"&lt;0")</f>
        <v>0</v>
      </c>
      <c r="JL12" s="5">
        <f ca="1">SUMIFS(Movimientos!$C:$C,Movimientos!$A:$A,$B12,Movimientos!$D:$D,CONCATENATE("&lt;=",JL$3),Movimientos!$C:$C,"&gt;0")+SUMIFS(Movimientos!$C:$C,Movimientos!$A:$A,$B12,Movimientos!$D:$D,CONCATENATE("&lt;",JL$3),Movimientos!$C:$C,"&lt;0")</f>
        <v>0</v>
      </c>
      <c r="JM12" s="5">
        <f ca="1">SUMIFS(Movimientos!$C:$C,Movimientos!$A:$A,$B12,Movimientos!$D:$D,CONCATENATE("&lt;=",JM$3),Movimientos!$C:$C,"&gt;0")+SUMIFS(Movimientos!$C:$C,Movimientos!$A:$A,$B12,Movimientos!$D:$D,CONCATENATE("&lt;",JM$3),Movimientos!$C:$C,"&lt;0")</f>
        <v>0</v>
      </c>
      <c r="JN12" s="5">
        <f ca="1">SUMIFS(Movimientos!$C:$C,Movimientos!$A:$A,$B12,Movimientos!$D:$D,CONCATENATE("&lt;=",JN$3),Movimientos!$C:$C,"&gt;0")+SUMIFS(Movimientos!$C:$C,Movimientos!$A:$A,$B12,Movimientos!$D:$D,CONCATENATE("&lt;",JN$3),Movimientos!$C:$C,"&lt;0")</f>
        <v>0</v>
      </c>
      <c r="JO12" s="5">
        <f ca="1">SUMIFS(Movimientos!$C:$C,Movimientos!$A:$A,$B12,Movimientos!$D:$D,CONCATENATE("&lt;=",JO$3),Movimientos!$C:$C,"&gt;0")+SUMIFS(Movimientos!$C:$C,Movimientos!$A:$A,$B12,Movimientos!$D:$D,CONCATENATE("&lt;",JO$3),Movimientos!$C:$C,"&lt;0")</f>
        <v>0</v>
      </c>
      <c r="JP12" s="5">
        <f ca="1">SUMIFS(Movimientos!$C:$C,Movimientos!$A:$A,$B12,Movimientos!$D:$D,CONCATENATE("&lt;=",JP$3),Movimientos!$C:$C,"&gt;0")+SUMIFS(Movimientos!$C:$C,Movimientos!$A:$A,$B12,Movimientos!$D:$D,CONCATENATE("&lt;",JP$3),Movimientos!$C:$C,"&lt;0")</f>
        <v>0</v>
      </c>
      <c r="JQ12" s="5">
        <f ca="1">SUMIFS(Movimientos!$C:$C,Movimientos!$A:$A,$B12,Movimientos!$D:$D,CONCATENATE("&lt;=",JQ$3),Movimientos!$C:$C,"&gt;0")+SUMIFS(Movimientos!$C:$C,Movimientos!$A:$A,$B12,Movimientos!$D:$D,CONCATENATE("&lt;",JQ$3),Movimientos!$C:$C,"&lt;0")</f>
        <v>0</v>
      </c>
      <c r="JR12" s="5">
        <f ca="1">SUMIFS(Movimientos!$C:$C,Movimientos!$A:$A,$B12,Movimientos!$D:$D,CONCATENATE("&lt;=",JR$3),Movimientos!$C:$C,"&gt;0")+SUMIFS(Movimientos!$C:$C,Movimientos!$A:$A,$B12,Movimientos!$D:$D,CONCATENATE("&lt;",JR$3),Movimientos!$C:$C,"&lt;0")</f>
        <v>0</v>
      </c>
      <c r="JS12" s="5">
        <f ca="1">SUMIFS(Movimientos!$C:$C,Movimientos!$A:$A,$B12,Movimientos!$D:$D,CONCATENATE("&lt;=",JS$3),Movimientos!$C:$C,"&gt;0")+SUMIFS(Movimientos!$C:$C,Movimientos!$A:$A,$B12,Movimientos!$D:$D,CONCATENATE("&lt;",JS$3),Movimientos!$C:$C,"&lt;0")</f>
        <v>0</v>
      </c>
      <c r="JT12" s="5">
        <f ca="1">SUMIFS(Movimientos!$C:$C,Movimientos!$A:$A,$B12,Movimientos!$D:$D,CONCATENATE("&lt;=",JT$3),Movimientos!$C:$C,"&gt;0")+SUMIFS(Movimientos!$C:$C,Movimientos!$A:$A,$B12,Movimientos!$D:$D,CONCATENATE("&lt;",JT$3),Movimientos!$C:$C,"&lt;0")</f>
        <v>0</v>
      </c>
      <c r="JU12" s="5">
        <f ca="1">SUMIFS(Movimientos!$C:$C,Movimientos!$A:$A,$B12,Movimientos!$D:$D,CONCATENATE("&lt;=",JU$3),Movimientos!$C:$C,"&gt;0")+SUMIFS(Movimientos!$C:$C,Movimientos!$A:$A,$B12,Movimientos!$D:$D,CONCATENATE("&lt;",JU$3),Movimientos!$C:$C,"&lt;0")</f>
        <v>0</v>
      </c>
      <c r="JV12" s="5">
        <f ca="1">SUMIFS(Movimientos!$C:$C,Movimientos!$A:$A,$B12,Movimientos!$D:$D,CONCATENATE("&lt;=",JV$3),Movimientos!$C:$C,"&gt;0")+SUMIFS(Movimientos!$C:$C,Movimientos!$A:$A,$B12,Movimientos!$D:$D,CONCATENATE("&lt;",JV$3),Movimientos!$C:$C,"&lt;0")</f>
        <v>0</v>
      </c>
      <c r="JW12" s="5">
        <f ca="1">SUMIFS(Movimientos!$C:$C,Movimientos!$A:$A,$B12,Movimientos!$D:$D,CONCATENATE("&lt;=",JW$3),Movimientos!$C:$C,"&gt;0")+SUMIFS(Movimientos!$C:$C,Movimientos!$A:$A,$B12,Movimientos!$D:$D,CONCATENATE("&lt;",JW$3),Movimientos!$C:$C,"&lt;0")</f>
        <v>0</v>
      </c>
      <c r="JX12" s="5">
        <f ca="1">SUMIFS(Movimientos!$C:$C,Movimientos!$A:$A,$B12,Movimientos!$D:$D,CONCATENATE("&lt;=",JX$3),Movimientos!$C:$C,"&gt;0")+SUMIFS(Movimientos!$C:$C,Movimientos!$A:$A,$B12,Movimientos!$D:$D,CONCATENATE("&lt;",JX$3),Movimientos!$C:$C,"&lt;0")</f>
        <v>0</v>
      </c>
      <c r="JY12" s="5">
        <f ca="1">SUMIFS(Movimientos!$C:$C,Movimientos!$A:$A,$B12,Movimientos!$D:$D,CONCATENATE("&lt;=",JY$3),Movimientos!$C:$C,"&gt;0")+SUMIFS(Movimientos!$C:$C,Movimientos!$A:$A,$B12,Movimientos!$D:$D,CONCATENATE("&lt;",JY$3),Movimientos!$C:$C,"&lt;0")</f>
        <v>0</v>
      </c>
      <c r="JZ12" s="5">
        <f ca="1">SUMIFS(Movimientos!$C:$C,Movimientos!$A:$A,$B12,Movimientos!$D:$D,CONCATENATE("&lt;=",JZ$3),Movimientos!$C:$C,"&gt;0")+SUMIFS(Movimientos!$C:$C,Movimientos!$A:$A,$B12,Movimientos!$D:$D,CONCATENATE("&lt;",JZ$3),Movimientos!$C:$C,"&lt;0")</f>
        <v>0</v>
      </c>
      <c r="KA12" s="5">
        <f ca="1">SUMIFS(Movimientos!$C:$C,Movimientos!$A:$A,$B12,Movimientos!$D:$D,CONCATENATE("&lt;=",KA$3),Movimientos!$C:$C,"&gt;0")+SUMIFS(Movimientos!$C:$C,Movimientos!$A:$A,$B12,Movimientos!$D:$D,CONCATENATE("&lt;",KA$3),Movimientos!$C:$C,"&lt;0")</f>
        <v>0</v>
      </c>
      <c r="KB12" s="5">
        <f ca="1">SUMIFS(Movimientos!$C:$C,Movimientos!$A:$A,$B12,Movimientos!$D:$D,CONCATENATE("&lt;=",KB$3),Movimientos!$C:$C,"&gt;0")+SUMIFS(Movimientos!$C:$C,Movimientos!$A:$A,$B12,Movimientos!$D:$D,CONCATENATE("&lt;",KB$3),Movimientos!$C:$C,"&lt;0")</f>
        <v>0</v>
      </c>
      <c r="KC12" s="5">
        <f ca="1">SUMIFS(Movimientos!$C:$C,Movimientos!$A:$A,$B12,Movimientos!$D:$D,CONCATENATE("&lt;=",KC$3),Movimientos!$C:$C,"&gt;0")+SUMIFS(Movimientos!$C:$C,Movimientos!$A:$A,$B12,Movimientos!$D:$D,CONCATENATE("&lt;",KC$3),Movimientos!$C:$C,"&lt;0")</f>
        <v>0</v>
      </c>
      <c r="KD12" s="5">
        <f ca="1">SUMIFS(Movimientos!$C:$C,Movimientos!$A:$A,$B12,Movimientos!$D:$D,CONCATENATE("&lt;=",KD$3),Movimientos!$C:$C,"&gt;0")+SUMIFS(Movimientos!$C:$C,Movimientos!$A:$A,$B12,Movimientos!$D:$D,CONCATENATE("&lt;",KD$3),Movimientos!$C:$C,"&lt;0")</f>
        <v>0</v>
      </c>
      <c r="KE12" s="5">
        <f ca="1">SUMIFS(Movimientos!$C:$C,Movimientos!$A:$A,$B12,Movimientos!$D:$D,CONCATENATE("&lt;=",KE$3),Movimientos!$C:$C,"&gt;0")+SUMIFS(Movimientos!$C:$C,Movimientos!$A:$A,$B12,Movimientos!$D:$D,CONCATENATE("&lt;",KE$3),Movimientos!$C:$C,"&lt;0")</f>
        <v>0</v>
      </c>
      <c r="KF12" s="5">
        <f ca="1">SUMIFS(Movimientos!$C:$C,Movimientos!$A:$A,$B12,Movimientos!$D:$D,CONCATENATE("&lt;=",KF$3),Movimientos!$C:$C,"&gt;0")+SUMIFS(Movimientos!$C:$C,Movimientos!$A:$A,$B12,Movimientos!$D:$D,CONCATENATE("&lt;",KF$3),Movimientos!$C:$C,"&lt;0")</f>
        <v>0</v>
      </c>
      <c r="KG12" s="5">
        <f ca="1">SUMIFS(Movimientos!$C:$C,Movimientos!$A:$A,$B12,Movimientos!$D:$D,CONCATENATE("&lt;=",KG$3),Movimientos!$C:$C,"&gt;0")+SUMIFS(Movimientos!$C:$C,Movimientos!$A:$A,$B12,Movimientos!$D:$D,CONCATENATE("&lt;",KG$3),Movimientos!$C:$C,"&lt;0")</f>
        <v>0</v>
      </c>
      <c r="KH12" s="5">
        <f ca="1">SUMIFS(Movimientos!$C:$C,Movimientos!$A:$A,$B12,Movimientos!$D:$D,CONCATENATE("&lt;=",KH$3),Movimientos!$C:$C,"&gt;0")+SUMIFS(Movimientos!$C:$C,Movimientos!$A:$A,$B12,Movimientos!$D:$D,CONCATENATE("&lt;",KH$3),Movimientos!$C:$C,"&lt;0")</f>
        <v>0</v>
      </c>
      <c r="KI12" s="5">
        <f ca="1">SUMIFS(Movimientos!$C:$C,Movimientos!$A:$A,$B12,Movimientos!$D:$D,CONCATENATE("&lt;=",KI$3),Movimientos!$C:$C,"&gt;0")+SUMIFS(Movimientos!$C:$C,Movimientos!$A:$A,$B12,Movimientos!$D:$D,CONCATENATE("&lt;",KI$3),Movimientos!$C:$C,"&lt;0")</f>
        <v>0</v>
      </c>
      <c r="KJ12" s="5">
        <f ca="1">SUMIFS(Movimientos!$C:$C,Movimientos!$A:$A,$B12,Movimientos!$D:$D,CONCATENATE("&lt;=",KJ$3),Movimientos!$C:$C,"&gt;0")+SUMIFS(Movimientos!$C:$C,Movimientos!$A:$A,$B12,Movimientos!$D:$D,CONCATENATE("&lt;",KJ$3),Movimientos!$C:$C,"&lt;0")</f>
        <v>0</v>
      </c>
      <c r="KK12" s="5">
        <f ca="1">SUMIFS(Movimientos!$C:$C,Movimientos!$A:$A,$B12,Movimientos!$D:$D,CONCATENATE("&lt;=",KK$3),Movimientos!$C:$C,"&gt;0")+SUMIFS(Movimientos!$C:$C,Movimientos!$A:$A,$B12,Movimientos!$D:$D,CONCATENATE("&lt;",KK$3),Movimientos!$C:$C,"&lt;0")</f>
        <v>0</v>
      </c>
      <c r="KL12" s="5">
        <f ca="1">SUMIFS(Movimientos!$C:$C,Movimientos!$A:$A,$B12,Movimientos!$D:$D,CONCATENATE("&lt;=",KL$3),Movimientos!$C:$C,"&gt;0")+SUMIFS(Movimientos!$C:$C,Movimientos!$A:$A,$B12,Movimientos!$D:$D,CONCATENATE("&lt;",KL$3),Movimientos!$C:$C,"&lt;0")</f>
        <v>0</v>
      </c>
      <c r="KM12" s="5">
        <f ca="1">SUMIFS(Movimientos!$C:$C,Movimientos!$A:$A,$B12,Movimientos!$D:$D,CONCATENATE("&lt;=",KM$3),Movimientos!$C:$C,"&gt;0")+SUMIFS(Movimientos!$C:$C,Movimientos!$A:$A,$B12,Movimientos!$D:$D,CONCATENATE("&lt;",KM$3),Movimientos!$C:$C,"&lt;0")</f>
        <v>0</v>
      </c>
      <c r="KN12" s="5">
        <f ca="1">SUMIFS(Movimientos!$C:$C,Movimientos!$A:$A,$B12,Movimientos!$D:$D,CONCATENATE("&lt;=",KN$3),Movimientos!$C:$C,"&gt;0")+SUMIFS(Movimientos!$C:$C,Movimientos!$A:$A,$B12,Movimientos!$D:$D,CONCATENATE("&lt;",KN$3),Movimientos!$C:$C,"&lt;0")</f>
        <v>0</v>
      </c>
      <c r="KO12" s="5">
        <f ca="1">SUMIFS(Movimientos!$C:$C,Movimientos!$A:$A,$B12,Movimientos!$D:$D,CONCATENATE("&lt;=",KO$3),Movimientos!$C:$C,"&gt;0")+SUMIFS(Movimientos!$C:$C,Movimientos!$A:$A,$B12,Movimientos!$D:$D,CONCATENATE("&lt;",KO$3),Movimientos!$C:$C,"&lt;0")</f>
        <v>0</v>
      </c>
      <c r="KP12" s="5">
        <f ca="1">SUMIFS(Movimientos!$C:$C,Movimientos!$A:$A,$B12,Movimientos!$D:$D,CONCATENATE("&lt;=",KP$3),Movimientos!$C:$C,"&gt;0")+SUMIFS(Movimientos!$C:$C,Movimientos!$A:$A,$B12,Movimientos!$D:$D,CONCATENATE("&lt;",KP$3),Movimientos!$C:$C,"&lt;0")</f>
        <v>0</v>
      </c>
      <c r="KQ12" s="5">
        <f ca="1">SUMIFS(Movimientos!$C:$C,Movimientos!$A:$A,$B12,Movimientos!$D:$D,CONCATENATE("&lt;=",KQ$3),Movimientos!$C:$C,"&gt;0")+SUMIFS(Movimientos!$C:$C,Movimientos!$A:$A,$B12,Movimientos!$D:$D,CONCATENATE("&lt;",KQ$3),Movimientos!$C:$C,"&lt;0")</f>
        <v>0</v>
      </c>
      <c r="KR12" s="5">
        <f ca="1">SUMIFS(Movimientos!$C:$C,Movimientos!$A:$A,$B12,Movimientos!$D:$D,CONCATENATE("&lt;=",KR$3),Movimientos!$C:$C,"&gt;0")+SUMIFS(Movimientos!$C:$C,Movimientos!$A:$A,$B12,Movimientos!$D:$D,CONCATENATE("&lt;",KR$3),Movimientos!$C:$C,"&lt;0")</f>
        <v>0</v>
      </c>
      <c r="KS12" s="5">
        <f ca="1">SUMIFS(Movimientos!$C:$C,Movimientos!$A:$A,$B12,Movimientos!$D:$D,CONCATENATE("&lt;=",KS$3),Movimientos!$C:$C,"&gt;0")+SUMIFS(Movimientos!$C:$C,Movimientos!$A:$A,$B12,Movimientos!$D:$D,CONCATENATE("&lt;",KS$3),Movimientos!$C:$C,"&lt;0")</f>
        <v>0</v>
      </c>
      <c r="KT12" s="5">
        <f ca="1">SUMIFS(Movimientos!$C:$C,Movimientos!$A:$A,$B12,Movimientos!$D:$D,CONCATENATE("&lt;=",KT$3),Movimientos!$C:$C,"&gt;0")+SUMIFS(Movimientos!$C:$C,Movimientos!$A:$A,$B12,Movimientos!$D:$D,CONCATENATE("&lt;",KT$3),Movimientos!$C:$C,"&lt;0")</f>
        <v>0</v>
      </c>
      <c r="KU12" s="5">
        <f ca="1">SUMIFS(Movimientos!$C:$C,Movimientos!$A:$A,$B12,Movimientos!$D:$D,CONCATENATE("&lt;=",KU$3),Movimientos!$C:$C,"&gt;0")+SUMIFS(Movimientos!$C:$C,Movimientos!$A:$A,$B12,Movimientos!$D:$D,CONCATENATE("&lt;",KU$3),Movimientos!$C:$C,"&lt;0")</f>
        <v>0</v>
      </c>
      <c r="KV12" s="5">
        <f ca="1">SUMIFS(Movimientos!$C:$C,Movimientos!$A:$A,$B12,Movimientos!$D:$D,CONCATENATE("&lt;=",KV$3),Movimientos!$C:$C,"&gt;0")+SUMIFS(Movimientos!$C:$C,Movimientos!$A:$A,$B12,Movimientos!$D:$D,CONCATENATE("&lt;",KV$3),Movimientos!$C:$C,"&lt;0")</f>
        <v>0</v>
      </c>
      <c r="KW12" s="5">
        <f ca="1">SUMIFS(Movimientos!$C:$C,Movimientos!$A:$A,$B12,Movimientos!$D:$D,CONCATENATE("&lt;=",KW$3),Movimientos!$C:$C,"&gt;0")+SUMIFS(Movimientos!$C:$C,Movimientos!$A:$A,$B12,Movimientos!$D:$D,CONCATENATE("&lt;",KW$3),Movimientos!$C:$C,"&lt;0")</f>
        <v>0</v>
      </c>
      <c r="KX12" s="5">
        <f ca="1">SUMIFS(Movimientos!$C:$C,Movimientos!$A:$A,$B12,Movimientos!$D:$D,CONCATENATE("&lt;=",KX$3),Movimientos!$C:$C,"&gt;0")+SUMIFS(Movimientos!$C:$C,Movimientos!$A:$A,$B12,Movimientos!$D:$D,CONCATENATE("&lt;",KX$3),Movimientos!$C:$C,"&lt;0")</f>
        <v>0</v>
      </c>
      <c r="KY12" s="5">
        <f ca="1">SUMIFS(Movimientos!$C:$C,Movimientos!$A:$A,$B12,Movimientos!$D:$D,CONCATENATE("&lt;=",KY$3),Movimientos!$C:$C,"&gt;0")+SUMIFS(Movimientos!$C:$C,Movimientos!$A:$A,$B12,Movimientos!$D:$D,CONCATENATE("&lt;",KY$3),Movimientos!$C:$C,"&lt;0")</f>
        <v>0</v>
      </c>
      <c r="KZ12" s="5">
        <f ca="1">SUMIFS(Movimientos!$C:$C,Movimientos!$A:$A,$B12,Movimientos!$D:$D,CONCATENATE("&lt;=",KZ$3),Movimientos!$C:$C,"&gt;0")+SUMIFS(Movimientos!$C:$C,Movimientos!$A:$A,$B12,Movimientos!$D:$D,CONCATENATE("&lt;",KZ$3),Movimientos!$C:$C,"&lt;0")</f>
        <v>0</v>
      </c>
      <c r="LA12" s="5">
        <f ca="1">SUMIFS(Movimientos!$C:$C,Movimientos!$A:$A,$B12,Movimientos!$D:$D,CONCATENATE("&lt;=",LA$3),Movimientos!$C:$C,"&gt;0")+SUMIFS(Movimientos!$C:$C,Movimientos!$A:$A,$B12,Movimientos!$D:$D,CONCATENATE("&lt;",LA$3),Movimientos!$C:$C,"&lt;0")</f>
        <v>0</v>
      </c>
      <c r="LB12" s="5">
        <f ca="1">SUMIFS(Movimientos!$C:$C,Movimientos!$A:$A,$B12,Movimientos!$D:$D,CONCATENATE("&lt;=",LB$3),Movimientos!$C:$C,"&gt;0")+SUMIFS(Movimientos!$C:$C,Movimientos!$A:$A,$B12,Movimientos!$D:$D,CONCATENATE("&lt;",LB$3),Movimientos!$C:$C,"&lt;0")</f>
        <v>0</v>
      </c>
      <c r="LC12" s="5">
        <f ca="1">SUMIFS(Movimientos!$C:$C,Movimientos!$A:$A,$B12,Movimientos!$D:$D,CONCATENATE("&lt;=",LC$3),Movimientos!$C:$C,"&gt;0")+SUMIFS(Movimientos!$C:$C,Movimientos!$A:$A,$B12,Movimientos!$D:$D,CONCATENATE("&lt;",LC$3),Movimientos!$C:$C,"&lt;0")</f>
        <v>0</v>
      </c>
      <c r="LD12" s="5">
        <f ca="1">SUMIFS(Movimientos!$C:$C,Movimientos!$A:$A,$B12,Movimientos!$D:$D,CONCATENATE("&lt;=",LD$3),Movimientos!$C:$C,"&gt;0")+SUMIFS(Movimientos!$C:$C,Movimientos!$A:$A,$B12,Movimientos!$D:$D,CONCATENATE("&lt;",LD$3),Movimientos!$C:$C,"&lt;0")</f>
        <v>0</v>
      </c>
      <c r="LE12" s="5">
        <f ca="1">SUMIFS(Movimientos!$C:$C,Movimientos!$A:$A,$B12,Movimientos!$D:$D,CONCATENATE("&lt;=",LE$3),Movimientos!$C:$C,"&gt;0")+SUMIFS(Movimientos!$C:$C,Movimientos!$A:$A,$B12,Movimientos!$D:$D,CONCATENATE("&lt;",LE$3),Movimientos!$C:$C,"&lt;0")</f>
        <v>0</v>
      </c>
      <c r="LF12" s="5">
        <f ca="1">SUMIFS(Movimientos!$C:$C,Movimientos!$A:$A,$B12,Movimientos!$D:$D,CONCATENATE("&lt;=",LF$3),Movimientos!$C:$C,"&gt;0")+SUMIFS(Movimientos!$C:$C,Movimientos!$A:$A,$B12,Movimientos!$D:$D,CONCATENATE("&lt;",LF$3),Movimientos!$C:$C,"&lt;0")</f>
        <v>0</v>
      </c>
      <c r="LG12" s="5">
        <f ca="1">SUMIFS(Movimientos!$C:$C,Movimientos!$A:$A,$B12,Movimientos!$D:$D,CONCATENATE("&lt;=",LG$3),Movimientos!$C:$C,"&gt;0")+SUMIFS(Movimientos!$C:$C,Movimientos!$A:$A,$B12,Movimientos!$D:$D,CONCATENATE("&lt;",LG$3),Movimientos!$C:$C,"&lt;0")</f>
        <v>0</v>
      </c>
      <c r="LH12" s="5">
        <f ca="1">SUMIFS(Movimientos!$C:$C,Movimientos!$A:$A,$B12,Movimientos!$D:$D,CONCATENATE("&lt;=",LH$3),Movimientos!$C:$C,"&gt;0")+SUMIFS(Movimientos!$C:$C,Movimientos!$A:$A,$B12,Movimientos!$D:$D,CONCATENATE("&lt;",LH$3),Movimientos!$C:$C,"&lt;0")</f>
        <v>0</v>
      </c>
      <c r="LI12" s="5">
        <f ca="1">SUMIFS(Movimientos!$C:$C,Movimientos!$A:$A,$B12,Movimientos!$D:$D,CONCATENATE("&lt;=",LI$3),Movimientos!$C:$C,"&gt;0")+SUMIFS(Movimientos!$C:$C,Movimientos!$A:$A,$B12,Movimientos!$D:$D,CONCATENATE("&lt;",LI$3),Movimientos!$C:$C,"&lt;0")</f>
        <v>0</v>
      </c>
      <c r="LJ12" s="5">
        <f ca="1">SUMIFS(Movimientos!$C:$C,Movimientos!$A:$A,$B12,Movimientos!$D:$D,CONCATENATE("&lt;=",LJ$3),Movimientos!$C:$C,"&gt;0")+SUMIFS(Movimientos!$C:$C,Movimientos!$A:$A,$B12,Movimientos!$D:$D,CONCATENATE("&lt;",LJ$3),Movimientos!$C:$C,"&lt;0")</f>
        <v>0</v>
      </c>
      <c r="LK12" s="5">
        <f ca="1">SUMIFS(Movimientos!$C:$C,Movimientos!$A:$A,$B12,Movimientos!$D:$D,CONCATENATE("&lt;=",LK$3),Movimientos!$C:$C,"&gt;0")+SUMIFS(Movimientos!$C:$C,Movimientos!$A:$A,$B12,Movimientos!$D:$D,CONCATENATE("&lt;",LK$3),Movimientos!$C:$C,"&lt;0")</f>
        <v>0</v>
      </c>
      <c r="LL12" s="5">
        <f ca="1">SUMIFS(Movimientos!$C:$C,Movimientos!$A:$A,$B12,Movimientos!$D:$D,CONCATENATE("&lt;=",LL$3),Movimientos!$C:$C,"&gt;0")+SUMIFS(Movimientos!$C:$C,Movimientos!$A:$A,$B12,Movimientos!$D:$D,CONCATENATE("&lt;",LL$3),Movimientos!$C:$C,"&lt;0")</f>
        <v>0</v>
      </c>
      <c r="LM12" s="5">
        <f ca="1">SUMIFS(Movimientos!$C:$C,Movimientos!$A:$A,$B12,Movimientos!$D:$D,CONCATENATE("&lt;=",LM$3),Movimientos!$C:$C,"&gt;0")+SUMIFS(Movimientos!$C:$C,Movimientos!$A:$A,$B12,Movimientos!$D:$D,CONCATENATE("&lt;",LM$3),Movimientos!$C:$C,"&lt;0")</f>
        <v>0</v>
      </c>
      <c r="LN12" s="5">
        <f ca="1">SUMIFS(Movimientos!$C:$C,Movimientos!$A:$A,$B12,Movimientos!$D:$D,CONCATENATE("&lt;=",LN$3),Movimientos!$C:$C,"&gt;0")+SUMIFS(Movimientos!$C:$C,Movimientos!$A:$A,$B12,Movimientos!$D:$D,CONCATENATE("&lt;",LN$3),Movimientos!$C:$C,"&lt;0")</f>
        <v>0</v>
      </c>
      <c r="LO12" s="5">
        <f ca="1">SUMIFS(Movimientos!$C:$C,Movimientos!$A:$A,$B12,Movimientos!$D:$D,CONCATENATE("&lt;=",LO$3),Movimientos!$C:$C,"&gt;0")+SUMIFS(Movimientos!$C:$C,Movimientos!$A:$A,$B12,Movimientos!$D:$D,CONCATENATE("&lt;",LO$3),Movimientos!$C:$C,"&lt;0")</f>
        <v>0</v>
      </c>
      <c r="LP12" s="5">
        <f ca="1">SUMIFS(Movimientos!$C:$C,Movimientos!$A:$A,$B12,Movimientos!$D:$D,CONCATENATE("&lt;=",LP$3),Movimientos!$C:$C,"&gt;0")+SUMIFS(Movimientos!$C:$C,Movimientos!$A:$A,$B12,Movimientos!$D:$D,CONCATENATE("&lt;",LP$3),Movimientos!$C:$C,"&lt;0")</f>
        <v>0</v>
      </c>
      <c r="LQ12" s="5">
        <f ca="1">SUMIFS(Movimientos!$C:$C,Movimientos!$A:$A,$B12,Movimientos!$D:$D,CONCATENATE("&lt;=",LQ$3),Movimientos!$C:$C,"&gt;0")+SUMIFS(Movimientos!$C:$C,Movimientos!$A:$A,$B12,Movimientos!$D:$D,CONCATENATE("&lt;",LQ$3),Movimientos!$C:$C,"&lt;0")</f>
        <v>0</v>
      </c>
      <c r="LR12" s="5">
        <f ca="1">SUMIFS(Movimientos!$C:$C,Movimientos!$A:$A,$B12,Movimientos!$D:$D,CONCATENATE("&lt;=",LR$3),Movimientos!$C:$C,"&gt;0")+SUMIFS(Movimientos!$C:$C,Movimientos!$A:$A,$B12,Movimientos!$D:$D,CONCATENATE("&lt;",LR$3),Movimientos!$C:$C,"&lt;0")</f>
        <v>0</v>
      </c>
      <c r="LS12" s="5">
        <f ca="1">SUMIFS(Movimientos!$C:$C,Movimientos!$A:$A,$B12,Movimientos!$D:$D,CONCATENATE("&lt;=",LS$3),Movimientos!$C:$C,"&gt;0")+SUMIFS(Movimientos!$C:$C,Movimientos!$A:$A,$B12,Movimientos!$D:$D,CONCATENATE("&lt;",LS$3),Movimientos!$C:$C,"&lt;0")</f>
        <v>0</v>
      </c>
      <c r="LT12" s="5">
        <f ca="1">SUMIFS(Movimientos!$C:$C,Movimientos!$A:$A,$B12,Movimientos!$D:$D,CONCATENATE("&lt;=",LT$3),Movimientos!$C:$C,"&gt;0")+SUMIFS(Movimientos!$C:$C,Movimientos!$A:$A,$B12,Movimientos!$D:$D,CONCATENATE("&lt;",LT$3),Movimientos!$C:$C,"&lt;0")</f>
        <v>0</v>
      </c>
      <c r="LU12" s="5">
        <f ca="1">SUMIFS(Movimientos!$C:$C,Movimientos!$A:$A,$B12,Movimientos!$D:$D,CONCATENATE("&lt;=",LU$3),Movimientos!$C:$C,"&gt;0")+SUMIFS(Movimientos!$C:$C,Movimientos!$A:$A,$B12,Movimientos!$D:$D,CONCATENATE("&lt;",LU$3),Movimientos!$C:$C,"&lt;0")</f>
        <v>0</v>
      </c>
      <c r="LV12" s="5">
        <f ca="1">SUMIFS(Movimientos!$C:$C,Movimientos!$A:$A,$B12,Movimientos!$D:$D,CONCATENATE("&lt;=",LV$3),Movimientos!$C:$C,"&gt;0")+SUMIFS(Movimientos!$C:$C,Movimientos!$A:$A,$B12,Movimientos!$D:$D,CONCATENATE("&lt;",LV$3),Movimientos!$C:$C,"&lt;0")</f>
        <v>0</v>
      </c>
      <c r="LW12" s="5">
        <f ca="1">SUMIFS(Movimientos!$C:$C,Movimientos!$A:$A,$B12,Movimientos!$D:$D,CONCATENATE("&lt;=",LW$3),Movimientos!$C:$C,"&gt;0")+SUMIFS(Movimientos!$C:$C,Movimientos!$A:$A,$B12,Movimientos!$D:$D,CONCATENATE("&lt;",LW$3),Movimientos!$C:$C,"&lt;0")</f>
        <v>0</v>
      </c>
      <c r="LX12" s="5">
        <f ca="1">SUMIFS(Movimientos!$C:$C,Movimientos!$A:$A,$B12,Movimientos!$D:$D,CONCATENATE("&lt;=",LX$3),Movimientos!$C:$C,"&gt;0")+SUMIFS(Movimientos!$C:$C,Movimientos!$A:$A,$B12,Movimientos!$D:$D,CONCATENATE("&lt;",LX$3),Movimientos!$C:$C,"&lt;0")</f>
        <v>0</v>
      </c>
      <c r="LY12" s="5">
        <f ca="1">SUMIFS(Movimientos!$C:$C,Movimientos!$A:$A,$B12,Movimientos!$D:$D,CONCATENATE("&lt;=",LY$3),Movimientos!$C:$C,"&gt;0")+SUMIFS(Movimientos!$C:$C,Movimientos!$A:$A,$B12,Movimientos!$D:$D,CONCATENATE("&lt;",LY$3),Movimientos!$C:$C,"&lt;0")</f>
        <v>0</v>
      </c>
      <c r="LZ12" s="5">
        <f ca="1">SUMIFS(Movimientos!$C:$C,Movimientos!$A:$A,$B12,Movimientos!$D:$D,CONCATENATE("&lt;=",LZ$3),Movimientos!$C:$C,"&gt;0")+SUMIFS(Movimientos!$C:$C,Movimientos!$A:$A,$B12,Movimientos!$D:$D,CONCATENATE("&lt;",LZ$3),Movimientos!$C:$C,"&lt;0")</f>
        <v>0</v>
      </c>
      <c r="MA12" s="5">
        <f ca="1">SUMIFS(Movimientos!$C:$C,Movimientos!$A:$A,$B12,Movimientos!$D:$D,CONCATENATE("&lt;=",MA$3),Movimientos!$C:$C,"&gt;0")+SUMIFS(Movimientos!$C:$C,Movimientos!$A:$A,$B12,Movimientos!$D:$D,CONCATENATE("&lt;",MA$3),Movimientos!$C:$C,"&lt;0")</f>
        <v>0</v>
      </c>
      <c r="MB12" s="5">
        <f ca="1">SUMIFS(Movimientos!$C:$C,Movimientos!$A:$A,$B12,Movimientos!$D:$D,CONCATENATE("&lt;=",MB$3),Movimientos!$C:$C,"&gt;0")+SUMIFS(Movimientos!$C:$C,Movimientos!$A:$A,$B12,Movimientos!$D:$D,CONCATENATE("&lt;",MB$3),Movimientos!$C:$C,"&lt;0")</f>
        <v>0</v>
      </c>
      <c r="MC12" s="5">
        <f ca="1">SUMIFS(Movimientos!$C:$C,Movimientos!$A:$A,$B12,Movimientos!$D:$D,CONCATENATE("&lt;=",MC$3),Movimientos!$C:$C,"&gt;0")+SUMIFS(Movimientos!$C:$C,Movimientos!$A:$A,$B12,Movimientos!$D:$D,CONCATENATE("&lt;",MC$3),Movimientos!$C:$C,"&lt;0")</f>
        <v>0</v>
      </c>
      <c r="MD12" s="5">
        <f ca="1">SUMIFS(Movimientos!$C:$C,Movimientos!$A:$A,$B12,Movimientos!$D:$D,CONCATENATE("&lt;=",MD$3),Movimientos!$C:$C,"&gt;0")+SUMIFS(Movimientos!$C:$C,Movimientos!$A:$A,$B12,Movimientos!$D:$D,CONCATENATE("&lt;",MD$3),Movimientos!$C:$C,"&lt;0")</f>
        <v>0</v>
      </c>
      <c r="ME12" s="5">
        <f ca="1">SUMIFS(Movimientos!$C:$C,Movimientos!$A:$A,$B12,Movimientos!$D:$D,CONCATENATE("&lt;=",ME$3),Movimientos!$C:$C,"&gt;0")+SUMIFS(Movimientos!$C:$C,Movimientos!$A:$A,$B12,Movimientos!$D:$D,CONCATENATE("&lt;",ME$3),Movimientos!$C:$C,"&lt;0")</f>
        <v>0</v>
      </c>
      <c r="MF12" s="5">
        <f ca="1">SUMIFS(Movimientos!$C:$C,Movimientos!$A:$A,$B12,Movimientos!$D:$D,CONCATENATE("&lt;=",MF$3),Movimientos!$C:$C,"&gt;0")+SUMIFS(Movimientos!$C:$C,Movimientos!$A:$A,$B12,Movimientos!$D:$D,CONCATENATE("&lt;",MF$3),Movimientos!$C:$C,"&lt;0")</f>
        <v>0</v>
      </c>
      <c r="MG12" s="5">
        <f ca="1">SUMIFS(Movimientos!$C:$C,Movimientos!$A:$A,$B12,Movimientos!$D:$D,CONCATENATE("&lt;=",MG$3),Movimientos!$C:$C,"&gt;0")+SUMIFS(Movimientos!$C:$C,Movimientos!$A:$A,$B12,Movimientos!$D:$D,CONCATENATE("&lt;",MG$3),Movimientos!$C:$C,"&lt;0")</f>
        <v>0</v>
      </c>
      <c r="MH12" s="5">
        <f ca="1">SUMIFS(Movimientos!$C:$C,Movimientos!$A:$A,$B12,Movimientos!$D:$D,CONCATENATE("&lt;=",MH$3),Movimientos!$C:$C,"&gt;0")+SUMIFS(Movimientos!$C:$C,Movimientos!$A:$A,$B12,Movimientos!$D:$D,CONCATENATE("&lt;",MH$3),Movimientos!$C:$C,"&lt;0")</f>
        <v>0</v>
      </c>
      <c r="MI12" s="5">
        <f ca="1">SUMIFS(Movimientos!$C:$C,Movimientos!$A:$A,$B12,Movimientos!$D:$D,CONCATENATE("&lt;=",MI$3),Movimientos!$C:$C,"&gt;0")+SUMIFS(Movimientos!$C:$C,Movimientos!$A:$A,$B12,Movimientos!$D:$D,CONCATENATE("&lt;",MI$3),Movimientos!$C:$C,"&lt;0")</f>
        <v>0</v>
      </c>
      <c r="MJ12" s="5">
        <f ca="1">SUMIFS(Movimientos!$C:$C,Movimientos!$A:$A,$B12,Movimientos!$D:$D,CONCATENATE("&lt;=",MJ$3),Movimientos!$C:$C,"&gt;0")+SUMIFS(Movimientos!$C:$C,Movimientos!$A:$A,$B12,Movimientos!$D:$D,CONCATENATE("&lt;",MJ$3),Movimientos!$C:$C,"&lt;0")</f>
        <v>0</v>
      </c>
      <c r="MK12" s="5">
        <f ca="1">SUMIFS(Movimientos!$C:$C,Movimientos!$A:$A,$B12,Movimientos!$D:$D,CONCATENATE("&lt;=",MK$3),Movimientos!$C:$C,"&gt;0")+SUMIFS(Movimientos!$C:$C,Movimientos!$A:$A,$B12,Movimientos!$D:$D,CONCATENATE("&lt;",MK$3),Movimientos!$C:$C,"&lt;0")</f>
        <v>0</v>
      </c>
      <c r="ML12" s="5">
        <f ca="1">SUMIFS(Movimientos!$C:$C,Movimientos!$A:$A,$B12,Movimientos!$D:$D,CONCATENATE("&lt;=",ML$3),Movimientos!$C:$C,"&gt;0")+SUMIFS(Movimientos!$C:$C,Movimientos!$A:$A,$B12,Movimientos!$D:$D,CONCATENATE("&lt;",ML$3),Movimientos!$C:$C,"&lt;0")</f>
        <v>0</v>
      </c>
      <c r="MM12" s="5">
        <f ca="1">SUMIFS(Movimientos!$C:$C,Movimientos!$A:$A,$B12,Movimientos!$D:$D,CONCATENATE("&lt;=",MM$3),Movimientos!$C:$C,"&gt;0")+SUMIFS(Movimientos!$C:$C,Movimientos!$A:$A,$B12,Movimientos!$D:$D,CONCATENATE("&lt;",MM$3),Movimientos!$C:$C,"&lt;0")</f>
        <v>0</v>
      </c>
      <c r="MN12" s="5">
        <f ca="1">SUMIFS(Movimientos!$C:$C,Movimientos!$A:$A,$B12,Movimientos!$D:$D,CONCATENATE("&lt;=",MN$3),Movimientos!$C:$C,"&gt;0")+SUMIFS(Movimientos!$C:$C,Movimientos!$A:$A,$B12,Movimientos!$D:$D,CONCATENATE("&lt;",MN$3),Movimientos!$C:$C,"&lt;0")</f>
        <v>0</v>
      </c>
      <c r="MO12" s="5">
        <f ca="1">SUMIFS(Movimientos!$C:$C,Movimientos!$A:$A,$B12,Movimientos!$D:$D,CONCATENATE("&lt;=",MO$3),Movimientos!$C:$C,"&gt;0")+SUMIFS(Movimientos!$C:$C,Movimientos!$A:$A,$B12,Movimientos!$D:$D,CONCATENATE("&lt;",MO$3),Movimientos!$C:$C,"&lt;0")</f>
        <v>0</v>
      </c>
      <c r="MP12" s="5">
        <f ca="1">SUMIFS(Movimientos!$C:$C,Movimientos!$A:$A,$B12,Movimientos!$D:$D,CONCATENATE("&lt;=",MP$3),Movimientos!$C:$C,"&gt;0")+SUMIFS(Movimientos!$C:$C,Movimientos!$A:$A,$B12,Movimientos!$D:$D,CONCATENATE("&lt;",MP$3),Movimientos!$C:$C,"&lt;0")</f>
        <v>0</v>
      </c>
      <c r="MQ12" s="5">
        <f ca="1">SUMIFS(Movimientos!$C:$C,Movimientos!$A:$A,$B12,Movimientos!$D:$D,CONCATENATE("&lt;=",MQ$3),Movimientos!$C:$C,"&gt;0")+SUMIFS(Movimientos!$C:$C,Movimientos!$A:$A,$B12,Movimientos!$D:$D,CONCATENATE("&lt;",MQ$3),Movimientos!$C:$C,"&lt;0")</f>
        <v>0</v>
      </c>
      <c r="MR12" s="5">
        <f ca="1">SUMIFS(Movimientos!$C:$C,Movimientos!$A:$A,$B12,Movimientos!$D:$D,CONCATENATE("&lt;=",MR$3),Movimientos!$C:$C,"&gt;0")+SUMIFS(Movimientos!$C:$C,Movimientos!$A:$A,$B12,Movimientos!$D:$D,CONCATENATE("&lt;",MR$3),Movimientos!$C:$C,"&lt;0")</f>
        <v>0</v>
      </c>
      <c r="MS12" s="5">
        <f ca="1">SUMIFS(Movimientos!$C:$C,Movimientos!$A:$A,$B12,Movimientos!$D:$D,CONCATENATE("&lt;=",MS$3),Movimientos!$C:$C,"&gt;0")+SUMIFS(Movimientos!$C:$C,Movimientos!$A:$A,$B12,Movimientos!$D:$D,CONCATENATE("&lt;",MS$3),Movimientos!$C:$C,"&lt;0")</f>
        <v>0</v>
      </c>
      <c r="MT12" s="5">
        <f ca="1">SUMIFS(Movimientos!$C:$C,Movimientos!$A:$A,$B12,Movimientos!$D:$D,CONCATENATE("&lt;=",MT$3),Movimientos!$C:$C,"&gt;0")+SUMIFS(Movimientos!$C:$C,Movimientos!$A:$A,$B12,Movimientos!$D:$D,CONCATENATE("&lt;",MT$3),Movimientos!$C:$C,"&lt;0")</f>
        <v>0</v>
      </c>
      <c r="MU12" s="5">
        <f ca="1">SUMIFS(Movimientos!$C:$C,Movimientos!$A:$A,$B12,Movimientos!$D:$D,CONCATENATE("&lt;=",MU$3),Movimientos!$C:$C,"&gt;0")+SUMIFS(Movimientos!$C:$C,Movimientos!$A:$A,$B12,Movimientos!$D:$D,CONCATENATE("&lt;",MU$3),Movimientos!$C:$C,"&lt;0")</f>
        <v>0</v>
      </c>
      <c r="MV12" s="5">
        <f ca="1">SUMIFS(Movimientos!$C:$C,Movimientos!$A:$A,$B12,Movimientos!$D:$D,CONCATENATE("&lt;=",MV$3),Movimientos!$C:$C,"&gt;0")+SUMIFS(Movimientos!$C:$C,Movimientos!$A:$A,$B12,Movimientos!$D:$D,CONCATENATE("&lt;",MV$3),Movimientos!$C:$C,"&lt;0")</f>
        <v>0</v>
      </c>
      <c r="MW12" s="5">
        <f ca="1">SUMIFS(Movimientos!$C:$C,Movimientos!$A:$A,$B12,Movimientos!$D:$D,CONCATENATE("&lt;=",MW$3),Movimientos!$C:$C,"&gt;0")+SUMIFS(Movimientos!$C:$C,Movimientos!$A:$A,$B12,Movimientos!$D:$D,CONCATENATE("&lt;",MW$3),Movimientos!$C:$C,"&lt;0")</f>
        <v>0</v>
      </c>
      <c r="MX12" s="5">
        <f ca="1">SUMIFS(Movimientos!$C:$C,Movimientos!$A:$A,$B12,Movimientos!$D:$D,CONCATENATE("&lt;=",MX$3),Movimientos!$C:$C,"&gt;0")+SUMIFS(Movimientos!$C:$C,Movimientos!$A:$A,$B12,Movimientos!$D:$D,CONCATENATE("&lt;",MX$3),Movimientos!$C:$C,"&lt;0")</f>
        <v>0</v>
      </c>
      <c r="MY12" s="5">
        <f ca="1">SUMIFS(Movimientos!$C:$C,Movimientos!$A:$A,$B12,Movimientos!$D:$D,CONCATENATE("&lt;=",MY$3),Movimientos!$C:$C,"&gt;0")+SUMIFS(Movimientos!$C:$C,Movimientos!$A:$A,$B12,Movimientos!$D:$D,CONCATENATE("&lt;",MY$3),Movimientos!$C:$C,"&lt;0")</f>
        <v>0</v>
      </c>
      <c r="MZ12" s="5">
        <f ca="1">SUMIFS(Movimientos!$C:$C,Movimientos!$A:$A,$B12,Movimientos!$D:$D,CONCATENATE("&lt;=",MZ$3),Movimientos!$C:$C,"&gt;0")+SUMIFS(Movimientos!$C:$C,Movimientos!$A:$A,$B12,Movimientos!$D:$D,CONCATENATE("&lt;",MZ$3),Movimientos!$C:$C,"&lt;0")</f>
        <v>0</v>
      </c>
      <c r="NA12" s="5">
        <f ca="1">SUMIFS(Movimientos!$C:$C,Movimientos!$A:$A,$B12,Movimientos!$D:$D,CONCATENATE("&lt;=",NA$3),Movimientos!$C:$C,"&gt;0")+SUMIFS(Movimientos!$C:$C,Movimientos!$A:$A,$B12,Movimientos!$D:$D,CONCATENATE("&lt;",NA$3),Movimientos!$C:$C,"&lt;0")</f>
        <v>0</v>
      </c>
      <c r="NB12" s="5">
        <f ca="1">SUMIFS(Movimientos!$C:$C,Movimientos!$A:$A,$B12,Movimientos!$D:$D,CONCATENATE("&lt;=",NB$3),Movimientos!$C:$C,"&gt;0")+SUMIFS(Movimientos!$C:$C,Movimientos!$A:$A,$B12,Movimientos!$D:$D,CONCATENATE("&lt;",NB$3),Movimientos!$C:$C,"&lt;0")</f>
        <v>0</v>
      </c>
      <c r="NC12" s="5">
        <f ca="1">SUMIFS(Movimientos!$C:$C,Movimientos!$A:$A,$B12,Movimientos!$D:$D,CONCATENATE("&lt;=",NC$3),Movimientos!$C:$C,"&gt;0")+SUMIFS(Movimientos!$C:$C,Movimientos!$A:$A,$B12,Movimientos!$D:$D,CONCATENATE("&lt;",NC$3),Movimientos!$C:$C,"&lt;0")</f>
        <v>0</v>
      </c>
      <c r="ND12" s="5">
        <f ca="1">SUMIFS(Movimientos!$C:$C,Movimientos!$A:$A,$B12,Movimientos!$D:$D,CONCATENATE("&lt;=",ND$3),Movimientos!$C:$C,"&gt;0")+SUMIFS(Movimientos!$C:$C,Movimientos!$A:$A,$B12,Movimientos!$D:$D,CONCATENATE("&lt;",ND$3),Movimientos!$C:$C,"&lt;0")</f>
        <v>0</v>
      </c>
      <c r="NE12" s="5">
        <f ca="1">SUMIFS(Movimientos!$C:$C,Movimientos!$A:$A,$B12,Movimientos!$D:$D,CONCATENATE("&lt;=",NE$3),Movimientos!$C:$C,"&gt;0")+SUMIFS(Movimientos!$C:$C,Movimientos!$A:$A,$B12,Movimientos!$D:$D,CONCATENATE("&lt;",NE$3),Movimientos!$C:$C,"&lt;0")</f>
        <v>0</v>
      </c>
      <c r="NF12" s="5">
        <f ca="1">SUMIFS(Movimientos!$C:$C,Movimientos!$A:$A,$B12,Movimientos!$D:$D,CONCATENATE("&lt;=",NF$3),Movimientos!$C:$C,"&gt;0")+SUMIFS(Movimientos!$C:$C,Movimientos!$A:$A,$B12,Movimientos!$D:$D,CONCATENATE("&lt;",NF$3),Movimientos!$C:$C,"&lt;0")</f>
        <v>0</v>
      </c>
      <c r="NG12" s="5">
        <f ca="1">SUMIFS(Movimientos!$C:$C,Movimientos!$A:$A,$B12,Movimientos!$D:$D,CONCATENATE("&lt;=",NG$3),Movimientos!$C:$C,"&gt;0")+SUMIFS(Movimientos!$C:$C,Movimientos!$A:$A,$B12,Movimientos!$D:$D,CONCATENATE("&lt;",NG$3),Movimientos!$C:$C,"&lt;0")</f>
        <v>0</v>
      </c>
      <c r="NH12" s="5">
        <f ca="1">SUMIFS(Movimientos!$C:$C,Movimientos!$A:$A,$B12,Movimientos!$D:$D,CONCATENATE("&lt;=",NH$3),Movimientos!$C:$C,"&gt;0")+SUMIFS(Movimientos!$C:$C,Movimientos!$A:$A,$B12,Movimientos!$D:$D,CONCATENATE("&lt;",NH$3),Movimientos!$C:$C,"&lt;0")</f>
        <v>0</v>
      </c>
      <c r="NI12" s="5">
        <f ca="1">SUMIFS(Movimientos!$C:$C,Movimientos!$A:$A,$B12,Movimientos!$D:$D,CONCATENATE("&lt;=",NI$3),Movimientos!$C:$C,"&gt;0")+SUMIFS(Movimientos!$C:$C,Movimientos!$A:$A,$B12,Movimientos!$D:$D,CONCATENATE("&lt;",NI$3),Movimientos!$C:$C,"&lt;0")</f>
        <v>0</v>
      </c>
      <c r="NJ12" s="5">
        <f ca="1">SUMIFS(Movimientos!$C:$C,Movimientos!$A:$A,$B12,Movimientos!$D:$D,CONCATENATE("&lt;=",NJ$3),Movimientos!$C:$C,"&gt;0")+SUMIFS(Movimientos!$C:$C,Movimientos!$A:$A,$B12,Movimientos!$D:$D,CONCATENATE("&lt;",NJ$3),Movimientos!$C:$C,"&lt;0")</f>
        <v>0</v>
      </c>
      <c r="NK12" s="5">
        <f ca="1">SUMIFS(Movimientos!$C:$C,Movimientos!$A:$A,$B12,Movimientos!$D:$D,CONCATENATE("&lt;=",NK$3),Movimientos!$C:$C,"&gt;0")+SUMIFS(Movimientos!$C:$C,Movimientos!$A:$A,$B12,Movimientos!$D:$D,CONCATENATE("&lt;",NK$3),Movimientos!$C:$C,"&lt;0")</f>
        <v>0</v>
      </c>
      <c r="NL12" s="5">
        <f ca="1">SUMIFS(Movimientos!$C:$C,Movimientos!$A:$A,$B12,Movimientos!$D:$D,CONCATENATE("&lt;=",NL$3),Movimientos!$C:$C,"&gt;0")+SUMIFS(Movimientos!$C:$C,Movimientos!$A:$A,$B12,Movimientos!$D:$D,CONCATENATE("&lt;",NL$3),Movimientos!$C:$C,"&lt;0")</f>
        <v>0</v>
      </c>
      <c r="NM12" s="5">
        <f ca="1">SUMIFS(Movimientos!$C:$C,Movimientos!$A:$A,$B12,Movimientos!$D:$D,CONCATENATE("&lt;=",NM$3),Movimientos!$C:$C,"&gt;0")+SUMIFS(Movimientos!$C:$C,Movimientos!$A:$A,$B12,Movimientos!$D:$D,CONCATENATE("&lt;",NM$3),Movimientos!$C:$C,"&lt;0")</f>
        <v>0</v>
      </c>
      <c r="NN12" s="5">
        <f ca="1">SUMIFS(Movimientos!$C:$C,Movimientos!$A:$A,$B12,Movimientos!$D:$D,CONCATENATE("&lt;=",NN$3),Movimientos!$C:$C,"&gt;0")+SUMIFS(Movimientos!$C:$C,Movimientos!$A:$A,$B12,Movimientos!$D:$D,CONCATENATE("&lt;",NN$3),Movimientos!$C:$C,"&lt;0")</f>
        <v>0</v>
      </c>
      <c r="NO12" s="5">
        <f ca="1">SUMIFS(Movimientos!$C:$C,Movimientos!$A:$A,$B12,Movimientos!$D:$D,CONCATENATE("&lt;=",NO$3),Movimientos!$C:$C,"&gt;0")+SUMIFS(Movimientos!$C:$C,Movimientos!$A:$A,$B12,Movimientos!$D:$D,CONCATENATE("&lt;",NO$3),Movimientos!$C:$C,"&lt;0")</f>
        <v>0</v>
      </c>
      <c r="NP12" s="5">
        <f ca="1">SUMIFS(Movimientos!$C:$C,Movimientos!$A:$A,$B12,Movimientos!$D:$D,CONCATENATE("&lt;=",NP$3),Movimientos!$C:$C,"&gt;0")+SUMIFS(Movimientos!$C:$C,Movimientos!$A:$A,$B12,Movimientos!$D:$D,CONCATENATE("&lt;",NP$3),Movimientos!$C:$C,"&lt;0")</f>
        <v>0</v>
      </c>
      <c r="NQ12" s="5">
        <f ca="1">SUMIFS(Movimientos!$C:$C,Movimientos!$A:$A,$B12,Movimientos!$D:$D,CONCATENATE("&lt;=",NQ$3),Movimientos!$C:$C,"&gt;0")+SUMIFS(Movimientos!$C:$C,Movimientos!$A:$A,$B12,Movimientos!$D:$D,CONCATENATE("&lt;",NQ$3),Movimientos!$C:$C,"&lt;0")</f>
        <v>0</v>
      </c>
      <c r="NR12" s="5">
        <f ca="1">SUMIFS(Movimientos!$C:$C,Movimientos!$A:$A,$B12,Movimientos!$D:$D,CONCATENATE("&lt;=",NR$3),Movimientos!$C:$C,"&gt;0")+SUMIFS(Movimientos!$C:$C,Movimientos!$A:$A,$B12,Movimientos!$D:$D,CONCATENATE("&lt;",NR$3),Movimientos!$C:$C,"&lt;0")</f>
        <v>0</v>
      </c>
      <c r="NS12" s="5">
        <f ca="1">SUMIFS(Movimientos!$C:$C,Movimientos!$A:$A,$B12,Movimientos!$D:$D,CONCATENATE("&lt;=",NS$3),Movimientos!$C:$C,"&gt;0")+SUMIFS(Movimientos!$C:$C,Movimientos!$A:$A,$B12,Movimientos!$D:$D,CONCATENATE("&lt;",NS$3),Movimientos!$C:$C,"&lt;0")</f>
        <v>0</v>
      </c>
      <c r="NT12" s="5">
        <f ca="1">SUMIFS(Movimientos!$C:$C,Movimientos!$A:$A,$B12,Movimientos!$D:$D,CONCATENATE("&lt;=",NT$3),Movimientos!$C:$C,"&gt;0")+SUMIFS(Movimientos!$C:$C,Movimientos!$A:$A,$B12,Movimientos!$D:$D,CONCATENATE("&lt;",NT$3),Movimientos!$C:$C,"&lt;0")</f>
        <v>0</v>
      </c>
      <c r="NU12" s="5">
        <f ca="1">SUMIFS(Movimientos!$C:$C,Movimientos!$A:$A,$B12,Movimientos!$D:$D,CONCATENATE("&lt;=",NU$3),Movimientos!$C:$C,"&gt;0")+SUMIFS(Movimientos!$C:$C,Movimientos!$A:$A,$B12,Movimientos!$D:$D,CONCATENATE("&lt;",NU$3),Movimientos!$C:$C,"&lt;0")</f>
        <v>0</v>
      </c>
      <c r="NV12" s="5">
        <f ca="1">SUMIFS(Movimientos!$C:$C,Movimientos!$A:$A,$B12,Movimientos!$D:$D,CONCATENATE("&lt;=",NV$3),Movimientos!$C:$C,"&gt;0")+SUMIFS(Movimientos!$C:$C,Movimientos!$A:$A,$B12,Movimientos!$D:$D,CONCATENATE("&lt;",NV$3),Movimientos!$C:$C,"&lt;0")</f>
        <v>0</v>
      </c>
      <c r="NW12" s="5">
        <f ca="1">SUMIFS(Movimientos!$C:$C,Movimientos!$A:$A,$B12,Movimientos!$D:$D,CONCATENATE("&lt;=",NW$3),Movimientos!$C:$C,"&gt;0")+SUMIFS(Movimientos!$C:$C,Movimientos!$A:$A,$B12,Movimientos!$D:$D,CONCATENATE("&lt;",NW$3),Movimientos!$C:$C,"&lt;0")</f>
        <v>0</v>
      </c>
      <c r="NX12" s="5">
        <f ca="1">SUMIFS(Movimientos!$C:$C,Movimientos!$A:$A,$B12,Movimientos!$D:$D,CONCATENATE("&lt;=",NX$3),Movimientos!$C:$C,"&gt;0")+SUMIFS(Movimientos!$C:$C,Movimientos!$A:$A,$B12,Movimientos!$D:$D,CONCATENATE("&lt;",NX$3),Movimientos!$C:$C,"&lt;0")</f>
        <v>0</v>
      </c>
      <c r="NY12" s="5">
        <f ca="1">SUMIFS(Movimientos!$C:$C,Movimientos!$A:$A,$B12,Movimientos!$D:$D,CONCATENATE("&lt;=",NY$3),Movimientos!$C:$C,"&gt;0")+SUMIFS(Movimientos!$C:$C,Movimientos!$A:$A,$B12,Movimientos!$D:$D,CONCATENATE("&lt;",NY$3),Movimientos!$C:$C,"&lt;0")</f>
        <v>0</v>
      </c>
      <c r="NZ12" s="5">
        <f ca="1">SUMIFS(Movimientos!$C:$C,Movimientos!$A:$A,$B12,Movimientos!$D:$D,CONCATENATE("&lt;=",NZ$3),Movimientos!$C:$C,"&gt;0")+SUMIFS(Movimientos!$C:$C,Movimientos!$A:$A,$B12,Movimientos!$D:$D,CONCATENATE("&lt;",NZ$3),Movimientos!$C:$C,"&lt;0")</f>
        <v>0</v>
      </c>
      <c r="OA12" s="5">
        <f ca="1">SUMIFS(Movimientos!$C:$C,Movimientos!$A:$A,$B12,Movimientos!$D:$D,CONCATENATE("&lt;=",OA$3),Movimientos!$C:$C,"&gt;0")+SUMIFS(Movimientos!$C:$C,Movimientos!$A:$A,$B12,Movimientos!$D:$D,CONCATENATE("&lt;",OA$3),Movimientos!$C:$C,"&lt;0")</f>
        <v>0</v>
      </c>
      <c r="OB12" s="5">
        <f ca="1">SUMIFS(Movimientos!$C:$C,Movimientos!$A:$A,$B12,Movimientos!$D:$D,CONCATENATE("&lt;=",OB$3),Movimientos!$C:$C,"&gt;0")+SUMIFS(Movimientos!$C:$C,Movimientos!$A:$A,$B12,Movimientos!$D:$D,CONCATENATE("&lt;",OB$3),Movimientos!$C:$C,"&lt;0")</f>
        <v>0</v>
      </c>
      <c r="OC12" s="5">
        <f ca="1">SUMIFS(Movimientos!$C:$C,Movimientos!$A:$A,$B12,Movimientos!$D:$D,CONCATENATE("&lt;=",OC$3),Movimientos!$C:$C,"&gt;0")+SUMIFS(Movimientos!$C:$C,Movimientos!$A:$A,$B12,Movimientos!$D:$D,CONCATENATE("&lt;",OC$3),Movimientos!$C:$C,"&lt;0")</f>
        <v>0</v>
      </c>
      <c r="OD12" s="5">
        <f ca="1">SUMIFS(Movimientos!$C:$C,Movimientos!$A:$A,$B12,Movimientos!$D:$D,CONCATENATE("&lt;=",OD$3),Movimientos!$C:$C,"&gt;0")+SUMIFS(Movimientos!$C:$C,Movimientos!$A:$A,$B12,Movimientos!$D:$D,CONCATENATE("&lt;",OD$3),Movimientos!$C:$C,"&lt;0")</f>
        <v>0</v>
      </c>
      <c r="OE12" s="5">
        <f ca="1">SUMIFS(Movimientos!$C:$C,Movimientos!$A:$A,$B12,Movimientos!$D:$D,CONCATENATE("&lt;=",OE$3),Movimientos!$C:$C,"&gt;0")+SUMIFS(Movimientos!$C:$C,Movimientos!$A:$A,$B12,Movimientos!$D:$D,CONCATENATE("&lt;",OE$3),Movimientos!$C:$C,"&lt;0")</f>
        <v>0</v>
      </c>
      <c r="OF12" s="5">
        <f ca="1">SUMIFS(Movimientos!$C:$C,Movimientos!$A:$A,$B12,Movimientos!$D:$D,CONCATENATE("&lt;=",OF$3),Movimientos!$C:$C,"&gt;0")+SUMIFS(Movimientos!$C:$C,Movimientos!$A:$A,$B12,Movimientos!$D:$D,CONCATENATE("&lt;",OF$3),Movimientos!$C:$C,"&lt;0")</f>
        <v>0</v>
      </c>
      <c r="OG12" s="5">
        <f ca="1">SUMIFS(Movimientos!$C:$C,Movimientos!$A:$A,$B12,Movimientos!$D:$D,CONCATENATE("&lt;=",OG$3),Movimientos!$C:$C,"&gt;0")+SUMIFS(Movimientos!$C:$C,Movimientos!$A:$A,$B12,Movimientos!$D:$D,CONCATENATE("&lt;",OG$3),Movimientos!$C:$C,"&lt;0")</f>
        <v>0</v>
      </c>
      <c r="OH12" s="5">
        <f ca="1">SUMIFS(Movimientos!$C:$C,Movimientos!$A:$A,$B12,Movimientos!$D:$D,CONCATENATE("&lt;=",OH$3),Movimientos!$C:$C,"&gt;0")+SUMIFS(Movimientos!$C:$C,Movimientos!$A:$A,$B12,Movimientos!$D:$D,CONCATENATE("&lt;",OH$3),Movimientos!$C:$C,"&lt;0")</f>
        <v>0</v>
      </c>
      <c r="OI12" s="5">
        <f ca="1">SUMIFS(Movimientos!$C:$C,Movimientos!$A:$A,$B12,Movimientos!$D:$D,CONCATENATE("&lt;=",OI$3),Movimientos!$C:$C,"&gt;0")+SUMIFS(Movimientos!$C:$C,Movimientos!$A:$A,$B12,Movimientos!$D:$D,CONCATENATE("&lt;",OI$3),Movimientos!$C:$C,"&lt;0")</f>
        <v>0</v>
      </c>
      <c r="OJ12" s="5">
        <f ca="1">SUMIFS(Movimientos!$C:$C,Movimientos!$A:$A,$B12,Movimientos!$D:$D,CONCATENATE("&lt;=",OJ$3),Movimientos!$C:$C,"&gt;0")+SUMIFS(Movimientos!$C:$C,Movimientos!$A:$A,$B12,Movimientos!$D:$D,CONCATENATE("&lt;",OJ$3),Movimientos!$C:$C,"&lt;0")</f>
        <v>0</v>
      </c>
      <c r="OK12" s="5">
        <f ca="1">SUMIFS(Movimientos!$C:$C,Movimientos!$A:$A,$B12,Movimientos!$D:$D,CONCATENATE("&lt;=",OK$3),Movimientos!$C:$C,"&gt;0")+SUMIFS(Movimientos!$C:$C,Movimientos!$A:$A,$B12,Movimientos!$D:$D,CONCATENATE("&lt;",OK$3),Movimientos!$C:$C,"&lt;0")</f>
        <v>0</v>
      </c>
      <c r="OL12" s="5">
        <f ca="1">SUMIFS(Movimientos!$C:$C,Movimientos!$A:$A,$B12,Movimientos!$D:$D,CONCATENATE("&lt;=",OL$3),Movimientos!$C:$C,"&gt;0")+SUMIFS(Movimientos!$C:$C,Movimientos!$A:$A,$B12,Movimientos!$D:$D,CONCATENATE("&lt;",OL$3),Movimientos!$C:$C,"&lt;0")</f>
        <v>0</v>
      </c>
      <c r="OM12" s="5">
        <f ca="1">SUMIFS(Movimientos!$C:$C,Movimientos!$A:$A,$B12,Movimientos!$D:$D,CONCATENATE("&lt;=",OM$3),Movimientos!$C:$C,"&gt;0")+SUMIFS(Movimientos!$C:$C,Movimientos!$A:$A,$B12,Movimientos!$D:$D,CONCATENATE("&lt;",OM$3),Movimientos!$C:$C,"&lt;0")</f>
        <v>0</v>
      </c>
      <c r="ON12" s="5">
        <f ca="1">SUMIFS(Movimientos!$C:$C,Movimientos!$A:$A,$B12,Movimientos!$D:$D,CONCATENATE("&lt;=",ON$3),Movimientos!$C:$C,"&gt;0")+SUMIFS(Movimientos!$C:$C,Movimientos!$A:$A,$B12,Movimientos!$D:$D,CONCATENATE("&lt;",ON$3),Movimientos!$C:$C,"&lt;0")</f>
        <v>0</v>
      </c>
      <c r="OO12" s="5">
        <f ca="1">SUMIFS(Movimientos!$C:$C,Movimientos!$A:$A,$B12,Movimientos!$D:$D,CONCATENATE("&lt;=",OO$3),Movimientos!$C:$C,"&gt;0")+SUMIFS(Movimientos!$C:$C,Movimientos!$A:$A,$B12,Movimientos!$D:$D,CONCATENATE("&lt;",OO$3),Movimientos!$C:$C,"&lt;0")</f>
        <v>0</v>
      </c>
      <c r="OP12" s="5">
        <f ca="1">SUMIFS(Movimientos!$C:$C,Movimientos!$A:$A,$B12,Movimientos!$D:$D,CONCATENATE("&lt;=",OP$3),Movimientos!$C:$C,"&gt;0")+SUMIFS(Movimientos!$C:$C,Movimientos!$A:$A,$B12,Movimientos!$D:$D,CONCATENATE("&lt;",OP$3),Movimientos!$C:$C,"&lt;0")</f>
        <v>0</v>
      </c>
      <c r="OQ12" s="5">
        <f ca="1">SUMIFS(Movimientos!$C:$C,Movimientos!$A:$A,$B12,Movimientos!$D:$D,CONCATENATE("&lt;=",OQ$3),Movimientos!$C:$C,"&gt;0")+SUMIFS(Movimientos!$C:$C,Movimientos!$A:$A,$B12,Movimientos!$D:$D,CONCATENATE("&lt;",OQ$3),Movimientos!$C:$C,"&lt;0")</f>
        <v>0</v>
      </c>
      <c r="OR12" s="5">
        <f ca="1">SUMIFS(Movimientos!$C:$C,Movimientos!$A:$A,$B12,Movimientos!$D:$D,CONCATENATE("&lt;=",OR$3),Movimientos!$C:$C,"&gt;0")+SUMIFS(Movimientos!$C:$C,Movimientos!$A:$A,$B12,Movimientos!$D:$D,CONCATENATE("&lt;",OR$3),Movimientos!$C:$C,"&lt;0")</f>
        <v>0</v>
      </c>
      <c r="OS12" s="5">
        <f ca="1">SUMIFS(Movimientos!$C:$C,Movimientos!$A:$A,$B12,Movimientos!$D:$D,CONCATENATE("&lt;=",OS$3),Movimientos!$C:$C,"&gt;0")+SUMIFS(Movimientos!$C:$C,Movimientos!$A:$A,$B12,Movimientos!$D:$D,CONCATENATE("&lt;",OS$3),Movimientos!$C:$C,"&lt;0")</f>
        <v>0</v>
      </c>
      <c r="OT12" s="5">
        <f ca="1">SUMIFS(Movimientos!$C:$C,Movimientos!$A:$A,$B12,Movimientos!$D:$D,CONCATENATE("&lt;=",OT$3),Movimientos!$C:$C,"&gt;0")+SUMIFS(Movimientos!$C:$C,Movimientos!$A:$A,$B12,Movimientos!$D:$D,CONCATENATE("&lt;",OT$3),Movimientos!$C:$C,"&lt;0")</f>
        <v>0</v>
      </c>
      <c r="OU12" s="5">
        <f ca="1">SUMIFS(Movimientos!$C:$C,Movimientos!$A:$A,$B12,Movimientos!$D:$D,CONCATENATE("&lt;=",OU$3),Movimientos!$C:$C,"&gt;0")+SUMIFS(Movimientos!$C:$C,Movimientos!$A:$A,$B12,Movimientos!$D:$D,CONCATENATE("&lt;",OU$3),Movimientos!$C:$C,"&lt;0")</f>
        <v>0</v>
      </c>
      <c r="OV12" s="5">
        <f ca="1">SUMIFS(Movimientos!$C:$C,Movimientos!$A:$A,$B12,Movimientos!$D:$D,CONCATENATE("&lt;=",OV$3),Movimientos!$C:$C,"&gt;0")+SUMIFS(Movimientos!$C:$C,Movimientos!$A:$A,$B12,Movimientos!$D:$D,CONCATENATE("&lt;",OV$3),Movimientos!$C:$C,"&lt;0")</f>
        <v>0</v>
      </c>
      <c r="OW12" s="5">
        <f ca="1">SUMIFS(Movimientos!$C:$C,Movimientos!$A:$A,$B12,Movimientos!$D:$D,CONCATENATE("&lt;=",OW$3),Movimientos!$C:$C,"&gt;0")+SUMIFS(Movimientos!$C:$C,Movimientos!$A:$A,$B12,Movimientos!$D:$D,CONCATENATE("&lt;",OW$3),Movimientos!$C:$C,"&lt;0")</f>
        <v>0</v>
      </c>
      <c r="OX12" s="5">
        <f ca="1">SUMIFS(Movimientos!$C:$C,Movimientos!$A:$A,$B12,Movimientos!$D:$D,CONCATENATE("&lt;=",OX$3),Movimientos!$C:$C,"&gt;0")+SUMIFS(Movimientos!$C:$C,Movimientos!$A:$A,$B12,Movimientos!$D:$D,CONCATENATE("&lt;",OX$3),Movimientos!$C:$C,"&lt;0")</f>
        <v>0</v>
      </c>
      <c r="OY12" s="5">
        <f ca="1">SUMIFS(Movimientos!$C:$C,Movimientos!$A:$A,$B12,Movimientos!$D:$D,CONCATENATE("&lt;=",OY$3),Movimientos!$C:$C,"&gt;0")+SUMIFS(Movimientos!$C:$C,Movimientos!$A:$A,$B12,Movimientos!$D:$D,CONCATENATE("&lt;",OY$3),Movimientos!$C:$C,"&lt;0")</f>
        <v>0</v>
      </c>
      <c r="OZ12" s="5">
        <f ca="1">SUMIFS(Movimientos!$C:$C,Movimientos!$A:$A,$B12,Movimientos!$D:$D,CONCATENATE("&lt;=",OZ$3),Movimientos!$C:$C,"&gt;0")+SUMIFS(Movimientos!$C:$C,Movimientos!$A:$A,$B12,Movimientos!$D:$D,CONCATENATE("&lt;",OZ$3),Movimientos!$C:$C,"&lt;0")</f>
        <v>0</v>
      </c>
      <c r="PA12" s="5">
        <f ca="1">SUMIFS(Movimientos!$C:$C,Movimientos!$A:$A,$B12,Movimientos!$D:$D,CONCATENATE("&lt;=",PA$3),Movimientos!$C:$C,"&gt;0")+SUMIFS(Movimientos!$C:$C,Movimientos!$A:$A,$B12,Movimientos!$D:$D,CONCATENATE("&lt;",PA$3),Movimientos!$C:$C,"&lt;0")</f>
        <v>0</v>
      </c>
      <c r="PB12" s="5">
        <f ca="1">SUMIFS(Movimientos!$C:$C,Movimientos!$A:$A,$B12,Movimientos!$D:$D,CONCATENATE("&lt;=",PB$3),Movimientos!$C:$C,"&gt;0")+SUMIFS(Movimientos!$C:$C,Movimientos!$A:$A,$B12,Movimientos!$D:$D,CONCATENATE("&lt;",PB$3),Movimientos!$C:$C,"&lt;0")</f>
        <v>0</v>
      </c>
      <c r="PC12" s="5">
        <f ca="1">SUMIFS(Movimientos!$C:$C,Movimientos!$A:$A,$B12,Movimientos!$D:$D,CONCATENATE("&lt;=",PC$3),Movimientos!$C:$C,"&gt;0")+SUMIFS(Movimientos!$C:$C,Movimientos!$A:$A,$B12,Movimientos!$D:$D,CONCATENATE("&lt;",PC$3),Movimientos!$C:$C,"&lt;0")</f>
        <v>0</v>
      </c>
      <c r="PD12" s="5">
        <f ca="1">SUMIFS(Movimientos!$C:$C,Movimientos!$A:$A,$B12,Movimientos!$D:$D,CONCATENATE("&lt;=",PD$3),Movimientos!$C:$C,"&gt;0")+SUMIFS(Movimientos!$C:$C,Movimientos!$A:$A,$B12,Movimientos!$D:$D,CONCATENATE("&lt;",PD$3),Movimientos!$C:$C,"&lt;0")</f>
        <v>0</v>
      </c>
      <c r="PE12" s="5">
        <f ca="1">SUMIFS(Movimientos!$C:$C,Movimientos!$A:$A,$B12,Movimientos!$D:$D,CONCATENATE("&lt;=",PE$3),Movimientos!$C:$C,"&gt;0")+SUMIFS(Movimientos!$C:$C,Movimientos!$A:$A,$B12,Movimientos!$D:$D,CONCATENATE("&lt;",PE$3),Movimientos!$C:$C,"&lt;0")</f>
        <v>0</v>
      </c>
      <c r="PF12" s="5">
        <f ca="1">SUMIFS(Movimientos!$C:$C,Movimientos!$A:$A,$B12,Movimientos!$D:$D,CONCATENATE("&lt;=",PF$3),Movimientos!$C:$C,"&gt;0")+SUMIFS(Movimientos!$C:$C,Movimientos!$A:$A,$B12,Movimientos!$D:$D,CONCATENATE("&lt;",PF$3),Movimientos!$C:$C,"&lt;0")</f>
        <v>0</v>
      </c>
      <c r="PG12" s="5">
        <f ca="1">SUMIFS(Movimientos!$C:$C,Movimientos!$A:$A,$B12,Movimientos!$D:$D,CONCATENATE("&lt;=",PG$3),Movimientos!$C:$C,"&gt;0")+SUMIFS(Movimientos!$C:$C,Movimientos!$A:$A,$B12,Movimientos!$D:$D,CONCATENATE("&lt;",PG$3),Movimientos!$C:$C,"&lt;0")</f>
        <v>0</v>
      </c>
      <c r="PH12" s="5">
        <f ca="1">SUMIFS(Movimientos!$C:$C,Movimientos!$A:$A,$B12,Movimientos!$D:$D,CONCATENATE("&lt;=",PH$3),Movimientos!$C:$C,"&gt;0")+SUMIFS(Movimientos!$C:$C,Movimientos!$A:$A,$B12,Movimientos!$D:$D,CONCATENATE("&lt;",PH$3),Movimientos!$C:$C,"&lt;0")</f>
        <v>0</v>
      </c>
      <c r="PI12" s="5">
        <f ca="1">SUMIFS(Movimientos!$C:$C,Movimientos!$A:$A,$B12,Movimientos!$D:$D,CONCATENATE("&lt;=",PI$3),Movimientos!$C:$C,"&gt;0")+SUMIFS(Movimientos!$C:$C,Movimientos!$A:$A,$B12,Movimientos!$D:$D,CONCATENATE("&lt;",PI$3),Movimientos!$C:$C,"&lt;0")</f>
        <v>0</v>
      </c>
      <c r="PJ12" s="5">
        <f ca="1">SUMIFS(Movimientos!$C:$C,Movimientos!$A:$A,$B12,Movimientos!$D:$D,CONCATENATE("&lt;=",PJ$3),Movimientos!$C:$C,"&gt;0")+SUMIFS(Movimientos!$C:$C,Movimientos!$A:$A,$B12,Movimientos!$D:$D,CONCATENATE("&lt;",PJ$3),Movimientos!$C:$C,"&lt;0")</f>
        <v>0</v>
      </c>
      <c r="PK12" s="5">
        <f ca="1">SUMIFS(Movimientos!$C:$C,Movimientos!$A:$A,$B12,Movimientos!$D:$D,CONCATENATE("&lt;=",PK$3),Movimientos!$C:$C,"&gt;0")+SUMIFS(Movimientos!$C:$C,Movimientos!$A:$A,$B12,Movimientos!$D:$D,CONCATENATE("&lt;",PK$3),Movimientos!$C:$C,"&lt;0")</f>
        <v>0</v>
      </c>
      <c r="PL12" s="5">
        <f ca="1">SUMIFS(Movimientos!$C:$C,Movimientos!$A:$A,$B12,Movimientos!$D:$D,CONCATENATE("&lt;=",PL$3),Movimientos!$C:$C,"&gt;0")+SUMIFS(Movimientos!$C:$C,Movimientos!$A:$A,$B12,Movimientos!$D:$D,CONCATENATE("&lt;",PL$3),Movimientos!$C:$C,"&lt;0")</f>
        <v>0</v>
      </c>
      <c r="PM12" s="5">
        <f ca="1">SUMIFS(Movimientos!$C:$C,Movimientos!$A:$A,$B12,Movimientos!$D:$D,CONCATENATE("&lt;=",PM$3),Movimientos!$C:$C,"&gt;0")+SUMIFS(Movimientos!$C:$C,Movimientos!$A:$A,$B12,Movimientos!$D:$D,CONCATENATE("&lt;",PM$3),Movimientos!$C:$C,"&lt;0")</f>
        <v>0</v>
      </c>
      <c r="PN12" s="5">
        <f ca="1">SUMIFS(Movimientos!$C:$C,Movimientos!$A:$A,$B12,Movimientos!$D:$D,CONCATENATE("&lt;=",PN$3),Movimientos!$C:$C,"&gt;0")+SUMIFS(Movimientos!$C:$C,Movimientos!$A:$A,$B12,Movimientos!$D:$D,CONCATENATE("&lt;",PN$3),Movimientos!$C:$C,"&lt;0")</f>
        <v>0</v>
      </c>
      <c r="PO12" s="5">
        <f ca="1">SUMIFS(Movimientos!$C:$C,Movimientos!$A:$A,$B12,Movimientos!$D:$D,CONCATENATE("&lt;=",PO$3),Movimientos!$C:$C,"&gt;0")+SUMIFS(Movimientos!$C:$C,Movimientos!$A:$A,$B12,Movimientos!$D:$D,CONCATENATE("&lt;",PO$3),Movimientos!$C:$C,"&lt;0")</f>
        <v>0</v>
      </c>
      <c r="PP12" s="5">
        <f ca="1">SUMIFS(Movimientos!$C:$C,Movimientos!$A:$A,$B12,Movimientos!$D:$D,CONCATENATE("&lt;=",PP$3),Movimientos!$C:$C,"&gt;0")+SUMIFS(Movimientos!$C:$C,Movimientos!$A:$A,$B12,Movimientos!$D:$D,CONCATENATE("&lt;",PP$3),Movimientos!$C:$C,"&lt;0")</f>
        <v>0</v>
      </c>
      <c r="PQ12" s="5">
        <f ca="1">SUMIFS(Movimientos!$C:$C,Movimientos!$A:$A,$B12,Movimientos!$D:$D,CONCATENATE("&lt;=",PQ$3),Movimientos!$C:$C,"&gt;0")+SUMIFS(Movimientos!$C:$C,Movimientos!$A:$A,$B12,Movimientos!$D:$D,CONCATENATE("&lt;",PQ$3),Movimientos!$C:$C,"&lt;0")</f>
        <v>0</v>
      </c>
      <c r="PR12" s="5">
        <f ca="1">SUMIFS(Movimientos!$C:$C,Movimientos!$A:$A,$B12,Movimientos!$D:$D,CONCATENATE("&lt;=",PR$3),Movimientos!$C:$C,"&gt;0")+SUMIFS(Movimientos!$C:$C,Movimientos!$A:$A,$B12,Movimientos!$D:$D,CONCATENATE("&lt;",PR$3),Movimientos!$C:$C,"&lt;0")</f>
        <v>0</v>
      </c>
      <c r="PS12" s="5">
        <f ca="1">SUMIFS(Movimientos!$C:$C,Movimientos!$A:$A,$B12,Movimientos!$D:$D,CONCATENATE("&lt;=",PS$3),Movimientos!$C:$C,"&gt;0")+SUMIFS(Movimientos!$C:$C,Movimientos!$A:$A,$B12,Movimientos!$D:$D,CONCATENATE("&lt;",PS$3),Movimientos!$C:$C,"&lt;0")</f>
        <v>0</v>
      </c>
      <c r="PT12" s="5">
        <f ca="1">SUMIFS(Movimientos!$C:$C,Movimientos!$A:$A,$B12,Movimientos!$D:$D,CONCATENATE("&lt;=",PT$3),Movimientos!$C:$C,"&gt;0")+SUMIFS(Movimientos!$C:$C,Movimientos!$A:$A,$B12,Movimientos!$D:$D,CONCATENATE("&lt;",PT$3),Movimientos!$C:$C,"&lt;0")</f>
        <v>0</v>
      </c>
      <c r="PU12" s="5">
        <f ca="1">SUMIFS(Movimientos!$C:$C,Movimientos!$A:$A,$B12,Movimientos!$D:$D,CONCATENATE("&lt;=",PU$3),Movimientos!$C:$C,"&gt;0")+SUMIFS(Movimientos!$C:$C,Movimientos!$A:$A,$B12,Movimientos!$D:$D,CONCATENATE("&lt;",PU$3),Movimientos!$C:$C,"&lt;0")</f>
        <v>0</v>
      </c>
      <c r="PV12" s="5">
        <f ca="1">SUMIFS(Movimientos!$C:$C,Movimientos!$A:$A,$B12,Movimientos!$D:$D,CONCATENATE("&lt;=",PV$3),Movimientos!$C:$C,"&gt;0")+SUMIFS(Movimientos!$C:$C,Movimientos!$A:$A,$B12,Movimientos!$D:$D,CONCATENATE("&lt;",PV$3),Movimientos!$C:$C,"&lt;0")</f>
        <v>0</v>
      </c>
      <c r="PW12" s="5">
        <f ca="1">SUMIFS(Movimientos!$C:$C,Movimientos!$A:$A,$B12,Movimientos!$D:$D,CONCATENATE("&lt;=",PW$3),Movimientos!$C:$C,"&gt;0")+SUMIFS(Movimientos!$C:$C,Movimientos!$A:$A,$B12,Movimientos!$D:$D,CONCATENATE("&lt;",PW$3),Movimientos!$C:$C,"&lt;0")</f>
        <v>0</v>
      </c>
      <c r="PX12" s="5">
        <f ca="1">SUMIFS(Movimientos!$C:$C,Movimientos!$A:$A,$B12,Movimientos!$D:$D,CONCATENATE("&lt;=",PX$3),Movimientos!$C:$C,"&gt;0")+SUMIFS(Movimientos!$C:$C,Movimientos!$A:$A,$B12,Movimientos!$D:$D,CONCATENATE("&lt;",PX$3),Movimientos!$C:$C,"&lt;0")</f>
        <v>0</v>
      </c>
      <c r="PY12" s="5">
        <f ca="1">SUMIFS(Movimientos!$C:$C,Movimientos!$A:$A,$B12,Movimientos!$D:$D,CONCATENATE("&lt;=",PY$3),Movimientos!$C:$C,"&gt;0")+SUMIFS(Movimientos!$C:$C,Movimientos!$A:$A,$B12,Movimientos!$D:$D,CONCATENATE("&lt;",PY$3),Movimientos!$C:$C,"&lt;0")</f>
        <v>0</v>
      </c>
      <c r="PZ12" s="5">
        <f ca="1">SUMIFS(Movimientos!$C:$C,Movimientos!$A:$A,$B12,Movimientos!$D:$D,CONCATENATE("&lt;=",PZ$3),Movimientos!$C:$C,"&gt;0")+SUMIFS(Movimientos!$C:$C,Movimientos!$A:$A,$B12,Movimientos!$D:$D,CONCATENATE("&lt;",PZ$3),Movimientos!$C:$C,"&lt;0")</f>
        <v>0</v>
      </c>
      <c r="QA12" s="5">
        <f ca="1">SUMIFS(Movimientos!$C:$C,Movimientos!$A:$A,$B12,Movimientos!$D:$D,CONCATENATE("&lt;=",QA$3),Movimientos!$C:$C,"&gt;0")+SUMIFS(Movimientos!$C:$C,Movimientos!$A:$A,$B12,Movimientos!$D:$D,CONCATENATE("&lt;",QA$3),Movimientos!$C:$C,"&lt;0")</f>
        <v>0</v>
      </c>
      <c r="QB12" s="5">
        <f ca="1">SUMIFS(Movimientos!$C:$C,Movimientos!$A:$A,$B12,Movimientos!$D:$D,CONCATENATE("&lt;=",QB$3),Movimientos!$C:$C,"&gt;0")+SUMIFS(Movimientos!$C:$C,Movimientos!$A:$A,$B12,Movimientos!$D:$D,CONCATENATE("&lt;",QB$3),Movimientos!$C:$C,"&lt;0")</f>
        <v>0</v>
      </c>
      <c r="QC12" s="5">
        <f ca="1">SUMIFS(Movimientos!$C:$C,Movimientos!$A:$A,$B12,Movimientos!$D:$D,CONCATENATE("&lt;=",QC$3),Movimientos!$C:$C,"&gt;0")+SUMIFS(Movimientos!$C:$C,Movimientos!$A:$A,$B12,Movimientos!$D:$D,CONCATENATE("&lt;",QC$3),Movimientos!$C:$C,"&lt;0")</f>
        <v>0</v>
      </c>
      <c r="QD12" s="5">
        <f ca="1">SUMIFS(Movimientos!$C:$C,Movimientos!$A:$A,$B12,Movimientos!$D:$D,CONCATENATE("&lt;=",QD$3),Movimientos!$C:$C,"&gt;0")+SUMIFS(Movimientos!$C:$C,Movimientos!$A:$A,$B12,Movimientos!$D:$D,CONCATENATE("&lt;",QD$3),Movimientos!$C:$C,"&lt;0")</f>
        <v>0</v>
      </c>
      <c r="QE12" s="5">
        <f ca="1">SUMIFS(Movimientos!$C:$C,Movimientos!$A:$A,$B12,Movimientos!$D:$D,CONCATENATE("&lt;=",QE$3),Movimientos!$C:$C,"&gt;0")+SUMIFS(Movimientos!$C:$C,Movimientos!$A:$A,$B12,Movimientos!$D:$D,CONCATENATE("&lt;",QE$3),Movimientos!$C:$C,"&lt;0")</f>
        <v>0</v>
      </c>
      <c r="QF12" s="5">
        <f ca="1">SUMIFS(Movimientos!$C:$C,Movimientos!$A:$A,$B12,Movimientos!$D:$D,CONCATENATE("&lt;=",QF$3),Movimientos!$C:$C,"&gt;0")+SUMIFS(Movimientos!$C:$C,Movimientos!$A:$A,$B12,Movimientos!$D:$D,CONCATENATE("&lt;",QF$3),Movimientos!$C:$C,"&lt;0")</f>
        <v>0</v>
      </c>
      <c r="QG12" s="5">
        <f ca="1">SUMIFS(Movimientos!$C:$C,Movimientos!$A:$A,$B12,Movimientos!$D:$D,CONCATENATE("&lt;=",QG$3),Movimientos!$C:$C,"&gt;0")+SUMIFS(Movimientos!$C:$C,Movimientos!$A:$A,$B12,Movimientos!$D:$D,CONCATENATE("&lt;",QG$3),Movimientos!$C:$C,"&lt;0")</f>
        <v>0</v>
      </c>
      <c r="QH12" s="5">
        <f ca="1">SUMIFS(Movimientos!$C:$C,Movimientos!$A:$A,$B12,Movimientos!$D:$D,CONCATENATE("&lt;=",QH$3),Movimientos!$C:$C,"&gt;0")+SUMIFS(Movimientos!$C:$C,Movimientos!$A:$A,$B12,Movimientos!$D:$D,CONCATENATE("&lt;",QH$3),Movimientos!$C:$C,"&lt;0")</f>
        <v>0</v>
      </c>
      <c r="QI12" s="5">
        <f ca="1">SUMIFS(Movimientos!$C:$C,Movimientos!$A:$A,$B12,Movimientos!$D:$D,CONCATENATE("&lt;=",QI$3),Movimientos!$C:$C,"&gt;0")+SUMIFS(Movimientos!$C:$C,Movimientos!$A:$A,$B12,Movimientos!$D:$D,CONCATENATE("&lt;",QI$3),Movimientos!$C:$C,"&lt;0")</f>
        <v>0</v>
      </c>
      <c r="QJ12" s="5">
        <f ca="1">SUMIFS(Movimientos!$C:$C,Movimientos!$A:$A,$B12,Movimientos!$D:$D,CONCATENATE("&lt;=",QJ$3),Movimientos!$C:$C,"&gt;0")+SUMIFS(Movimientos!$C:$C,Movimientos!$A:$A,$B12,Movimientos!$D:$D,CONCATENATE("&lt;",QJ$3),Movimientos!$C:$C,"&lt;0")</f>
        <v>0</v>
      </c>
      <c r="QK12" s="5">
        <f ca="1">SUMIFS(Movimientos!$C:$C,Movimientos!$A:$A,$B12,Movimientos!$D:$D,CONCATENATE("&lt;=",QK$3),Movimientos!$C:$C,"&gt;0")+SUMIFS(Movimientos!$C:$C,Movimientos!$A:$A,$B12,Movimientos!$D:$D,CONCATENATE("&lt;",QK$3),Movimientos!$C:$C,"&lt;0")</f>
        <v>0</v>
      </c>
      <c r="QL12" s="5">
        <f ca="1">SUMIFS(Movimientos!$C:$C,Movimientos!$A:$A,$B12,Movimientos!$D:$D,CONCATENATE("&lt;=",QL$3),Movimientos!$C:$C,"&gt;0")+SUMIFS(Movimientos!$C:$C,Movimientos!$A:$A,$B12,Movimientos!$D:$D,CONCATENATE("&lt;",QL$3),Movimientos!$C:$C,"&lt;0")</f>
        <v>0</v>
      </c>
      <c r="QM12" s="5">
        <f ca="1">SUMIFS(Movimientos!$C:$C,Movimientos!$A:$A,$B12,Movimientos!$D:$D,CONCATENATE("&lt;=",QM$3),Movimientos!$C:$C,"&gt;0")+SUMIFS(Movimientos!$C:$C,Movimientos!$A:$A,$B12,Movimientos!$D:$D,CONCATENATE("&lt;",QM$3),Movimientos!$C:$C,"&lt;0")</f>
        <v>0</v>
      </c>
      <c r="QN12" s="5">
        <f ca="1">SUMIFS(Movimientos!$C:$C,Movimientos!$A:$A,$B12,Movimientos!$D:$D,CONCATENATE("&lt;=",QN$3),Movimientos!$C:$C,"&gt;0")+SUMIFS(Movimientos!$C:$C,Movimientos!$A:$A,$B12,Movimientos!$D:$D,CONCATENATE("&lt;",QN$3),Movimientos!$C:$C,"&lt;0")</f>
        <v>0</v>
      </c>
      <c r="QO12" s="5">
        <f ca="1">SUMIFS(Movimientos!$C:$C,Movimientos!$A:$A,$B12,Movimientos!$D:$D,CONCATENATE("&lt;=",QO$3),Movimientos!$C:$C,"&gt;0")+SUMIFS(Movimientos!$C:$C,Movimientos!$A:$A,$B12,Movimientos!$D:$D,CONCATENATE("&lt;",QO$3),Movimientos!$C:$C,"&lt;0")</f>
        <v>0</v>
      </c>
      <c r="QP12" s="5">
        <f ca="1">SUMIFS(Movimientos!$C:$C,Movimientos!$A:$A,$B12,Movimientos!$D:$D,CONCATENATE("&lt;=",QP$3),Movimientos!$C:$C,"&gt;0")+SUMIFS(Movimientos!$C:$C,Movimientos!$A:$A,$B12,Movimientos!$D:$D,CONCATENATE("&lt;",QP$3),Movimientos!$C:$C,"&lt;0")</f>
        <v>0</v>
      </c>
      <c r="QQ12" s="5">
        <f ca="1">SUMIFS(Movimientos!$C:$C,Movimientos!$A:$A,$B12,Movimientos!$D:$D,CONCATENATE("&lt;=",QQ$3),Movimientos!$C:$C,"&gt;0")+SUMIFS(Movimientos!$C:$C,Movimientos!$A:$A,$B12,Movimientos!$D:$D,CONCATENATE("&lt;",QQ$3),Movimientos!$C:$C,"&lt;0")</f>
        <v>0</v>
      </c>
      <c r="QR12" s="5">
        <f ca="1">SUMIFS(Movimientos!$C:$C,Movimientos!$A:$A,$B12,Movimientos!$D:$D,CONCATENATE("&lt;=",QR$3),Movimientos!$C:$C,"&gt;0")+SUMIFS(Movimientos!$C:$C,Movimientos!$A:$A,$B12,Movimientos!$D:$D,CONCATENATE("&lt;",QR$3),Movimientos!$C:$C,"&lt;0")</f>
        <v>0</v>
      </c>
      <c r="QS12" s="5">
        <f ca="1">SUMIFS(Movimientos!$C:$C,Movimientos!$A:$A,$B12,Movimientos!$D:$D,CONCATENATE("&lt;=",QS$3),Movimientos!$C:$C,"&gt;0")+SUMIFS(Movimientos!$C:$C,Movimientos!$A:$A,$B12,Movimientos!$D:$D,CONCATENATE("&lt;",QS$3),Movimientos!$C:$C,"&lt;0")</f>
        <v>0</v>
      </c>
      <c r="QT12" s="5">
        <f ca="1">SUMIFS(Movimientos!$C:$C,Movimientos!$A:$A,$B12,Movimientos!$D:$D,CONCATENATE("&lt;=",QT$3),Movimientos!$C:$C,"&gt;0")+SUMIFS(Movimientos!$C:$C,Movimientos!$A:$A,$B12,Movimientos!$D:$D,CONCATENATE("&lt;",QT$3),Movimientos!$C:$C,"&lt;0")</f>
        <v>0</v>
      </c>
      <c r="QU12" s="5">
        <f ca="1">SUMIFS(Movimientos!$C:$C,Movimientos!$A:$A,$B12,Movimientos!$D:$D,CONCATENATE("&lt;=",QU$3),Movimientos!$C:$C,"&gt;0")+SUMIFS(Movimientos!$C:$C,Movimientos!$A:$A,$B12,Movimientos!$D:$D,CONCATENATE("&lt;",QU$3),Movimientos!$C:$C,"&lt;0")</f>
        <v>0</v>
      </c>
      <c r="QV12" s="5">
        <f ca="1">SUMIFS(Movimientos!$C:$C,Movimientos!$A:$A,$B12,Movimientos!$D:$D,CONCATENATE("&lt;=",QV$3),Movimientos!$C:$C,"&gt;0")+SUMIFS(Movimientos!$C:$C,Movimientos!$A:$A,$B12,Movimientos!$D:$D,CONCATENATE("&lt;",QV$3),Movimientos!$C:$C,"&lt;0")</f>
        <v>0</v>
      </c>
      <c r="QW12" s="5">
        <f ca="1">SUMIFS(Movimientos!$C:$C,Movimientos!$A:$A,$B12,Movimientos!$D:$D,CONCATENATE("&lt;=",QW$3),Movimientos!$C:$C,"&gt;0")+SUMIFS(Movimientos!$C:$C,Movimientos!$A:$A,$B12,Movimientos!$D:$D,CONCATENATE("&lt;",QW$3),Movimientos!$C:$C,"&lt;0")</f>
        <v>0</v>
      </c>
      <c r="QX12" s="5">
        <f ca="1">SUMIFS(Movimientos!$C:$C,Movimientos!$A:$A,$B12,Movimientos!$D:$D,CONCATENATE("&lt;=",QX$3),Movimientos!$C:$C,"&gt;0")+SUMIFS(Movimientos!$C:$C,Movimientos!$A:$A,$B12,Movimientos!$D:$D,CONCATENATE("&lt;",QX$3),Movimientos!$C:$C,"&lt;0")</f>
        <v>0</v>
      </c>
      <c r="QY12" s="5">
        <f ca="1">SUMIFS(Movimientos!$C:$C,Movimientos!$A:$A,$B12,Movimientos!$D:$D,CONCATENATE("&lt;=",QY$3),Movimientos!$C:$C,"&gt;0")+SUMIFS(Movimientos!$C:$C,Movimientos!$A:$A,$B12,Movimientos!$D:$D,CONCATENATE("&lt;",QY$3),Movimientos!$C:$C,"&lt;0")</f>
        <v>0</v>
      </c>
      <c r="QZ12" s="5">
        <f ca="1">SUMIFS(Movimientos!$C:$C,Movimientos!$A:$A,$B12,Movimientos!$D:$D,CONCATENATE("&lt;=",QZ$3),Movimientos!$C:$C,"&gt;0")+SUMIFS(Movimientos!$C:$C,Movimientos!$A:$A,$B12,Movimientos!$D:$D,CONCATENATE("&lt;",QZ$3),Movimientos!$C:$C,"&lt;0")</f>
        <v>0</v>
      </c>
      <c r="RA12" s="5">
        <f ca="1">SUMIFS(Movimientos!$C:$C,Movimientos!$A:$A,$B12,Movimientos!$D:$D,CONCATENATE("&lt;=",RA$3),Movimientos!$C:$C,"&gt;0")+SUMIFS(Movimientos!$C:$C,Movimientos!$A:$A,$B12,Movimientos!$D:$D,CONCATENATE("&lt;",RA$3),Movimientos!$C:$C,"&lt;0")</f>
        <v>0</v>
      </c>
      <c r="RB12" s="5">
        <f ca="1">SUMIFS(Movimientos!$C:$C,Movimientos!$A:$A,$B12,Movimientos!$D:$D,CONCATENATE("&lt;=",RB$3),Movimientos!$C:$C,"&gt;0")+SUMIFS(Movimientos!$C:$C,Movimientos!$A:$A,$B12,Movimientos!$D:$D,CONCATENATE("&lt;",RB$3),Movimientos!$C:$C,"&lt;0")</f>
        <v>0</v>
      </c>
      <c r="RC12" s="5">
        <f ca="1">SUMIFS(Movimientos!$C:$C,Movimientos!$A:$A,$B12,Movimientos!$D:$D,CONCATENATE("&lt;=",RC$3),Movimientos!$C:$C,"&gt;0")+SUMIFS(Movimientos!$C:$C,Movimientos!$A:$A,$B12,Movimientos!$D:$D,CONCATENATE("&lt;",RC$3),Movimientos!$C:$C,"&lt;0")</f>
        <v>0</v>
      </c>
      <c r="RD12" s="5">
        <f ca="1">SUMIFS(Movimientos!$C:$C,Movimientos!$A:$A,$B12,Movimientos!$D:$D,CONCATENATE("&lt;=",RD$3),Movimientos!$C:$C,"&gt;0")+SUMIFS(Movimientos!$C:$C,Movimientos!$A:$A,$B12,Movimientos!$D:$D,CONCATENATE("&lt;",RD$3),Movimientos!$C:$C,"&lt;0")</f>
        <v>0</v>
      </c>
      <c r="RE12" s="5">
        <f ca="1">SUMIFS(Movimientos!$C:$C,Movimientos!$A:$A,$B12,Movimientos!$D:$D,CONCATENATE("&lt;=",RE$3),Movimientos!$C:$C,"&gt;0")+SUMIFS(Movimientos!$C:$C,Movimientos!$A:$A,$B12,Movimientos!$D:$D,CONCATENATE("&lt;",RE$3),Movimientos!$C:$C,"&lt;0")</f>
        <v>0</v>
      </c>
      <c r="RF12" s="5">
        <f ca="1">SUMIFS(Movimientos!$C:$C,Movimientos!$A:$A,$B12,Movimientos!$D:$D,CONCATENATE("&lt;=",RF$3),Movimientos!$C:$C,"&gt;0")+SUMIFS(Movimientos!$C:$C,Movimientos!$A:$A,$B12,Movimientos!$D:$D,CONCATENATE("&lt;",RF$3),Movimientos!$C:$C,"&lt;0")</f>
        <v>0</v>
      </c>
      <c r="RG12" s="5">
        <f ca="1">SUMIFS(Movimientos!$C:$C,Movimientos!$A:$A,$B12,Movimientos!$D:$D,CONCATENATE("&lt;=",RG$3),Movimientos!$C:$C,"&gt;0")+SUMIFS(Movimientos!$C:$C,Movimientos!$A:$A,$B12,Movimientos!$D:$D,CONCATENATE("&lt;",RG$3),Movimientos!$C:$C,"&lt;0")</f>
        <v>0</v>
      </c>
      <c r="RH12" s="5">
        <f ca="1">SUMIFS(Movimientos!$C:$C,Movimientos!$A:$A,$B12,Movimientos!$D:$D,CONCATENATE("&lt;=",RH$3),Movimientos!$C:$C,"&gt;0")+SUMIFS(Movimientos!$C:$C,Movimientos!$A:$A,$B12,Movimientos!$D:$D,CONCATENATE("&lt;",RH$3),Movimientos!$C:$C,"&lt;0")</f>
        <v>0</v>
      </c>
      <c r="RI12" s="5">
        <f ca="1">SUMIFS(Movimientos!$C:$C,Movimientos!$A:$A,$B12,Movimientos!$D:$D,CONCATENATE("&lt;=",RI$3),Movimientos!$C:$C,"&gt;0")+SUMIFS(Movimientos!$C:$C,Movimientos!$A:$A,$B12,Movimientos!$D:$D,CONCATENATE("&lt;",RI$3),Movimientos!$C:$C,"&lt;0")</f>
        <v>0</v>
      </c>
      <c r="RJ12" s="5">
        <f ca="1">SUMIFS(Movimientos!$C:$C,Movimientos!$A:$A,$B12,Movimientos!$D:$D,CONCATENATE("&lt;=",RJ$3),Movimientos!$C:$C,"&gt;0")+SUMIFS(Movimientos!$C:$C,Movimientos!$A:$A,$B12,Movimientos!$D:$D,CONCATENATE("&lt;",RJ$3),Movimientos!$C:$C,"&lt;0")</f>
        <v>0</v>
      </c>
      <c r="RK12" s="5">
        <f ca="1">SUMIFS(Movimientos!$C:$C,Movimientos!$A:$A,$B12,Movimientos!$D:$D,CONCATENATE("&lt;=",RK$3),Movimientos!$C:$C,"&gt;0")+SUMIFS(Movimientos!$C:$C,Movimientos!$A:$A,$B12,Movimientos!$D:$D,CONCATENATE("&lt;",RK$3),Movimientos!$C:$C,"&lt;0")</f>
        <v>0</v>
      </c>
      <c r="RL12" s="5">
        <f ca="1">SUMIFS(Movimientos!$C:$C,Movimientos!$A:$A,$B12,Movimientos!$D:$D,CONCATENATE("&lt;=",RL$3),Movimientos!$C:$C,"&gt;0")+SUMIFS(Movimientos!$C:$C,Movimientos!$A:$A,$B12,Movimientos!$D:$D,CONCATENATE("&lt;",RL$3),Movimientos!$C:$C,"&lt;0")</f>
        <v>0</v>
      </c>
      <c r="RM12" s="5">
        <f ca="1">SUMIFS(Movimientos!$C:$C,Movimientos!$A:$A,$B12,Movimientos!$D:$D,CONCATENATE("&lt;=",RM$3),Movimientos!$C:$C,"&gt;0")+SUMIFS(Movimientos!$C:$C,Movimientos!$A:$A,$B12,Movimientos!$D:$D,CONCATENATE("&lt;",RM$3),Movimientos!$C:$C,"&lt;0")</f>
        <v>0</v>
      </c>
      <c r="RN12" s="5">
        <f ca="1">SUMIFS(Movimientos!$C:$C,Movimientos!$A:$A,$B12,Movimientos!$D:$D,CONCATENATE("&lt;=",RN$3),Movimientos!$C:$C,"&gt;0")+SUMIFS(Movimientos!$C:$C,Movimientos!$A:$A,$B12,Movimientos!$D:$D,CONCATENATE("&lt;",RN$3),Movimientos!$C:$C,"&lt;0")</f>
        <v>0</v>
      </c>
      <c r="RO12" s="5">
        <f ca="1">SUMIFS(Movimientos!$C:$C,Movimientos!$A:$A,$B12,Movimientos!$D:$D,CONCATENATE("&lt;=",RO$3),Movimientos!$C:$C,"&gt;0")+SUMIFS(Movimientos!$C:$C,Movimientos!$A:$A,$B12,Movimientos!$D:$D,CONCATENATE("&lt;",RO$3),Movimientos!$C:$C,"&lt;0")</f>
        <v>0</v>
      </c>
      <c r="RP12" s="5">
        <f ca="1">SUMIFS(Movimientos!$C:$C,Movimientos!$A:$A,$B12,Movimientos!$D:$D,CONCATENATE("&lt;=",RP$3),Movimientos!$C:$C,"&gt;0")+SUMIFS(Movimientos!$C:$C,Movimientos!$A:$A,$B12,Movimientos!$D:$D,CONCATENATE("&lt;",RP$3),Movimientos!$C:$C,"&lt;0")</f>
        <v>0</v>
      </c>
      <c r="RQ12" s="5">
        <f ca="1">SUMIFS(Movimientos!$C:$C,Movimientos!$A:$A,$B12,Movimientos!$D:$D,CONCATENATE("&lt;=",RQ$3),Movimientos!$C:$C,"&gt;0")+SUMIFS(Movimientos!$C:$C,Movimientos!$A:$A,$B12,Movimientos!$D:$D,CONCATENATE("&lt;",RQ$3),Movimientos!$C:$C,"&lt;0")</f>
        <v>0</v>
      </c>
      <c r="RR12" s="5">
        <f ca="1">SUMIFS(Movimientos!$C:$C,Movimientos!$A:$A,$B12,Movimientos!$D:$D,CONCATENATE("&lt;=",RR$3),Movimientos!$C:$C,"&gt;0")+SUMIFS(Movimientos!$C:$C,Movimientos!$A:$A,$B12,Movimientos!$D:$D,CONCATENATE("&lt;",RR$3),Movimientos!$C:$C,"&lt;0")</f>
        <v>0</v>
      </c>
      <c r="RS12" s="5">
        <f ca="1">SUMIFS(Movimientos!$C:$C,Movimientos!$A:$A,$B12,Movimientos!$D:$D,CONCATENATE("&lt;=",RS$3),Movimientos!$C:$C,"&gt;0")+SUMIFS(Movimientos!$C:$C,Movimientos!$A:$A,$B12,Movimientos!$D:$D,CONCATENATE("&lt;",RS$3),Movimientos!$C:$C,"&lt;0")</f>
        <v>0</v>
      </c>
      <c r="RT12" s="5">
        <f ca="1">SUMIFS(Movimientos!$C:$C,Movimientos!$A:$A,$B12,Movimientos!$D:$D,CONCATENATE("&lt;=",RT$3),Movimientos!$C:$C,"&gt;0")+SUMIFS(Movimientos!$C:$C,Movimientos!$A:$A,$B12,Movimientos!$D:$D,CONCATENATE("&lt;",RT$3),Movimientos!$C:$C,"&lt;0")</f>
        <v>0</v>
      </c>
      <c r="RU12" s="5">
        <f ca="1">SUMIFS(Movimientos!$C:$C,Movimientos!$A:$A,$B12,Movimientos!$D:$D,CONCATENATE("&lt;=",RU$3),Movimientos!$C:$C,"&gt;0")+SUMIFS(Movimientos!$C:$C,Movimientos!$A:$A,$B12,Movimientos!$D:$D,CONCATENATE("&lt;",RU$3),Movimientos!$C:$C,"&lt;0")</f>
        <v>0</v>
      </c>
      <c r="RV12" s="5">
        <f ca="1">SUMIFS(Movimientos!$C:$C,Movimientos!$A:$A,$B12,Movimientos!$D:$D,CONCATENATE("&lt;=",RV$3),Movimientos!$C:$C,"&gt;0")+SUMIFS(Movimientos!$C:$C,Movimientos!$A:$A,$B12,Movimientos!$D:$D,CONCATENATE("&lt;",RV$3),Movimientos!$C:$C,"&lt;0")</f>
        <v>0</v>
      </c>
      <c r="RW12" s="5">
        <f ca="1">SUMIFS(Movimientos!$C:$C,Movimientos!$A:$A,$B12,Movimientos!$D:$D,CONCATENATE("&lt;=",RW$3),Movimientos!$C:$C,"&gt;0")+SUMIFS(Movimientos!$C:$C,Movimientos!$A:$A,$B12,Movimientos!$D:$D,CONCATENATE("&lt;",RW$3),Movimientos!$C:$C,"&lt;0")</f>
        <v>0</v>
      </c>
      <c r="RX12" s="5">
        <f ca="1">SUMIFS(Movimientos!$C:$C,Movimientos!$A:$A,$B12,Movimientos!$D:$D,CONCATENATE("&lt;=",RX$3),Movimientos!$C:$C,"&gt;0")+SUMIFS(Movimientos!$C:$C,Movimientos!$A:$A,$B12,Movimientos!$D:$D,CONCATENATE("&lt;",RX$3),Movimientos!$C:$C,"&lt;0")</f>
        <v>0</v>
      </c>
      <c r="RY12" s="5">
        <f ca="1">SUMIFS(Movimientos!$C:$C,Movimientos!$A:$A,$B12,Movimientos!$D:$D,CONCATENATE("&lt;=",RY$3),Movimientos!$C:$C,"&gt;0")+SUMIFS(Movimientos!$C:$C,Movimientos!$A:$A,$B12,Movimientos!$D:$D,CONCATENATE("&lt;",RY$3),Movimientos!$C:$C,"&lt;0")</f>
        <v>0</v>
      </c>
      <c r="RZ12" s="5">
        <f ca="1">SUMIFS(Movimientos!$C:$C,Movimientos!$A:$A,$B12,Movimientos!$D:$D,CONCATENATE("&lt;=",RZ$3),Movimientos!$C:$C,"&gt;0")+SUMIFS(Movimientos!$C:$C,Movimientos!$A:$A,$B12,Movimientos!$D:$D,CONCATENATE("&lt;",RZ$3),Movimientos!$C:$C,"&lt;0")</f>
        <v>0</v>
      </c>
      <c r="SA12" s="5">
        <f ca="1">SUMIFS(Movimientos!$C:$C,Movimientos!$A:$A,$B12,Movimientos!$D:$D,CONCATENATE("&lt;=",SA$3),Movimientos!$C:$C,"&gt;0")+SUMIFS(Movimientos!$C:$C,Movimientos!$A:$A,$B12,Movimientos!$D:$D,CONCATENATE("&lt;",SA$3),Movimientos!$C:$C,"&lt;0")</f>
        <v>0</v>
      </c>
      <c r="SB12" s="5">
        <f ca="1">SUMIFS(Movimientos!$C:$C,Movimientos!$A:$A,$B12,Movimientos!$D:$D,CONCATENATE("&lt;=",SB$3),Movimientos!$C:$C,"&gt;0")+SUMIFS(Movimientos!$C:$C,Movimientos!$A:$A,$B12,Movimientos!$D:$D,CONCATENATE("&lt;",SB$3),Movimientos!$C:$C,"&lt;0")</f>
        <v>0</v>
      </c>
      <c r="SC12" s="5">
        <f ca="1">SUMIFS(Movimientos!$C:$C,Movimientos!$A:$A,$B12,Movimientos!$D:$D,CONCATENATE("&lt;=",SC$3),Movimientos!$C:$C,"&gt;0")+SUMIFS(Movimientos!$C:$C,Movimientos!$A:$A,$B12,Movimientos!$D:$D,CONCATENATE("&lt;",SC$3),Movimientos!$C:$C,"&lt;0")</f>
        <v>0</v>
      </c>
      <c r="SD12" s="5">
        <f ca="1">SUMIFS(Movimientos!$C:$C,Movimientos!$A:$A,$B12,Movimientos!$D:$D,CONCATENATE("&lt;=",SD$3),Movimientos!$C:$C,"&gt;0")+SUMIFS(Movimientos!$C:$C,Movimientos!$A:$A,$B12,Movimientos!$D:$D,CONCATENATE("&lt;",SD$3),Movimientos!$C:$C,"&lt;0")</f>
        <v>0</v>
      </c>
      <c r="SE12" s="5">
        <f ca="1">SUMIFS(Movimientos!$C:$C,Movimientos!$A:$A,$B12,Movimientos!$D:$D,CONCATENATE("&lt;=",SE$3),Movimientos!$C:$C,"&gt;0")+SUMIFS(Movimientos!$C:$C,Movimientos!$A:$A,$B12,Movimientos!$D:$D,CONCATENATE("&lt;",SE$3),Movimientos!$C:$C,"&lt;0")</f>
        <v>0</v>
      </c>
      <c r="SF12" s="5">
        <f ca="1">SUMIFS(Movimientos!$C:$C,Movimientos!$A:$A,$B12,Movimientos!$D:$D,CONCATENATE("&lt;=",SF$3),Movimientos!$C:$C,"&gt;0")+SUMIFS(Movimientos!$C:$C,Movimientos!$A:$A,$B12,Movimientos!$D:$D,CONCATENATE("&lt;",SF$3),Movimientos!$C:$C,"&lt;0")</f>
        <v>0</v>
      </c>
      <c r="SG12" s="5">
        <f ca="1">SUMIFS(Movimientos!$C:$C,Movimientos!$A:$A,$B12,Movimientos!$D:$D,CONCATENATE("&lt;=",SG$3),Movimientos!$C:$C,"&gt;0")+SUMIFS(Movimientos!$C:$C,Movimientos!$A:$A,$B12,Movimientos!$D:$D,CONCATENATE("&lt;",SG$3),Movimientos!$C:$C,"&lt;0")</f>
        <v>0</v>
      </c>
      <c r="SH12" s="5">
        <f ca="1">SUMIFS(Movimientos!$C:$C,Movimientos!$A:$A,$B12,Movimientos!$D:$D,CONCATENATE("&lt;=",SH$3),Movimientos!$C:$C,"&gt;0")+SUMIFS(Movimientos!$C:$C,Movimientos!$A:$A,$B12,Movimientos!$D:$D,CONCATENATE("&lt;",SH$3),Movimientos!$C:$C,"&lt;0")</f>
        <v>0</v>
      </c>
      <c r="SI12" s="5">
        <f ca="1">SUMIFS(Movimientos!$C:$C,Movimientos!$A:$A,$B12,Movimientos!$D:$D,CONCATENATE("&lt;=",SI$3),Movimientos!$C:$C,"&gt;0")+SUMIFS(Movimientos!$C:$C,Movimientos!$A:$A,$B12,Movimientos!$D:$D,CONCATENATE("&lt;",SI$3),Movimientos!$C:$C,"&lt;0")</f>
        <v>0</v>
      </c>
      <c r="SJ12" s="5">
        <f ca="1">SUMIFS(Movimientos!$C:$C,Movimientos!$A:$A,$B12,Movimientos!$D:$D,CONCATENATE("&lt;=",SJ$3),Movimientos!$C:$C,"&gt;0")+SUMIFS(Movimientos!$C:$C,Movimientos!$A:$A,$B12,Movimientos!$D:$D,CONCATENATE("&lt;",SJ$3),Movimientos!$C:$C,"&lt;0")</f>
        <v>0</v>
      </c>
      <c r="SK12" s="5">
        <f ca="1">SUMIFS(Movimientos!$C:$C,Movimientos!$A:$A,$B12,Movimientos!$D:$D,CONCATENATE("&lt;=",SK$3),Movimientos!$C:$C,"&gt;0")+SUMIFS(Movimientos!$C:$C,Movimientos!$A:$A,$B12,Movimientos!$D:$D,CONCATENATE("&lt;",SK$3),Movimientos!$C:$C,"&lt;0")</f>
        <v>0</v>
      </c>
      <c r="SL12" s="5">
        <f ca="1">SUMIFS(Movimientos!$C:$C,Movimientos!$A:$A,$B12,Movimientos!$D:$D,CONCATENATE("&lt;=",SL$3),Movimientos!$C:$C,"&gt;0")+SUMIFS(Movimientos!$C:$C,Movimientos!$A:$A,$B12,Movimientos!$D:$D,CONCATENATE("&lt;",SL$3),Movimientos!$C:$C,"&lt;0")</f>
        <v>0</v>
      </c>
      <c r="SM12" s="5">
        <f ca="1">SUMIFS(Movimientos!$C:$C,Movimientos!$A:$A,$B12,Movimientos!$D:$D,CONCATENATE("&lt;=",SM$3),Movimientos!$C:$C,"&gt;0")+SUMIFS(Movimientos!$C:$C,Movimientos!$A:$A,$B12,Movimientos!$D:$D,CONCATENATE("&lt;",SM$3),Movimientos!$C:$C,"&lt;0")</f>
        <v>0</v>
      </c>
      <c r="SN12" s="5">
        <f ca="1">SUMIFS(Movimientos!$C:$C,Movimientos!$A:$A,$B12,Movimientos!$D:$D,CONCATENATE("&lt;=",SN$3),Movimientos!$C:$C,"&gt;0")+SUMIFS(Movimientos!$C:$C,Movimientos!$A:$A,$B12,Movimientos!$D:$D,CONCATENATE("&lt;",SN$3),Movimientos!$C:$C,"&lt;0")</f>
        <v>0</v>
      </c>
      <c r="SO12" s="5">
        <f ca="1">SUMIFS(Movimientos!$C:$C,Movimientos!$A:$A,$B12,Movimientos!$D:$D,CONCATENATE("&lt;=",SO$3),Movimientos!$C:$C,"&gt;0")+SUMIFS(Movimientos!$C:$C,Movimientos!$A:$A,$B12,Movimientos!$D:$D,CONCATENATE("&lt;",SO$3),Movimientos!$C:$C,"&lt;0")</f>
        <v>0</v>
      </c>
      <c r="SP12" s="5">
        <f ca="1">SUMIFS(Movimientos!$C:$C,Movimientos!$A:$A,$B12,Movimientos!$D:$D,CONCATENATE("&lt;=",SP$3),Movimientos!$C:$C,"&gt;0")+SUMIFS(Movimientos!$C:$C,Movimientos!$A:$A,$B12,Movimientos!$D:$D,CONCATENATE("&lt;",SP$3),Movimientos!$C:$C,"&lt;0")</f>
        <v>0</v>
      </c>
      <c r="SQ12" s="5">
        <f ca="1">SUMIFS(Movimientos!$C:$C,Movimientos!$A:$A,$B12,Movimientos!$D:$D,CONCATENATE("&lt;=",SQ$3),Movimientos!$C:$C,"&gt;0")+SUMIFS(Movimientos!$C:$C,Movimientos!$A:$A,$B12,Movimientos!$D:$D,CONCATENATE("&lt;",SQ$3),Movimientos!$C:$C,"&lt;0")</f>
        <v>0</v>
      </c>
      <c r="SR12" s="5">
        <f ca="1">SUMIFS(Movimientos!$C:$C,Movimientos!$A:$A,$B12,Movimientos!$D:$D,CONCATENATE("&lt;=",SR$3),Movimientos!$C:$C,"&gt;0")+SUMIFS(Movimientos!$C:$C,Movimientos!$A:$A,$B12,Movimientos!$D:$D,CONCATENATE("&lt;",SR$3),Movimientos!$C:$C,"&lt;0")</f>
        <v>0</v>
      </c>
      <c r="SS12" s="5">
        <f ca="1">SUMIFS(Movimientos!$C:$C,Movimientos!$A:$A,$B12,Movimientos!$D:$D,CONCATENATE("&lt;=",SS$3),Movimientos!$C:$C,"&gt;0")+SUMIFS(Movimientos!$C:$C,Movimientos!$A:$A,$B12,Movimientos!$D:$D,CONCATENATE("&lt;",SS$3),Movimientos!$C:$C,"&lt;0")</f>
        <v>0</v>
      </c>
      <c r="ST12" s="5">
        <f ca="1">SUMIFS(Movimientos!$C:$C,Movimientos!$A:$A,$B12,Movimientos!$D:$D,CONCATENATE("&lt;=",ST$3),Movimientos!$C:$C,"&gt;0")+SUMIFS(Movimientos!$C:$C,Movimientos!$A:$A,$B12,Movimientos!$D:$D,CONCATENATE("&lt;",ST$3),Movimientos!$C:$C,"&lt;0")</f>
        <v>0</v>
      </c>
      <c r="SU12" s="5">
        <f ca="1">SUMIFS(Movimientos!$C:$C,Movimientos!$A:$A,$B12,Movimientos!$D:$D,CONCATENATE("&lt;=",SU$3),Movimientos!$C:$C,"&gt;0")+SUMIFS(Movimientos!$C:$C,Movimientos!$A:$A,$B12,Movimientos!$D:$D,CONCATENATE("&lt;",SU$3),Movimientos!$C:$C,"&lt;0")</f>
        <v>0</v>
      </c>
      <c r="SV12" s="5">
        <f ca="1">SUMIFS(Movimientos!$C:$C,Movimientos!$A:$A,$B12,Movimientos!$D:$D,CONCATENATE("&lt;=",SV$3),Movimientos!$C:$C,"&gt;0")+SUMIFS(Movimientos!$C:$C,Movimientos!$A:$A,$B12,Movimientos!$D:$D,CONCATENATE("&lt;",SV$3),Movimientos!$C:$C,"&lt;0")</f>
        <v>0</v>
      </c>
      <c r="SW12" s="5">
        <f ca="1">SUMIFS(Movimientos!$C:$C,Movimientos!$A:$A,$B12,Movimientos!$D:$D,CONCATENATE("&lt;=",SW$3),Movimientos!$C:$C,"&gt;0")+SUMIFS(Movimientos!$C:$C,Movimientos!$A:$A,$B12,Movimientos!$D:$D,CONCATENATE("&lt;",SW$3),Movimientos!$C:$C,"&lt;0")</f>
        <v>0</v>
      </c>
      <c r="SX12" s="5">
        <f ca="1">SUMIFS(Movimientos!$C:$C,Movimientos!$A:$A,$B12,Movimientos!$D:$D,CONCATENATE("&lt;=",SX$3),Movimientos!$C:$C,"&gt;0")+SUMIFS(Movimientos!$C:$C,Movimientos!$A:$A,$B12,Movimientos!$D:$D,CONCATENATE("&lt;",SX$3),Movimientos!$C:$C,"&lt;0")</f>
        <v>0</v>
      </c>
      <c r="SY12" s="5">
        <f ca="1">SUMIFS(Movimientos!$C:$C,Movimientos!$A:$A,$B12,Movimientos!$D:$D,CONCATENATE("&lt;=",SY$3),Movimientos!$C:$C,"&gt;0")+SUMIFS(Movimientos!$C:$C,Movimientos!$A:$A,$B12,Movimientos!$D:$D,CONCATENATE("&lt;",SY$3),Movimientos!$C:$C,"&lt;0")</f>
        <v>0</v>
      </c>
      <c r="SZ12" s="5">
        <f ca="1">SUMIFS(Movimientos!$C:$C,Movimientos!$A:$A,$B12,Movimientos!$D:$D,CONCATENATE("&lt;=",SZ$3),Movimientos!$C:$C,"&gt;0")+SUMIFS(Movimientos!$C:$C,Movimientos!$A:$A,$B12,Movimientos!$D:$D,CONCATENATE("&lt;",SZ$3),Movimientos!$C:$C,"&lt;0")</f>
        <v>0</v>
      </c>
      <c r="TA12" s="5">
        <f ca="1">SUMIFS(Movimientos!$C:$C,Movimientos!$A:$A,$B12,Movimientos!$D:$D,CONCATENATE("&lt;=",TA$3),Movimientos!$C:$C,"&gt;0")+SUMIFS(Movimientos!$C:$C,Movimientos!$A:$A,$B12,Movimientos!$D:$D,CONCATENATE("&lt;",TA$3),Movimientos!$C:$C,"&lt;0")</f>
        <v>0</v>
      </c>
      <c r="TB12" s="5">
        <f ca="1">SUMIFS(Movimientos!$C:$C,Movimientos!$A:$A,$B12,Movimientos!$D:$D,CONCATENATE("&lt;=",TB$3),Movimientos!$C:$C,"&gt;0")+SUMIFS(Movimientos!$C:$C,Movimientos!$A:$A,$B12,Movimientos!$D:$D,CONCATENATE("&lt;",TB$3),Movimientos!$C:$C,"&lt;0")</f>
        <v>0</v>
      </c>
      <c r="TC12" s="5">
        <f ca="1">SUMIFS(Movimientos!$C:$C,Movimientos!$A:$A,$B12,Movimientos!$D:$D,CONCATENATE("&lt;=",TC$3),Movimientos!$C:$C,"&gt;0")+SUMIFS(Movimientos!$C:$C,Movimientos!$A:$A,$B12,Movimientos!$D:$D,CONCATENATE("&lt;",TC$3),Movimientos!$C:$C,"&lt;0")</f>
        <v>0</v>
      </c>
      <c r="TD12" s="5">
        <f ca="1">SUMIFS(Movimientos!$C:$C,Movimientos!$A:$A,$B12,Movimientos!$D:$D,CONCATENATE("&lt;=",TD$3),Movimientos!$C:$C,"&gt;0")+SUMIFS(Movimientos!$C:$C,Movimientos!$A:$A,$B12,Movimientos!$D:$D,CONCATENATE("&lt;",TD$3),Movimientos!$C:$C,"&lt;0")</f>
        <v>0</v>
      </c>
      <c r="TE12" s="5">
        <f ca="1">SUMIFS(Movimientos!$C:$C,Movimientos!$A:$A,$B12,Movimientos!$D:$D,CONCATENATE("&lt;=",TE$3),Movimientos!$C:$C,"&gt;0")+SUMIFS(Movimientos!$C:$C,Movimientos!$A:$A,$B12,Movimientos!$D:$D,CONCATENATE("&lt;",TE$3),Movimientos!$C:$C,"&lt;0")</f>
        <v>0</v>
      </c>
      <c r="TF12" s="5">
        <f ca="1">SUMIFS(Movimientos!$C:$C,Movimientos!$A:$A,$B12,Movimientos!$D:$D,CONCATENATE("&lt;=",TF$3),Movimientos!$C:$C,"&gt;0")+SUMIFS(Movimientos!$C:$C,Movimientos!$A:$A,$B12,Movimientos!$D:$D,CONCATENATE("&lt;",TF$3),Movimientos!$C:$C,"&lt;0")</f>
        <v>0</v>
      </c>
    </row>
    <row r="13" spans="1:526">
      <c r="A13" s="31" t="s">
        <v>48</v>
      </c>
      <c r="B13" s="4">
        <f>Cartera!B13</f>
        <v>0</v>
      </c>
      <c r="C13" s="4">
        <f>Cartera!C13</f>
        <v>0</v>
      </c>
      <c r="D13" s="5">
        <f ca="1">SUMIFS(Movimientos!$C:$C,Movimientos!$A:$A,$B13,Movimientos!$D:$D,CONCATENATE("&lt;=",D$3),Movimientos!$C:$C,"&gt;0")+SUMIFS(Movimientos!$C:$C,Movimientos!$A:$A,$B13,Movimientos!$D:$D,CONCATENATE("&lt;",D$3),Movimientos!$C:$C,"&lt;0")</f>
        <v>0</v>
      </c>
      <c r="E13" s="5">
        <f ca="1">SUMIFS(Movimientos!$C:$C,Movimientos!$A:$A,$B13,Movimientos!$D:$D,CONCATENATE("&lt;=",E$3),Movimientos!$C:$C,"&gt;0")+SUMIFS(Movimientos!$C:$C,Movimientos!$A:$A,$B13,Movimientos!$D:$D,CONCATENATE("&lt;",E$3),Movimientos!$C:$C,"&lt;0")</f>
        <v>0</v>
      </c>
      <c r="F13" s="5">
        <f ca="1">SUMIFS(Movimientos!$C:$C,Movimientos!$A:$A,$B13,Movimientos!$D:$D,CONCATENATE("&lt;=",F$3),Movimientos!$C:$C,"&gt;0")+SUMIFS(Movimientos!$C:$C,Movimientos!$A:$A,$B13,Movimientos!$D:$D,CONCATENATE("&lt;",F$3),Movimientos!$C:$C,"&lt;0")</f>
        <v>0</v>
      </c>
      <c r="G13" s="5">
        <f ca="1">SUMIFS(Movimientos!$C:$C,Movimientos!$A:$A,$B13,Movimientos!$D:$D,CONCATENATE("&lt;=",G$3),Movimientos!$C:$C,"&gt;0")+SUMIFS(Movimientos!$C:$C,Movimientos!$A:$A,$B13,Movimientos!$D:$D,CONCATENATE("&lt;",G$3),Movimientos!$C:$C,"&lt;0")</f>
        <v>0</v>
      </c>
      <c r="H13" s="5">
        <f ca="1">SUMIFS(Movimientos!$C:$C,Movimientos!$A:$A,$B13,Movimientos!$D:$D,CONCATENATE("&lt;=",H$3),Movimientos!$C:$C,"&gt;0")+SUMIFS(Movimientos!$C:$C,Movimientos!$A:$A,$B13,Movimientos!$D:$D,CONCATENATE("&lt;",H$3),Movimientos!$C:$C,"&lt;0")</f>
        <v>0</v>
      </c>
      <c r="I13" s="5">
        <f ca="1">SUMIFS(Movimientos!$C:$C,Movimientos!$A:$A,$B13,Movimientos!$D:$D,CONCATENATE("&lt;=",I$3),Movimientos!$C:$C,"&gt;0")+SUMIFS(Movimientos!$C:$C,Movimientos!$A:$A,$B13,Movimientos!$D:$D,CONCATENATE("&lt;",I$3),Movimientos!$C:$C,"&lt;0")</f>
        <v>0</v>
      </c>
      <c r="J13" s="5">
        <f ca="1">SUMIFS(Movimientos!$C:$C,Movimientos!$A:$A,$B13,Movimientos!$D:$D,CONCATENATE("&lt;=",J$3),Movimientos!$C:$C,"&gt;0")+SUMIFS(Movimientos!$C:$C,Movimientos!$A:$A,$B13,Movimientos!$D:$D,CONCATENATE("&lt;",J$3),Movimientos!$C:$C,"&lt;0")</f>
        <v>0</v>
      </c>
      <c r="K13" s="5">
        <f ca="1">SUMIFS(Movimientos!$C:$C,Movimientos!$A:$A,$B13,Movimientos!$D:$D,CONCATENATE("&lt;=",K$3),Movimientos!$C:$C,"&gt;0")+SUMIFS(Movimientos!$C:$C,Movimientos!$A:$A,$B13,Movimientos!$D:$D,CONCATENATE("&lt;",K$3),Movimientos!$C:$C,"&lt;0")</f>
        <v>0</v>
      </c>
      <c r="L13" s="5">
        <f ca="1">SUMIFS(Movimientos!$C:$C,Movimientos!$A:$A,$B13,Movimientos!$D:$D,CONCATENATE("&lt;=",L$3),Movimientos!$C:$C,"&gt;0")+SUMIFS(Movimientos!$C:$C,Movimientos!$A:$A,$B13,Movimientos!$D:$D,CONCATENATE("&lt;",L$3),Movimientos!$C:$C,"&lt;0")</f>
        <v>0</v>
      </c>
      <c r="M13" s="5">
        <f ca="1">SUMIFS(Movimientos!$C:$C,Movimientos!$A:$A,$B13,Movimientos!$D:$D,CONCATENATE("&lt;=",M$3),Movimientos!$C:$C,"&gt;0")+SUMIFS(Movimientos!$C:$C,Movimientos!$A:$A,$B13,Movimientos!$D:$D,CONCATENATE("&lt;",M$3),Movimientos!$C:$C,"&lt;0")</f>
        <v>0</v>
      </c>
      <c r="N13" s="5">
        <f ca="1">SUMIFS(Movimientos!$C:$C,Movimientos!$A:$A,$B13,Movimientos!$D:$D,CONCATENATE("&lt;=",N$3),Movimientos!$C:$C,"&gt;0")+SUMIFS(Movimientos!$C:$C,Movimientos!$A:$A,$B13,Movimientos!$D:$D,CONCATENATE("&lt;",N$3),Movimientos!$C:$C,"&lt;0")</f>
        <v>0</v>
      </c>
      <c r="O13" s="5">
        <f ca="1">SUMIFS(Movimientos!$C:$C,Movimientos!$A:$A,$B13,Movimientos!$D:$D,CONCATENATE("&lt;=",O$3),Movimientos!$C:$C,"&gt;0")+SUMIFS(Movimientos!$C:$C,Movimientos!$A:$A,$B13,Movimientos!$D:$D,CONCATENATE("&lt;",O$3),Movimientos!$C:$C,"&lt;0")</f>
        <v>0</v>
      </c>
      <c r="P13" s="5">
        <f ca="1">SUMIFS(Movimientos!$C:$C,Movimientos!$A:$A,$B13,Movimientos!$D:$D,CONCATENATE("&lt;=",P$3),Movimientos!$C:$C,"&gt;0")+SUMIFS(Movimientos!$C:$C,Movimientos!$A:$A,$B13,Movimientos!$D:$D,CONCATENATE("&lt;",P$3),Movimientos!$C:$C,"&lt;0")</f>
        <v>0</v>
      </c>
      <c r="Q13" s="5">
        <f ca="1">SUMIFS(Movimientos!$C:$C,Movimientos!$A:$A,$B13,Movimientos!$D:$D,CONCATENATE("&lt;=",Q$3),Movimientos!$C:$C,"&gt;0")+SUMIFS(Movimientos!$C:$C,Movimientos!$A:$A,$B13,Movimientos!$D:$D,CONCATENATE("&lt;",Q$3),Movimientos!$C:$C,"&lt;0")</f>
        <v>0</v>
      </c>
      <c r="R13" s="5">
        <f ca="1">SUMIFS(Movimientos!$C:$C,Movimientos!$A:$A,$B13,Movimientos!$D:$D,CONCATENATE("&lt;=",R$3),Movimientos!$C:$C,"&gt;0")+SUMIFS(Movimientos!$C:$C,Movimientos!$A:$A,$B13,Movimientos!$D:$D,CONCATENATE("&lt;",R$3),Movimientos!$C:$C,"&lt;0")</f>
        <v>0</v>
      </c>
      <c r="S13" s="5">
        <f ca="1">SUMIFS(Movimientos!$C:$C,Movimientos!$A:$A,$B13,Movimientos!$D:$D,CONCATENATE("&lt;=",S$3),Movimientos!$C:$C,"&gt;0")+SUMIFS(Movimientos!$C:$C,Movimientos!$A:$A,$B13,Movimientos!$D:$D,CONCATENATE("&lt;",S$3),Movimientos!$C:$C,"&lt;0")</f>
        <v>0</v>
      </c>
      <c r="T13" s="5">
        <f ca="1">SUMIFS(Movimientos!$C:$C,Movimientos!$A:$A,$B13,Movimientos!$D:$D,CONCATENATE("&lt;=",T$3),Movimientos!$C:$C,"&gt;0")+SUMIFS(Movimientos!$C:$C,Movimientos!$A:$A,$B13,Movimientos!$D:$D,CONCATENATE("&lt;",T$3),Movimientos!$C:$C,"&lt;0")</f>
        <v>0</v>
      </c>
      <c r="U13" s="5">
        <f ca="1">SUMIFS(Movimientos!$C:$C,Movimientos!$A:$A,$B13,Movimientos!$D:$D,CONCATENATE("&lt;=",U$3),Movimientos!$C:$C,"&gt;0")+SUMIFS(Movimientos!$C:$C,Movimientos!$A:$A,$B13,Movimientos!$D:$D,CONCATENATE("&lt;",U$3),Movimientos!$C:$C,"&lt;0")</f>
        <v>0</v>
      </c>
      <c r="V13" s="5">
        <f ca="1">SUMIFS(Movimientos!$C:$C,Movimientos!$A:$A,$B13,Movimientos!$D:$D,CONCATENATE("&lt;=",V$3),Movimientos!$C:$C,"&gt;0")+SUMIFS(Movimientos!$C:$C,Movimientos!$A:$A,$B13,Movimientos!$D:$D,CONCATENATE("&lt;",V$3),Movimientos!$C:$C,"&lt;0")</f>
        <v>0</v>
      </c>
      <c r="W13" s="5">
        <f ca="1">SUMIFS(Movimientos!$C:$C,Movimientos!$A:$A,$B13,Movimientos!$D:$D,CONCATENATE("&lt;=",W$3),Movimientos!$C:$C,"&gt;0")+SUMIFS(Movimientos!$C:$C,Movimientos!$A:$A,$B13,Movimientos!$D:$D,CONCATENATE("&lt;",W$3),Movimientos!$C:$C,"&lt;0")</f>
        <v>0</v>
      </c>
      <c r="X13" s="5">
        <f ca="1">SUMIFS(Movimientos!$C:$C,Movimientos!$A:$A,$B13,Movimientos!$D:$D,CONCATENATE("&lt;=",X$3),Movimientos!$C:$C,"&gt;0")+SUMIFS(Movimientos!$C:$C,Movimientos!$A:$A,$B13,Movimientos!$D:$D,CONCATENATE("&lt;",X$3),Movimientos!$C:$C,"&lt;0")</f>
        <v>0</v>
      </c>
      <c r="Y13" s="5">
        <f ca="1">SUMIFS(Movimientos!$C:$C,Movimientos!$A:$A,$B13,Movimientos!$D:$D,CONCATENATE("&lt;=",Y$3),Movimientos!$C:$C,"&gt;0")+SUMIFS(Movimientos!$C:$C,Movimientos!$A:$A,$B13,Movimientos!$D:$D,CONCATENATE("&lt;",Y$3),Movimientos!$C:$C,"&lt;0")</f>
        <v>0</v>
      </c>
      <c r="Z13" s="5">
        <f ca="1">SUMIFS(Movimientos!$C:$C,Movimientos!$A:$A,$B13,Movimientos!$D:$D,CONCATENATE("&lt;=",Z$3),Movimientos!$C:$C,"&gt;0")+SUMIFS(Movimientos!$C:$C,Movimientos!$A:$A,$B13,Movimientos!$D:$D,CONCATENATE("&lt;",Z$3),Movimientos!$C:$C,"&lt;0")</f>
        <v>0</v>
      </c>
      <c r="AA13" s="5">
        <f ca="1">SUMIFS(Movimientos!$C:$C,Movimientos!$A:$A,$B13,Movimientos!$D:$D,CONCATENATE("&lt;=",AA$3),Movimientos!$C:$C,"&gt;0")+SUMIFS(Movimientos!$C:$C,Movimientos!$A:$A,$B13,Movimientos!$D:$D,CONCATENATE("&lt;",AA$3),Movimientos!$C:$C,"&lt;0")</f>
        <v>0</v>
      </c>
      <c r="AB13" s="5">
        <f ca="1">SUMIFS(Movimientos!$C:$C,Movimientos!$A:$A,$B13,Movimientos!$D:$D,CONCATENATE("&lt;=",AB$3),Movimientos!$C:$C,"&gt;0")+SUMIFS(Movimientos!$C:$C,Movimientos!$A:$A,$B13,Movimientos!$D:$D,CONCATENATE("&lt;",AB$3),Movimientos!$C:$C,"&lt;0")</f>
        <v>0</v>
      </c>
      <c r="AC13" s="5">
        <f ca="1">SUMIFS(Movimientos!$C:$C,Movimientos!$A:$A,$B13,Movimientos!$D:$D,CONCATENATE("&lt;=",AC$3),Movimientos!$C:$C,"&gt;0")+SUMIFS(Movimientos!$C:$C,Movimientos!$A:$A,$B13,Movimientos!$D:$D,CONCATENATE("&lt;",AC$3),Movimientos!$C:$C,"&lt;0")</f>
        <v>0</v>
      </c>
      <c r="AD13" s="5">
        <f ca="1">SUMIFS(Movimientos!$C:$C,Movimientos!$A:$A,$B13,Movimientos!$D:$D,CONCATENATE("&lt;=",AD$3),Movimientos!$C:$C,"&gt;0")+SUMIFS(Movimientos!$C:$C,Movimientos!$A:$A,$B13,Movimientos!$D:$D,CONCATENATE("&lt;",AD$3),Movimientos!$C:$C,"&lt;0")</f>
        <v>0</v>
      </c>
      <c r="AE13" s="5">
        <f ca="1">SUMIFS(Movimientos!$C:$C,Movimientos!$A:$A,$B13,Movimientos!$D:$D,CONCATENATE("&lt;=",AE$3),Movimientos!$C:$C,"&gt;0")+SUMIFS(Movimientos!$C:$C,Movimientos!$A:$A,$B13,Movimientos!$D:$D,CONCATENATE("&lt;",AE$3),Movimientos!$C:$C,"&lt;0")</f>
        <v>0</v>
      </c>
      <c r="AF13" s="5">
        <f ca="1">SUMIFS(Movimientos!$C:$C,Movimientos!$A:$A,$B13,Movimientos!$D:$D,CONCATENATE("&lt;=",AF$3),Movimientos!$C:$C,"&gt;0")+SUMIFS(Movimientos!$C:$C,Movimientos!$A:$A,$B13,Movimientos!$D:$D,CONCATENATE("&lt;",AF$3),Movimientos!$C:$C,"&lt;0")</f>
        <v>0</v>
      </c>
      <c r="AG13" s="5">
        <f ca="1">SUMIFS(Movimientos!$C:$C,Movimientos!$A:$A,$B13,Movimientos!$D:$D,CONCATENATE("&lt;=",AG$3),Movimientos!$C:$C,"&gt;0")+SUMIFS(Movimientos!$C:$C,Movimientos!$A:$A,$B13,Movimientos!$D:$D,CONCATENATE("&lt;",AG$3),Movimientos!$C:$C,"&lt;0")</f>
        <v>0</v>
      </c>
      <c r="AH13" s="5">
        <f ca="1">SUMIFS(Movimientos!$C:$C,Movimientos!$A:$A,$B13,Movimientos!$D:$D,CONCATENATE("&lt;=",AH$3),Movimientos!$C:$C,"&gt;0")+SUMIFS(Movimientos!$C:$C,Movimientos!$A:$A,$B13,Movimientos!$D:$D,CONCATENATE("&lt;",AH$3),Movimientos!$C:$C,"&lt;0")</f>
        <v>0</v>
      </c>
      <c r="AI13" s="5">
        <f ca="1">SUMIFS(Movimientos!$C:$C,Movimientos!$A:$A,$B13,Movimientos!$D:$D,CONCATENATE("&lt;=",AI$3),Movimientos!$C:$C,"&gt;0")+SUMIFS(Movimientos!$C:$C,Movimientos!$A:$A,$B13,Movimientos!$D:$D,CONCATENATE("&lt;",AI$3),Movimientos!$C:$C,"&lt;0")</f>
        <v>0</v>
      </c>
      <c r="AJ13" s="5">
        <f ca="1">SUMIFS(Movimientos!$C:$C,Movimientos!$A:$A,$B13,Movimientos!$D:$D,CONCATENATE("&lt;=",AJ$3),Movimientos!$C:$C,"&gt;0")+SUMIFS(Movimientos!$C:$C,Movimientos!$A:$A,$B13,Movimientos!$D:$D,CONCATENATE("&lt;",AJ$3),Movimientos!$C:$C,"&lt;0")</f>
        <v>0</v>
      </c>
      <c r="AK13" s="5">
        <f ca="1">SUMIFS(Movimientos!$C:$C,Movimientos!$A:$A,$B13,Movimientos!$D:$D,CONCATENATE("&lt;=",AK$3),Movimientos!$C:$C,"&gt;0")+SUMIFS(Movimientos!$C:$C,Movimientos!$A:$A,$B13,Movimientos!$D:$D,CONCATENATE("&lt;",AK$3),Movimientos!$C:$C,"&lt;0")</f>
        <v>0</v>
      </c>
      <c r="AL13" s="5">
        <f ca="1">SUMIFS(Movimientos!$C:$C,Movimientos!$A:$A,$B13,Movimientos!$D:$D,CONCATENATE("&lt;=",AL$3),Movimientos!$C:$C,"&gt;0")+SUMIFS(Movimientos!$C:$C,Movimientos!$A:$A,$B13,Movimientos!$D:$D,CONCATENATE("&lt;",AL$3),Movimientos!$C:$C,"&lt;0")</f>
        <v>0</v>
      </c>
      <c r="AM13" s="5">
        <f ca="1">SUMIFS(Movimientos!$C:$C,Movimientos!$A:$A,$B13,Movimientos!$D:$D,CONCATENATE("&lt;=",AM$3),Movimientos!$C:$C,"&gt;0")+SUMIFS(Movimientos!$C:$C,Movimientos!$A:$A,$B13,Movimientos!$D:$D,CONCATENATE("&lt;",AM$3),Movimientos!$C:$C,"&lt;0")</f>
        <v>0</v>
      </c>
      <c r="AN13" s="5">
        <f ca="1">SUMIFS(Movimientos!$C:$C,Movimientos!$A:$A,$B13,Movimientos!$D:$D,CONCATENATE("&lt;=",AN$3),Movimientos!$C:$C,"&gt;0")+SUMIFS(Movimientos!$C:$C,Movimientos!$A:$A,$B13,Movimientos!$D:$D,CONCATENATE("&lt;",AN$3),Movimientos!$C:$C,"&lt;0")</f>
        <v>0</v>
      </c>
      <c r="AO13" s="5">
        <f ca="1">SUMIFS(Movimientos!$C:$C,Movimientos!$A:$A,$B13,Movimientos!$D:$D,CONCATENATE("&lt;=",AO$3),Movimientos!$C:$C,"&gt;0")+SUMIFS(Movimientos!$C:$C,Movimientos!$A:$A,$B13,Movimientos!$D:$D,CONCATENATE("&lt;",AO$3),Movimientos!$C:$C,"&lt;0")</f>
        <v>0</v>
      </c>
      <c r="AP13" s="5">
        <f ca="1">SUMIFS(Movimientos!$C:$C,Movimientos!$A:$A,$B13,Movimientos!$D:$D,CONCATENATE("&lt;=",AP$3),Movimientos!$C:$C,"&gt;0")+SUMIFS(Movimientos!$C:$C,Movimientos!$A:$A,$B13,Movimientos!$D:$D,CONCATENATE("&lt;",AP$3),Movimientos!$C:$C,"&lt;0")</f>
        <v>0</v>
      </c>
      <c r="AQ13" s="5">
        <f ca="1">SUMIFS(Movimientos!$C:$C,Movimientos!$A:$A,$B13,Movimientos!$D:$D,CONCATENATE("&lt;=",AQ$3),Movimientos!$C:$C,"&gt;0")+SUMIFS(Movimientos!$C:$C,Movimientos!$A:$A,$B13,Movimientos!$D:$D,CONCATENATE("&lt;",AQ$3),Movimientos!$C:$C,"&lt;0")</f>
        <v>0</v>
      </c>
      <c r="AR13" s="5">
        <f ca="1">SUMIFS(Movimientos!$C:$C,Movimientos!$A:$A,$B13,Movimientos!$D:$D,CONCATENATE("&lt;=",AR$3),Movimientos!$C:$C,"&gt;0")+SUMIFS(Movimientos!$C:$C,Movimientos!$A:$A,$B13,Movimientos!$D:$D,CONCATENATE("&lt;",AR$3),Movimientos!$C:$C,"&lt;0")</f>
        <v>0</v>
      </c>
      <c r="AS13" s="5">
        <f ca="1">SUMIFS(Movimientos!$C:$C,Movimientos!$A:$A,$B13,Movimientos!$D:$D,CONCATENATE("&lt;=",AS$3),Movimientos!$C:$C,"&gt;0")+SUMIFS(Movimientos!$C:$C,Movimientos!$A:$A,$B13,Movimientos!$D:$D,CONCATENATE("&lt;",AS$3),Movimientos!$C:$C,"&lt;0")</f>
        <v>0</v>
      </c>
      <c r="AT13" s="5">
        <f ca="1">SUMIFS(Movimientos!$C:$C,Movimientos!$A:$A,$B13,Movimientos!$D:$D,CONCATENATE("&lt;=",AT$3),Movimientos!$C:$C,"&gt;0")+SUMIFS(Movimientos!$C:$C,Movimientos!$A:$A,$B13,Movimientos!$D:$D,CONCATENATE("&lt;",AT$3),Movimientos!$C:$C,"&lt;0")</f>
        <v>0</v>
      </c>
      <c r="AU13" s="5">
        <f ca="1">SUMIFS(Movimientos!$C:$C,Movimientos!$A:$A,$B13,Movimientos!$D:$D,CONCATENATE("&lt;=",AU$3),Movimientos!$C:$C,"&gt;0")+SUMIFS(Movimientos!$C:$C,Movimientos!$A:$A,$B13,Movimientos!$D:$D,CONCATENATE("&lt;",AU$3),Movimientos!$C:$C,"&lt;0")</f>
        <v>0</v>
      </c>
      <c r="AV13" s="5">
        <f ca="1">SUMIFS(Movimientos!$C:$C,Movimientos!$A:$A,$B13,Movimientos!$D:$D,CONCATENATE("&lt;=",AV$3),Movimientos!$C:$C,"&gt;0")+SUMIFS(Movimientos!$C:$C,Movimientos!$A:$A,$B13,Movimientos!$D:$D,CONCATENATE("&lt;",AV$3),Movimientos!$C:$C,"&lt;0")</f>
        <v>0</v>
      </c>
      <c r="AW13" s="5">
        <f ca="1">SUMIFS(Movimientos!$C:$C,Movimientos!$A:$A,$B13,Movimientos!$D:$D,CONCATENATE("&lt;=",AW$3),Movimientos!$C:$C,"&gt;0")+SUMIFS(Movimientos!$C:$C,Movimientos!$A:$A,$B13,Movimientos!$D:$D,CONCATENATE("&lt;",AW$3),Movimientos!$C:$C,"&lt;0")</f>
        <v>0</v>
      </c>
      <c r="AX13" s="5">
        <f ca="1">SUMIFS(Movimientos!$C:$C,Movimientos!$A:$A,$B13,Movimientos!$D:$D,CONCATENATE("&lt;=",AX$3),Movimientos!$C:$C,"&gt;0")+SUMIFS(Movimientos!$C:$C,Movimientos!$A:$A,$B13,Movimientos!$D:$D,CONCATENATE("&lt;",AX$3),Movimientos!$C:$C,"&lt;0")</f>
        <v>0</v>
      </c>
      <c r="AY13" s="5">
        <f ca="1">SUMIFS(Movimientos!$C:$C,Movimientos!$A:$A,$B13,Movimientos!$D:$D,CONCATENATE("&lt;=",AY$3),Movimientos!$C:$C,"&gt;0")+SUMIFS(Movimientos!$C:$C,Movimientos!$A:$A,$B13,Movimientos!$D:$D,CONCATENATE("&lt;",AY$3),Movimientos!$C:$C,"&lt;0")</f>
        <v>0</v>
      </c>
      <c r="AZ13" s="5">
        <f ca="1">SUMIFS(Movimientos!$C:$C,Movimientos!$A:$A,$B13,Movimientos!$D:$D,CONCATENATE("&lt;=",AZ$3),Movimientos!$C:$C,"&gt;0")+SUMIFS(Movimientos!$C:$C,Movimientos!$A:$A,$B13,Movimientos!$D:$D,CONCATENATE("&lt;",AZ$3),Movimientos!$C:$C,"&lt;0")</f>
        <v>0</v>
      </c>
      <c r="BA13" s="5">
        <f ca="1">SUMIFS(Movimientos!$C:$C,Movimientos!$A:$A,$B13,Movimientos!$D:$D,CONCATENATE("&lt;=",BA$3),Movimientos!$C:$C,"&gt;0")+SUMIFS(Movimientos!$C:$C,Movimientos!$A:$A,$B13,Movimientos!$D:$D,CONCATENATE("&lt;",BA$3),Movimientos!$C:$C,"&lt;0")</f>
        <v>0</v>
      </c>
      <c r="BB13" s="5">
        <f ca="1">SUMIFS(Movimientos!$C:$C,Movimientos!$A:$A,$B13,Movimientos!$D:$D,CONCATENATE("&lt;=",BB$3),Movimientos!$C:$C,"&gt;0")+SUMIFS(Movimientos!$C:$C,Movimientos!$A:$A,$B13,Movimientos!$D:$D,CONCATENATE("&lt;",BB$3),Movimientos!$C:$C,"&lt;0")</f>
        <v>0</v>
      </c>
      <c r="BC13" s="5">
        <f ca="1">SUMIFS(Movimientos!$C:$C,Movimientos!$A:$A,$B13,Movimientos!$D:$D,CONCATENATE("&lt;=",BC$3),Movimientos!$C:$C,"&gt;0")+SUMIFS(Movimientos!$C:$C,Movimientos!$A:$A,$B13,Movimientos!$D:$D,CONCATENATE("&lt;",BC$3),Movimientos!$C:$C,"&lt;0")</f>
        <v>0</v>
      </c>
      <c r="BD13" s="5">
        <f ca="1">SUMIFS(Movimientos!$C:$C,Movimientos!$A:$A,$B13,Movimientos!$D:$D,CONCATENATE("&lt;=",BD$3),Movimientos!$C:$C,"&gt;0")+SUMIFS(Movimientos!$C:$C,Movimientos!$A:$A,$B13,Movimientos!$D:$D,CONCATENATE("&lt;",BD$3),Movimientos!$C:$C,"&lt;0")</f>
        <v>0</v>
      </c>
      <c r="BE13" s="5">
        <f ca="1">SUMIFS(Movimientos!$C:$C,Movimientos!$A:$A,$B13,Movimientos!$D:$D,CONCATENATE("&lt;=",BE$3),Movimientos!$C:$C,"&gt;0")+SUMIFS(Movimientos!$C:$C,Movimientos!$A:$A,$B13,Movimientos!$D:$D,CONCATENATE("&lt;",BE$3),Movimientos!$C:$C,"&lt;0")</f>
        <v>0</v>
      </c>
      <c r="BF13" s="5">
        <f ca="1">SUMIFS(Movimientos!$C:$C,Movimientos!$A:$A,$B13,Movimientos!$D:$D,CONCATENATE("&lt;=",BF$3),Movimientos!$C:$C,"&gt;0")+SUMIFS(Movimientos!$C:$C,Movimientos!$A:$A,$B13,Movimientos!$D:$D,CONCATENATE("&lt;",BF$3),Movimientos!$C:$C,"&lt;0")</f>
        <v>0</v>
      </c>
      <c r="BG13" s="5">
        <f ca="1">SUMIFS(Movimientos!$C:$C,Movimientos!$A:$A,$B13,Movimientos!$D:$D,CONCATENATE("&lt;=",BG$3),Movimientos!$C:$C,"&gt;0")+SUMIFS(Movimientos!$C:$C,Movimientos!$A:$A,$B13,Movimientos!$D:$D,CONCATENATE("&lt;",BG$3),Movimientos!$C:$C,"&lt;0")</f>
        <v>0</v>
      </c>
      <c r="BH13" s="5">
        <f ca="1">SUMIFS(Movimientos!$C:$C,Movimientos!$A:$A,$B13,Movimientos!$D:$D,CONCATENATE("&lt;=",BH$3),Movimientos!$C:$C,"&gt;0")+SUMIFS(Movimientos!$C:$C,Movimientos!$A:$A,$B13,Movimientos!$D:$D,CONCATENATE("&lt;",BH$3),Movimientos!$C:$C,"&lt;0")</f>
        <v>0</v>
      </c>
      <c r="BI13" s="5">
        <f ca="1">SUMIFS(Movimientos!$C:$C,Movimientos!$A:$A,$B13,Movimientos!$D:$D,CONCATENATE("&lt;=",BI$3),Movimientos!$C:$C,"&gt;0")+SUMIFS(Movimientos!$C:$C,Movimientos!$A:$A,$B13,Movimientos!$D:$D,CONCATENATE("&lt;",BI$3),Movimientos!$C:$C,"&lt;0")</f>
        <v>0</v>
      </c>
      <c r="BJ13" s="5">
        <f ca="1">SUMIFS(Movimientos!$C:$C,Movimientos!$A:$A,$B13,Movimientos!$D:$D,CONCATENATE("&lt;=",BJ$3),Movimientos!$C:$C,"&gt;0")+SUMIFS(Movimientos!$C:$C,Movimientos!$A:$A,$B13,Movimientos!$D:$D,CONCATENATE("&lt;",BJ$3),Movimientos!$C:$C,"&lt;0")</f>
        <v>0</v>
      </c>
      <c r="BK13" s="5">
        <f ca="1">SUMIFS(Movimientos!$C:$C,Movimientos!$A:$A,$B13,Movimientos!$D:$D,CONCATENATE("&lt;=",BK$3),Movimientos!$C:$C,"&gt;0")+SUMIFS(Movimientos!$C:$C,Movimientos!$A:$A,$B13,Movimientos!$D:$D,CONCATENATE("&lt;",BK$3),Movimientos!$C:$C,"&lt;0")</f>
        <v>0</v>
      </c>
      <c r="BL13" s="5">
        <f ca="1">SUMIFS(Movimientos!$C:$C,Movimientos!$A:$A,$B13,Movimientos!$D:$D,CONCATENATE("&lt;=",BL$3),Movimientos!$C:$C,"&gt;0")+SUMIFS(Movimientos!$C:$C,Movimientos!$A:$A,$B13,Movimientos!$D:$D,CONCATENATE("&lt;",BL$3),Movimientos!$C:$C,"&lt;0")</f>
        <v>0</v>
      </c>
      <c r="BM13" s="5">
        <f ca="1">SUMIFS(Movimientos!$C:$C,Movimientos!$A:$A,$B13,Movimientos!$D:$D,CONCATENATE("&lt;=",BM$3),Movimientos!$C:$C,"&gt;0")+SUMIFS(Movimientos!$C:$C,Movimientos!$A:$A,$B13,Movimientos!$D:$D,CONCATENATE("&lt;",BM$3),Movimientos!$C:$C,"&lt;0")</f>
        <v>0</v>
      </c>
      <c r="BN13" s="5">
        <f ca="1">SUMIFS(Movimientos!$C:$C,Movimientos!$A:$A,$B13,Movimientos!$D:$D,CONCATENATE("&lt;=",BN$3),Movimientos!$C:$C,"&gt;0")+SUMIFS(Movimientos!$C:$C,Movimientos!$A:$A,$B13,Movimientos!$D:$D,CONCATENATE("&lt;",BN$3),Movimientos!$C:$C,"&lt;0")</f>
        <v>0</v>
      </c>
      <c r="BO13" s="5">
        <f ca="1">SUMIFS(Movimientos!$C:$C,Movimientos!$A:$A,$B13,Movimientos!$D:$D,CONCATENATE("&lt;=",BO$3),Movimientos!$C:$C,"&gt;0")+SUMIFS(Movimientos!$C:$C,Movimientos!$A:$A,$B13,Movimientos!$D:$D,CONCATENATE("&lt;",BO$3),Movimientos!$C:$C,"&lt;0")</f>
        <v>0</v>
      </c>
      <c r="BP13" s="5">
        <f ca="1">SUMIFS(Movimientos!$C:$C,Movimientos!$A:$A,$B13,Movimientos!$D:$D,CONCATENATE("&lt;=",BP$3),Movimientos!$C:$C,"&gt;0")+SUMIFS(Movimientos!$C:$C,Movimientos!$A:$A,$B13,Movimientos!$D:$D,CONCATENATE("&lt;",BP$3),Movimientos!$C:$C,"&lt;0")</f>
        <v>0</v>
      </c>
      <c r="BQ13" s="5">
        <f ca="1">SUMIFS(Movimientos!$C:$C,Movimientos!$A:$A,$B13,Movimientos!$D:$D,CONCATENATE("&lt;=",BQ$3),Movimientos!$C:$C,"&gt;0")+SUMIFS(Movimientos!$C:$C,Movimientos!$A:$A,$B13,Movimientos!$D:$D,CONCATENATE("&lt;",BQ$3),Movimientos!$C:$C,"&lt;0")</f>
        <v>0</v>
      </c>
      <c r="BR13" s="5">
        <f ca="1">SUMIFS(Movimientos!$C:$C,Movimientos!$A:$A,$B13,Movimientos!$D:$D,CONCATENATE("&lt;=",BR$3),Movimientos!$C:$C,"&gt;0")+SUMIFS(Movimientos!$C:$C,Movimientos!$A:$A,$B13,Movimientos!$D:$D,CONCATENATE("&lt;",BR$3),Movimientos!$C:$C,"&lt;0")</f>
        <v>0</v>
      </c>
      <c r="BS13" s="5">
        <f ca="1">SUMIFS(Movimientos!$C:$C,Movimientos!$A:$A,$B13,Movimientos!$D:$D,CONCATENATE("&lt;=",BS$3),Movimientos!$C:$C,"&gt;0")+SUMIFS(Movimientos!$C:$C,Movimientos!$A:$A,$B13,Movimientos!$D:$D,CONCATENATE("&lt;",BS$3),Movimientos!$C:$C,"&lt;0")</f>
        <v>0</v>
      </c>
      <c r="BT13" s="5">
        <f ca="1">SUMIFS(Movimientos!$C:$C,Movimientos!$A:$A,$B13,Movimientos!$D:$D,CONCATENATE("&lt;=",BT$3),Movimientos!$C:$C,"&gt;0")+SUMIFS(Movimientos!$C:$C,Movimientos!$A:$A,$B13,Movimientos!$D:$D,CONCATENATE("&lt;",BT$3),Movimientos!$C:$C,"&lt;0")</f>
        <v>0</v>
      </c>
      <c r="BU13" s="5">
        <f ca="1">SUMIFS(Movimientos!$C:$C,Movimientos!$A:$A,$B13,Movimientos!$D:$D,CONCATENATE("&lt;=",BU$3),Movimientos!$C:$C,"&gt;0")+SUMIFS(Movimientos!$C:$C,Movimientos!$A:$A,$B13,Movimientos!$D:$D,CONCATENATE("&lt;",BU$3),Movimientos!$C:$C,"&lt;0")</f>
        <v>0</v>
      </c>
      <c r="BV13" s="5">
        <f ca="1">SUMIFS(Movimientos!$C:$C,Movimientos!$A:$A,$B13,Movimientos!$D:$D,CONCATENATE("&lt;=",BV$3),Movimientos!$C:$C,"&gt;0")+SUMIFS(Movimientos!$C:$C,Movimientos!$A:$A,$B13,Movimientos!$D:$D,CONCATENATE("&lt;",BV$3),Movimientos!$C:$C,"&lt;0")</f>
        <v>0</v>
      </c>
      <c r="BW13" s="5">
        <f ca="1">SUMIFS(Movimientos!$C:$C,Movimientos!$A:$A,$B13,Movimientos!$D:$D,CONCATENATE("&lt;=",BW$3),Movimientos!$C:$C,"&gt;0")+SUMIFS(Movimientos!$C:$C,Movimientos!$A:$A,$B13,Movimientos!$D:$D,CONCATENATE("&lt;",BW$3),Movimientos!$C:$C,"&lt;0")</f>
        <v>0</v>
      </c>
      <c r="BX13" s="5">
        <f ca="1">SUMIFS(Movimientos!$C:$C,Movimientos!$A:$A,$B13,Movimientos!$D:$D,CONCATENATE("&lt;=",BX$3),Movimientos!$C:$C,"&gt;0")+SUMIFS(Movimientos!$C:$C,Movimientos!$A:$A,$B13,Movimientos!$D:$D,CONCATENATE("&lt;",BX$3),Movimientos!$C:$C,"&lt;0")</f>
        <v>0</v>
      </c>
      <c r="BY13" s="5">
        <f ca="1">SUMIFS(Movimientos!$C:$C,Movimientos!$A:$A,$B13,Movimientos!$D:$D,CONCATENATE("&lt;=",BY$3),Movimientos!$C:$C,"&gt;0")+SUMIFS(Movimientos!$C:$C,Movimientos!$A:$A,$B13,Movimientos!$D:$D,CONCATENATE("&lt;",BY$3),Movimientos!$C:$C,"&lt;0")</f>
        <v>0</v>
      </c>
      <c r="BZ13" s="5">
        <f ca="1">SUMIFS(Movimientos!$C:$C,Movimientos!$A:$A,$B13,Movimientos!$D:$D,CONCATENATE("&lt;=",BZ$3),Movimientos!$C:$C,"&gt;0")+SUMIFS(Movimientos!$C:$C,Movimientos!$A:$A,$B13,Movimientos!$D:$D,CONCATENATE("&lt;",BZ$3),Movimientos!$C:$C,"&lt;0")</f>
        <v>0</v>
      </c>
      <c r="CA13" s="5">
        <f ca="1">SUMIFS(Movimientos!$C:$C,Movimientos!$A:$A,$B13,Movimientos!$D:$D,CONCATENATE("&lt;=",CA$3),Movimientos!$C:$C,"&gt;0")+SUMIFS(Movimientos!$C:$C,Movimientos!$A:$A,$B13,Movimientos!$D:$D,CONCATENATE("&lt;",CA$3),Movimientos!$C:$C,"&lt;0")</f>
        <v>0</v>
      </c>
      <c r="CB13" s="5">
        <f ca="1">SUMIFS(Movimientos!$C:$C,Movimientos!$A:$A,$B13,Movimientos!$D:$D,CONCATENATE("&lt;=",CB$3),Movimientos!$C:$C,"&gt;0")+SUMIFS(Movimientos!$C:$C,Movimientos!$A:$A,$B13,Movimientos!$D:$D,CONCATENATE("&lt;",CB$3),Movimientos!$C:$C,"&lt;0")</f>
        <v>0</v>
      </c>
      <c r="CC13" s="5">
        <f ca="1">SUMIFS(Movimientos!$C:$C,Movimientos!$A:$A,$B13,Movimientos!$D:$D,CONCATENATE("&lt;=",CC$3),Movimientos!$C:$C,"&gt;0")+SUMIFS(Movimientos!$C:$C,Movimientos!$A:$A,$B13,Movimientos!$D:$D,CONCATENATE("&lt;",CC$3),Movimientos!$C:$C,"&lt;0")</f>
        <v>0</v>
      </c>
      <c r="CD13" s="5">
        <f ca="1">SUMIFS(Movimientos!$C:$C,Movimientos!$A:$A,$B13,Movimientos!$D:$D,CONCATENATE("&lt;=",CD$3),Movimientos!$C:$C,"&gt;0")+SUMIFS(Movimientos!$C:$C,Movimientos!$A:$A,$B13,Movimientos!$D:$D,CONCATENATE("&lt;",CD$3),Movimientos!$C:$C,"&lt;0")</f>
        <v>0</v>
      </c>
      <c r="CE13" s="5">
        <f ca="1">SUMIFS(Movimientos!$C:$C,Movimientos!$A:$A,$B13,Movimientos!$D:$D,CONCATENATE("&lt;=",CE$3),Movimientos!$C:$C,"&gt;0")+SUMIFS(Movimientos!$C:$C,Movimientos!$A:$A,$B13,Movimientos!$D:$D,CONCATENATE("&lt;",CE$3),Movimientos!$C:$C,"&lt;0")</f>
        <v>0</v>
      </c>
      <c r="CF13" s="5">
        <f ca="1">SUMIFS(Movimientos!$C:$C,Movimientos!$A:$A,$B13,Movimientos!$D:$D,CONCATENATE("&lt;=",CF$3),Movimientos!$C:$C,"&gt;0")+SUMIFS(Movimientos!$C:$C,Movimientos!$A:$A,$B13,Movimientos!$D:$D,CONCATENATE("&lt;",CF$3),Movimientos!$C:$C,"&lt;0")</f>
        <v>0</v>
      </c>
      <c r="CG13" s="5">
        <f ca="1">SUMIFS(Movimientos!$C:$C,Movimientos!$A:$A,$B13,Movimientos!$D:$D,CONCATENATE("&lt;=",CG$3),Movimientos!$C:$C,"&gt;0")+SUMIFS(Movimientos!$C:$C,Movimientos!$A:$A,$B13,Movimientos!$D:$D,CONCATENATE("&lt;",CG$3),Movimientos!$C:$C,"&lt;0")</f>
        <v>0</v>
      </c>
      <c r="CH13" s="5">
        <f ca="1">SUMIFS(Movimientos!$C:$C,Movimientos!$A:$A,$B13,Movimientos!$D:$D,CONCATENATE("&lt;=",CH$3),Movimientos!$C:$C,"&gt;0")+SUMIFS(Movimientos!$C:$C,Movimientos!$A:$A,$B13,Movimientos!$D:$D,CONCATENATE("&lt;",CH$3),Movimientos!$C:$C,"&lt;0")</f>
        <v>0</v>
      </c>
      <c r="CI13" s="5">
        <f ca="1">SUMIFS(Movimientos!$C:$C,Movimientos!$A:$A,$B13,Movimientos!$D:$D,CONCATENATE("&lt;=",CI$3),Movimientos!$C:$C,"&gt;0")+SUMIFS(Movimientos!$C:$C,Movimientos!$A:$A,$B13,Movimientos!$D:$D,CONCATENATE("&lt;",CI$3),Movimientos!$C:$C,"&lt;0")</f>
        <v>0</v>
      </c>
      <c r="CJ13" s="5">
        <f ca="1">SUMIFS(Movimientos!$C:$C,Movimientos!$A:$A,$B13,Movimientos!$D:$D,CONCATENATE("&lt;=",CJ$3),Movimientos!$C:$C,"&gt;0")+SUMIFS(Movimientos!$C:$C,Movimientos!$A:$A,$B13,Movimientos!$D:$D,CONCATENATE("&lt;",CJ$3),Movimientos!$C:$C,"&lt;0")</f>
        <v>0</v>
      </c>
      <c r="CK13" s="5">
        <f ca="1">SUMIFS(Movimientos!$C:$C,Movimientos!$A:$A,$B13,Movimientos!$D:$D,CONCATENATE("&lt;=",CK$3),Movimientos!$C:$C,"&gt;0")+SUMIFS(Movimientos!$C:$C,Movimientos!$A:$A,$B13,Movimientos!$D:$D,CONCATENATE("&lt;",CK$3),Movimientos!$C:$C,"&lt;0")</f>
        <v>0</v>
      </c>
      <c r="CL13" s="5">
        <f ca="1">SUMIFS(Movimientos!$C:$C,Movimientos!$A:$A,$B13,Movimientos!$D:$D,CONCATENATE("&lt;=",CL$3),Movimientos!$C:$C,"&gt;0")+SUMIFS(Movimientos!$C:$C,Movimientos!$A:$A,$B13,Movimientos!$D:$D,CONCATENATE("&lt;",CL$3),Movimientos!$C:$C,"&lt;0")</f>
        <v>0</v>
      </c>
      <c r="CM13" s="5">
        <f ca="1">SUMIFS(Movimientos!$C:$C,Movimientos!$A:$A,$B13,Movimientos!$D:$D,CONCATENATE("&lt;=",CM$3),Movimientos!$C:$C,"&gt;0")+SUMIFS(Movimientos!$C:$C,Movimientos!$A:$A,$B13,Movimientos!$D:$D,CONCATENATE("&lt;",CM$3),Movimientos!$C:$C,"&lt;0")</f>
        <v>0</v>
      </c>
      <c r="CN13" s="5">
        <f ca="1">SUMIFS(Movimientos!$C:$C,Movimientos!$A:$A,$B13,Movimientos!$D:$D,CONCATENATE("&lt;=",CN$3),Movimientos!$C:$C,"&gt;0")+SUMIFS(Movimientos!$C:$C,Movimientos!$A:$A,$B13,Movimientos!$D:$D,CONCATENATE("&lt;",CN$3),Movimientos!$C:$C,"&lt;0")</f>
        <v>0</v>
      </c>
      <c r="CO13" s="5">
        <f ca="1">SUMIFS(Movimientos!$C:$C,Movimientos!$A:$A,$B13,Movimientos!$D:$D,CONCATENATE("&lt;=",CO$3),Movimientos!$C:$C,"&gt;0")+SUMIFS(Movimientos!$C:$C,Movimientos!$A:$A,$B13,Movimientos!$D:$D,CONCATENATE("&lt;",CO$3),Movimientos!$C:$C,"&lt;0")</f>
        <v>0</v>
      </c>
      <c r="CP13" s="5">
        <f ca="1">SUMIFS(Movimientos!$C:$C,Movimientos!$A:$A,$B13,Movimientos!$D:$D,CONCATENATE("&lt;=",CP$3),Movimientos!$C:$C,"&gt;0")+SUMIFS(Movimientos!$C:$C,Movimientos!$A:$A,$B13,Movimientos!$D:$D,CONCATENATE("&lt;",CP$3),Movimientos!$C:$C,"&lt;0")</f>
        <v>0</v>
      </c>
      <c r="CQ13" s="5">
        <f ca="1">SUMIFS(Movimientos!$C:$C,Movimientos!$A:$A,$B13,Movimientos!$D:$D,CONCATENATE("&lt;=",CQ$3),Movimientos!$C:$C,"&gt;0")+SUMIFS(Movimientos!$C:$C,Movimientos!$A:$A,$B13,Movimientos!$D:$D,CONCATENATE("&lt;",CQ$3),Movimientos!$C:$C,"&lt;0")</f>
        <v>0</v>
      </c>
      <c r="CR13" s="5">
        <f ca="1">SUMIFS(Movimientos!$C:$C,Movimientos!$A:$A,$B13,Movimientos!$D:$D,CONCATENATE("&lt;=",CR$3),Movimientos!$C:$C,"&gt;0")+SUMIFS(Movimientos!$C:$C,Movimientos!$A:$A,$B13,Movimientos!$D:$D,CONCATENATE("&lt;",CR$3),Movimientos!$C:$C,"&lt;0")</f>
        <v>0</v>
      </c>
      <c r="CS13" s="5">
        <f ca="1">SUMIFS(Movimientos!$C:$C,Movimientos!$A:$A,$B13,Movimientos!$D:$D,CONCATENATE("&lt;=",CS$3),Movimientos!$C:$C,"&gt;0")+SUMIFS(Movimientos!$C:$C,Movimientos!$A:$A,$B13,Movimientos!$D:$D,CONCATENATE("&lt;",CS$3),Movimientos!$C:$C,"&lt;0")</f>
        <v>0</v>
      </c>
      <c r="CT13" s="5">
        <f ca="1">SUMIFS(Movimientos!$C:$C,Movimientos!$A:$A,$B13,Movimientos!$D:$D,CONCATENATE("&lt;=",CT$3),Movimientos!$C:$C,"&gt;0")+SUMIFS(Movimientos!$C:$C,Movimientos!$A:$A,$B13,Movimientos!$D:$D,CONCATENATE("&lt;",CT$3),Movimientos!$C:$C,"&lt;0")</f>
        <v>0</v>
      </c>
      <c r="CU13" s="5">
        <f ca="1">SUMIFS(Movimientos!$C:$C,Movimientos!$A:$A,$B13,Movimientos!$D:$D,CONCATENATE("&lt;=",CU$3),Movimientos!$C:$C,"&gt;0")+SUMIFS(Movimientos!$C:$C,Movimientos!$A:$A,$B13,Movimientos!$D:$D,CONCATENATE("&lt;",CU$3),Movimientos!$C:$C,"&lt;0")</f>
        <v>0</v>
      </c>
      <c r="CV13" s="5">
        <f ca="1">SUMIFS(Movimientos!$C:$C,Movimientos!$A:$A,$B13,Movimientos!$D:$D,CONCATENATE("&lt;=",CV$3),Movimientos!$C:$C,"&gt;0")+SUMIFS(Movimientos!$C:$C,Movimientos!$A:$A,$B13,Movimientos!$D:$D,CONCATENATE("&lt;",CV$3),Movimientos!$C:$C,"&lt;0")</f>
        <v>0</v>
      </c>
      <c r="CW13" s="5">
        <f ca="1">SUMIFS(Movimientos!$C:$C,Movimientos!$A:$A,$B13,Movimientos!$D:$D,CONCATENATE("&lt;=",CW$3),Movimientos!$C:$C,"&gt;0")+SUMIFS(Movimientos!$C:$C,Movimientos!$A:$A,$B13,Movimientos!$D:$D,CONCATENATE("&lt;",CW$3),Movimientos!$C:$C,"&lt;0")</f>
        <v>0</v>
      </c>
      <c r="CX13" s="5">
        <f ca="1">SUMIFS(Movimientos!$C:$C,Movimientos!$A:$A,$B13,Movimientos!$D:$D,CONCATENATE("&lt;=",CX$3),Movimientos!$C:$C,"&gt;0")+SUMIFS(Movimientos!$C:$C,Movimientos!$A:$A,$B13,Movimientos!$D:$D,CONCATENATE("&lt;",CX$3),Movimientos!$C:$C,"&lt;0")</f>
        <v>0</v>
      </c>
      <c r="CY13" s="5">
        <f ca="1">SUMIFS(Movimientos!$C:$C,Movimientos!$A:$A,$B13,Movimientos!$D:$D,CONCATENATE("&lt;=",CY$3),Movimientos!$C:$C,"&gt;0")+SUMIFS(Movimientos!$C:$C,Movimientos!$A:$A,$B13,Movimientos!$D:$D,CONCATENATE("&lt;",CY$3),Movimientos!$C:$C,"&lt;0")</f>
        <v>0</v>
      </c>
      <c r="CZ13" s="5">
        <f ca="1">SUMIFS(Movimientos!$C:$C,Movimientos!$A:$A,$B13,Movimientos!$D:$D,CONCATENATE("&lt;=",CZ$3),Movimientos!$C:$C,"&gt;0")+SUMIFS(Movimientos!$C:$C,Movimientos!$A:$A,$B13,Movimientos!$D:$D,CONCATENATE("&lt;",CZ$3),Movimientos!$C:$C,"&lt;0")</f>
        <v>0</v>
      </c>
      <c r="DA13" s="5">
        <f ca="1">SUMIFS(Movimientos!$C:$C,Movimientos!$A:$A,$B13,Movimientos!$D:$D,CONCATENATE("&lt;=",DA$3),Movimientos!$C:$C,"&gt;0")+SUMIFS(Movimientos!$C:$C,Movimientos!$A:$A,$B13,Movimientos!$D:$D,CONCATENATE("&lt;",DA$3),Movimientos!$C:$C,"&lt;0")</f>
        <v>0</v>
      </c>
      <c r="DB13" s="5">
        <f ca="1">SUMIFS(Movimientos!$C:$C,Movimientos!$A:$A,$B13,Movimientos!$D:$D,CONCATENATE("&lt;=",DB$3),Movimientos!$C:$C,"&gt;0")+SUMIFS(Movimientos!$C:$C,Movimientos!$A:$A,$B13,Movimientos!$D:$D,CONCATENATE("&lt;",DB$3),Movimientos!$C:$C,"&lt;0")</f>
        <v>0</v>
      </c>
      <c r="DC13" s="5">
        <f ca="1">SUMIFS(Movimientos!$C:$C,Movimientos!$A:$A,$B13,Movimientos!$D:$D,CONCATENATE("&lt;=",DC$3),Movimientos!$C:$C,"&gt;0")+SUMIFS(Movimientos!$C:$C,Movimientos!$A:$A,$B13,Movimientos!$D:$D,CONCATENATE("&lt;",DC$3),Movimientos!$C:$C,"&lt;0")</f>
        <v>0</v>
      </c>
      <c r="DD13" s="5">
        <f ca="1">SUMIFS(Movimientos!$C:$C,Movimientos!$A:$A,$B13,Movimientos!$D:$D,CONCATENATE("&lt;=",DD$3),Movimientos!$C:$C,"&gt;0")+SUMIFS(Movimientos!$C:$C,Movimientos!$A:$A,$B13,Movimientos!$D:$D,CONCATENATE("&lt;",DD$3),Movimientos!$C:$C,"&lt;0")</f>
        <v>0</v>
      </c>
      <c r="DE13" s="5">
        <f ca="1">SUMIFS(Movimientos!$C:$C,Movimientos!$A:$A,$B13,Movimientos!$D:$D,CONCATENATE("&lt;=",DE$3),Movimientos!$C:$C,"&gt;0")+SUMIFS(Movimientos!$C:$C,Movimientos!$A:$A,$B13,Movimientos!$D:$D,CONCATENATE("&lt;",DE$3),Movimientos!$C:$C,"&lt;0")</f>
        <v>0</v>
      </c>
      <c r="DF13" s="5">
        <f ca="1">SUMIFS(Movimientos!$C:$C,Movimientos!$A:$A,$B13,Movimientos!$D:$D,CONCATENATE("&lt;=",DF$3),Movimientos!$C:$C,"&gt;0")+SUMIFS(Movimientos!$C:$C,Movimientos!$A:$A,$B13,Movimientos!$D:$D,CONCATENATE("&lt;",DF$3),Movimientos!$C:$C,"&lt;0")</f>
        <v>0</v>
      </c>
      <c r="DG13" s="5">
        <f ca="1">SUMIFS(Movimientos!$C:$C,Movimientos!$A:$A,$B13,Movimientos!$D:$D,CONCATENATE("&lt;=",DG$3),Movimientos!$C:$C,"&gt;0")+SUMIFS(Movimientos!$C:$C,Movimientos!$A:$A,$B13,Movimientos!$D:$D,CONCATENATE("&lt;",DG$3),Movimientos!$C:$C,"&lt;0")</f>
        <v>0</v>
      </c>
      <c r="DH13" s="5">
        <f ca="1">SUMIFS(Movimientos!$C:$C,Movimientos!$A:$A,$B13,Movimientos!$D:$D,CONCATENATE("&lt;=",DH$3),Movimientos!$C:$C,"&gt;0")+SUMIFS(Movimientos!$C:$C,Movimientos!$A:$A,$B13,Movimientos!$D:$D,CONCATENATE("&lt;",DH$3),Movimientos!$C:$C,"&lt;0")</f>
        <v>0</v>
      </c>
      <c r="DI13" s="5">
        <f ca="1">SUMIFS(Movimientos!$C:$C,Movimientos!$A:$A,$B13,Movimientos!$D:$D,CONCATENATE("&lt;=",DI$3),Movimientos!$C:$C,"&gt;0")+SUMIFS(Movimientos!$C:$C,Movimientos!$A:$A,$B13,Movimientos!$D:$D,CONCATENATE("&lt;",DI$3),Movimientos!$C:$C,"&lt;0")</f>
        <v>0</v>
      </c>
      <c r="DJ13" s="5">
        <f ca="1">SUMIFS(Movimientos!$C:$C,Movimientos!$A:$A,$B13,Movimientos!$D:$D,CONCATENATE("&lt;=",DJ$3),Movimientos!$C:$C,"&gt;0")+SUMIFS(Movimientos!$C:$C,Movimientos!$A:$A,$B13,Movimientos!$D:$D,CONCATENATE("&lt;",DJ$3),Movimientos!$C:$C,"&lt;0")</f>
        <v>0</v>
      </c>
      <c r="DK13" s="5">
        <f ca="1">SUMIFS(Movimientos!$C:$C,Movimientos!$A:$A,$B13,Movimientos!$D:$D,CONCATENATE("&lt;=",DK$3),Movimientos!$C:$C,"&gt;0")+SUMIFS(Movimientos!$C:$C,Movimientos!$A:$A,$B13,Movimientos!$D:$D,CONCATENATE("&lt;",DK$3),Movimientos!$C:$C,"&lt;0")</f>
        <v>0</v>
      </c>
      <c r="DL13" s="5">
        <f ca="1">SUMIFS(Movimientos!$C:$C,Movimientos!$A:$A,$B13,Movimientos!$D:$D,CONCATENATE("&lt;=",DL$3),Movimientos!$C:$C,"&gt;0")+SUMIFS(Movimientos!$C:$C,Movimientos!$A:$A,$B13,Movimientos!$D:$D,CONCATENATE("&lt;",DL$3),Movimientos!$C:$C,"&lt;0")</f>
        <v>0</v>
      </c>
      <c r="DM13" s="5">
        <f ca="1">SUMIFS(Movimientos!$C:$C,Movimientos!$A:$A,$B13,Movimientos!$D:$D,CONCATENATE("&lt;=",DM$3),Movimientos!$C:$C,"&gt;0")+SUMIFS(Movimientos!$C:$C,Movimientos!$A:$A,$B13,Movimientos!$D:$D,CONCATENATE("&lt;",DM$3),Movimientos!$C:$C,"&lt;0")</f>
        <v>0</v>
      </c>
      <c r="DN13" s="5">
        <f ca="1">SUMIFS(Movimientos!$C:$C,Movimientos!$A:$A,$B13,Movimientos!$D:$D,CONCATENATE("&lt;=",DN$3),Movimientos!$C:$C,"&gt;0")+SUMIFS(Movimientos!$C:$C,Movimientos!$A:$A,$B13,Movimientos!$D:$D,CONCATENATE("&lt;",DN$3),Movimientos!$C:$C,"&lt;0")</f>
        <v>0</v>
      </c>
      <c r="DO13" s="5">
        <f ca="1">SUMIFS(Movimientos!$C:$C,Movimientos!$A:$A,$B13,Movimientos!$D:$D,CONCATENATE("&lt;=",DO$3),Movimientos!$C:$C,"&gt;0")+SUMIFS(Movimientos!$C:$C,Movimientos!$A:$A,$B13,Movimientos!$D:$D,CONCATENATE("&lt;",DO$3),Movimientos!$C:$C,"&lt;0")</f>
        <v>0</v>
      </c>
      <c r="DP13" s="5">
        <f ca="1">SUMIFS(Movimientos!$C:$C,Movimientos!$A:$A,$B13,Movimientos!$D:$D,CONCATENATE("&lt;=",DP$3),Movimientos!$C:$C,"&gt;0")+SUMIFS(Movimientos!$C:$C,Movimientos!$A:$A,$B13,Movimientos!$D:$D,CONCATENATE("&lt;",DP$3),Movimientos!$C:$C,"&lt;0")</f>
        <v>0</v>
      </c>
      <c r="DQ13" s="5">
        <f ca="1">SUMIFS(Movimientos!$C:$C,Movimientos!$A:$A,$B13,Movimientos!$D:$D,CONCATENATE("&lt;=",DQ$3),Movimientos!$C:$C,"&gt;0")+SUMIFS(Movimientos!$C:$C,Movimientos!$A:$A,$B13,Movimientos!$D:$D,CONCATENATE("&lt;",DQ$3),Movimientos!$C:$C,"&lt;0")</f>
        <v>0</v>
      </c>
      <c r="DR13" s="5">
        <f ca="1">SUMIFS(Movimientos!$C:$C,Movimientos!$A:$A,$B13,Movimientos!$D:$D,CONCATENATE("&lt;=",DR$3),Movimientos!$C:$C,"&gt;0")+SUMIFS(Movimientos!$C:$C,Movimientos!$A:$A,$B13,Movimientos!$D:$D,CONCATENATE("&lt;",DR$3),Movimientos!$C:$C,"&lt;0")</f>
        <v>0</v>
      </c>
      <c r="DS13" s="5">
        <f ca="1">SUMIFS(Movimientos!$C:$C,Movimientos!$A:$A,$B13,Movimientos!$D:$D,CONCATENATE("&lt;=",DS$3),Movimientos!$C:$C,"&gt;0")+SUMIFS(Movimientos!$C:$C,Movimientos!$A:$A,$B13,Movimientos!$D:$D,CONCATENATE("&lt;",DS$3),Movimientos!$C:$C,"&lt;0")</f>
        <v>0</v>
      </c>
      <c r="DT13" s="5">
        <f ca="1">SUMIFS(Movimientos!$C:$C,Movimientos!$A:$A,$B13,Movimientos!$D:$D,CONCATENATE("&lt;=",DT$3),Movimientos!$C:$C,"&gt;0")+SUMIFS(Movimientos!$C:$C,Movimientos!$A:$A,$B13,Movimientos!$D:$D,CONCATENATE("&lt;",DT$3),Movimientos!$C:$C,"&lt;0")</f>
        <v>0</v>
      </c>
      <c r="DU13" s="5">
        <f ca="1">SUMIFS(Movimientos!$C:$C,Movimientos!$A:$A,$B13,Movimientos!$D:$D,CONCATENATE("&lt;=",DU$3),Movimientos!$C:$C,"&gt;0")+SUMIFS(Movimientos!$C:$C,Movimientos!$A:$A,$B13,Movimientos!$D:$D,CONCATENATE("&lt;",DU$3),Movimientos!$C:$C,"&lt;0")</f>
        <v>0</v>
      </c>
      <c r="DV13" s="5">
        <f ca="1">SUMIFS(Movimientos!$C:$C,Movimientos!$A:$A,$B13,Movimientos!$D:$D,CONCATENATE("&lt;=",DV$3),Movimientos!$C:$C,"&gt;0")+SUMIFS(Movimientos!$C:$C,Movimientos!$A:$A,$B13,Movimientos!$D:$D,CONCATENATE("&lt;",DV$3),Movimientos!$C:$C,"&lt;0")</f>
        <v>0</v>
      </c>
      <c r="DW13" s="5">
        <f ca="1">SUMIFS(Movimientos!$C:$C,Movimientos!$A:$A,$B13,Movimientos!$D:$D,CONCATENATE("&lt;=",DW$3),Movimientos!$C:$C,"&gt;0")+SUMIFS(Movimientos!$C:$C,Movimientos!$A:$A,$B13,Movimientos!$D:$D,CONCATENATE("&lt;",DW$3),Movimientos!$C:$C,"&lt;0")</f>
        <v>0</v>
      </c>
      <c r="DX13" s="5">
        <f ca="1">SUMIFS(Movimientos!$C:$C,Movimientos!$A:$A,$B13,Movimientos!$D:$D,CONCATENATE("&lt;=",DX$3),Movimientos!$C:$C,"&gt;0")+SUMIFS(Movimientos!$C:$C,Movimientos!$A:$A,$B13,Movimientos!$D:$D,CONCATENATE("&lt;",DX$3),Movimientos!$C:$C,"&lt;0")</f>
        <v>0</v>
      </c>
      <c r="DY13" s="5">
        <f ca="1">SUMIFS(Movimientos!$C:$C,Movimientos!$A:$A,$B13,Movimientos!$D:$D,CONCATENATE("&lt;=",DY$3),Movimientos!$C:$C,"&gt;0")+SUMIFS(Movimientos!$C:$C,Movimientos!$A:$A,$B13,Movimientos!$D:$D,CONCATENATE("&lt;",DY$3),Movimientos!$C:$C,"&lt;0")</f>
        <v>0</v>
      </c>
      <c r="DZ13" s="5">
        <f ca="1">SUMIFS(Movimientos!$C:$C,Movimientos!$A:$A,$B13,Movimientos!$D:$D,CONCATENATE("&lt;=",DZ$3),Movimientos!$C:$C,"&gt;0")+SUMIFS(Movimientos!$C:$C,Movimientos!$A:$A,$B13,Movimientos!$D:$D,CONCATENATE("&lt;",DZ$3),Movimientos!$C:$C,"&lt;0")</f>
        <v>0</v>
      </c>
      <c r="EA13" s="5">
        <f ca="1">SUMIFS(Movimientos!$C:$C,Movimientos!$A:$A,$B13,Movimientos!$D:$D,CONCATENATE("&lt;=",EA$3),Movimientos!$C:$C,"&gt;0")+SUMIFS(Movimientos!$C:$C,Movimientos!$A:$A,$B13,Movimientos!$D:$D,CONCATENATE("&lt;",EA$3),Movimientos!$C:$C,"&lt;0")</f>
        <v>0</v>
      </c>
      <c r="EB13" s="5">
        <f ca="1">SUMIFS(Movimientos!$C:$C,Movimientos!$A:$A,$B13,Movimientos!$D:$D,CONCATENATE("&lt;=",EB$3),Movimientos!$C:$C,"&gt;0")+SUMIFS(Movimientos!$C:$C,Movimientos!$A:$A,$B13,Movimientos!$D:$D,CONCATENATE("&lt;",EB$3),Movimientos!$C:$C,"&lt;0")</f>
        <v>0</v>
      </c>
      <c r="EC13" s="5">
        <f ca="1">SUMIFS(Movimientos!$C:$C,Movimientos!$A:$A,$B13,Movimientos!$D:$D,CONCATENATE("&lt;=",EC$3),Movimientos!$C:$C,"&gt;0")+SUMIFS(Movimientos!$C:$C,Movimientos!$A:$A,$B13,Movimientos!$D:$D,CONCATENATE("&lt;",EC$3),Movimientos!$C:$C,"&lt;0")</f>
        <v>0</v>
      </c>
      <c r="ED13" s="5">
        <f ca="1">SUMIFS(Movimientos!$C:$C,Movimientos!$A:$A,$B13,Movimientos!$D:$D,CONCATENATE("&lt;=",ED$3),Movimientos!$C:$C,"&gt;0")+SUMIFS(Movimientos!$C:$C,Movimientos!$A:$A,$B13,Movimientos!$D:$D,CONCATENATE("&lt;",ED$3),Movimientos!$C:$C,"&lt;0")</f>
        <v>0</v>
      </c>
      <c r="EE13" s="5">
        <f ca="1">SUMIFS(Movimientos!$C:$C,Movimientos!$A:$A,$B13,Movimientos!$D:$D,CONCATENATE("&lt;=",EE$3),Movimientos!$C:$C,"&gt;0")+SUMIFS(Movimientos!$C:$C,Movimientos!$A:$A,$B13,Movimientos!$D:$D,CONCATENATE("&lt;",EE$3),Movimientos!$C:$C,"&lt;0")</f>
        <v>0</v>
      </c>
      <c r="EF13" s="5">
        <f ca="1">SUMIFS(Movimientos!$C:$C,Movimientos!$A:$A,$B13,Movimientos!$D:$D,CONCATENATE("&lt;=",EF$3),Movimientos!$C:$C,"&gt;0")+SUMIFS(Movimientos!$C:$C,Movimientos!$A:$A,$B13,Movimientos!$D:$D,CONCATENATE("&lt;",EF$3),Movimientos!$C:$C,"&lt;0")</f>
        <v>0</v>
      </c>
      <c r="EG13" s="5">
        <f ca="1">SUMIFS(Movimientos!$C:$C,Movimientos!$A:$A,$B13,Movimientos!$D:$D,CONCATENATE("&lt;=",EG$3),Movimientos!$C:$C,"&gt;0")+SUMIFS(Movimientos!$C:$C,Movimientos!$A:$A,$B13,Movimientos!$D:$D,CONCATENATE("&lt;",EG$3),Movimientos!$C:$C,"&lt;0")</f>
        <v>0</v>
      </c>
      <c r="EH13" s="5">
        <f ca="1">SUMIFS(Movimientos!$C:$C,Movimientos!$A:$A,$B13,Movimientos!$D:$D,CONCATENATE("&lt;=",EH$3),Movimientos!$C:$C,"&gt;0")+SUMIFS(Movimientos!$C:$C,Movimientos!$A:$A,$B13,Movimientos!$D:$D,CONCATENATE("&lt;",EH$3),Movimientos!$C:$C,"&lt;0")</f>
        <v>0</v>
      </c>
      <c r="EI13" s="5">
        <f ca="1">SUMIFS(Movimientos!$C:$C,Movimientos!$A:$A,$B13,Movimientos!$D:$D,CONCATENATE("&lt;=",EI$3),Movimientos!$C:$C,"&gt;0")+SUMIFS(Movimientos!$C:$C,Movimientos!$A:$A,$B13,Movimientos!$D:$D,CONCATENATE("&lt;",EI$3),Movimientos!$C:$C,"&lt;0")</f>
        <v>0</v>
      </c>
      <c r="EJ13" s="5">
        <f ca="1">SUMIFS(Movimientos!$C:$C,Movimientos!$A:$A,$B13,Movimientos!$D:$D,CONCATENATE("&lt;=",EJ$3),Movimientos!$C:$C,"&gt;0")+SUMIFS(Movimientos!$C:$C,Movimientos!$A:$A,$B13,Movimientos!$D:$D,CONCATENATE("&lt;",EJ$3),Movimientos!$C:$C,"&lt;0")</f>
        <v>0</v>
      </c>
      <c r="EK13" s="5">
        <f ca="1">SUMIFS(Movimientos!$C:$C,Movimientos!$A:$A,$B13,Movimientos!$D:$D,CONCATENATE("&lt;=",EK$3),Movimientos!$C:$C,"&gt;0")+SUMIFS(Movimientos!$C:$C,Movimientos!$A:$A,$B13,Movimientos!$D:$D,CONCATENATE("&lt;",EK$3),Movimientos!$C:$C,"&lt;0")</f>
        <v>0</v>
      </c>
      <c r="EL13" s="5">
        <f ca="1">SUMIFS(Movimientos!$C:$C,Movimientos!$A:$A,$B13,Movimientos!$D:$D,CONCATENATE("&lt;=",EL$3),Movimientos!$C:$C,"&gt;0")+SUMIFS(Movimientos!$C:$C,Movimientos!$A:$A,$B13,Movimientos!$D:$D,CONCATENATE("&lt;",EL$3),Movimientos!$C:$C,"&lt;0")</f>
        <v>0</v>
      </c>
      <c r="EM13" s="5">
        <f ca="1">SUMIFS(Movimientos!$C:$C,Movimientos!$A:$A,$B13,Movimientos!$D:$D,CONCATENATE("&lt;=",EM$3),Movimientos!$C:$C,"&gt;0")+SUMIFS(Movimientos!$C:$C,Movimientos!$A:$A,$B13,Movimientos!$D:$D,CONCATENATE("&lt;",EM$3),Movimientos!$C:$C,"&lt;0")</f>
        <v>0</v>
      </c>
      <c r="EN13" s="5">
        <f ca="1">SUMIFS(Movimientos!$C:$C,Movimientos!$A:$A,$B13,Movimientos!$D:$D,CONCATENATE("&lt;=",EN$3),Movimientos!$C:$C,"&gt;0")+SUMIFS(Movimientos!$C:$C,Movimientos!$A:$A,$B13,Movimientos!$D:$D,CONCATENATE("&lt;",EN$3),Movimientos!$C:$C,"&lt;0")</f>
        <v>0</v>
      </c>
      <c r="EO13" s="5">
        <f ca="1">SUMIFS(Movimientos!$C:$C,Movimientos!$A:$A,$B13,Movimientos!$D:$D,CONCATENATE("&lt;=",EO$3),Movimientos!$C:$C,"&gt;0")+SUMIFS(Movimientos!$C:$C,Movimientos!$A:$A,$B13,Movimientos!$D:$D,CONCATENATE("&lt;",EO$3),Movimientos!$C:$C,"&lt;0")</f>
        <v>0</v>
      </c>
      <c r="EP13" s="5">
        <f ca="1">SUMIFS(Movimientos!$C:$C,Movimientos!$A:$A,$B13,Movimientos!$D:$D,CONCATENATE("&lt;=",EP$3),Movimientos!$C:$C,"&gt;0")+SUMIFS(Movimientos!$C:$C,Movimientos!$A:$A,$B13,Movimientos!$D:$D,CONCATENATE("&lt;",EP$3),Movimientos!$C:$C,"&lt;0")</f>
        <v>0</v>
      </c>
      <c r="EQ13" s="5">
        <f ca="1">SUMIFS(Movimientos!$C:$C,Movimientos!$A:$A,$B13,Movimientos!$D:$D,CONCATENATE("&lt;=",EQ$3),Movimientos!$C:$C,"&gt;0")+SUMIFS(Movimientos!$C:$C,Movimientos!$A:$A,$B13,Movimientos!$D:$D,CONCATENATE("&lt;",EQ$3),Movimientos!$C:$C,"&lt;0")</f>
        <v>0</v>
      </c>
      <c r="ER13" s="5">
        <f ca="1">SUMIFS(Movimientos!$C:$C,Movimientos!$A:$A,$B13,Movimientos!$D:$D,CONCATENATE("&lt;=",ER$3),Movimientos!$C:$C,"&gt;0")+SUMIFS(Movimientos!$C:$C,Movimientos!$A:$A,$B13,Movimientos!$D:$D,CONCATENATE("&lt;",ER$3),Movimientos!$C:$C,"&lt;0")</f>
        <v>0</v>
      </c>
      <c r="ES13" s="5">
        <f ca="1">SUMIFS(Movimientos!$C:$C,Movimientos!$A:$A,$B13,Movimientos!$D:$D,CONCATENATE("&lt;=",ES$3),Movimientos!$C:$C,"&gt;0")+SUMIFS(Movimientos!$C:$C,Movimientos!$A:$A,$B13,Movimientos!$D:$D,CONCATENATE("&lt;",ES$3),Movimientos!$C:$C,"&lt;0")</f>
        <v>0</v>
      </c>
      <c r="ET13" s="5">
        <f ca="1">SUMIFS(Movimientos!$C:$C,Movimientos!$A:$A,$B13,Movimientos!$D:$D,CONCATENATE("&lt;=",ET$3),Movimientos!$C:$C,"&gt;0")+SUMIFS(Movimientos!$C:$C,Movimientos!$A:$A,$B13,Movimientos!$D:$D,CONCATENATE("&lt;",ET$3),Movimientos!$C:$C,"&lt;0")</f>
        <v>0</v>
      </c>
      <c r="EU13" s="5">
        <f ca="1">SUMIFS(Movimientos!$C:$C,Movimientos!$A:$A,$B13,Movimientos!$D:$D,CONCATENATE("&lt;=",EU$3),Movimientos!$C:$C,"&gt;0")+SUMIFS(Movimientos!$C:$C,Movimientos!$A:$A,$B13,Movimientos!$D:$D,CONCATENATE("&lt;",EU$3),Movimientos!$C:$C,"&lt;0")</f>
        <v>0</v>
      </c>
      <c r="EV13" s="5">
        <f ca="1">SUMIFS(Movimientos!$C:$C,Movimientos!$A:$A,$B13,Movimientos!$D:$D,CONCATENATE("&lt;=",EV$3),Movimientos!$C:$C,"&gt;0")+SUMIFS(Movimientos!$C:$C,Movimientos!$A:$A,$B13,Movimientos!$D:$D,CONCATENATE("&lt;",EV$3),Movimientos!$C:$C,"&lt;0")</f>
        <v>0</v>
      </c>
      <c r="EW13" s="5">
        <f ca="1">SUMIFS(Movimientos!$C:$C,Movimientos!$A:$A,$B13,Movimientos!$D:$D,CONCATENATE("&lt;=",EW$3),Movimientos!$C:$C,"&gt;0")+SUMIFS(Movimientos!$C:$C,Movimientos!$A:$A,$B13,Movimientos!$D:$D,CONCATENATE("&lt;",EW$3),Movimientos!$C:$C,"&lt;0")</f>
        <v>0</v>
      </c>
      <c r="EX13" s="5">
        <f ca="1">SUMIFS(Movimientos!$C:$C,Movimientos!$A:$A,$B13,Movimientos!$D:$D,CONCATENATE("&lt;=",EX$3),Movimientos!$C:$C,"&gt;0")+SUMIFS(Movimientos!$C:$C,Movimientos!$A:$A,$B13,Movimientos!$D:$D,CONCATENATE("&lt;",EX$3),Movimientos!$C:$C,"&lt;0")</f>
        <v>0</v>
      </c>
      <c r="EY13" s="5">
        <f ca="1">SUMIFS(Movimientos!$C:$C,Movimientos!$A:$A,$B13,Movimientos!$D:$D,CONCATENATE("&lt;=",EY$3),Movimientos!$C:$C,"&gt;0")+SUMIFS(Movimientos!$C:$C,Movimientos!$A:$A,$B13,Movimientos!$D:$D,CONCATENATE("&lt;",EY$3),Movimientos!$C:$C,"&lt;0")</f>
        <v>0</v>
      </c>
      <c r="EZ13" s="5">
        <f ca="1">SUMIFS(Movimientos!$C:$C,Movimientos!$A:$A,$B13,Movimientos!$D:$D,CONCATENATE("&lt;=",EZ$3),Movimientos!$C:$C,"&gt;0")+SUMIFS(Movimientos!$C:$C,Movimientos!$A:$A,$B13,Movimientos!$D:$D,CONCATENATE("&lt;",EZ$3),Movimientos!$C:$C,"&lt;0")</f>
        <v>0</v>
      </c>
      <c r="FA13" s="5">
        <f ca="1">SUMIFS(Movimientos!$C:$C,Movimientos!$A:$A,$B13,Movimientos!$D:$D,CONCATENATE("&lt;=",FA$3),Movimientos!$C:$C,"&gt;0")+SUMIFS(Movimientos!$C:$C,Movimientos!$A:$A,$B13,Movimientos!$D:$D,CONCATENATE("&lt;",FA$3),Movimientos!$C:$C,"&lt;0")</f>
        <v>0</v>
      </c>
      <c r="FB13" s="5">
        <f ca="1">SUMIFS(Movimientos!$C:$C,Movimientos!$A:$A,$B13,Movimientos!$D:$D,CONCATENATE("&lt;=",FB$3),Movimientos!$C:$C,"&gt;0")+SUMIFS(Movimientos!$C:$C,Movimientos!$A:$A,$B13,Movimientos!$D:$D,CONCATENATE("&lt;",FB$3),Movimientos!$C:$C,"&lt;0")</f>
        <v>0</v>
      </c>
      <c r="FC13" s="5">
        <f ca="1">SUMIFS(Movimientos!$C:$C,Movimientos!$A:$A,$B13,Movimientos!$D:$D,CONCATENATE("&lt;=",FC$3),Movimientos!$C:$C,"&gt;0")+SUMIFS(Movimientos!$C:$C,Movimientos!$A:$A,$B13,Movimientos!$D:$D,CONCATENATE("&lt;",FC$3),Movimientos!$C:$C,"&lt;0")</f>
        <v>0</v>
      </c>
      <c r="FD13" s="5">
        <f ca="1">SUMIFS(Movimientos!$C:$C,Movimientos!$A:$A,$B13,Movimientos!$D:$D,CONCATENATE("&lt;=",FD$3),Movimientos!$C:$C,"&gt;0")+SUMIFS(Movimientos!$C:$C,Movimientos!$A:$A,$B13,Movimientos!$D:$D,CONCATENATE("&lt;",FD$3),Movimientos!$C:$C,"&lt;0")</f>
        <v>0</v>
      </c>
      <c r="FE13" s="5">
        <f ca="1">SUMIFS(Movimientos!$C:$C,Movimientos!$A:$A,$B13,Movimientos!$D:$D,CONCATENATE("&lt;=",FE$3),Movimientos!$C:$C,"&gt;0")+SUMIFS(Movimientos!$C:$C,Movimientos!$A:$A,$B13,Movimientos!$D:$D,CONCATENATE("&lt;",FE$3),Movimientos!$C:$C,"&lt;0")</f>
        <v>0</v>
      </c>
      <c r="FF13" s="5">
        <f ca="1">SUMIFS(Movimientos!$C:$C,Movimientos!$A:$A,$B13,Movimientos!$D:$D,CONCATENATE("&lt;=",FF$3),Movimientos!$C:$C,"&gt;0")+SUMIFS(Movimientos!$C:$C,Movimientos!$A:$A,$B13,Movimientos!$D:$D,CONCATENATE("&lt;",FF$3),Movimientos!$C:$C,"&lt;0")</f>
        <v>0</v>
      </c>
      <c r="FG13" s="5">
        <f ca="1">SUMIFS(Movimientos!$C:$C,Movimientos!$A:$A,$B13,Movimientos!$D:$D,CONCATENATE("&lt;=",FG$3),Movimientos!$C:$C,"&gt;0")+SUMIFS(Movimientos!$C:$C,Movimientos!$A:$A,$B13,Movimientos!$D:$D,CONCATENATE("&lt;",FG$3),Movimientos!$C:$C,"&lt;0")</f>
        <v>0</v>
      </c>
      <c r="FH13" s="5">
        <f ca="1">SUMIFS(Movimientos!$C:$C,Movimientos!$A:$A,$B13,Movimientos!$D:$D,CONCATENATE("&lt;=",FH$3),Movimientos!$C:$C,"&gt;0")+SUMIFS(Movimientos!$C:$C,Movimientos!$A:$A,$B13,Movimientos!$D:$D,CONCATENATE("&lt;",FH$3),Movimientos!$C:$C,"&lt;0")</f>
        <v>0</v>
      </c>
      <c r="FI13" s="5">
        <f ca="1">SUMIFS(Movimientos!$C:$C,Movimientos!$A:$A,$B13,Movimientos!$D:$D,CONCATENATE("&lt;=",FI$3),Movimientos!$C:$C,"&gt;0")+SUMIFS(Movimientos!$C:$C,Movimientos!$A:$A,$B13,Movimientos!$D:$D,CONCATENATE("&lt;",FI$3),Movimientos!$C:$C,"&lt;0")</f>
        <v>0</v>
      </c>
      <c r="FJ13" s="5">
        <f ca="1">SUMIFS(Movimientos!$C:$C,Movimientos!$A:$A,$B13,Movimientos!$D:$D,CONCATENATE("&lt;=",FJ$3),Movimientos!$C:$C,"&gt;0")+SUMIFS(Movimientos!$C:$C,Movimientos!$A:$A,$B13,Movimientos!$D:$D,CONCATENATE("&lt;",FJ$3),Movimientos!$C:$C,"&lt;0")</f>
        <v>0</v>
      </c>
      <c r="FK13" s="5">
        <f ca="1">SUMIFS(Movimientos!$C:$C,Movimientos!$A:$A,$B13,Movimientos!$D:$D,CONCATENATE("&lt;=",FK$3),Movimientos!$C:$C,"&gt;0")+SUMIFS(Movimientos!$C:$C,Movimientos!$A:$A,$B13,Movimientos!$D:$D,CONCATENATE("&lt;",FK$3),Movimientos!$C:$C,"&lt;0")</f>
        <v>0</v>
      </c>
      <c r="FL13" s="5">
        <f ca="1">SUMIFS(Movimientos!$C:$C,Movimientos!$A:$A,$B13,Movimientos!$D:$D,CONCATENATE("&lt;=",FL$3),Movimientos!$C:$C,"&gt;0")+SUMIFS(Movimientos!$C:$C,Movimientos!$A:$A,$B13,Movimientos!$D:$D,CONCATENATE("&lt;",FL$3),Movimientos!$C:$C,"&lt;0")</f>
        <v>0</v>
      </c>
      <c r="FM13" s="5">
        <f ca="1">SUMIFS(Movimientos!$C:$C,Movimientos!$A:$A,$B13,Movimientos!$D:$D,CONCATENATE("&lt;=",FM$3),Movimientos!$C:$C,"&gt;0")+SUMIFS(Movimientos!$C:$C,Movimientos!$A:$A,$B13,Movimientos!$D:$D,CONCATENATE("&lt;",FM$3),Movimientos!$C:$C,"&lt;0")</f>
        <v>0</v>
      </c>
      <c r="FN13" s="5">
        <f ca="1">SUMIFS(Movimientos!$C:$C,Movimientos!$A:$A,$B13,Movimientos!$D:$D,CONCATENATE("&lt;=",FN$3),Movimientos!$C:$C,"&gt;0")+SUMIFS(Movimientos!$C:$C,Movimientos!$A:$A,$B13,Movimientos!$D:$D,CONCATENATE("&lt;",FN$3),Movimientos!$C:$C,"&lt;0")</f>
        <v>0</v>
      </c>
      <c r="FO13" s="5">
        <f ca="1">SUMIFS(Movimientos!$C:$C,Movimientos!$A:$A,$B13,Movimientos!$D:$D,CONCATENATE("&lt;=",FO$3),Movimientos!$C:$C,"&gt;0")+SUMIFS(Movimientos!$C:$C,Movimientos!$A:$A,$B13,Movimientos!$D:$D,CONCATENATE("&lt;",FO$3),Movimientos!$C:$C,"&lt;0")</f>
        <v>0</v>
      </c>
      <c r="FP13" s="5">
        <f ca="1">SUMIFS(Movimientos!$C:$C,Movimientos!$A:$A,$B13,Movimientos!$D:$D,CONCATENATE("&lt;=",FP$3),Movimientos!$C:$C,"&gt;0")+SUMIFS(Movimientos!$C:$C,Movimientos!$A:$A,$B13,Movimientos!$D:$D,CONCATENATE("&lt;",FP$3),Movimientos!$C:$C,"&lt;0")</f>
        <v>0</v>
      </c>
      <c r="FQ13" s="5">
        <f ca="1">SUMIFS(Movimientos!$C:$C,Movimientos!$A:$A,$B13,Movimientos!$D:$D,CONCATENATE("&lt;=",FQ$3),Movimientos!$C:$C,"&gt;0")+SUMIFS(Movimientos!$C:$C,Movimientos!$A:$A,$B13,Movimientos!$D:$D,CONCATENATE("&lt;",FQ$3),Movimientos!$C:$C,"&lt;0")</f>
        <v>0</v>
      </c>
      <c r="FR13" s="5">
        <f ca="1">SUMIFS(Movimientos!$C:$C,Movimientos!$A:$A,$B13,Movimientos!$D:$D,CONCATENATE("&lt;=",FR$3),Movimientos!$C:$C,"&gt;0")+SUMIFS(Movimientos!$C:$C,Movimientos!$A:$A,$B13,Movimientos!$D:$D,CONCATENATE("&lt;",FR$3),Movimientos!$C:$C,"&lt;0")</f>
        <v>0</v>
      </c>
      <c r="FS13" s="5">
        <f ca="1">SUMIFS(Movimientos!$C:$C,Movimientos!$A:$A,$B13,Movimientos!$D:$D,CONCATENATE("&lt;=",FS$3),Movimientos!$C:$C,"&gt;0")+SUMIFS(Movimientos!$C:$C,Movimientos!$A:$A,$B13,Movimientos!$D:$D,CONCATENATE("&lt;",FS$3),Movimientos!$C:$C,"&lt;0")</f>
        <v>0</v>
      </c>
      <c r="FT13" s="5">
        <f ca="1">SUMIFS(Movimientos!$C:$C,Movimientos!$A:$A,$B13,Movimientos!$D:$D,CONCATENATE("&lt;=",FT$3),Movimientos!$C:$C,"&gt;0")+SUMIFS(Movimientos!$C:$C,Movimientos!$A:$A,$B13,Movimientos!$D:$D,CONCATENATE("&lt;",FT$3),Movimientos!$C:$C,"&lt;0")</f>
        <v>0</v>
      </c>
      <c r="FU13" s="5">
        <f ca="1">SUMIFS(Movimientos!$C:$C,Movimientos!$A:$A,$B13,Movimientos!$D:$D,CONCATENATE("&lt;=",FU$3),Movimientos!$C:$C,"&gt;0")+SUMIFS(Movimientos!$C:$C,Movimientos!$A:$A,$B13,Movimientos!$D:$D,CONCATENATE("&lt;",FU$3),Movimientos!$C:$C,"&lt;0")</f>
        <v>0</v>
      </c>
      <c r="FV13" s="5">
        <f ca="1">SUMIFS(Movimientos!$C:$C,Movimientos!$A:$A,$B13,Movimientos!$D:$D,CONCATENATE("&lt;=",FV$3),Movimientos!$C:$C,"&gt;0")+SUMIFS(Movimientos!$C:$C,Movimientos!$A:$A,$B13,Movimientos!$D:$D,CONCATENATE("&lt;",FV$3),Movimientos!$C:$C,"&lt;0")</f>
        <v>0</v>
      </c>
      <c r="FW13" s="5">
        <f ca="1">SUMIFS(Movimientos!$C:$C,Movimientos!$A:$A,$B13,Movimientos!$D:$D,CONCATENATE("&lt;=",FW$3),Movimientos!$C:$C,"&gt;0")+SUMIFS(Movimientos!$C:$C,Movimientos!$A:$A,$B13,Movimientos!$D:$D,CONCATENATE("&lt;",FW$3),Movimientos!$C:$C,"&lt;0")</f>
        <v>0</v>
      </c>
      <c r="FX13" s="5">
        <f ca="1">SUMIFS(Movimientos!$C:$C,Movimientos!$A:$A,$B13,Movimientos!$D:$D,CONCATENATE("&lt;=",FX$3),Movimientos!$C:$C,"&gt;0")+SUMIFS(Movimientos!$C:$C,Movimientos!$A:$A,$B13,Movimientos!$D:$D,CONCATENATE("&lt;",FX$3),Movimientos!$C:$C,"&lt;0")</f>
        <v>0</v>
      </c>
      <c r="FY13" s="5">
        <f ca="1">SUMIFS(Movimientos!$C:$C,Movimientos!$A:$A,$B13,Movimientos!$D:$D,CONCATENATE("&lt;=",FY$3),Movimientos!$C:$C,"&gt;0")+SUMIFS(Movimientos!$C:$C,Movimientos!$A:$A,$B13,Movimientos!$D:$D,CONCATENATE("&lt;",FY$3),Movimientos!$C:$C,"&lt;0")</f>
        <v>0</v>
      </c>
      <c r="FZ13" s="5">
        <f ca="1">SUMIFS(Movimientos!$C:$C,Movimientos!$A:$A,$B13,Movimientos!$D:$D,CONCATENATE("&lt;=",FZ$3),Movimientos!$C:$C,"&gt;0")+SUMIFS(Movimientos!$C:$C,Movimientos!$A:$A,$B13,Movimientos!$D:$D,CONCATENATE("&lt;",FZ$3),Movimientos!$C:$C,"&lt;0")</f>
        <v>0</v>
      </c>
      <c r="GA13" s="5">
        <f ca="1">SUMIFS(Movimientos!$C:$C,Movimientos!$A:$A,$B13,Movimientos!$D:$D,CONCATENATE("&lt;=",GA$3),Movimientos!$C:$C,"&gt;0")+SUMIFS(Movimientos!$C:$C,Movimientos!$A:$A,$B13,Movimientos!$D:$D,CONCATENATE("&lt;",GA$3),Movimientos!$C:$C,"&lt;0")</f>
        <v>0</v>
      </c>
      <c r="GB13" s="5">
        <f ca="1">SUMIFS(Movimientos!$C:$C,Movimientos!$A:$A,$B13,Movimientos!$D:$D,CONCATENATE("&lt;=",GB$3),Movimientos!$C:$C,"&gt;0")+SUMIFS(Movimientos!$C:$C,Movimientos!$A:$A,$B13,Movimientos!$D:$D,CONCATENATE("&lt;",GB$3),Movimientos!$C:$C,"&lt;0")</f>
        <v>0</v>
      </c>
      <c r="GC13" s="5">
        <f ca="1">SUMIFS(Movimientos!$C:$C,Movimientos!$A:$A,$B13,Movimientos!$D:$D,CONCATENATE("&lt;=",GC$3),Movimientos!$C:$C,"&gt;0")+SUMIFS(Movimientos!$C:$C,Movimientos!$A:$A,$B13,Movimientos!$D:$D,CONCATENATE("&lt;",GC$3),Movimientos!$C:$C,"&lt;0")</f>
        <v>0</v>
      </c>
      <c r="GD13" s="5">
        <f ca="1">SUMIFS(Movimientos!$C:$C,Movimientos!$A:$A,$B13,Movimientos!$D:$D,CONCATENATE("&lt;=",GD$3),Movimientos!$C:$C,"&gt;0")+SUMIFS(Movimientos!$C:$C,Movimientos!$A:$A,$B13,Movimientos!$D:$D,CONCATENATE("&lt;",GD$3),Movimientos!$C:$C,"&lt;0")</f>
        <v>0</v>
      </c>
      <c r="GE13" s="5">
        <f ca="1">SUMIFS(Movimientos!$C:$C,Movimientos!$A:$A,$B13,Movimientos!$D:$D,CONCATENATE("&lt;=",GE$3),Movimientos!$C:$C,"&gt;0")+SUMIFS(Movimientos!$C:$C,Movimientos!$A:$A,$B13,Movimientos!$D:$D,CONCATENATE("&lt;",GE$3),Movimientos!$C:$C,"&lt;0")</f>
        <v>0</v>
      </c>
      <c r="GF13" s="5">
        <f ca="1">SUMIFS(Movimientos!$C:$C,Movimientos!$A:$A,$B13,Movimientos!$D:$D,CONCATENATE("&lt;=",GF$3),Movimientos!$C:$C,"&gt;0")+SUMIFS(Movimientos!$C:$C,Movimientos!$A:$A,$B13,Movimientos!$D:$D,CONCATENATE("&lt;",GF$3),Movimientos!$C:$C,"&lt;0")</f>
        <v>0</v>
      </c>
      <c r="GG13" s="5">
        <f ca="1">SUMIFS(Movimientos!$C:$C,Movimientos!$A:$A,$B13,Movimientos!$D:$D,CONCATENATE("&lt;=",GG$3),Movimientos!$C:$C,"&gt;0")+SUMIFS(Movimientos!$C:$C,Movimientos!$A:$A,$B13,Movimientos!$D:$D,CONCATENATE("&lt;",GG$3),Movimientos!$C:$C,"&lt;0")</f>
        <v>0</v>
      </c>
      <c r="GH13" s="5">
        <f ca="1">SUMIFS(Movimientos!$C:$C,Movimientos!$A:$A,$B13,Movimientos!$D:$D,CONCATENATE("&lt;=",GH$3),Movimientos!$C:$C,"&gt;0")+SUMIFS(Movimientos!$C:$C,Movimientos!$A:$A,$B13,Movimientos!$D:$D,CONCATENATE("&lt;",GH$3),Movimientos!$C:$C,"&lt;0")</f>
        <v>0</v>
      </c>
      <c r="GI13" s="5">
        <f ca="1">SUMIFS(Movimientos!$C:$C,Movimientos!$A:$A,$B13,Movimientos!$D:$D,CONCATENATE("&lt;=",GI$3),Movimientos!$C:$C,"&gt;0")+SUMIFS(Movimientos!$C:$C,Movimientos!$A:$A,$B13,Movimientos!$D:$D,CONCATENATE("&lt;",GI$3),Movimientos!$C:$C,"&lt;0")</f>
        <v>0</v>
      </c>
      <c r="GJ13" s="5">
        <f ca="1">SUMIFS(Movimientos!$C:$C,Movimientos!$A:$A,$B13,Movimientos!$D:$D,CONCATENATE("&lt;=",GJ$3),Movimientos!$C:$C,"&gt;0")+SUMIFS(Movimientos!$C:$C,Movimientos!$A:$A,$B13,Movimientos!$D:$D,CONCATENATE("&lt;",GJ$3),Movimientos!$C:$C,"&lt;0")</f>
        <v>0</v>
      </c>
      <c r="GK13" s="5">
        <f ca="1">SUMIFS(Movimientos!$C:$C,Movimientos!$A:$A,$B13,Movimientos!$D:$D,CONCATENATE("&lt;=",GK$3),Movimientos!$C:$C,"&gt;0")+SUMIFS(Movimientos!$C:$C,Movimientos!$A:$A,$B13,Movimientos!$D:$D,CONCATENATE("&lt;",GK$3),Movimientos!$C:$C,"&lt;0")</f>
        <v>0</v>
      </c>
      <c r="GL13" s="5">
        <f ca="1">SUMIFS(Movimientos!$C:$C,Movimientos!$A:$A,$B13,Movimientos!$D:$D,CONCATENATE("&lt;=",GL$3),Movimientos!$C:$C,"&gt;0")+SUMIFS(Movimientos!$C:$C,Movimientos!$A:$A,$B13,Movimientos!$D:$D,CONCATENATE("&lt;",GL$3),Movimientos!$C:$C,"&lt;0")</f>
        <v>0</v>
      </c>
      <c r="GM13" s="5">
        <f ca="1">SUMIFS(Movimientos!$C:$C,Movimientos!$A:$A,$B13,Movimientos!$D:$D,CONCATENATE("&lt;=",GM$3),Movimientos!$C:$C,"&gt;0")+SUMIFS(Movimientos!$C:$C,Movimientos!$A:$A,$B13,Movimientos!$D:$D,CONCATENATE("&lt;",GM$3),Movimientos!$C:$C,"&lt;0")</f>
        <v>0</v>
      </c>
      <c r="GN13" s="5">
        <f ca="1">SUMIFS(Movimientos!$C:$C,Movimientos!$A:$A,$B13,Movimientos!$D:$D,CONCATENATE("&lt;=",GN$3),Movimientos!$C:$C,"&gt;0")+SUMIFS(Movimientos!$C:$C,Movimientos!$A:$A,$B13,Movimientos!$D:$D,CONCATENATE("&lt;",GN$3),Movimientos!$C:$C,"&lt;0")</f>
        <v>0</v>
      </c>
      <c r="GO13" s="5">
        <f ca="1">SUMIFS(Movimientos!$C:$C,Movimientos!$A:$A,$B13,Movimientos!$D:$D,CONCATENATE("&lt;=",GO$3),Movimientos!$C:$C,"&gt;0")+SUMIFS(Movimientos!$C:$C,Movimientos!$A:$A,$B13,Movimientos!$D:$D,CONCATENATE("&lt;",GO$3),Movimientos!$C:$C,"&lt;0")</f>
        <v>0</v>
      </c>
      <c r="GP13" s="5">
        <f ca="1">SUMIFS(Movimientos!$C:$C,Movimientos!$A:$A,$B13,Movimientos!$D:$D,CONCATENATE("&lt;=",GP$3),Movimientos!$C:$C,"&gt;0")+SUMIFS(Movimientos!$C:$C,Movimientos!$A:$A,$B13,Movimientos!$D:$D,CONCATENATE("&lt;",GP$3),Movimientos!$C:$C,"&lt;0")</f>
        <v>0</v>
      </c>
      <c r="GQ13" s="5">
        <f ca="1">SUMIFS(Movimientos!$C:$C,Movimientos!$A:$A,$B13,Movimientos!$D:$D,CONCATENATE("&lt;=",GQ$3),Movimientos!$C:$C,"&gt;0")+SUMIFS(Movimientos!$C:$C,Movimientos!$A:$A,$B13,Movimientos!$D:$D,CONCATENATE("&lt;",GQ$3),Movimientos!$C:$C,"&lt;0")</f>
        <v>0</v>
      </c>
      <c r="GR13" s="5">
        <f ca="1">SUMIFS(Movimientos!$C:$C,Movimientos!$A:$A,$B13,Movimientos!$D:$D,CONCATENATE("&lt;=",GR$3),Movimientos!$C:$C,"&gt;0")+SUMIFS(Movimientos!$C:$C,Movimientos!$A:$A,$B13,Movimientos!$D:$D,CONCATENATE("&lt;",GR$3),Movimientos!$C:$C,"&lt;0")</f>
        <v>0</v>
      </c>
      <c r="GS13" s="5">
        <f ca="1">SUMIFS(Movimientos!$C:$C,Movimientos!$A:$A,$B13,Movimientos!$D:$D,CONCATENATE("&lt;=",GS$3),Movimientos!$C:$C,"&gt;0")+SUMIFS(Movimientos!$C:$C,Movimientos!$A:$A,$B13,Movimientos!$D:$D,CONCATENATE("&lt;",GS$3),Movimientos!$C:$C,"&lt;0")</f>
        <v>0</v>
      </c>
      <c r="GT13" s="5">
        <f ca="1">SUMIFS(Movimientos!$C:$C,Movimientos!$A:$A,$B13,Movimientos!$D:$D,CONCATENATE("&lt;=",GT$3),Movimientos!$C:$C,"&gt;0")+SUMIFS(Movimientos!$C:$C,Movimientos!$A:$A,$B13,Movimientos!$D:$D,CONCATENATE("&lt;",GT$3),Movimientos!$C:$C,"&lt;0")</f>
        <v>0</v>
      </c>
      <c r="GU13" s="5">
        <f ca="1">SUMIFS(Movimientos!$C:$C,Movimientos!$A:$A,$B13,Movimientos!$D:$D,CONCATENATE("&lt;=",GU$3),Movimientos!$C:$C,"&gt;0")+SUMIFS(Movimientos!$C:$C,Movimientos!$A:$A,$B13,Movimientos!$D:$D,CONCATENATE("&lt;",GU$3),Movimientos!$C:$C,"&lt;0")</f>
        <v>0</v>
      </c>
      <c r="GV13" s="5">
        <f ca="1">SUMIFS(Movimientos!$C:$C,Movimientos!$A:$A,$B13,Movimientos!$D:$D,CONCATENATE("&lt;=",GV$3),Movimientos!$C:$C,"&gt;0")+SUMIFS(Movimientos!$C:$C,Movimientos!$A:$A,$B13,Movimientos!$D:$D,CONCATENATE("&lt;",GV$3),Movimientos!$C:$C,"&lt;0")</f>
        <v>0</v>
      </c>
      <c r="GW13" s="5">
        <f ca="1">SUMIFS(Movimientos!$C:$C,Movimientos!$A:$A,$B13,Movimientos!$D:$D,CONCATENATE("&lt;=",GW$3),Movimientos!$C:$C,"&gt;0")+SUMIFS(Movimientos!$C:$C,Movimientos!$A:$A,$B13,Movimientos!$D:$D,CONCATENATE("&lt;",GW$3),Movimientos!$C:$C,"&lt;0")</f>
        <v>0</v>
      </c>
      <c r="GX13" s="5">
        <f ca="1">SUMIFS(Movimientos!$C:$C,Movimientos!$A:$A,$B13,Movimientos!$D:$D,CONCATENATE("&lt;=",GX$3),Movimientos!$C:$C,"&gt;0")+SUMIFS(Movimientos!$C:$C,Movimientos!$A:$A,$B13,Movimientos!$D:$D,CONCATENATE("&lt;",GX$3),Movimientos!$C:$C,"&lt;0")</f>
        <v>0</v>
      </c>
      <c r="GY13" s="5">
        <f ca="1">SUMIFS(Movimientos!$C:$C,Movimientos!$A:$A,$B13,Movimientos!$D:$D,CONCATENATE("&lt;=",GY$3),Movimientos!$C:$C,"&gt;0")+SUMIFS(Movimientos!$C:$C,Movimientos!$A:$A,$B13,Movimientos!$D:$D,CONCATENATE("&lt;",GY$3),Movimientos!$C:$C,"&lt;0")</f>
        <v>0</v>
      </c>
      <c r="GZ13" s="5">
        <f ca="1">SUMIFS(Movimientos!$C:$C,Movimientos!$A:$A,$B13,Movimientos!$D:$D,CONCATENATE("&lt;=",GZ$3),Movimientos!$C:$C,"&gt;0")+SUMIFS(Movimientos!$C:$C,Movimientos!$A:$A,$B13,Movimientos!$D:$D,CONCATENATE("&lt;",GZ$3),Movimientos!$C:$C,"&lt;0")</f>
        <v>0</v>
      </c>
      <c r="HA13" s="5">
        <f ca="1">SUMIFS(Movimientos!$C:$C,Movimientos!$A:$A,$B13,Movimientos!$D:$D,CONCATENATE("&lt;=",HA$3),Movimientos!$C:$C,"&gt;0")+SUMIFS(Movimientos!$C:$C,Movimientos!$A:$A,$B13,Movimientos!$D:$D,CONCATENATE("&lt;",HA$3),Movimientos!$C:$C,"&lt;0")</f>
        <v>0</v>
      </c>
      <c r="HB13" s="5">
        <f ca="1">SUMIFS(Movimientos!$C:$C,Movimientos!$A:$A,$B13,Movimientos!$D:$D,CONCATENATE("&lt;=",HB$3),Movimientos!$C:$C,"&gt;0")+SUMIFS(Movimientos!$C:$C,Movimientos!$A:$A,$B13,Movimientos!$D:$D,CONCATENATE("&lt;",HB$3),Movimientos!$C:$C,"&lt;0")</f>
        <v>0</v>
      </c>
      <c r="HC13" s="5">
        <f ca="1">SUMIFS(Movimientos!$C:$C,Movimientos!$A:$A,$B13,Movimientos!$D:$D,CONCATENATE("&lt;=",HC$3),Movimientos!$C:$C,"&gt;0")+SUMIFS(Movimientos!$C:$C,Movimientos!$A:$A,$B13,Movimientos!$D:$D,CONCATENATE("&lt;",HC$3),Movimientos!$C:$C,"&lt;0")</f>
        <v>0</v>
      </c>
      <c r="HD13" s="5">
        <f ca="1">SUMIFS(Movimientos!$C:$C,Movimientos!$A:$A,$B13,Movimientos!$D:$D,CONCATENATE("&lt;=",HD$3),Movimientos!$C:$C,"&gt;0")+SUMIFS(Movimientos!$C:$C,Movimientos!$A:$A,$B13,Movimientos!$D:$D,CONCATENATE("&lt;",HD$3),Movimientos!$C:$C,"&lt;0")</f>
        <v>0</v>
      </c>
      <c r="HE13" s="5">
        <f ca="1">SUMIFS(Movimientos!$C:$C,Movimientos!$A:$A,$B13,Movimientos!$D:$D,CONCATENATE("&lt;=",HE$3),Movimientos!$C:$C,"&gt;0")+SUMIFS(Movimientos!$C:$C,Movimientos!$A:$A,$B13,Movimientos!$D:$D,CONCATENATE("&lt;",HE$3),Movimientos!$C:$C,"&lt;0")</f>
        <v>0</v>
      </c>
      <c r="HF13" s="5">
        <f ca="1">SUMIFS(Movimientos!$C:$C,Movimientos!$A:$A,$B13,Movimientos!$D:$D,CONCATENATE("&lt;=",HF$3),Movimientos!$C:$C,"&gt;0")+SUMIFS(Movimientos!$C:$C,Movimientos!$A:$A,$B13,Movimientos!$D:$D,CONCATENATE("&lt;",HF$3),Movimientos!$C:$C,"&lt;0")</f>
        <v>0</v>
      </c>
      <c r="HG13" s="5">
        <f ca="1">SUMIFS(Movimientos!$C:$C,Movimientos!$A:$A,$B13,Movimientos!$D:$D,CONCATENATE("&lt;=",HG$3),Movimientos!$C:$C,"&gt;0")+SUMIFS(Movimientos!$C:$C,Movimientos!$A:$A,$B13,Movimientos!$D:$D,CONCATENATE("&lt;",HG$3),Movimientos!$C:$C,"&lt;0")</f>
        <v>0</v>
      </c>
      <c r="HH13" s="5">
        <f ca="1">SUMIFS(Movimientos!$C:$C,Movimientos!$A:$A,$B13,Movimientos!$D:$D,CONCATENATE("&lt;=",HH$3),Movimientos!$C:$C,"&gt;0")+SUMIFS(Movimientos!$C:$C,Movimientos!$A:$A,$B13,Movimientos!$D:$D,CONCATENATE("&lt;",HH$3),Movimientos!$C:$C,"&lt;0")</f>
        <v>0</v>
      </c>
      <c r="HI13" s="5">
        <f ca="1">SUMIFS(Movimientos!$C:$C,Movimientos!$A:$A,$B13,Movimientos!$D:$D,CONCATENATE("&lt;=",HI$3),Movimientos!$C:$C,"&gt;0")+SUMIFS(Movimientos!$C:$C,Movimientos!$A:$A,$B13,Movimientos!$D:$D,CONCATENATE("&lt;",HI$3),Movimientos!$C:$C,"&lt;0")</f>
        <v>0</v>
      </c>
      <c r="HJ13" s="5">
        <f ca="1">SUMIFS(Movimientos!$C:$C,Movimientos!$A:$A,$B13,Movimientos!$D:$D,CONCATENATE("&lt;=",HJ$3),Movimientos!$C:$C,"&gt;0")+SUMIFS(Movimientos!$C:$C,Movimientos!$A:$A,$B13,Movimientos!$D:$D,CONCATENATE("&lt;",HJ$3),Movimientos!$C:$C,"&lt;0")</f>
        <v>0</v>
      </c>
      <c r="HK13" s="5">
        <f ca="1">SUMIFS(Movimientos!$C:$C,Movimientos!$A:$A,$B13,Movimientos!$D:$D,CONCATENATE("&lt;=",HK$3),Movimientos!$C:$C,"&gt;0")+SUMIFS(Movimientos!$C:$C,Movimientos!$A:$A,$B13,Movimientos!$D:$D,CONCATENATE("&lt;",HK$3),Movimientos!$C:$C,"&lt;0")</f>
        <v>0</v>
      </c>
      <c r="HL13" s="5">
        <f ca="1">SUMIFS(Movimientos!$C:$C,Movimientos!$A:$A,$B13,Movimientos!$D:$D,CONCATENATE("&lt;=",HL$3),Movimientos!$C:$C,"&gt;0")+SUMIFS(Movimientos!$C:$C,Movimientos!$A:$A,$B13,Movimientos!$D:$D,CONCATENATE("&lt;",HL$3),Movimientos!$C:$C,"&lt;0")</f>
        <v>0</v>
      </c>
      <c r="HM13" s="5">
        <f ca="1">SUMIFS(Movimientos!$C:$C,Movimientos!$A:$A,$B13,Movimientos!$D:$D,CONCATENATE("&lt;=",HM$3),Movimientos!$C:$C,"&gt;0")+SUMIFS(Movimientos!$C:$C,Movimientos!$A:$A,$B13,Movimientos!$D:$D,CONCATENATE("&lt;",HM$3),Movimientos!$C:$C,"&lt;0")</f>
        <v>0</v>
      </c>
      <c r="HN13" s="5">
        <f ca="1">SUMIFS(Movimientos!$C:$C,Movimientos!$A:$A,$B13,Movimientos!$D:$D,CONCATENATE("&lt;=",HN$3),Movimientos!$C:$C,"&gt;0")+SUMIFS(Movimientos!$C:$C,Movimientos!$A:$A,$B13,Movimientos!$D:$D,CONCATENATE("&lt;",HN$3),Movimientos!$C:$C,"&lt;0")</f>
        <v>0</v>
      </c>
      <c r="HO13" s="5">
        <f ca="1">SUMIFS(Movimientos!$C:$C,Movimientos!$A:$A,$B13,Movimientos!$D:$D,CONCATENATE("&lt;=",HO$3),Movimientos!$C:$C,"&gt;0")+SUMIFS(Movimientos!$C:$C,Movimientos!$A:$A,$B13,Movimientos!$D:$D,CONCATENATE("&lt;",HO$3),Movimientos!$C:$C,"&lt;0")</f>
        <v>0</v>
      </c>
      <c r="HP13" s="5">
        <f ca="1">SUMIFS(Movimientos!$C:$C,Movimientos!$A:$A,$B13,Movimientos!$D:$D,CONCATENATE("&lt;=",HP$3),Movimientos!$C:$C,"&gt;0")+SUMIFS(Movimientos!$C:$C,Movimientos!$A:$A,$B13,Movimientos!$D:$D,CONCATENATE("&lt;",HP$3),Movimientos!$C:$C,"&lt;0")</f>
        <v>0</v>
      </c>
      <c r="HQ13" s="5">
        <f ca="1">SUMIFS(Movimientos!$C:$C,Movimientos!$A:$A,$B13,Movimientos!$D:$D,CONCATENATE("&lt;=",HQ$3),Movimientos!$C:$C,"&gt;0")+SUMIFS(Movimientos!$C:$C,Movimientos!$A:$A,$B13,Movimientos!$D:$D,CONCATENATE("&lt;",HQ$3),Movimientos!$C:$C,"&lt;0")</f>
        <v>0</v>
      </c>
      <c r="HR13" s="5">
        <f ca="1">SUMIFS(Movimientos!$C:$C,Movimientos!$A:$A,$B13,Movimientos!$D:$D,CONCATENATE("&lt;=",HR$3),Movimientos!$C:$C,"&gt;0")+SUMIFS(Movimientos!$C:$C,Movimientos!$A:$A,$B13,Movimientos!$D:$D,CONCATENATE("&lt;",HR$3),Movimientos!$C:$C,"&lt;0")</f>
        <v>0</v>
      </c>
      <c r="HS13" s="5">
        <f ca="1">SUMIFS(Movimientos!$C:$C,Movimientos!$A:$A,$B13,Movimientos!$D:$D,CONCATENATE("&lt;=",HS$3),Movimientos!$C:$C,"&gt;0")+SUMIFS(Movimientos!$C:$C,Movimientos!$A:$A,$B13,Movimientos!$D:$D,CONCATENATE("&lt;",HS$3),Movimientos!$C:$C,"&lt;0")</f>
        <v>0</v>
      </c>
      <c r="HT13" s="5">
        <f ca="1">SUMIFS(Movimientos!$C:$C,Movimientos!$A:$A,$B13,Movimientos!$D:$D,CONCATENATE("&lt;=",HT$3),Movimientos!$C:$C,"&gt;0")+SUMIFS(Movimientos!$C:$C,Movimientos!$A:$A,$B13,Movimientos!$D:$D,CONCATENATE("&lt;",HT$3),Movimientos!$C:$C,"&lt;0")</f>
        <v>0</v>
      </c>
      <c r="HU13" s="5">
        <f ca="1">SUMIFS(Movimientos!$C:$C,Movimientos!$A:$A,$B13,Movimientos!$D:$D,CONCATENATE("&lt;=",HU$3),Movimientos!$C:$C,"&gt;0")+SUMIFS(Movimientos!$C:$C,Movimientos!$A:$A,$B13,Movimientos!$D:$D,CONCATENATE("&lt;",HU$3),Movimientos!$C:$C,"&lt;0")</f>
        <v>0</v>
      </c>
      <c r="HV13" s="5">
        <f ca="1">SUMIFS(Movimientos!$C:$C,Movimientos!$A:$A,$B13,Movimientos!$D:$D,CONCATENATE("&lt;=",HV$3),Movimientos!$C:$C,"&gt;0")+SUMIFS(Movimientos!$C:$C,Movimientos!$A:$A,$B13,Movimientos!$D:$D,CONCATENATE("&lt;",HV$3),Movimientos!$C:$C,"&lt;0")</f>
        <v>0</v>
      </c>
      <c r="HW13" s="5">
        <f ca="1">SUMIFS(Movimientos!$C:$C,Movimientos!$A:$A,$B13,Movimientos!$D:$D,CONCATENATE("&lt;=",HW$3),Movimientos!$C:$C,"&gt;0")+SUMIFS(Movimientos!$C:$C,Movimientos!$A:$A,$B13,Movimientos!$D:$D,CONCATENATE("&lt;",HW$3),Movimientos!$C:$C,"&lt;0")</f>
        <v>0</v>
      </c>
      <c r="HX13" s="5">
        <f ca="1">SUMIFS(Movimientos!$C:$C,Movimientos!$A:$A,$B13,Movimientos!$D:$D,CONCATENATE("&lt;=",HX$3),Movimientos!$C:$C,"&gt;0")+SUMIFS(Movimientos!$C:$C,Movimientos!$A:$A,$B13,Movimientos!$D:$D,CONCATENATE("&lt;",HX$3),Movimientos!$C:$C,"&lt;0")</f>
        <v>0</v>
      </c>
      <c r="HY13" s="5">
        <f ca="1">SUMIFS(Movimientos!$C:$C,Movimientos!$A:$A,$B13,Movimientos!$D:$D,CONCATENATE("&lt;=",HY$3),Movimientos!$C:$C,"&gt;0")+SUMIFS(Movimientos!$C:$C,Movimientos!$A:$A,$B13,Movimientos!$D:$D,CONCATENATE("&lt;",HY$3),Movimientos!$C:$C,"&lt;0")</f>
        <v>0</v>
      </c>
      <c r="HZ13" s="5">
        <f ca="1">SUMIFS(Movimientos!$C:$C,Movimientos!$A:$A,$B13,Movimientos!$D:$D,CONCATENATE("&lt;=",HZ$3),Movimientos!$C:$C,"&gt;0")+SUMIFS(Movimientos!$C:$C,Movimientos!$A:$A,$B13,Movimientos!$D:$D,CONCATENATE("&lt;",HZ$3),Movimientos!$C:$C,"&lt;0")</f>
        <v>0</v>
      </c>
      <c r="IA13" s="5">
        <f ca="1">SUMIFS(Movimientos!$C:$C,Movimientos!$A:$A,$B13,Movimientos!$D:$D,CONCATENATE("&lt;=",IA$3),Movimientos!$C:$C,"&gt;0")+SUMIFS(Movimientos!$C:$C,Movimientos!$A:$A,$B13,Movimientos!$D:$D,CONCATENATE("&lt;",IA$3),Movimientos!$C:$C,"&lt;0")</f>
        <v>0</v>
      </c>
      <c r="IB13" s="5">
        <f ca="1">SUMIFS(Movimientos!$C:$C,Movimientos!$A:$A,$B13,Movimientos!$D:$D,CONCATENATE("&lt;=",IB$3),Movimientos!$C:$C,"&gt;0")+SUMIFS(Movimientos!$C:$C,Movimientos!$A:$A,$B13,Movimientos!$D:$D,CONCATENATE("&lt;",IB$3),Movimientos!$C:$C,"&lt;0")</f>
        <v>0</v>
      </c>
      <c r="IC13" s="5">
        <f ca="1">SUMIFS(Movimientos!$C:$C,Movimientos!$A:$A,$B13,Movimientos!$D:$D,CONCATENATE("&lt;=",IC$3),Movimientos!$C:$C,"&gt;0")+SUMIFS(Movimientos!$C:$C,Movimientos!$A:$A,$B13,Movimientos!$D:$D,CONCATENATE("&lt;",IC$3),Movimientos!$C:$C,"&lt;0")</f>
        <v>0</v>
      </c>
      <c r="ID13" s="5">
        <f ca="1">SUMIFS(Movimientos!$C:$C,Movimientos!$A:$A,$B13,Movimientos!$D:$D,CONCATENATE("&lt;=",ID$3),Movimientos!$C:$C,"&gt;0")+SUMIFS(Movimientos!$C:$C,Movimientos!$A:$A,$B13,Movimientos!$D:$D,CONCATENATE("&lt;",ID$3),Movimientos!$C:$C,"&lt;0")</f>
        <v>0</v>
      </c>
      <c r="IE13" s="5">
        <f ca="1">SUMIFS(Movimientos!$C:$C,Movimientos!$A:$A,$B13,Movimientos!$D:$D,CONCATENATE("&lt;=",IE$3),Movimientos!$C:$C,"&gt;0")+SUMIFS(Movimientos!$C:$C,Movimientos!$A:$A,$B13,Movimientos!$D:$D,CONCATENATE("&lt;",IE$3),Movimientos!$C:$C,"&lt;0")</f>
        <v>0</v>
      </c>
      <c r="IF13" s="5">
        <f ca="1">SUMIFS(Movimientos!$C:$C,Movimientos!$A:$A,$B13,Movimientos!$D:$D,CONCATENATE("&lt;=",IF$3),Movimientos!$C:$C,"&gt;0")+SUMIFS(Movimientos!$C:$C,Movimientos!$A:$A,$B13,Movimientos!$D:$D,CONCATENATE("&lt;",IF$3),Movimientos!$C:$C,"&lt;0")</f>
        <v>0</v>
      </c>
      <c r="IG13" s="5">
        <f ca="1">SUMIFS(Movimientos!$C:$C,Movimientos!$A:$A,$B13,Movimientos!$D:$D,CONCATENATE("&lt;=",IG$3),Movimientos!$C:$C,"&gt;0")+SUMIFS(Movimientos!$C:$C,Movimientos!$A:$A,$B13,Movimientos!$D:$D,CONCATENATE("&lt;",IG$3),Movimientos!$C:$C,"&lt;0")</f>
        <v>0</v>
      </c>
      <c r="IH13" s="5">
        <f ca="1">SUMIFS(Movimientos!$C:$C,Movimientos!$A:$A,$B13,Movimientos!$D:$D,CONCATENATE("&lt;=",IH$3),Movimientos!$C:$C,"&gt;0")+SUMIFS(Movimientos!$C:$C,Movimientos!$A:$A,$B13,Movimientos!$D:$D,CONCATENATE("&lt;",IH$3),Movimientos!$C:$C,"&lt;0")</f>
        <v>0</v>
      </c>
      <c r="II13" s="5">
        <f ca="1">SUMIFS(Movimientos!$C:$C,Movimientos!$A:$A,$B13,Movimientos!$D:$D,CONCATENATE("&lt;=",II$3),Movimientos!$C:$C,"&gt;0")+SUMIFS(Movimientos!$C:$C,Movimientos!$A:$A,$B13,Movimientos!$D:$D,CONCATENATE("&lt;",II$3),Movimientos!$C:$C,"&lt;0")</f>
        <v>0</v>
      </c>
      <c r="IJ13" s="5">
        <f ca="1">SUMIFS(Movimientos!$C:$C,Movimientos!$A:$A,$B13,Movimientos!$D:$D,CONCATENATE("&lt;=",IJ$3),Movimientos!$C:$C,"&gt;0")+SUMIFS(Movimientos!$C:$C,Movimientos!$A:$A,$B13,Movimientos!$D:$D,CONCATENATE("&lt;",IJ$3),Movimientos!$C:$C,"&lt;0")</f>
        <v>0</v>
      </c>
      <c r="IK13" s="5">
        <f ca="1">SUMIFS(Movimientos!$C:$C,Movimientos!$A:$A,$B13,Movimientos!$D:$D,CONCATENATE("&lt;=",IK$3),Movimientos!$C:$C,"&gt;0")+SUMIFS(Movimientos!$C:$C,Movimientos!$A:$A,$B13,Movimientos!$D:$D,CONCATENATE("&lt;",IK$3),Movimientos!$C:$C,"&lt;0")</f>
        <v>0</v>
      </c>
      <c r="IL13" s="5">
        <f ca="1">SUMIFS(Movimientos!$C:$C,Movimientos!$A:$A,$B13,Movimientos!$D:$D,CONCATENATE("&lt;=",IL$3),Movimientos!$C:$C,"&gt;0")+SUMIFS(Movimientos!$C:$C,Movimientos!$A:$A,$B13,Movimientos!$D:$D,CONCATENATE("&lt;",IL$3),Movimientos!$C:$C,"&lt;0")</f>
        <v>0</v>
      </c>
      <c r="IM13" s="5">
        <f ca="1">SUMIFS(Movimientos!$C:$C,Movimientos!$A:$A,$B13,Movimientos!$D:$D,CONCATENATE("&lt;=",IM$3),Movimientos!$C:$C,"&gt;0")+SUMIFS(Movimientos!$C:$C,Movimientos!$A:$A,$B13,Movimientos!$D:$D,CONCATENATE("&lt;",IM$3),Movimientos!$C:$C,"&lt;0")</f>
        <v>0</v>
      </c>
      <c r="IN13" s="5">
        <f ca="1">SUMIFS(Movimientos!$C:$C,Movimientos!$A:$A,$B13,Movimientos!$D:$D,CONCATENATE("&lt;=",IN$3),Movimientos!$C:$C,"&gt;0")+SUMIFS(Movimientos!$C:$C,Movimientos!$A:$A,$B13,Movimientos!$D:$D,CONCATENATE("&lt;",IN$3),Movimientos!$C:$C,"&lt;0")</f>
        <v>0</v>
      </c>
      <c r="IO13" s="5">
        <f ca="1">SUMIFS(Movimientos!$C:$C,Movimientos!$A:$A,$B13,Movimientos!$D:$D,CONCATENATE("&lt;=",IO$3),Movimientos!$C:$C,"&gt;0")+SUMIFS(Movimientos!$C:$C,Movimientos!$A:$A,$B13,Movimientos!$D:$D,CONCATENATE("&lt;",IO$3),Movimientos!$C:$C,"&lt;0")</f>
        <v>0</v>
      </c>
      <c r="IP13" s="5">
        <f ca="1">SUMIFS(Movimientos!$C:$C,Movimientos!$A:$A,$B13,Movimientos!$D:$D,CONCATENATE("&lt;=",IP$3),Movimientos!$C:$C,"&gt;0")+SUMIFS(Movimientos!$C:$C,Movimientos!$A:$A,$B13,Movimientos!$D:$D,CONCATENATE("&lt;",IP$3),Movimientos!$C:$C,"&lt;0")</f>
        <v>0</v>
      </c>
      <c r="IQ13" s="5">
        <f ca="1">SUMIFS(Movimientos!$C:$C,Movimientos!$A:$A,$B13,Movimientos!$D:$D,CONCATENATE("&lt;=",IQ$3),Movimientos!$C:$C,"&gt;0")+SUMIFS(Movimientos!$C:$C,Movimientos!$A:$A,$B13,Movimientos!$D:$D,CONCATENATE("&lt;",IQ$3),Movimientos!$C:$C,"&lt;0")</f>
        <v>0</v>
      </c>
      <c r="IR13" s="5">
        <f ca="1">SUMIFS(Movimientos!$C:$C,Movimientos!$A:$A,$B13,Movimientos!$D:$D,CONCATENATE("&lt;=",IR$3),Movimientos!$C:$C,"&gt;0")+SUMIFS(Movimientos!$C:$C,Movimientos!$A:$A,$B13,Movimientos!$D:$D,CONCATENATE("&lt;",IR$3),Movimientos!$C:$C,"&lt;0")</f>
        <v>0</v>
      </c>
      <c r="IS13" s="5">
        <f ca="1">SUMIFS(Movimientos!$C:$C,Movimientos!$A:$A,$B13,Movimientos!$D:$D,CONCATENATE("&lt;=",IS$3),Movimientos!$C:$C,"&gt;0")+SUMIFS(Movimientos!$C:$C,Movimientos!$A:$A,$B13,Movimientos!$D:$D,CONCATENATE("&lt;",IS$3),Movimientos!$C:$C,"&lt;0")</f>
        <v>0</v>
      </c>
      <c r="IT13" s="5">
        <f ca="1">SUMIFS(Movimientos!$C:$C,Movimientos!$A:$A,$B13,Movimientos!$D:$D,CONCATENATE("&lt;=",IT$3),Movimientos!$C:$C,"&gt;0")+SUMIFS(Movimientos!$C:$C,Movimientos!$A:$A,$B13,Movimientos!$D:$D,CONCATENATE("&lt;",IT$3),Movimientos!$C:$C,"&lt;0")</f>
        <v>0</v>
      </c>
      <c r="IU13" s="5">
        <f ca="1">SUMIFS(Movimientos!$C:$C,Movimientos!$A:$A,$B13,Movimientos!$D:$D,CONCATENATE("&lt;=",IU$3),Movimientos!$C:$C,"&gt;0")+SUMIFS(Movimientos!$C:$C,Movimientos!$A:$A,$B13,Movimientos!$D:$D,CONCATENATE("&lt;",IU$3),Movimientos!$C:$C,"&lt;0")</f>
        <v>0</v>
      </c>
      <c r="IV13" s="5">
        <f ca="1">SUMIFS(Movimientos!$C:$C,Movimientos!$A:$A,$B13,Movimientos!$D:$D,CONCATENATE("&lt;=",IV$3),Movimientos!$C:$C,"&gt;0")+SUMIFS(Movimientos!$C:$C,Movimientos!$A:$A,$B13,Movimientos!$D:$D,CONCATENATE("&lt;",IV$3),Movimientos!$C:$C,"&lt;0")</f>
        <v>0</v>
      </c>
      <c r="IW13" s="5">
        <f ca="1">SUMIFS(Movimientos!$C:$C,Movimientos!$A:$A,$B13,Movimientos!$D:$D,CONCATENATE("&lt;=",IW$3),Movimientos!$C:$C,"&gt;0")+SUMIFS(Movimientos!$C:$C,Movimientos!$A:$A,$B13,Movimientos!$D:$D,CONCATENATE("&lt;",IW$3),Movimientos!$C:$C,"&lt;0")</f>
        <v>0</v>
      </c>
      <c r="IX13" s="5">
        <f ca="1">SUMIFS(Movimientos!$C:$C,Movimientos!$A:$A,$B13,Movimientos!$D:$D,CONCATENATE("&lt;=",IX$3),Movimientos!$C:$C,"&gt;0")+SUMIFS(Movimientos!$C:$C,Movimientos!$A:$A,$B13,Movimientos!$D:$D,CONCATENATE("&lt;",IX$3),Movimientos!$C:$C,"&lt;0")</f>
        <v>0</v>
      </c>
      <c r="IY13" s="5">
        <f ca="1">SUMIFS(Movimientos!$C:$C,Movimientos!$A:$A,$B13,Movimientos!$D:$D,CONCATENATE("&lt;=",IY$3),Movimientos!$C:$C,"&gt;0")+SUMIFS(Movimientos!$C:$C,Movimientos!$A:$A,$B13,Movimientos!$D:$D,CONCATENATE("&lt;",IY$3),Movimientos!$C:$C,"&lt;0")</f>
        <v>0</v>
      </c>
      <c r="IZ13" s="5">
        <f ca="1">SUMIFS(Movimientos!$C:$C,Movimientos!$A:$A,$B13,Movimientos!$D:$D,CONCATENATE("&lt;=",IZ$3),Movimientos!$C:$C,"&gt;0")+SUMIFS(Movimientos!$C:$C,Movimientos!$A:$A,$B13,Movimientos!$D:$D,CONCATENATE("&lt;",IZ$3),Movimientos!$C:$C,"&lt;0")</f>
        <v>0</v>
      </c>
      <c r="JA13" s="5">
        <f ca="1">SUMIFS(Movimientos!$C:$C,Movimientos!$A:$A,$B13,Movimientos!$D:$D,CONCATENATE("&lt;=",JA$3),Movimientos!$C:$C,"&gt;0")+SUMIFS(Movimientos!$C:$C,Movimientos!$A:$A,$B13,Movimientos!$D:$D,CONCATENATE("&lt;",JA$3),Movimientos!$C:$C,"&lt;0")</f>
        <v>0</v>
      </c>
      <c r="JB13" s="5">
        <f ca="1">SUMIFS(Movimientos!$C:$C,Movimientos!$A:$A,$B13,Movimientos!$D:$D,CONCATENATE("&lt;=",JB$3),Movimientos!$C:$C,"&gt;0")+SUMIFS(Movimientos!$C:$C,Movimientos!$A:$A,$B13,Movimientos!$D:$D,CONCATENATE("&lt;",JB$3),Movimientos!$C:$C,"&lt;0")</f>
        <v>0</v>
      </c>
      <c r="JC13" s="5">
        <f ca="1">SUMIFS(Movimientos!$C:$C,Movimientos!$A:$A,$B13,Movimientos!$D:$D,CONCATENATE("&lt;=",JC$3),Movimientos!$C:$C,"&gt;0")+SUMIFS(Movimientos!$C:$C,Movimientos!$A:$A,$B13,Movimientos!$D:$D,CONCATENATE("&lt;",JC$3),Movimientos!$C:$C,"&lt;0")</f>
        <v>0</v>
      </c>
      <c r="JD13" s="5">
        <f ca="1">SUMIFS(Movimientos!$C:$C,Movimientos!$A:$A,$B13,Movimientos!$D:$D,CONCATENATE("&lt;=",JD$3),Movimientos!$C:$C,"&gt;0")+SUMIFS(Movimientos!$C:$C,Movimientos!$A:$A,$B13,Movimientos!$D:$D,CONCATENATE("&lt;",JD$3),Movimientos!$C:$C,"&lt;0")</f>
        <v>0</v>
      </c>
      <c r="JE13" s="5">
        <f ca="1">SUMIFS(Movimientos!$C:$C,Movimientos!$A:$A,$B13,Movimientos!$D:$D,CONCATENATE("&lt;=",JE$3),Movimientos!$C:$C,"&gt;0")+SUMIFS(Movimientos!$C:$C,Movimientos!$A:$A,$B13,Movimientos!$D:$D,CONCATENATE("&lt;",JE$3),Movimientos!$C:$C,"&lt;0")</f>
        <v>0</v>
      </c>
      <c r="JF13" s="5">
        <f ca="1">SUMIFS(Movimientos!$C:$C,Movimientos!$A:$A,$B13,Movimientos!$D:$D,CONCATENATE("&lt;=",JF$3),Movimientos!$C:$C,"&gt;0")+SUMIFS(Movimientos!$C:$C,Movimientos!$A:$A,$B13,Movimientos!$D:$D,CONCATENATE("&lt;",JF$3),Movimientos!$C:$C,"&lt;0")</f>
        <v>0</v>
      </c>
      <c r="JG13" s="5">
        <f ca="1">SUMIFS(Movimientos!$C:$C,Movimientos!$A:$A,$B13,Movimientos!$D:$D,CONCATENATE("&lt;=",JG$3),Movimientos!$C:$C,"&gt;0")+SUMIFS(Movimientos!$C:$C,Movimientos!$A:$A,$B13,Movimientos!$D:$D,CONCATENATE("&lt;",JG$3),Movimientos!$C:$C,"&lt;0")</f>
        <v>0</v>
      </c>
      <c r="JH13" s="5">
        <f ca="1">SUMIFS(Movimientos!$C:$C,Movimientos!$A:$A,$B13,Movimientos!$D:$D,CONCATENATE("&lt;=",JH$3),Movimientos!$C:$C,"&gt;0")+SUMIFS(Movimientos!$C:$C,Movimientos!$A:$A,$B13,Movimientos!$D:$D,CONCATENATE("&lt;",JH$3),Movimientos!$C:$C,"&lt;0")</f>
        <v>0</v>
      </c>
      <c r="JI13" s="5">
        <f ca="1">SUMIFS(Movimientos!$C:$C,Movimientos!$A:$A,$B13,Movimientos!$D:$D,CONCATENATE("&lt;=",JI$3),Movimientos!$C:$C,"&gt;0")+SUMIFS(Movimientos!$C:$C,Movimientos!$A:$A,$B13,Movimientos!$D:$D,CONCATENATE("&lt;",JI$3),Movimientos!$C:$C,"&lt;0")</f>
        <v>0</v>
      </c>
      <c r="JJ13" s="5">
        <f ca="1">SUMIFS(Movimientos!$C:$C,Movimientos!$A:$A,$B13,Movimientos!$D:$D,CONCATENATE("&lt;=",JJ$3),Movimientos!$C:$C,"&gt;0")+SUMIFS(Movimientos!$C:$C,Movimientos!$A:$A,$B13,Movimientos!$D:$D,CONCATENATE("&lt;",JJ$3),Movimientos!$C:$C,"&lt;0")</f>
        <v>0</v>
      </c>
      <c r="JK13" s="5">
        <f ca="1">SUMIFS(Movimientos!$C:$C,Movimientos!$A:$A,$B13,Movimientos!$D:$D,CONCATENATE("&lt;=",JK$3),Movimientos!$C:$C,"&gt;0")+SUMIFS(Movimientos!$C:$C,Movimientos!$A:$A,$B13,Movimientos!$D:$D,CONCATENATE("&lt;",JK$3),Movimientos!$C:$C,"&lt;0")</f>
        <v>0</v>
      </c>
      <c r="JL13" s="5">
        <f ca="1">SUMIFS(Movimientos!$C:$C,Movimientos!$A:$A,$B13,Movimientos!$D:$D,CONCATENATE("&lt;=",JL$3),Movimientos!$C:$C,"&gt;0")+SUMIFS(Movimientos!$C:$C,Movimientos!$A:$A,$B13,Movimientos!$D:$D,CONCATENATE("&lt;",JL$3),Movimientos!$C:$C,"&lt;0")</f>
        <v>0</v>
      </c>
      <c r="JM13" s="5">
        <f ca="1">SUMIFS(Movimientos!$C:$C,Movimientos!$A:$A,$B13,Movimientos!$D:$D,CONCATENATE("&lt;=",JM$3),Movimientos!$C:$C,"&gt;0")+SUMIFS(Movimientos!$C:$C,Movimientos!$A:$A,$B13,Movimientos!$D:$D,CONCATENATE("&lt;",JM$3),Movimientos!$C:$C,"&lt;0")</f>
        <v>0</v>
      </c>
      <c r="JN13" s="5">
        <f ca="1">SUMIFS(Movimientos!$C:$C,Movimientos!$A:$A,$B13,Movimientos!$D:$D,CONCATENATE("&lt;=",JN$3),Movimientos!$C:$C,"&gt;0")+SUMIFS(Movimientos!$C:$C,Movimientos!$A:$A,$B13,Movimientos!$D:$D,CONCATENATE("&lt;",JN$3),Movimientos!$C:$C,"&lt;0")</f>
        <v>0</v>
      </c>
      <c r="JO13" s="5">
        <f ca="1">SUMIFS(Movimientos!$C:$C,Movimientos!$A:$A,$B13,Movimientos!$D:$D,CONCATENATE("&lt;=",JO$3),Movimientos!$C:$C,"&gt;0")+SUMIFS(Movimientos!$C:$C,Movimientos!$A:$A,$B13,Movimientos!$D:$D,CONCATENATE("&lt;",JO$3),Movimientos!$C:$C,"&lt;0")</f>
        <v>0</v>
      </c>
      <c r="JP13" s="5">
        <f ca="1">SUMIFS(Movimientos!$C:$C,Movimientos!$A:$A,$B13,Movimientos!$D:$D,CONCATENATE("&lt;=",JP$3),Movimientos!$C:$C,"&gt;0")+SUMIFS(Movimientos!$C:$C,Movimientos!$A:$A,$B13,Movimientos!$D:$D,CONCATENATE("&lt;",JP$3),Movimientos!$C:$C,"&lt;0")</f>
        <v>0</v>
      </c>
      <c r="JQ13" s="5">
        <f ca="1">SUMIFS(Movimientos!$C:$C,Movimientos!$A:$A,$B13,Movimientos!$D:$D,CONCATENATE("&lt;=",JQ$3),Movimientos!$C:$C,"&gt;0")+SUMIFS(Movimientos!$C:$C,Movimientos!$A:$A,$B13,Movimientos!$D:$D,CONCATENATE("&lt;",JQ$3),Movimientos!$C:$C,"&lt;0")</f>
        <v>0</v>
      </c>
      <c r="JR13" s="5">
        <f ca="1">SUMIFS(Movimientos!$C:$C,Movimientos!$A:$A,$B13,Movimientos!$D:$D,CONCATENATE("&lt;=",JR$3),Movimientos!$C:$C,"&gt;0")+SUMIFS(Movimientos!$C:$C,Movimientos!$A:$A,$B13,Movimientos!$D:$D,CONCATENATE("&lt;",JR$3),Movimientos!$C:$C,"&lt;0")</f>
        <v>0</v>
      </c>
      <c r="JS13" s="5">
        <f ca="1">SUMIFS(Movimientos!$C:$C,Movimientos!$A:$A,$B13,Movimientos!$D:$D,CONCATENATE("&lt;=",JS$3),Movimientos!$C:$C,"&gt;0")+SUMIFS(Movimientos!$C:$C,Movimientos!$A:$A,$B13,Movimientos!$D:$D,CONCATENATE("&lt;",JS$3),Movimientos!$C:$C,"&lt;0")</f>
        <v>0</v>
      </c>
      <c r="JT13" s="5">
        <f ca="1">SUMIFS(Movimientos!$C:$C,Movimientos!$A:$A,$B13,Movimientos!$D:$D,CONCATENATE("&lt;=",JT$3),Movimientos!$C:$C,"&gt;0")+SUMIFS(Movimientos!$C:$C,Movimientos!$A:$A,$B13,Movimientos!$D:$D,CONCATENATE("&lt;",JT$3),Movimientos!$C:$C,"&lt;0")</f>
        <v>0</v>
      </c>
      <c r="JU13" s="5">
        <f ca="1">SUMIFS(Movimientos!$C:$C,Movimientos!$A:$A,$B13,Movimientos!$D:$D,CONCATENATE("&lt;=",JU$3),Movimientos!$C:$C,"&gt;0")+SUMIFS(Movimientos!$C:$C,Movimientos!$A:$A,$B13,Movimientos!$D:$D,CONCATENATE("&lt;",JU$3),Movimientos!$C:$C,"&lt;0")</f>
        <v>0</v>
      </c>
      <c r="JV13" s="5">
        <f ca="1">SUMIFS(Movimientos!$C:$C,Movimientos!$A:$A,$B13,Movimientos!$D:$D,CONCATENATE("&lt;=",JV$3),Movimientos!$C:$C,"&gt;0")+SUMIFS(Movimientos!$C:$C,Movimientos!$A:$A,$B13,Movimientos!$D:$D,CONCATENATE("&lt;",JV$3),Movimientos!$C:$C,"&lt;0")</f>
        <v>0</v>
      </c>
      <c r="JW13" s="5">
        <f ca="1">SUMIFS(Movimientos!$C:$C,Movimientos!$A:$A,$B13,Movimientos!$D:$D,CONCATENATE("&lt;=",JW$3),Movimientos!$C:$C,"&gt;0")+SUMIFS(Movimientos!$C:$C,Movimientos!$A:$A,$B13,Movimientos!$D:$D,CONCATENATE("&lt;",JW$3),Movimientos!$C:$C,"&lt;0")</f>
        <v>0</v>
      </c>
      <c r="JX13" s="5">
        <f ca="1">SUMIFS(Movimientos!$C:$C,Movimientos!$A:$A,$B13,Movimientos!$D:$D,CONCATENATE("&lt;=",JX$3),Movimientos!$C:$C,"&gt;0")+SUMIFS(Movimientos!$C:$C,Movimientos!$A:$A,$B13,Movimientos!$D:$D,CONCATENATE("&lt;",JX$3),Movimientos!$C:$C,"&lt;0")</f>
        <v>0</v>
      </c>
      <c r="JY13" s="5">
        <f ca="1">SUMIFS(Movimientos!$C:$C,Movimientos!$A:$A,$B13,Movimientos!$D:$D,CONCATENATE("&lt;=",JY$3),Movimientos!$C:$C,"&gt;0")+SUMIFS(Movimientos!$C:$C,Movimientos!$A:$A,$B13,Movimientos!$D:$D,CONCATENATE("&lt;",JY$3),Movimientos!$C:$C,"&lt;0")</f>
        <v>0</v>
      </c>
      <c r="JZ13" s="5">
        <f ca="1">SUMIFS(Movimientos!$C:$C,Movimientos!$A:$A,$B13,Movimientos!$D:$D,CONCATENATE("&lt;=",JZ$3),Movimientos!$C:$C,"&gt;0")+SUMIFS(Movimientos!$C:$C,Movimientos!$A:$A,$B13,Movimientos!$D:$D,CONCATENATE("&lt;",JZ$3),Movimientos!$C:$C,"&lt;0")</f>
        <v>0</v>
      </c>
      <c r="KA13" s="5">
        <f ca="1">SUMIFS(Movimientos!$C:$C,Movimientos!$A:$A,$B13,Movimientos!$D:$D,CONCATENATE("&lt;=",KA$3),Movimientos!$C:$C,"&gt;0")+SUMIFS(Movimientos!$C:$C,Movimientos!$A:$A,$B13,Movimientos!$D:$D,CONCATENATE("&lt;",KA$3),Movimientos!$C:$C,"&lt;0")</f>
        <v>0</v>
      </c>
      <c r="KB13" s="5">
        <f ca="1">SUMIFS(Movimientos!$C:$C,Movimientos!$A:$A,$B13,Movimientos!$D:$D,CONCATENATE("&lt;=",KB$3),Movimientos!$C:$C,"&gt;0")+SUMIFS(Movimientos!$C:$C,Movimientos!$A:$A,$B13,Movimientos!$D:$D,CONCATENATE("&lt;",KB$3),Movimientos!$C:$C,"&lt;0")</f>
        <v>0</v>
      </c>
      <c r="KC13" s="5">
        <f ca="1">SUMIFS(Movimientos!$C:$C,Movimientos!$A:$A,$B13,Movimientos!$D:$D,CONCATENATE("&lt;=",KC$3),Movimientos!$C:$C,"&gt;0")+SUMIFS(Movimientos!$C:$C,Movimientos!$A:$A,$B13,Movimientos!$D:$D,CONCATENATE("&lt;",KC$3),Movimientos!$C:$C,"&lt;0")</f>
        <v>0</v>
      </c>
      <c r="KD13" s="5">
        <f ca="1">SUMIFS(Movimientos!$C:$C,Movimientos!$A:$A,$B13,Movimientos!$D:$D,CONCATENATE("&lt;=",KD$3),Movimientos!$C:$C,"&gt;0")+SUMIFS(Movimientos!$C:$C,Movimientos!$A:$A,$B13,Movimientos!$D:$D,CONCATENATE("&lt;",KD$3),Movimientos!$C:$C,"&lt;0")</f>
        <v>0</v>
      </c>
      <c r="KE13" s="5">
        <f ca="1">SUMIFS(Movimientos!$C:$C,Movimientos!$A:$A,$B13,Movimientos!$D:$D,CONCATENATE("&lt;=",KE$3),Movimientos!$C:$C,"&gt;0")+SUMIFS(Movimientos!$C:$C,Movimientos!$A:$A,$B13,Movimientos!$D:$D,CONCATENATE("&lt;",KE$3),Movimientos!$C:$C,"&lt;0")</f>
        <v>0</v>
      </c>
      <c r="KF13" s="5">
        <f ca="1">SUMIFS(Movimientos!$C:$C,Movimientos!$A:$A,$B13,Movimientos!$D:$D,CONCATENATE("&lt;=",KF$3),Movimientos!$C:$C,"&gt;0")+SUMIFS(Movimientos!$C:$C,Movimientos!$A:$A,$B13,Movimientos!$D:$D,CONCATENATE("&lt;",KF$3),Movimientos!$C:$C,"&lt;0")</f>
        <v>0</v>
      </c>
      <c r="KG13" s="5">
        <f ca="1">SUMIFS(Movimientos!$C:$C,Movimientos!$A:$A,$B13,Movimientos!$D:$D,CONCATENATE("&lt;=",KG$3),Movimientos!$C:$C,"&gt;0")+SUMIFS(Movimientos!$C:$C,Movimientos!$A:$A,$B13,Movimientos!$D:$D,CONCATENATE("&lt;",KG$3),Movimientos!$C:$C,"&lt;0")</f>
        <v>0</v>
      </c>
      <c r="KH13" s="5">
        <f ca="1">SUMIFS(Movimientos!$C:$C,Movimientos!$A:$A,$B13,Movimientos!$D:$D,CONCATENATE("&lt;=",KH$3),Movimientos!$C:$C,"&gt;0")+SUMIFS(Movimientos!$C:$C,Movimientos!$A:$A,$B13,Movimientos!$D:$D,CONCATENATE("&lt;",KH$3),Movimientos!$C:$C,"&lt;0")</f>
        <v>0</v>
      </c>
      <c r="KI13" s="5">
        <f ca="1">SUMIFS(Movimientos!$C:$C,Movimientos!$A:$A,$B13,Movimientos!$D:$D,CONCATENATE("&lt;=",KI$3),Movimientos!$C:$C,"&gt;0")+SUMIFS(Movimientos!$C:$C,Movimientos!$A:$A,$B13,Movimientos!$D:$D,CONCATENATE("&lt;",KI$3),Movimientos!$C:$C,"&lt;0")</f>
        <v>0</v>
      </c>
      <c r="KJ13" s="5">
        <f ca="1">SUMIFS(Movimientos!$C:$C,Movimientos!$A:$A,$B13,Movimientos!$D:$D,CONCATENATE("&lt;=",KJ$3),Movimientos!$C:$C,"&gt;0")+SUMIFS(Movimientos!$C:$C,Movimientos!$A:$A,$B13,Movimientos!$D:$D,CONCATENATE("&lt;",KJ$3),Movimientos!$C:$C,"&lt;0")</f>
        <v>0</v>
      </c>
      <c r="KK13" s="5">
        <f ca="1">SUMIFS(Movimientos!$C:$C,Movimientos!$A:$A,$B13,Movimientos!$D:$D,CONCATENATE("&lt;=",KK$3),Movimientos!$C:$C,"&gt;0")+SUMIFS(Movimientos!$C:$C,Movimientos!$A:$A,$B13,Movimientos!$D:$D,CONCATENATE("&lt;",KK$3),Movimientos!$C:$C,"&lt;0")</f>
        <v>0</v>
      </c>
      <c r="KL13" s="5">
        <f ca="1">SUMIFS(Movimientos!$C:$C,Movimientos!$A:$A,$B13,Movimientos!$D:$D,CONCATENATE("&lt;=",KL$3),Movimientos!$C:$C,"&gt;0")+SUMIFS(Movimientos!$C:$C,Movimientos!$A:$A,$B13,Movimientos!$D:$D,CONCATENATE("&lt;",KL$3),Movimientos!$C:$C,"&lt;0")</f>
        <v>0</v>
      </c>
      <c r="KM13" s="5">
        <f ca="1">SUMIFS(Movimientos!$C:$C,Movimientos!$A:$A,$B13,Movimientos!$D:$D,CONCATENATE("&lt;=",KM$3),Movimientos!$C:$C,"&gt;0")+SUMIFS(Movimientos!$C:$C,Movimientos!$A:$A,$B13,Movimientos!$D:$D,CONCATENATE("&lt;",KM$3),Movimientos!$C:$C,"&lt;0")</f>
        <v>0</v>
      </c>
      <c r="KN13" s="5">
        <f ca="1">SUMIFS(Movimientos!$C:$C,Movimientos!$A:$A,$B13,Movimientos!$D:$D,CONCATENATE("&lt;=",KN$3),Movimientos!$C:$C,"&gt;0")+SUMIFS(Movimientos!$C:$C,Movimientos!$A:$A,$B13,Movimientos!$D:$D,CONCATENATE("&lt;",KN$3),Movimientos!$C:$C,"&lt;0")</f>
        <v>0</v>
      </c>
      <c r="KO13" s="5">
        <f ca="1">SUMIFS(Movimientos!$C:$C,Movimientos!$A:$A,$B13,Movimientos!$D:$D,CONCATENATE("&lt;=",KO$3),Movimientos!$C:$C,"&gt;0")+SUMIFS(Movimientos!$C:$C,Movimientos!$A:$A,$B13,Movimientos!$D:$D,CONCATENATE("&lt;",KO$3),Movimientos!$C:$C,"&lt;0")</f>
        <v>0</v>
      </c>
      <c r="KP13" s="5">
        <f ca="1">SUMIFS(Movimientos!$C:$C,Movimientos!$A:$A,$B13,Movimientos!$D:$D,CONCATENATE("&lt;=",KP$3),Movimientos!$C:$C,"&gt;0")+SUMIFS(Movimientos!$C:$C,Movimientos!$A:$A,$B13,Movimientos!$D:$D,CONCATENATE("&lt;",KP$3),Movimientos!$C:$C,"&lt;0")</f>
        <v>0</v>
      </c>
      <c r="KQ13" s="5">
        <f ca="1">SUMIFS(Movimientos!$C:$C,Movimientos!$A:$A,$B13,Movimientos!$D:$D,CONCATENATE("&lt;=",KQ$3),Movimientos!$C:$C,"&gt;0")+SUMIFS(Movimientos!$C:$C,Movimientos!$A:$A,$B13,Movimientos!$D:$D,CONCATENATE("&lt;",KQ$3),Movimientos!$C:$C,"&lt;0")</f>
        <v>0</v>
      </c>
      <c r="KR13" s="5">
        <f ca="1">SUMIFS(Movimientos!$C:$C,Movimientos!$A:$A,$B13,Movimientos!$D:$D,CONCATENATE("&lt;=",KR$3),Movimientos!$C:$C,"&gt;0")+SUMIFS(Movimientos!$C:$C,Movimientos!$A:$A,$B13,Movimientos!$D:$D,CONCATENATE("&lt;",KR$3),Movimientos!$C:$C,"&lt;0")</f>
        <v>0</v>
      </c>
      <c r="KS13" s="5">
        <f ca="1">SUMIFS(Movimientos!$C:$C,Movimientos!$A:$A,$B13,Movimientos!$D:$D,CONCATENATE("&lt;=",KS$3),Movimientos!$C:$C,"&gt;0")+SUMIFS(Movimientos!$C:$C,Movimientos!$A:$A,$B13,Movimientos!$D:$D,CONCATENATE("&lt;",KS$3),Movimientos!$C:$C,"&lt;0")</f>
        <v>0</v>
      </c>
      <c r="KT13" s="5">
        <f ca="1">SUMIFS(Movimientos!$C:$C,Movimientos!$A:$A,$B13,Movimientos!$D:$D,CONCATENATE("&lt;=",KT$3),Movimientos!$C:$C,"&gt;0")+SUMIFS(Movimientos!$C:$C,Movimientos!$A:$A,$B13,Movimientos!$D:$D,CONCATENATE("&lt;",KT$3),Movimientos!$C:$C,"&lt;0")</f>
        <v>0</v>
      </c>
      <c r="KU13" s="5">
        <f ca="1">SUMIFS(Movimientos!$C:$C,Movimientos!$A:$A,$B13,Movimientos!$D:$D,CONCATENATE("&lt;=",KU$3),Movimientos!$C:$C,"&gt;0")+SUMIFS(Movimientos!$C:$C,Movimientos!$A:$A,$B13,Movimientos!$D:$D,CONCATENATE("&lt;",KU$3),Movimientos!$C:$C,"&lt;0")</f>
        <v>0</v>
      </c>
      <c r="KV13" s="5">
        <f ca="1">SUMIFS(Movimientos!$C:$C,Movimientos!$A:$A,$B13,Movimientos!$D:$D,CONCATENATE("&lt;=",KV$3),Movimientos!$C:$C,"&gt;0")+SUMIFS(Movimientos!$C:$C,Movimientos!$A:$A,$B13,Movimientos!$D:$D,CONCATENATE("&lt;",KV$3),Movimientos!$C:$C,"&lt;0")</f>
        <v>0</v>
      </c>
      <c r="KW13" s="5">
        <f ca="1">SUMIFS(Movimientos!$C:$C,Movimientos!$A:$A,$B13,Movimientos!$D:$D,CONCATENATE("&lt;=",KW$3),Movimientos!$C:$C,"&gt;0")+SUMIFS(Movimientos!$C:$C,Movimientos!$A:$A,$B13,Movimientos!$D:$D,CONCATENATE("&lt;",KW$3),Movimientos!$C:$C,"&lt;0")</f>
        <v>0</v>
      </c>
      <c r="KX13" s="5">
        <f ca="1">SUMIFS(Movimientos!$C:$C,Movimientos!$A:$A,$B13,Movimientos!$D:$D,CONCATENATE("&lt;=",KX$3),Movimientos!$C:$C,"&gt;0")+SUMIFS(Movimientos!$C:$C,Movimientos!$A:$A,$B13,Movimientos!$D:$D,CONCATENATE("&lt;",KX$3),Movimientos!$C:$C,"&lt;0")</f>
        <v>0</v>
      </c>
      <c r="KY13" s="5">
        <f ca="1">SUMIFS(Movimientos!$C:$C,Movimientos!$A:$A,$B13,Movimientos!$D:$D,CONCATENATE("&lt;=",KY$3),Movimientos!$C:$C,"&gt;0")+SUMIFS(Movimientos!$C:$C,Movimientos!$A:$A,$B13,Movimientos!$D:$D,CONCATENATE("&lt;",KY$3),Movimientos!$C:$C,"&lt;0")</f>
        <v>0</v>
      </c>
      <c r="KZ13" s="5">
        <f ca="1">SUMIFS(Movimientos!$C:$C,Movimientos!$A:$A,$B13,Movimientos!$D:$D,CONCATENATE("&lt;=",KZ$3),Movimientos!$C:$C,"&gt;0")+SUMIFS(Movimientos!$C:$C,Movimientos!$A:$A,$B13,Movimientos!$D:$D,CONCATENATE("&lt;",KZ$3),Movimientos!$C:$C,"&lt;0")</f>
        <v>0</v>
      </c>
      <c r="LA13" s="5">
        <f ca="1">SUMIFS(Movimientos!$C:$C,Movimientos!$A:$A,$B13,Movimientos!$D:$D,CONCATENATE("&lt;=",LA$3),Movimientos!$C:$C,"&gt;0")+SUMIFS(Movimientos!$C:$C,Movimientos!$A:$A,$B13,Movimientos!$D:$D,CONCATENATE("&lt;",LA$3),Movimientos!$C:$C,"&lt;0")</f>
        <v>0</v>
      </c>
      <c r="LB13" s="5">
        <f ca="1">SUMIFS(Movimientos!$C:$C,Movimientos!$A:$A,$B13,Movimientos!$D:$D,CONCATENATE("&lt;=",LB$3),Movimientos!$C:$C,"&gt;0")+SUMIFS(Movimientos!$C:$C,Movimientos!$A:$A,$B13,Movimientos!$D:$D,CONCATENATE("&lt;",LB$3),Movimientos!$C:$C,"&lt;0")</f>
        <v>0</v>
      </c>
      <c r="LC13" s="5">
        <f ca="1">SUMIFS(Movimientos!$C:$C,Movimientos!$A:$A,$B13,Movimientos!$D:$D,CONCATENATE("&lt;=",LC$3),Movimientos!$C:$C,"&gt;0")+SUMIFS(Movimientos!$C:$C,Movimientos!$A:$A,$B13,Movimientos!$D:$D,CONCATENATE("&lt;",LC$3),Movimientos!$C:$C,"&lt;0")</f>
        <v>0</v>
      </c>
      <c r="LD13" s="5">
        <f ca="1">SUMIFS(Movimientos!$C:$C,Movimientos!$A:$A,$B13,Movimientos!$D:$D,CONCATENATE("&lt;=",LD$3),Movimientos!$C:$C,"&gt;0")+SUMIFS(Movimientos!$C:$C,Movimientos!$A:$A,$B13,Movimientos!$D:$D,CONCATENATE("&lt;",LD$3),Movimientos!$C:$C,"&lt;0")</f>
        <v>0</v>
      </c>
      <c r="LE13" s="5">
        <f ca="1">SUMIFS(Movimientos!$C:$C,Movimientos!$A:$A,$B13,Movimientos!$D:$D,CONCATENATE("&lt;=",LE$3),Movimientos!$C:$C,"&gt;0")+SUMIFS(Movimientos!$C:$C,Movimientos!$A:$A,$B13,Movimientos!$D:$D,CONCATENATE("&lt;",LE$3),Movimientos!$C:$C,"&lt;0")</f>
        <v>0</v>
      </c>
      <c r="LF13" s="5">
        <f ca="1">SUMIFS(Movimientos!$C:$C,Movimientos!$A:$A,$B13,Movimientos!$D:$D,CONCATENATE("&lt;=",LF$3),Movimientos!$C:$C,"&gt;0")+SUMIFS(Movimientos!$C:$C,Movimientos!$A:$A,$B13,Movimientos!$D:$D,CONCATENATE("&lt;",LF$3),Movimientos!$C:$C,"&lt;0")</f>
        <v>0</v>
      </c>
      <c r="LG13" s="5">
        <f ca="1">SUMIFS(Movimientos!$C:$C,Movimientos!$A:$A,$B13,Movimientos!$D:$D,CONCATENATE("&lt;=",LG$3),Movimientos!$C:$C,"&gt;0")+SUMIFS(Movimientos!$C:$C,Movimientos!$A:$A,$B13,Movimientos!$D:$D,CONCATENATE("&lt;",LG$3),Movimientos!$C:$C,"&lt;0")</f>
        <v>0</v>
      </c>
      <c r="LH13" s="5">
        <f ca="1">SUMIFS(Movimientos!$C:$C,Movimientos!$A:$A,$B13,Movimientos!$D:$D,CONCATENATE("&lt;=",LH$3),Movimientos!$C:$C,"&gt;0")+SUMIFS(Movimientos!$C:$C,Movimientos!$A:$A,$B13,Movimientos!$D:$D,CONCATENATE("&lt;",LH$3),Movimientos!$C:$C,"&lt;0")</f>
        <v>0</v>
      </c>
      <c r="LI13" s="5">
        <f ca="1">SUMIFS(Movimientos!$C:$C,Movimientos!$A:$A,$B13,Movimientos!$D:$D,CONCATENATE("&lt;=",LI$3),Movimientos!$C:$C,"&gt;0")+SUMIFS(Movimientos!$C:$C,Movimientos!$A:$A,$B13,Movimientos!$D:$D,CONCATENATE("&lt;",LI$3),Movimientos!$C:$C,"&lt;0")</f>
        <v>0</v>
      </c>
      <c r="LJ13" s="5">
        <f ca="1">SUMIFS(Movimientos!$C:$C,Movimientos!$A:$A,$B13,Movimientos!$D:$D,CONCATENATE("&lt;=",LJ$3),Movimientos!$C:$C,"&gt;0")+SUMIFS(Movimientos!$C:$C,Movimientos!$A:$A,$B13,Movimientos!$D:$D,CONCATENATE("&lt;",LJ$3),Movimientos!$C:$C,"&lt;0")</f>
        <v>0</v>
      </c>
      <c r="LK13" s="5">
        <f ca="1">SUMIFS(Movimientos!$C:$C,Movimientos!$A:$A,$B13,Movimientos!$D:$D,CONCATENATE("&lt;=",LK$3),Movimientos!$C:$C,"&gt;0")+SUMIFS(Movimientos!$C:$C,Movimientos!$A:$A,$B13,Movimientos!$D:$D,CONCATENATE("&lt;",LK$3),Movimientos!$C:$C,"&lt;0")</f>
        <v>0</v>
      </c>
      <c r="LL13" s="5">
        <f ca="1">SUMIFS(Movimientos!$C:$C,Movimientos!$A:$A,$B13,Movimientos!$D:$D,CONCATENATE("&lt;=",LL$3),Movimientos!$C:$C,"&gt;0")+SUMIFS(Movimientos!$C:$C,Movimientos!$A:$A,$B13,Movimientos!$D:$D,CONCATENATE("&lt;",LL$3),Movimientos!$C:$C,"&lt;0")</f>
        <v>0</v>
      </c>
      <c r="LM13" s="5">
        <f ca="1">SUMIFS(Movimientos!$C:$C,Movimientos!$A:$A,$B13,Movimientos!$D:$D,CONCATENATE("&lt;=",LM$3),Movimientos!$C:$C,"&gt;0")+SUMIFS(Movimientos!$C:$C,Movimientos!$A:$A,$B13,Movimientos!$D:$D,CONCATENATE("&lt;",LM$3),Movimientos!$C:$C,"&lt;0")</f>
        <v>0</v>
      </c>
      <c r="LN13" s="5">
        <f ca="1">SUMIFS(Movimientos!$C:$C,Movimientos!$A:$A,$B13,Movimientos!$D:$D,CONCATENATE("&lt;=",LN$3),Movimientos!$C:$C,"&gt;0")+SUMIFS(Movimientos!$C:$C,Movimientos!$A:$A,$B13,Movimientos!$D:$D,CONCATENATE("&lt;",LN$3),Movimientos!$C:$C,"&lt;0")</f>
        <v>0</v>
      </c>
      <c r="LO13" s="5">
        <f ca="1">SUMIFS(Movimientos!$C:$C,Movimientos!$A:$A,$B13,Movimientos!$D:$D,CONCATENATE("&lt;=",LO$3),Movimientos!$C:$C,"&gt;0")+SUMIFS(Movimientos!$C:$C,Movimientos!$A:$A,$B13,Movimientos!$D:$D,CONCATENATE("&lt;",LO$3),Movimientos!$C:$C,"&lt;0")</f>
        <v>0</v>
      </c>
      <c r="LP13" s="5">
        <f ca="1">SUMIFS(Movimientos!$C:$C,Movimientos!$A:$A,$B13,Movimientos!$D:$D,CONCATENATE("&lt;=",LP$3),Movimientos!$C:$C,"&gt;0")+SUMIFS(Movimientos!$C:$C,Movimientos!$A:$A,$B13,Movimientos!$D:$D,CONCATENATE("&lt;",LP$3),Movimientos!$C:$C,"&lt;0")</f>
        <v>0</v>
      </c>
      <c r="LQ13" s="5">
        <f ca="1">SUMIFS(Movimientos!$C:$C,Movimientos!$A:$A,$B13,Movimientos!$D:$D,CONCATENATE("&lt;=",LQ$3),Movimientos!$C:$C,"&gt;0")+SUMIFS(Movimientos!$C:$C,Movimientos!$A:$A,$B13,Movimientos!$D:$D,CONCATENATE("&lt;",LQ$3),Movimientos!$C:$C,"&lt;0")</f>
        <v>0</v>
      </c>
      <c r="LR13" s="5">
        <f ca="1">SUMIFS(Movimientos!$C:$C,Movimientos!$A:$A,$B13,Movimientos!$D:$D,CONCATENATE("&lt;=",LR$3),Movimientos!$C:$C,"&gt;0")+SUMIFS(Movimientos!$C:$C,Movimientos!$A:$A,$B13,Movimientos!$D:$D,CONCATENATE("&lt;",LR$3),Movimientos!$C:$C,"&lt;0")</f>
        <v>0</v>
      </c>
      <c r="LS13" s="5">
        <f ca="1">SUMIFS(Movimientos!$C:$C,Movimientos!$A:$A,$B13,Movimientos!$D:$D,CONCATENATE("&lt;=",LS$3),Movimientos!$C:$C,"&gt;0")+SUMIFS(Movimientos!$C:$C,Movimientos!$A:$A,$B13,Movimientos!$D:$D,CONCATENATE("&lt;",LS$3),Movimientos!$C:$C,"&lt;0")</f>
        <v>0</v>
      </c>
      <c r="LT13" s="5">
        <f ca="1">SUMIFS(Movimientos!$C:$C,Movimientos!$A:$A,$B13,Movimientos!$D:$D,CONCATENATE("&lt;=",LT$3),Movimientos!$C:$C,"&gt;0")+SUMIFS(Movimientos!$C:$C,Movimientos!$A:$A,$B13,Movimientos!$D:$D,CONCATENATE("&lt;",LT$3),Movimientos!$C:$C,"&lt;0")</f>
        <v>0</v>
      </c>
      <c r="LU13" s="5">
        <f ca="1">SUMIFS(Movimientos!$C:$C,Movimientos!$A:$A,$B13,Movimientos!$D:$D,CONCATENATE("&lt;=",LU$3),Movimientos!$C:$C,"&gt;0")+SUMIFS(Movimientos!$C:$C,Movimientos!$A:$A,$B13,Movimientos!$D:$D,CONCATENATE("&lt;",LU$3),Movimientos!$C:$C,"&lt;0")</f>
        <v>0</v>
      </c>
      <c r="LV13" s="5">
        <f ca="1">SUMIFS(Movimientos!$C:$C,Movimientos!$A:$A,$B13,Movimientos!$D:$D,CONCATENATE("&lt;=",LV$3),Movimientos!$C:$C,"&gt;0")+SUMIFS(Movimientos!$C:$C,Movimientos!$A:$A,$B13,Movimientos!$D:$D,CONCATENATE("&lt;",LV$3),Movimientos!$C:$C,"&lt;0")</f>
        <v>0</v>
      </c>
      <c r="LW13" s="5">
        <f ca="1">SUMIFS(Movimientos!$C:$C,Movimientos!$A:$A,$B13,Movimientos!$D:$D,CONCATENATE("&lt;=",LW$3),Movimientos!$C:$C,"&gt;0")+SUMIFS(Movimientos!$C:$C,Movimientos!$A:$A,$B13,Movimientos!$D:$D,CONCATENATE("&lt;",LW$3),Movimientos!$C:$C,"&lt;0")</f>
        <v>0</v>
      </c>
      <c r="LX13" s="5">
        <f ca="1">SUMIFS(Movimientos!$C:$C,Movimientos!$A:$A,$B13,Movimientos!$D:$D,CONCATENATE("&lt;=",LX$3),Movimientos!$C:$C,"&gt;0")+SUMIFS(Movimientos!$C:$C,Movimientos!$A:$A,$B13,Movimientos!$D:$D,CONCATENATE("&lt;",LX$3),Movimientos!$C:$C,"&lt;0")</f>
        <v>0</v>
      </c>
      <c r="LY13" s="5">
        <f ca="1">SUMIFS(Movimientos!$C:$C,Movimientos!$A:$A,$B13,Movimientos!$D:$D,CONCATENATE("&lt;=",LY$3),Movimientos!$C:$C,"&gt;0")+SUMIFS(Movimientos!$C:$C,Movimientos!$A:$A,$B13,Movimientos!$D:$D,CONCATENATE("&lt;",LY$3),Movimientos!$C:$C,"&lt;0")</f>
        <v>0</v>
      </c>
      <c r="LZ13" s="5">
        <f ca="1">SUMIFS(Movimientos!$C:$C,Movimientos!$A:$A,$B13,Movimientos!$D:$D,CONCATENATE("&lt;=",LZ$3),Movimientos!$C:$C,"&gt;0")+SUMIFS(Movimientos!$C:$C,Movimientos!$A:$A,$B13,Movimientos!$D:$D,CONCATENATE("&lt;",LZ$3),Movimientos!$C:$C,"&lt;0")</f>
        <v>0</v>
      </c>
      <c r="MA13" s="5">
        <f ca="1">SUMIFS(Movimientos!$C:$C,Movimientos!$A:$A,$B13,Movimientos!$D:$D,CONCATENATE("&lt;=",MA$3),Movimientos!$C:$C,"&gt;0")+SUMIFS(Movimientos!$C:$C,Movimientos!$A:$A,$B13,Movimientos!$D:$D,CONCATENATE("&lt;",MA$3),Movimientos!$C:$C,"&lt;0")</f>
        <v>0</v>
      </c>
      <c r="MB13" s="5">
        <f ca="1">SUMIFS(Movimientos!$C:$C,Movimientos!$A:$A,$B13,Movimientos!$D:$D,CONCATENATE("&lt;=",MB$3),Movimientos!$C:$C,"&gt;0")+SUMIFS(Movimientos!$C:$C,Movimientos!$A:$A,$B13,Movimientos!$D:$D,CONCATENATE("&lt;",MB$3),Movimientos!$C:$C,"&lt;0")</f>
        <v>0</v>
      </c>
      <c r="MC13" s="5">
        <f ca="1">SUMIFS(Movimientos!$C:$C,Movimientos!$A:$A,$B13,Movimientos!$D:$D,CONCATENATE("&lt;=",MC$3),Movimientos!$C:$C,"&gt;0")+SUMIFS(Movimientos!$C:$C,Movimientos!$A:$A,$B13,Movimientos!$D:$D,CONCATENATE("&lt;",MC$3),Movimientos!$C:$C,"&lt;0")</f>
        <v>0</v>
      </c>
      <c r="MD13" s="5">
        <f ca="1">SUMIFS(Movimientos!$C:$C,Movimientos!$A:$A,$B13,Movimientos!$D:$D,CONCATENATE("&lt;=",MD$3),Movimientos!$C:$C,"&gt;0")+SUMIFS(Movimientos!$C:$C,Movimientos!$A:$A,$B13,Movimientos!$D:$D,CONCATENATE("&lt;",MD$3),Movimientos!$C:$C,"&lt;0")</f>
        <v>0</v>
      </c>
      <c r="ME13" s="5">
        <f ca="1">SUMIFS(Movimientos!$C:$C,Movimientos!$A:$A,$B13,Movimientos!$D:$D,CONCATENATE("&lt;=",ME$3),Movimientos!$C:$C,"&gt;0")+SUMIFS(Movimientos!$C:$C,Movimientos!$A:$A,$B13,Movimientos!$D:$D,CONCATENATE("&lt;",ME$3),Movimientos!$C:$C,"&lt;0")</f>
        <v>0</v>
      </c>
      <c r="MF13" s="5">
        <f ca="1">SUMIFS(Movimientos!$C:$C,Movimientos!$A:$A,$B13,Movimientos!$D:$D,CONCATENATE("&lt;=",MF$3),Movimientos!$C:$C,"&gt;0")+SUMIFS(Movimientos!$C:$C,Movimientos!$A:$A,$B13,Movimientos!$D:$D,CONCATENATE("&lt;",MF$3),Movimientos!$C:$C,"&lt;0")</f>
        <v>0</v>
      </c>
      <c r="MG13" s="5">
        <f ca="1">SUMIFS(Movimientos!$C:$C,Movimientos!$A:$A,$B13,Movimientos!$D:$D,CONCATENATE("&lt;=",MG$3),Movimientos!$C:$C,"&gt;0")+SUMIFS(Movimientos!$C:$C,Movimientos!$A:$A,$B13,Movimientos!$D:$D,CONCATENATE("&lt;",MG$3),Movimientos!$C:$C,"&lt;0")</f>
        <v>0</v>
      </c>
      <c r="MH13" s="5">
        <f ca="1">SUMIFS(Movimientos!$C:$C,Movimientos!$A:$A,$B13,Movimientos!$D:$D,CONCATENATE("&lt;=",MH$3),Movimientos!$C:$C,"&gt;0")+SUMIFS(Movimientos!$C:$C,Movimientos!$A:$A,$B13,Movimientos!$D:$D,CONCATENATE("&lt;",MH$3),Movimientos!$C:$C,"&lt;0")</f>
        <v>0</v>
      </c>
      <c r="MI13" s="5">
        <f ca="1">SUMIFS(Movimientos!$C:$C,Movimientos!$A:$A,$B13,Movimientos!$D:$D,CONCATENATE("&lt;=",MI$3),Movimientos!$C:$C,"&gt;0")+SUMIFS(Movimientos!$C:$C,Movimientos!$A:$A,$B13,Movimientos!$D:$D,CONCATENATE("&lt;",MI$3),Movimientos!$C:$C,"&lt;0")</f>
        <v>0</v>
      </c>
      <c r="MJ13" s="5">
        <f ca="1">SUMIFS(Movimientos!$C:$C,Movimientos!$A:$A,$B13,Movimientos!$D:$D,CONCATENATE("&lt;=",MJ$3),Movimientos!$C:$C,"&gt;0")+SUMIFS(Movimientos!$C:$C,Movimientos!$A:$A,$B13,Movimientos!$D:$D,CONCATENATE("&lt;",MJ$3),Movimientos!$C:$C,"&lt;0")</f>
        <v>0</v>
      </c>
      <c r="MK13" s="5">
        <f ca="1">SUMIFS(Movimientos!$C:$C,Movimientos!$A:$A,$B13,Movimientos!$D:$D,CONCATENATE("&lt;=",MK$3),Movimientos!$C:$C,"&gt;0")+SUMIFS(Movimientos!$C:$C,Movimientos!$A:$A,$B13,Movimientos!$D:$D,CONCATENATE("&lt;",MK$3),Movimientos!$C:$C,"&lt;0")</f>
        <v>0</v>
      </c>
      <c r="ML13" s="5">
        <f ca="1">SUMIFS(Movimientos!$C:$C,Movimientos!$A:$A,$B13,Movimientos!$D:$D,CONCATENATE("&lt;=",ML$3),Movimientos!$C:$C,"&gt;0")+SUMIFS(Movimientos!$C:$C,Movimientos!$A:$A,$B13,Movimientos!$D:$D,CONCATENATE("&lt;",ML$3),Movimientos!$C:$C,"&lt;0")</f>
        <v>0</v>
      </c>
      <c r="MM13" s="5">
        <f ca="1">SUMIFS(Movimientos!$C:$C,Movimientos!$A:$A,$B13,Movimientos!$D:$D,CONCATENATE("&lt;=",MM$3),Movimientos!$C:$C,"&gt;0")+SUMIFS(Movimientos!$C:$C,Movimientos!$A:$A,$B13,Movimientos!$D:$D,CONCATENATE("&lt;",MM$3),Movimientos!$C:$C,"&lt;0")</f>
        <v>0</v>
      </c>
      <c r="MN13" s="5">
        <f ca="1">SUMIFS(Movimientos!$C:$C,Movimientos!$A:$A,$B13,Movimientos!$D:$D,CONCATENATE("&lt;=",MN$3),Movimientos!$C:$C,"&gt;0")+SUMIFS(Movimientos!$C:$C,Movimientos!$A:$A,$B13,Movimientos!$D:$D,CONCATENATE("&lt;",MN$3),Movimientos!$C:$C,"&lt;0")</f>
        <v>0</v>
      </c>
      <c r="MO13" s="5">
        <f ca="1">SUMIFS(Movimientos!$C:$C,Movimientos!$A:$A,$B13,Movimientos!$D:$D,CONCATENATE("&lt;=",MO$3),Movimientos!$C:$C,"&gt;0")+SUMIFS(Movimientos!$C:$C,Movimientos!$A:$A,$B13,Movimientos!$D:$D,CONCATENATE("&lt;",MO$3),Movimientos!$C:$C,"&lt;0")</f>
        <v>0</v>
      </c>
      <c r="MP13" s="5">
        <f ca="1">SUMIFS(Movimientos!$C:$C,Movimientos!$A:$A,$B13,Movimientos!$D:$D,CONCATENATE("&lt;=",MP$3),Movimientos!$C:$C,"&gt;0")+SUMIFS(Movimientos!$C:$C,Movimientos!$A:$A,$B13,Movimientos!$D:$D,CONCATENATE("&lt;",MP$3),Movimientos!$C:$C,"&lt;0")</f>
        <v>0</v>
      </c>
      <c r="MQ13" s="5">
        <f ca="1">SUMIFS(Movimientos!$C:$C,Movimientos!$A:$A,$B13,Movimientos!$D:$D,CONCATENATE("&lt;=",MQ$3),Movimientos!$C:$C,"&gt;0")+SUMIFS(Movimientos!$C:$C,Movimientos!$A:$A,$B13,Movimientos!$D:$D,CONCATENATE("&lt;",MQ$3),Movimientos!$C:$C,"&lt;0")</f>
        <v>0</v>
      </c>
      <c r="MR13" s="5">
        <f ca="1">SUMIFS(Movimientos!$C:$C,Movimientos!$A:$A,$B13,Movimientos!$D:$D,CONCATENATE("&lt;=",MR$3),Movimientos!$C:$C,"&gt;0")+SUMIFS(Movimientos!$C:$C,Movimientos!$A:$A,$B13,Movimientos!$D:$D,CONCATENATE("&lt;",MR$3),Movimientos!$C:$C,"&lt;0")</f>
        <v>0</v>
      </c>
      <c r="MS13" s="5">
        <f ca="1">SUMIFS(Movimientos!$C:$C,Movimientos!$A:$A,$B13,Movimientos!$D:$D,CONCATENATE("&lt;=",MS$3),Movimientos!$C:$C,"&gt;0")+SUMIFS(Movimientos!$C:$C,Movimientos!$A:$A,$B13,Movimientos!$D:$D,CONCATENATE("&lt;",MS$3),Movimientos!$C:$C,"&lt;0")</f>
        <v>0</v>
      </c>
      <c r="MT13" s="5">
        <f ca="1">SUMIFS(Movimientos!$C:$C,Movimientos!$A:$A,$B13,Movimientos!$D:$D,CONCATENATE("&lt;=",MT$3),Movimientos!$C:$C,"&gt;0")+SUMIFS(Movimientos!$C:$C,Movimientos!$A:$A,$B13,Movimientos!$D:$D,CONCATENATE("&lt;",MT$3),Movimientos!$C:$C,"&lt;0")</f>
        <v>0</v>
      </c>
      <c r="MU13" s="5">
        <f ca="1">SUMIFS(Movimientos!$C:$C,Movimientos!$A:$A,$B13,Movimientos!$D:$D,CONCATENATE("&lt;=",MU$3),Movimientos!$C:$C,"&gt;0")+SUMIFS(Movimientos!$C:$C,Movimientos!$A:$A,$B13,Movimientos!$D:$D,CONCATENATE("&lt;",MU$3),Movimientos!$C:$C,"&lt;0")</f>
        <v>0</v>
      </c>
      <c r="MV13" s="5">
        <f ca="1">SUMIFS(Movimientos!$C:$C,Movimientos!$A:$A,$B13,Movimientos!$D:$D,CONCATENATE("&lt;=",MV$3),Movimientos!$C:$C,"&gt;0")+SUMIFS(Movimientos!$C:$C,Movimientos!$A:$A,$B13,Movimientos!$D:$D,CONCATENATE("&lt;",MV$3),Movimientos!$C:$C,"&lt;0")</f>
        <v>0</v>
      </c>
      <c r="MW13" s="5">
        <f ca="1">SUMIFS(Movimientos!$C:$C,Movimientos!$A:$A,$B13,Movimientos!$D:$D,CONCATENATE("&lt;=",MW$3),Movimientos!$C:$C,"&gt;0")+SUMIFS(Movimientos!$C:$C,Movimientos!$A:$A,$B13,Movimientos!$D:$D,CONCATENATE("&lt;",MW$3),Movimientos!$C:$C,"&lt;0")</f>
        <v>0</v>
      </c>
      <c r="MX13" s="5">
        <f ca="1">SUMIFS(Movimientos!$C:$C,Movimientos!$A:$A,$B13,Movimientos!$D:$D,CONCATENATE("&lt;=",MX$3),Movimientos!$C:$C,"&gt;0")+SUMIFS(Movimientos!$C:$C,Movimientos!$A:$A,$B13,Movimientos!$D:$D,CONCATENATE("&lt;",MX$3),Movimientos!$C:$C,"&lt;0")</f>
        <v>0</v>
      </c>
      <c r="MY13" s="5">
        <f ca="1">SUMIFS(Movimientos!$C:$C,Movimientos!$A:$A,$B13,Movimientos!$D:$D,CONCATENATE("&lt;=",MY$3),Movimientos!$C:$C,"&gt;0")+SUMIFS(Movimientos!$C:$C,Movimientos!$A:$A,$B13,Movimientos!$D:$D,CONCATENATE("&lt;",MY$3),Movimientos!$C:$C,"&lt;0")</f>
        <v>0</v>
      </c>
      <c r="MZ13" s="5">
        <f ca="1">SUMIFS(Movimientos!$C:$C,Movimientos!$A:$A,$B13,Movimientos!$D:$D,CONCATENATE("&lt;=",MZ$3),Movimientos!$C:$C,"&gt;0")+SUMIFS(Movimientos!$C:$C,Movimientos!$A:$A,$B13,Movimientos!$D:$D,CONCATENATE("&lt;",MZ$3),Movimientos!$C:$C,"&lt;0")</f>
        <v>0</v>
      </c>
      <c r="NA13" s="5">
        <f ca="1">SUMIFS(Movimientos!$C:$C,Movimientos!$A:$A,$B13,Movimientos!$D:$D,CONCATENATE("&lt;=",NA$3),Movimientos!$C:$C,"&gt;0")+SUMIFS(Movimientos!$C:$C,Movimientos!$A:$A,$B13,Movimientos!$D:$D,CONCATENATE("&lt;",NA$3),Movimientos!$C:$C,"&lt;0")</f>
        <v>0</v>
      </c>
      <c r="NB13" s="5">
        <f ca="1">SUMIFS(Movimientos!$C:$C,Movimientos!$A:$A,$B13,Movimientos!$D:$D,CONCATENATE("&lt;=",NB$3),Movimientos!$C:$C,"&gt;0")+SUMIFS(Movimientos!$C:$C,Movimientos!$A:$A,$B13,Movimientos!$D:$D,CONCATENATE("&lt;",NB$3),Movimientos!$C:$C,"&lt;0")</f>
        <v>0</v>
      </c>
      <c r="NC13" s="5">
        <f ca="1">SUMIFS(Movimientos!$C:$C,Movimientos!$A:$A,$B13,Movimientos!$D:$D,CONCATENATE("&lt;=",NC$3),Movimientos!$C:$C,"&gt;0")+SUMIFS(Movimientos!$C:$C,Movimientos!$A:$A,$B13,Movimientos!$D:$D,CONCATENATE("&lt;",NC$3),Movimientos!$C:$C,"&lt;0")</f>
        <v>0</v>
      </c>
      <c r="ND13" s="5">
        <f ca="1">SUMIFS(Movimientos!$C:$C,Movimientos!$A:$A,$B13,Movimientos!$D:$D,CONCATENATE("&lt;=",ND$3),Movimientos!$C:$C,"&gt;0")+SUMIFS(Movimientos!$C:$C,Movimientos!$A:$A,$B13,Movimientos!$D:$D,CONCATENATE("&lt;",ND$3),Movimientos!$C:$C,"&lt;0")</f>
        <v>0</v>
      </c>
      <c r="NE13" s="5">
        <f ca="1">SUMIFS(Movimientos!$C:$C,Movimientos!$A:$A,$B13,Movimientos!$D:$D,CONCATENATE("&lt;=",NE$3),Movimientos!$C:$C,"&gt;0")+SUMIFS(Movimientos!$C:$C,Movimientos!$A:$A,$B13,Movimientos!$D:$D,CONCATENATE("&lt;",NE$3),Movimientos!$C:$C,"&lt;0")</f>
        <v>0</v>
      </c>
      <c r="NF13" s="5">
        <f ca="1">SUMIFS(Movimientos!$C:$C,Movimientos!$A:$A,$B13,Movimientos!$D:$D,CONCATENATE("&lt;=",NF$3),Movimientos!$C:$C,"&gt;0")+SUMIFS(Movimientos!$C:$C,Movimientos!$A:$A,$B13,Movimientos!$D:$D,CONCATENATE("&lt;",NF$3),Movimientos!$C:$C,"&lt;0")</f>
        <v>0</v>
      </c>
      <c r="NG13" s="5">
        <f ca="1">SUMIFS(Movimientos!$C:$C,Movimientos!$A:$A,$B13,Movimientos!$D:$D,CONCATENATE("&lt;=",NG$3),Movimientos!$C:$C,"&gt;0")+SUMIFS(Movimientos!$C:$C,Movimientos!$A:$A,$B13,Movimientos!$D:$D,CONCATENATE("&lt;",NG$3),Movimientos!$C:$C,"&lt;0")</f>
        <v>0</v>
      </c>
      <c r="NH13" s="5">
        <f ca="1">SUMIFS(Movimientos!$C:$C,Movimientos!$A:$A,$B13,Movimientos!$D:$D,CONCATENATE("&lt;=",NH$3),Movimientos!$C:$C,"&gt;0")+SUMIFS(Movimientos!$C:$C,Movimientos!$A:$A,$B13,Movimientos!$D:$D,CONCATENATE("&lt;",NH$3),Movimientos!$C:$C,"&lt;0")</f>
        <v>0</v>
      </c>
      <c r="NI13" s="5">
        <f ca="1">SUMIFS(Movimientos!$C:$C,Movimientos!$A:$A,$B13,Movimientos!$D:$D,CONCATENATE("&lt;=",NI$3),Movimientos!$C:$C,"&gt;0")+SUMIFS(Movimientos!$C:$C,Movimientos!$A:$A,$B13,Movimientos!$D:$D,CONCATENATE("&lt;",NI$3),Movimientos!$C:$C,"&lt;0")</f>
        <v>0</v>
      </c>
      <c r="NJ13" s="5">
        <f ca="1">SUMIFS(Movimientos!$C:$C,Movimientos!$A:$A,$B13,Movimientos!$D:$D,CONCATENATE("&lt;=",NJ$3),Movimientos!$C:$C,"&gt;0")+SUMIFS(Movimientos!$C:$C,Movimientos!$A:$A,$B13,Movimientos!$D:$D,CONCATENATE("&lt;",NJ$3),Movimientos!$C:$C,"&lt;0")</f>
        <v>0</v>
      </c>
      <c r="NK13" s="5">
        <f ca="1">SUMIFS(Movimientos!$C:$C,Movimientos!$A:$A,$B13,Movimientos!$D:$D,CONCATENATE("&lt;=",NK$3),Movimientos!$C:$C,"&gt;0")+SUMIFS(Movimientos!$C:$C,Movimientos!$A:$A,$B13,Movimientos!$D:$D,CONCATENATE("&lt;",NK$3),Movimientos!$C:$C,"&lt;0")</f>
        <v>0</v>
      </c>
      <c r="NL13" s="5">
        <f ca="1">SUMIFS(Movimientos!$C:$C,Movimientos!$A:$A,$B13,Movimientos!$D:$D,CONCATENATE("&lt;=",NL$3),Movimientos!$C:$C,"&gt;0")+SUMIFS(Movimientos!$C:$C,Movimientos!$A:$A,$B13,Movimientos!$D:$D,CONCATENATE("&lt;",NL$3),Movimientos!$C:$C,"&lt;0")</f>
        <v>0</v>
      </c>
      <c r="NM13" s="5">
        <f ca="1">SUMIFS(Movimientos!$C:$C,Movimientos!$A:$A,$B13,Movimientos!$D:$D,CONCATENATE("&lt;=",NM$3),Movimientos!$C:$C,"&gt;0")+SUMIFS(Movimientos!$C:$C,Movimientos!$A:$A,$B13,Movimientos!$D:$D,CONCATENATE("&lt;",NM$3),Movimientos!$C:$C,"&lt;0")</f>
        <v>0</v>
      </c>
      <c r="NN13" s="5">
        <f ca="1">SUMIFS(Movimientos!$C:$C,Movimientos!$A:$A,$B13,Movimientos!$D:$D,CONCATENATE("&lt;=",NN$3),Movimientos!$C:$C,"&gt;0")+SUMIFS(Movimientos!$C:$C,Movimientos!$A:$A,$B13,Movimientos!$D:$D,CONCATENATE("&lt;",NN$3),Movimientos!$C:$C,"&lt;0")</f>
        <v>0</v>
      </c>
      <c r="NO13" s="5">
        <f ca="1">SUMIFS(Movimientos!$C:$C,Movimientos!$A:$A,$B13,Movimientos!$D:$D,CONCATENATE("&lt;=",NO$3),Movimientos!$C:$C,"&gt;0")+SUMIFS(Movimientos!$C:$C,Movimientos!$A:$A,$B13,Movimientos!$D:$D,CONCATENATE("&lt;",NO$3),Movimientos!$C:$C,"&lt;0")</f>
        <v>0</v>
      </c>
      <c r="NP13" s="5">
        <f ca="1">SUMIFS(Movimientos!$C:$C,Movimientos!$A:$A,$B13,Movimientos!$D:$D,CONCATENATE("&lt;=",NP$3),Movimientos!$C:$C,"&gt;0")+SUMIFS(Movimientos!$C:$C,Movimientos!$A:$A,$B13,Movimientos!$D:$D,CONCATENATE("&lt;",NP$3),Movimientos!$C:$C,"&lt;0")</f>
        <v>0</v>
      </c>
      <c r="NQ13" s="5">
        <f ca="1">SUMIFS(Movimientos!$C:$C,Movimientos!$A:$A,$B13,Movimientos!$D:$D,CONCATENATE("&lt;=",NQ$3),Movimientos!$C:$C,"&gt;0")+SUMIFS(Movimientos!$C:$C,Movimientos!$A:$A,$B13,Movimientos!$D:$D,CONCATENATE("&lt;",NQ$3),Movimientos!$C:$C,"&lt;0")</f>
        <v>0</v>
      </c>
      <c r="NR13" s="5">
        <f ca="1">SUMIFS(Movimientos!$C:$C,Movimientos!$A:$A,$B13,Movimientos!$D:$D,CONCATENATE("&lt;=",NR$3),Movimientos!$C:$C,"&gt;0")+SUMIFS(Movimientos!$C:$C,Movimientos!$A:$A,$B13,Movimientos!$D:$D,CONCATENATE("&lt;",NR$3),Movimientos!$C:$C,"&lt;0")</f>
        <v>0</v>
      </c>
      <c r="NS13" s="5">
        <f ca="1">SUMIFS(Movimientos!$C:$C,Movimientos!$A:$A,$B13,Movimientos!$D:$D,CONCATENATE("&lt;=",NS$3),Movimientos!$C:$C,"&gt;0")+SUMIFS(Movimientos!$C:$C,Movimientos!$A:$A,$B13,Movimientos!$D:$D,CONCATENATE("&lt;",NS$3),Movimientos!$C:$C,"&lt;0")</f>
        <v>0</v>
      </c>
      <c r="NT13" s="5">
        <f ca="1">SUMIFS(Movimientos!$C:$C,Movimientos!$A:$A,$B13,Movimientos!$D:$D,CONCATENATE("&lt;=",NT$3),Movimientos!$C:$C,"&gt;0")+SUMIFS(Movimientos!$C:$C,Movimientos!$A:$A,$B13,Movimientos!$D:$D,CONCATENATE("&lt;",NT$3),Movimientos!$C:$C,"&lt;0")</f>
        <v>0</v>
      </c>
      <c r="NU13" s="5">
        <f ca="1">SUMIFS(Movimientos!$C:$C,Movimientos!$A:$A,$B13,Movimientos!$D:$D,CONCATENATE("&lt;=",NU$3),Movimientos!$C:$C,"&gt;0")+SUMIFS(Movimientos!$C:$C,Movimientos!$A:$A,$B13,Movimientos!$D:$D,CONCATENATE("&lt;",NU$3),Movimientos!$C:$C,"&lt;0")</f>
        <v>0</v>
      </c>
      <c r="NV13" s="5">
        <f ca="1">SUMIFS(Movimientos!$C:$C,Movimientos!$A:$A,$B13,Movimientos!$D:$D,CONCATENATE("&lt;=",NV$3),Movimientos!$C:$C,"&gt;0")+SUMIFS(Movimientos!$C:$C,Movimientos!$A:$A,$B13,Movimientos!$D:$D,CONCATENATE("&lt;",NV$3),Movimientos!$C:$C,"&lt;0")</f>
        <v>0</v>
      </c>
      <c r="NW13" s="5">
        <f ca="1">SUMIFS(Movimientos!$C:$C,Movimientos!$A:$A,$B13,Movimientos!$D:$D,CONCATENATE("&lt;=",NW$3),Movimientos!$C:$C,"&gt;0")+SUMIFS(Movimientos!$C:$C,Movimientos!$A:$A,$B13,Movimientos!$D:$D,CONCATENATE("&lt;",NW$3),Movimientos!$C:$C,"&lt;0")</f>
        <v>0</v>
      </c>
      <c r="NX13" s="5">
        <f ca="1">SUMIFS(Movimientos!$C:$C,Movimientos!$A:$A,$B13,Movimientos!$D:$D,CONCATENATE("&lt;=",NX$3),Movimientos!$C:$C,"&gt;0")+SUMIFS(Movimientos!$C:$C,Movimientos!$A:$A,$B13,Movimientos!$D:$D,CONCATENATE("&lt;",NX$3),Movimientos!$C:$C,"&lt;0")</f>
        <v>0</v>
      </c>
      <c r="NY13" s="5">
        <f ca="1">SUMIFS(Movimientos!$C:$C,Movimientos!$A:$A,$B13,Movimientos!$D:$D,CONCATENATE("&lt;=",NY$3),Movimientos!$C:$C,"&gt;0")+SUMIFS(Movimientos!$C:$C,Movimientos!$A:$A,$B13,Movimientos!$D:$D,CONCATENATE("&lt;",NY$3),Movimientos!$C:$C,"&lt;0")</f>
        <v>0</v>
      </c>
      <c r="NZ13" s="5">
        <f ca="1">SUMIFS(Movimientos!$C:$C,Movimientos!$A:$A,$B13,Movimientos!$D:$D,CONCATENATE("&lt;=",NZ$3),Movimientos!$C:$C,"&gt;0")+SUMIFS(Movimientos!$C:$C,Movimientos!$A:$A,$B13,Movimientos!$D:$D,CONCATENATE("&lt;",NZ$3),Movimientos!$C:$C,"&lt;0")</f>
        <v>0</v>
      </c>
      <c r="OA13" s="5">
        <f ca="1">SUMIFS(Movimientos!$C:$C,Movimientos!$A:$A,$B13,Movimientos!$D:$D,CONCATENATE("&lt;=",OA$3),Movimientos!$C:$C,"&gt;0")+SUMIFS(Movimientos!$C:$C,Movimientos!$A:$A,$B13,Movimientos!$D:$D,CONCATENATE("&lt;",OA$3),Movimientos!$C:$C,"&lt;0")</f>
        <v>0</v>
      </c>
      <c r="OB13" s="5">
        <f ca="1">SUMIFS(Movimientos!$C:$C,Movimientos!$A:$A,$B13,Movimientos!$D:$D,CONCATENATE("&lt;=",OB$3),Movimientos!$C:$C,"&gt;0")+SUMIFS(Movimientos!$C:$C,Movimientos!$A:$A,$B13,Movimientos!$D:$D,CONCATENATE("&lt;",OB$3),Movimientos!$C:$C,"&lt;0")</f>
        <v>0</v>
      </c>
      <c r="OC13" s="5">
        <f ca="1">SUMIFS(Movimientos!$C:$C,Movimientos!$A:$A,$B13,Movimientos!$D:$D,CONCATENATE("&lt;=",OC$3),Movimientos!$C:$C,"&gt;0")+SUMIFS(Movimientos!$C:$C,Movimientos!$A:$A,$B13,Movimientos!$D:$D,CONCATENATE("&lt;",OC$3),Movimientos!$C:$C,"&lt;0")</f>
        <v>0</v>
      </c>
      <c r="OD13" s="5">
        <f ca="1">SUMIFS(Movimientos!$C:$C,Movimientos!$A:$A,$B13,Movimientos!$D:$D,CONCATENATE("&lt;=",OD$3),Movimientos!$C:$C,"&gt;0")+SUMIFS(Movimientos!$C:$C,Movimientos!$A:$A,$B13,Movimientos!$D:$D,CONCATENATE("&lt;",OD$3),Movimientos!$C:$C,"&lt;0")</f>
        <v>0</v>
      </c>
      <c r="OE13" s="5">
        <f ca="1">SUMIFS(Movimientos!$C:$C,Movimientos!$A:$A,$B13,Movimientos!$D:$D,CONCATENATE("&lt;=",OE$3),Movimientos!$C:$C,"&gt;0")+SUMIFS(Movimientos!$C:$C,Movimientos!$A:$A,$B13,Movimientos!$D:$D,CONCATENATE("&lt;",OE$3),Movimientos!$C:$C,"&lt;0")</f>
        <v>0</v>
      </c>
      <c r="OF13" s="5">
        <f ca="1">SUMIFS(Movimientos!$C:$C,Movimientos!$A:$A,$B13,Movimientos!$D:$D,CONCATENATE("&lt;=",OF$3),Movimientos!$C:$C,"&gt;0")+SUMIFS(Movimientos!$C:$C,Movimientos!$A:$A,$B13,Movimientos!$D:$D,CONCATENATE("&lt;",OF$3),Movimientos!$C:$C,"&lt;0")</f>
        <v>0</v>
      </c>
      <c r="OG13" s="5">
        <f ca="1">SUMIFS(Movimientos!$C:$C,Movimientos!$A:$A,$B13,Movimientos!$D:$D,CONCATENATE("&lt;=",OG$3),Movimientos!$C:$C,"&gt;0")+SUMIFS(Movimientos!$C:$C,Movimientos!$A:$A,$B13,Movimientos!$D:$D,CONCATENATE("&lt;",OG$3),Movimientos!$C:$C,"&lt;0")</f>
        <v>0</v>
      </c>
      <c r="OH13" s="5">
        <f ca="1">SUMIFS(Movimientos!$C:$C,Movimientos!$A:$A,$B13,Movimientos!$D:$D,CONCATENATE("&lt;=",OH$3),Movimientos!$C:$C,"&gt;0")+SUMIFS(Movimientos!$C:$C,Movimientos!$A:$A,$B13,Movimientos!$D:$D,CONCATENATE("&lt;",OH$3),Movimientos!$C:$C,"&lt;0")</f>
        <v>0</v>
      </c>
      <c r="OI13" s="5">
        <f ca="1">SUMIFS(Movimientos!$C:$C,Movimientos!$A:$A,$B13,Movimientos!$D:$D,CONCATENATE("&lt;=",OI$3),Movimientos!$C:$C,"&gt;0")+SUMIFS(Movimientos!$C:$C,Movimientos!$A:$A,$B13,Movimientos!$D:$D,CONCATENATE("&lt;",OI$3),Movimientos!$C:$C,"&lt;0")</f>
        <v>0</v>
      </c>
      <c r="OJ13" s="5">
        <f ca="1">SUMIFS(Movimientos!$C:$C,Movimientos!$A:$A,$B13,Movimientos!$D:$D,CONCATENATE("&lt;=",OJ$3),Movimientos!$C:$C,"&gt;0")+SUMIFS(Movimientos!$C:$C,Movimientos!$A:$A,$B13,Movimientos!$D:$D,CONCATENATE("&lt;",OJ$3),Movimientos!$C:$C,"&lt;0")</f>
        <v>0</v>
      </c>
      <c r="OK13" s="5">
        <f ca="1">SUMIFS(Movimientos!$C:$C,Movimientos!$A:$A,$B13,Movimientos!$D:$D,CONCATENATE("&lt;=",OK$3),Movimientos!$C:$C,"&gt;0")+SUMIFS(Movimientos!$C:$C,Movimientos!$A:$A,$B13,Movimientos!$D:$D,CONCATENATE("&lt;",OK$3),Movimientos!$C:$C,"&lt;0")</f>
        <v>0</v>
      </c>
      <c r="OL13" s="5">
        <f ca="1">SUMIFS(Movimientos!$C:$C,Movimientos!$A:$A,$B13,Movimientos!$D:$D,CONCATENATE("&lt;=",OL$3),Movimientos!$C:$C,"&gt;0")+SUMIFS(Movimientos!$C:$C,Movimientos!$A:$A,$B13,Movimientos!$D:$D,CONCATENATE("&lt;",OL$3),Movimientos!$C:$C,"&lt;0")</f>
        <v>0</v>
      </c>
      <c r="OM13" s="5">
        <f ca="1">SUMIFS(Movimientos!$C:$C,Movimientos!$A:$A,$B13,Movimientos!$D:$D,CONCATENATE("&lt;=",OM$3),Movimientos!$C:$C,"&gt;0")+SUMIFS(Movimientos!$C:$C,Movimientos!$A:$A,$B13,Movimientos!$D:$D,CONCATENATE("&lt;",OM$3),Movimientos!$C:$C,"&lt;0")</f>
        <v>0</v>
      </c>
      <c r="ON13" s="5">
        <f ca="1">SUMIFS(Movimientos!$C:$C,Movimientos!$A:$A,$B13,Movimientos!$D:$D,CONCATENATE("&lt;=",ON$3),Movimientos!$C:$C,"&gt;0")+SUMIFS(Movimientos!$C:$C,Movimientos!$A:$A,$B13,Movimientos!$D:$D,CONCATENATE("&lt;",ON$3),Movimientos!$C:$C,"&lt;0")</f>
        <v>0</v>
      </c>
      <c r="OO13" s="5">
        <f ca="1">SUMIFS(Movimientos!$C:$C,Movimientos!$A:$A,$B13,Movimientos!$D:$D,CONCATENATE("&lt;=",OO$3),Movimientos!$C:$C,"&gt;0")+SUMIFS(Movimientos!$C:$C,Movimientos!$A:$A,$B13,Movimientos!$D:$D,CONCATENATE("&lt;",OO$3),Movimientos!$C:$C,"&lt;0")</f>
        <v>0</v>
      </c>
      <c r="OP13" s="5">
        <f ca="1">SUMIFS(Movimientos!$C:$C,Movimientos!$A:$A,$B13,Movimientos!$D:$D,CONCATENATE("&lt;=",OP$3),Movimientos!$C:$C,"&gt;0")+SUMIFS(Movimientos!$C:$C,Movimientos!$A:$A,$B13,Movimientos!$D:$D,CONCATENATE("&lt;",OP$3),Movimientos!$C:$C,"&lt;0")</f>
        <v>0</v>
      </c>
      <c r="OQ13" s="5">
        <f ca="1">SUMIFS(Movimientos!$C:$C,Movimientos!$A:$A,$B13,Movimientos!$D:$D,CONCATENATE("&lt;=",OQ$3),Movimientos!$C:$C,"&gt;0")+SUMIFS(Movimientos!$C:$C,Movimientos!$A:$A,$B13,Movimientos!$D:$D,CONCATENATE("&lt;",OQ$3),Movimientos!$C:$C,"&lt;0")</f>
        <v>0</v>
      </c>
      <c r="OR13" s="5">
        <f ca="1">SUMIFS(Movimientos!$C:$C,Movimientos!$A:$A,$B13,Movimientos!$D:$D,CONCATENATE("&lt;=",OR$3),Movimientos!$C:$C,"&gt;0")+SUMIFS(Movimientos!$C:$C,Movimientos!$A:$A,$B13,Movimientos!$D:$D,CONCATENATE("&lt;",OR$3),Movimientos!$C:$C,"&lt;0")</f>
        <v>0</v>
      </c>
      <c r="OS13" s="5">
        <f ca="1">SUMIFS(Movimientos!$C:$C,Movimientos!$A:$A,$B13,Movimientos!$D:$D,CONCATENATE("&lt;=",OS$3),Movimientos!$C:$C,"&gt;0")+SUMIFS(Movimientos!$C:$C,Movimientos!$A:$A,$B13,Movimientos!$D:$D,CONCATENATE("&lt;",OS$3),Movimientos!$C:$C,"&lt;0")</f>
        <v>0</v>
      </c>
      <c r="OT13" s="5">
        <f ca="1">SUMIFS(Movimientos!$C:$C,Movimientos!$A:$A,$B13,Movimientos!$D:$D,CONCATENATE("&lt;=",OT$3),Movimientos!$C:$C,"&gt;0")+SUMIFS(Movimientos!$C:$C,Movimientos!$A:$A,$B13,Movimientos!$D:$D,CONCATENATE("&lt;",OT$3),Movimientos!$C:$C,"&lt;0")</f>
        <v>0</v>
      </c>
      <c r="OU13" s="5">
        <f ca="1">SUMIFS(Movimientos!$C:$C,Movimientos!$A:$A,$B13,Movimientos!$D:$D,CONCATENATE("&lt;=",OU$3),Movimientos!$C:$C,"&gt;0")+SUMIFS(Movimientos!$C:$C,Movimientos!$A:$A,$B13,Movimientos!$D:$D,CONCATENATE("&lt;",OU$3),Movimientos!$C:$C,"&lt;0")</f>
        <v>0</v>
      </c>
      <c r="OV13" s="5">
        <f ca="1">SUMIFS(Movimientos!$C:$C,Movimientos!$A:$A,$B13,Movimientos!$D:$D,CONCATENATE("&lt;=",OV$3),Movimientos!$C:$C,"&gt;0")+SUMIFS(Movimientos!$C:$C,Movimientos!$A:$A,$B13,Movimientos!$D:$D,CONCATENATE("&lt;",OV$3),Movimientos!$C:$C,"&lt;0")</f>
        <v>0</v>
      </c>
      <c r="OW13" s="5">
        <f ca="1">SUMIFS(Movimientos!$C:$C,Movimientos!$A:$A,$B13,Movimientos!$D:$D,CONCATENATE("&lt;=",OW$3),Movimientos!$C:$C,"&gt;0")+SUMIFS(Movimientos!$C:$C,Movimientos!$A:$A,$B13,Movimientos!$D:$D,CONCATENATE("&lt;",OW$3),Movimientos!$C:$C,"&lt;0")</f>
        <v>0</v>
      </c>
      <c r="OX13" s="5">
        <f ca="1">SUMIFS(Movimientos!$C:$C,Movimientos!$A:$A,$B13,Movimientos!$D:$D,CONCATENATE("&lt;=",OX$3),Movimientos!$C:$C,"&gt;0")+SUMIFS(Movimientos!$C:$C,Movimientos!$A:$A,$B13,Movimientos!$D:$D,CONCATENATE("&lt;",OX$3),Movimientos!$C:$C,"&lt;0")</f>
        <v>0</v>
      </c>
      <c r="OY13" s="5">
        <f ca="1">SUMIFS(Movimientos!$C:$C,Movimientos!$A:$A,$B13,Movimientos!$D:$D,CONCATENATE("&lt;=",OY$3),Movimientos!$C:$C,"&gt;0")+SUMIFS(Movimientos!$C:$C,Movimientos!$A:$A,$B13,Movimientos!$D:$D,CONCATENATE("&lt;",OY$3),Movimientos!$C:$C,"&lt;0")</f>
        <v>0</v>
      </c>
      <c r="OZ13" s="5">
        <f ca="1">SUMIFS(Movimientos!$C:$C,Movimientos!$A:$A,$B13,Movimientos!$D:$D,CONCATENATE("&lt;=",OZ$3),Movimientos!$C:$C,"&gt;0")+SUMIFS(Movimientos!$C:$C,Movimientos!$A:$A,$B13,Movimientos!$D:$D,CONCATENATE("&lt;",OZ$3),Movimientos!$C:$C,"&lt;0")</f>
        <v>0</v>
      </c>
      <c r="PA13" s="5">
        <f ca="1">SUMIFS(Movimientos!$C:$C,Movimientos!$A:$A,$B13,Movimientos!$D:$D,CONCATENATE("&lt;=",PA$3),Movimientos!$C:$C,"&gt;0")+SUMIFS(Movimientos!$C:$C,Movimientos!$A:$A,$B13,Movimientos!$D:$D,CONCATENATE("&lt;",PA$3),Movimientos!$C:$C,"&lt;0")</f>
        <v>0</v>
      </c>
      <c r="PB13" s="5">
        <f ca="1">SUMIFS(Movimientos!$C:$C,Movimientos!$A:$A,$B13,Movimientos!$D:$D,CONCATENATE("&lt;=",PB$3),Movimientos!$C:$C,"&gt;0")+SUMIFS(Movimientos!$C:$C,Movimientos!$A:$A,$B13,Movimientos!$D:$D,CONCATENATE("&lt;",PB$3),Movimientos!$C:$C,"&lt;0")</f>
        <v>0</v>
      </c>
      <c r="PC13" s="5">
        <f ca="1">SUMIFS(Movimientos!$C:$C,Movimientos!$A:$A,$B13,Movimientos!$D:$D,CONCATENATE("&lt;=",PC$3),Movimientos!$C:$C,"&gt;0")+SUMIFS(Movimientos!$C:$C,Movimientos!$A:$A,$B13,Movimientos!$D:$D,CONCATENATE("&lt;",PC$3),Movimientos!$C:$C,"&lt;0")</f>
        <v>0</v>
      </c>
      <c r="PD13" s="5">
        <f ca="1">SUMIFS(Movimientos!$C:$C,Movimientos!$A:$A,$B13,Movimientos!$D:$D,CONCATENATE("&lt;=",PD$3),Movimientos!$C:$C,"&gt;0")+SUMIFS(Movimientos!$C:$C,Movimientos!$A:$A,$B13,Movimientos!$D:$D,CONCATENATE("&lt;",PD$3),Movimientos!$C:$C,"&lt;0")</f>
        <v>0</v>
      </c>
      <c r="PE13" s="5">
        <f ca="1">SUMIFS(Movimientos!$C:$C,Movimientos!$A:$A,$B13,Movimientos!$D:$D,CONCATENATE("&lt;=",PE$3),Movimientos!$C:$C,"&gt;0")+SUMIFS(Movimientos!$C:$C,Movimientos!$A:$A,$B13,Movimientos!$D:$D,CONCATENATE("&lt;",PE$3),Movimientos!$C:$C,"&lt;0")</f>
        <v>0</v>
      </c>
      <c r="PF13" s="5">
        <f ca="1">SUMIFS(Movimientos!$C:$C,Movimientos!$A:$A,$B13,Movimientos!$D:$D,CONCATENATE("&lt;=",PF$3),Movimientos!$C:$C,"&gt;0")+SUMIFS(Movimientos!$C:$C,Movimientos!$A:$A,$B13,Movimientos!$D:$D,CONCATENATE("&lt;",PF$3),Movimientos!$C:$C,"&lt;0")</f>
        <v>0</v>
      </c>
      <c r="PG13" s="5">
        <f ca="1">SUMIFS(Movimientos!$C:$C,Movimientos!$A:$A,$B13,Movimientos!$D:$D,CONCATENATE("&lt;=",PG$3),Movimientos!$C:$C,"&gt;0")+SUMIFS(Movimientos!$C:$C,Movimientos!$A:$A,$B13,Movimientos!$D:$D,CONCATENATE("&lt;",PG$3),Movimientos!$C:$C,"&lt;0")</f>
        <v>0</v>
      </c>
      <c r="PH13" s="5">
        <f ca="1">SUMIFS(Movimientos!$C:$C,Movimientos!$A:$A,$B13,Movimientos!$D:$D,CONCATENATE("&lt;=",PH$3),Movimientos!$C:$C,"&gt;0")+SUMIFS(Movimientos!$C:$C,Movimientos!$A:$A,$B13,Movimientos!$D:$D,CONCATENATE("&lt;",PH$3),Movimientos!$C:$C,"&lt;0")</f>
        <v>0</v>
      </c>
      <c r="PI13" s="5">
        <f ca="1">SUMIFS(Movimientos!$C:$C,Movimientos!$A:$A,$B13,Movimientos!$D:$D,CONCATENATE("&lt;=",PI$3),Movimientos!$C:$C,"&gt;0")+SUMIFS(Movimientos!$C:$C,Movimientos!$A:$A,$B13,Movimientos!$D:$D,CONCATENATE("&lt;",PI$3),Movimientos!$C:$C,"&lt;0")</f>
        <v>0</v>
      </c>
      <c r="PJ13" s="5">
        <f ca="1">SUMIFS(Movimientos!$C:$C,Movimientos!$A:$A,$B13,Movimientos!$D:$D,CONCATENATE("&lt;=",PJ$3),Movimientos!$C:$C,"&gt;0")+SUMIFS(Movimientos!$C:$C,Movimientos!$A:$A,$B13,Movimientos!$D:$D,CONCATENATE("&lt;",PJ$3),Movimientos!$C:$C,"&lt;0")</f>
        <v>0</v>
      </c>
      <c r="PK13" s="5">
        <f ca="1">SUMIFS(Movimientos!$C:$C,Movimientos!$A:$A,$B13,Movimientos!$D:$D,CONCATENATE("&lt;=",PK$3),Movimientos!$C:$C,"&gt;0")+SUMIFS(Movimientos!$C:$C,Movimientos!$A:$A,$B13,Movimientos!$D:$D,CONCATENATE("&lt;",PK$3),Movimientos!$C:$C,"&lt;0")</f>
        <v>0</v>
      </c>
      <c r="PL13" s="5">
        <f ca="1">SUMIFS(Movimientos!$C:$C,Movimientos!$A:$A,$B13,Movimientos!$D:$D,CONCATENATE("&lt;=",PL$3),Movimientos!$C:$C,"&gt;0")+SUMIFS(Movimientos!$C:$C,Movimientos!$A:$A,$B13,Movimientos!$D:$D,CONCATENATE("&lt;",PL$3),Movimientos!$C:$C,"&lt;0")</f>
        <v>0</v>
      </c>
      <c r="PM13" s="5">
        <f ca="1">SUMIFS(Movimientos!$C:$C,Movimientos!$A:$A,$B13,Movimientos!$D:$D,CONCATENATE("&lt;=",PM$3),Movimientos!$C:$C,"&gt;0")+SUMIFS(Movimientos!$C:$C,Movimientos!$A:$A,$B13,Movimientos!$D:$D,CONCATENATE("&lt;",PM$3),Movimientos!$C:$C,"&lt;0")</f>
        <v>0</v>
      </c>
      <c r="PN13" s="5">
        <f ca="1">SUMIFS(Movimientos!$C:$C,Movimientos!$A:$A,$B13,Movimientos!$D:$D,CONCATENATE("&lt;=",PN$3),Movimientos!$C:$C,"&gt;0")+SUMIFS(Movimientos!$C:$C,Movimientos!$A:$A,$B13,Movimientos!$D:$D,CONCATENATE("&lt;",PN$3),Movimientos!$C:$C,"&lt;0")</f>
        <v>0</v>
      </c>
      <c r="PO13" s="5">
        <f ca="1">SUMIFS(Movimientos!$C:$C,Movimientos!$A:$A,$B13,Movimientos!$D:$D,CONCATENATE("&lt;=",PO$3),Movimientos!$C:$C,"&gt;0")+SUMIFS(Movimientos!$C:$C,Movimientos!$A:$A,$B13,Movimientos!$D:$D,CONCATENATE("&lt;",PO$3),Movimientos!$C:$C,"&lt;0")</f>
        <v>0</v>
      </c>
      <c r="PP13" s="5">
        <f ca="1">SUMIFS(Movimientos!$C:$C,Movimientos!$A:$A,$B13,Movimientos!$D:$D,CONCATENATE("&lt;=",PP$3),Movimientos!$C:$C,"&gt;0")+SUMIFS(Movimientos!$C:$C,Movimientos!$A:$A,$B13,Movimientos!$D:$D,CONCATENATE("&lt;",PP$3),Movimientos!$C:$C,"&lt;0")</f>
        <v>0</v>
      </c>
      <c r="PQ13" s="5">
        <f ca="1">SUMIFS(Movimientos!$C:$C,Movimientos!$A:$A,$B13,Movimientos!$D:$D,CONCATENATE("&lt;=",PQ$3),Movimientos!$C:$C,"&gt;0")+SUMIFS(Movimientos!$C:$C,Movimientos!$A:$A,$B13,Movimientos!$D:$D,CONCATENATE("&lt;",PQ$3),Movimientos!$C:$C,"&lt;0")</f>
        <v>0</v>
      </c>
      <c r="PR13" s="5">
        <f ca="1">SUMIFS(Movimientos!$C:$C,Movimientos!$A:$A,$B13,Movimientos!$D:$D,CONCATENATE("&lt;=",PR$3),Movimientos!$C:$C,"&gt;0")+SUMIFS(Movimientos!$C:$C,Movimientos!$A:$A,$B13,Movimientos!$D:$D,CONCATENATE("&lt;",PR$3),Movimientos!$C:$C,"&lt;0")</f>
        <v>0</v>
      </c>
      <c r="PS13" s="5">
        <f ca="1">SUMIFS(Movimientos!$C:$C,Movimientos!$A:$A,$B13,Movimientos!$D:$D,CONCATENATE("&lt;=",PS$3),Movimientos!$C:$C,"&gt;0")+SUMIFS(Movimientos!$C:$C,Movimientos!$A:$A,$B13,Movimientos!$D:$D,CONCATENATE("&lt;",PS$3),Movimientos!$C:$C,"&lt;0")</f>
        <v>0</v>
      </c>
      <c r="PT13" s="5">
        <f ca="1">SUMIFS(Movimientos!$C:$C,Movimientos!$A:$A,$B13,Movimientos!$D:$D,CONCATENATE("&lt;=",PT$3),Movimientos!$C:$C,"&gt;0")+SUMIFS(Movimientos!$C:$C,Movimientos!$A:$A,$B13,Movimientos!$D:$D,CONCATENATE("&lt;",PT$3),Movimientos!$C:$C,"&lt;0")</f>
        <v>0</v>
      </c>
      <c r="PU13" s="5">
        <f ca="1">SUMIFS(Movimientos!$C:$C,Movimientos!$A:$A,$B13,Movimientos!$D:$D,CONCATENATE("&lt;=",PU$3),Movimientos!$C:$C,"&gt;0")+SUMIFS(Movimientos!$C:$C,Movimientos!$A:$A,$B13,Movimientos!$D:$D,CONCATENATE("&lt;",PU$3),Movimientos!$C:$C,"&lt;0")</f>
        <v>0</v>
      </c>
      <c r="PV13" s="5">
        <f ca="1">SUMIFS(Movimientos!$C:$C,Movimientos!$A:$A,$B13,Movimientos!$D:$D,CONCATENATE("&lt;=",PV$3),Movimientos!$C:$C,"&gt;0")+SUMIFS(Movimientos!$C:$C,Movimientos!$A:$A,$B13,Movimientos!$D:$D,CONCATENATE("&lt;",PV$3),Movimientos!$C:$C,"&lt;0")</f>
        <v>0</v>
      </c>
      <c r="PW13" s="5">
        <f ca="1">SUMIFS(Movimientos!$C:$C,Movimientos!$A:$A,$B13,Movimientos!$D:$D,CONCATENATE("&lt;=",PW$3),Movimientos!$C:$C,"&gt;0")+SUMIFS(Movimientos!$C:$C,Movimientos!$A:$A,$B13,Movimientos!$D:$D,CONCATENATE("&lt;",PW$3),Movimientos!$C:$C,"&lt;0")</f>
        <v>0</v>
      </c>
      <c r="PX13" s="5">
        <f ca="1">SUMIFS(Movimientos!$C:$C,Movimientos!$A:$A,$B13,Movimientos!$D:$D,CONCATENATE("&lt;=",PX$3),Movimientos!$C:$C,"&gt;0")+SUMIFS(Movimientos!$C:$C,Movimientos!$A:$A,$B13,Movimientos!$D:$D,CONCATENATE("&lt;",PX$3),Movimientos!$C:$C,"&lt;0")</f>
        <v>0</v>
      </c>
      <c r="PY13" s="5">
        <f ca="1">SUMIFS(Movimientos!$C:$C,Movimientos!$A:$A,$B13,Movimientos!$D:$D,CONCATENATE("&lt;=",PY$3),Movimientos!$C:$C,"&gt;0")+SUMIFS(Movimientos!$C:$C,Movimientos!$A:$A,$B13,Movimientos!$D:$D,CONCATENATE("&lt;",PY$3),Movimientos!$C:$C,"&lt;0")</f>
        <v>0</v>
      </c>
      <c r="PZ13" s="5">
        <f ca="1">SUMIFS(Movimientos!$C:$C,Movimientos!$A:$A,$B13,Movimientos!$D:$D,CONCATENATE("&lt;=",PZ$3),Movimientos!$C:$C,"&gt;0")+SUMIFS(Movimientos!$C:$C,Movimientos!$A:$A,$B13,Movimientos!$D:$D,CONCATENATE("&lt;",PZ$3),Movimientos!$C:$C,"&lt;0")</f>
        <v>0</v>
      </c>
      <c r="QA13" s="5">
        <f ca="1">SUMIFS(Movimientos!$C:$C,Movimientos!$A:$A,$B13,Movimientos!$D:$D,CONCATENATE("&lt;=",QA$3),Movimientos!$C:$C,"&gt;0")+SUMIFS(Movimientos!$C:$C,Movimientos!$A:$A,$B13,Movimientos!$D:$D,CONCATENATE("&lt;",QA$3),Movimientos!$C:$C,"&lt;0")</f>
        <v>0</v>
      </c>
      <c r="QB13" s="5">
        <f ca="1">SUMIFS(Movimientos!$C:$C,Movimientos!$A:$A,$B13,Movimientos!$D:$D,CONCATENATE("&lt;=",QB$3),Movimientos!$C:$C,"&gt;0")+SUMIFS(Movimientos!$C:$C,Movimientos!$A:$A,$B13,Movimientos!$D:$D,CONCATENATE("&lt;",QB$3),Movimientos!$C:$C,"&lt;0")</f>
        <v>0</v>
      </c>
      <c r="QC13" s="5">
        <f ca="1">SUMIFS(Movimientos!$C:$C,Movimientos!$A:$A,$B13,Movimientos!$D:$D,CONCATENATE("&lt;=",QC$3),Movimientos!$C:$C,"&gt;0")+SUMIFS(Movimientos!$C:$C,Movimientos!$A:$A,$B13,Movimientos!$D:$D,CONCATENATE("&lt;",QC$3),Movimientos!$C:$C,"&lt;0")</f>
        <v>0</v>
      </c>
      <c r="QD13" s="5">
        <f ca="1">SUMIFS(Movimientos!$C:$C,Movimientos!$A:$A,$B13,Movimientos!$D:$D,CONCATENATE("&lt;=",QD$3),Movimientos!$C:$C,"&gt;0")+SUMIFS(Movimientos!$C:$C,Movimientos!$A:$A,$B13,Movimientos!$D:$D,CONCATENATE("&lt;",QD$3),Movimientos!$C:$C,"&lt;0")</f>
        <v>0</v>
      </c>
      <c r="QE13" s="5">
        <f ca="1">SUMIFS(Movimientos!$C:$C,Movimientos!$A:$A,$B13,Movimientos!$D:$D,CONCATENATE("&lt;=",QE$3),Movimientos!$C:$C,"&gt;0")+SUMIFS(Movimientos!$C:$C,Movimientos!$A:$A,$B13,Movimientos!$D:$D,CONCATENATE("&lt;",QE$3),Movimientos!$C:$C,"&lt;0")</f>
        <v>0</v>
      </c>
      <c r="QF13" s="5">
        <f ca="1">SUMIFS(Movimientos!$C:$C,Movimientos!$A:$A,$B13,Movimientos!$D:$D,CONCATENATE("&lt;=",QF$3),Movimientos!$C:$C,"&gt;0")+SUMIFS(Movimientos!$C:$C,Movimientos!$A:$A,$B13,Movimientos!$D:$D,CONCATENATE("&lt;",QF$3),Movimientos!$C:$C,"&lt;0")</f>
        <v>0</v>
      </c>
      <c r="QG13" s="5">
        <f ca="1">SUMIFS(Movimientos!$C:$C,Movimientos!$A:$A,$B13,Movimientos!$D:$D,CONCATENATE("&lt;=",QG$3),Movimientos!$C:$C,"&gt;0")+SUMIFS(Movimientos!$C:$C,Movimientos!$A:$A,$B13,Movimientos!$D:$D,CONCATENATE("&lt;",QG$3),Movimientos!$C:$C,"&lt;0")</f>
        <v>0</v>
      </c>
      <c r="QH13" s="5">
        <f ca="1">SUMIFS(Movimientos!$C:$C,Movimientos!$A:$A,$B13,Movimientos!$D:$D,CONCATENATE("&lt;=",QH$3),Movimientos!$C:$C,"&gt;0")+SUMIFS(Movimientos!$C:$C,Movimientos!$A:$A,$B13,Movimientos!$D:$D,CONCATENATE("&lt;",QH$3),Movimientos!$C:$C,"&lt;0")</f>
        <v>0</v>
      </c>
      <c r="QI13" s="5">
        <f ca="1">SUMIFS(Movimientos!$C:$C,Movimientos!$A:$A,$B13,Movimientos!$D:$D,CONCATENATE("&lt;=",QI$3),Movimientos!$C:$C,"&gt;0")+SUMIFS(Movimientos!$C:$C,Movimientos!$A:$A,$B13,Movimientos!$D:$D,CONCATENATE("&lt;",QI$3),Movimientos!$C:$C,"&lt;0")</f>
        <v>0</v>
      </c>
      <c r="QJ13" s="5">
        <f ca="1">SUMIFS(Movimientos!$C:$C,Movimientos!$A:$A,$B13,Movimientos!$D:$D,CONCATENATE("&lt;=",QJ$3),Movimientos!$C:$C,"&gt;0")+SUMIFS(Movimientos!$C:$C,Movimientos!$A:$A,$B13,Movimientos!$D:$D,CONCATENATE("&lt;",QJ$3),Movimientos!$C:$C,"&lt;0")</f>
        <v>0</v>
      </c>
      <c r="QK13" s="5">
        <f ca="1">SUMIFS(Movimientos!$C:$C,Movimientos!$A:$A,$B13,Movimientos!$D:$D,CONCATENATE("&lt;=",QK$3),Movimientos!$C:$C,"&gt;0")+SUMIFS(Movimientos!$C:$C,Movimientos!$A:$A,$B13,Movimientos!$D:$D,CONCATENATE("&lt;",QK$3),Movimientos!$C:$C,"&lt;0")</f>
        <v>0</v>
      </c>
      <c r="QL13" s="5">
        <f ca="1">SUMIFS(Movimientos!$C:$C,Movimientos!$A:$A,$B13,Movimientos!$D:$D,CONCATENATE("&lt;=",QL$3),Movimientos!$C:$C,"&gt;0")+SUMIFS(Movimientos!$C:$C,Movimientos!$A:$A,$B13,Movimientos!$D:$D,CONCATENATE("&lt;",QL$3),Movimientos!$C:$C,"&lt;0")</f>
        <v>0</v>
      </c>
      <c r="QM13" s="5">
        <f ca="1">SUMIFS(Movimientos!$C:$C,Movimientos!$A:$A,$B13,Movimientos!$D:$D,CONCATENATE("&lt;=",QM$3),Movimientos!$C:$C,"&gt;0")+SUMIFS(Movimientos!$C:$C,Movimientos!$A:$A,$B13,Movimientos!$D:$D,CONCATENATE("&lt;",QM$3),Movimientos!$C:$C,"&lt;0")</f>
        <v>0</v>
      </c>
      <c r="QN13" s="5">
        <f ca="1">SUMIFS(Movimientos!$C:$C,Movimientos!$A:$A,$B13,Movimientos!$D:$D,CONCATENATE("&lt;=",QN$3),Movimientos!$C:$C,"&gt;0")+SUMIFS(Movimientos!$C:$C,Movimientos!$A:$A,$B13,Movimientos!$D:$D,CONCATENATE("&lt;",QN$3),Movimientos!$C:$C,"&lt;0")</f>
        <v>0</v>
      </c>
      <c r="QO13" s="5">
        <f ca="1">SUMIFS(Movimientos!$C:$C,Movimientos!$A:$A,$B13,Movimientos!$D:$D,CONCATENATE("&lt;=",QO$3),Movimientos!$C:$C,"&gt;0")+SUMIFS(Movimientos!$C:$C,Movimientos!$A:$A,$B13,Movimientos!$D:$D,CONCATENATE("&lt;",QO$3),Movimientos!$C:$C,"&lt;0")</f>
        <v>0</v>
      </c>
      <c r="QP13" s="5">
        <f ca="1">SUMIFS(Movimientos!$C:$C,Movimientos!$A:$A,$B13,Movimientos!$D:$D,CONCATENATE("&lt;=",QP$3),Movimientos!$C:$C,"&gt;0")+SUMIFS(Movimientos!$C:$C,Movimientos!$A:$A,$B13,Movimientos!$D:$D,CONCATENATE("&lt;",QP$3),Movimientos!$C:$C,"&lt;0")</f>
        <v>0</v>
      </c>
      <c r="QQ13" s="5">
        <f ca="1">SUMIFS(Movimientos!$C:$C,Movimientos!$A:$A,$B13,Movimientos!$D:$D,CONCATENATE("&lt;=",QQ$3),Movimientos!$C:$C,"&gt;0")+SUMIFS(Movimientos!$C:$C,Movimientos!$A:$A,$B13,Movimientos!$D:$D,CONCATENATE("&lt;",QQ$3),Movimientos!$C:$C,"&lt;0")</f>
        <v>0</v>
      </c>
      <c r="QR13" s="5">
        <f ca="1">SUMIFS(Movimientos!$C:$C,Movimientos!$A:$A,$B13,Movimientos!$D:$D,CONCATENATE("&lt;=",QR$3),Movimientos!$C:$C,"&gt;0")+SUMIFS(Movimientos!$C:$C,Movimientos!$A:$A,$B13,Movimientos!$D:$D,CONCATENATE("&lt;",QR$3),Movimientos!$C:$C,"&lt;0")</f>
        <v>0</v>
      </c>
      <c r="QS13" s="5">
        <f ca="1">SUMIFS(Movimientos!$C:$C,Movimientos!$A:$A,$B13,Movimientos!$D:$D,CONCATENATE("&lt;=",QS$3),Movimientos!$C:$C,"&gt;0")+SUMIFS(Movimientos!$C:$C,Movimientos!$A:$A,$B13,Movimientos!$D:$D,CONCATENATE("&lt;",QS$3),Movimientos!$C:$C,"&lt;0")</f>
        <v>0</v>
      </c>
      <c r="QT13" s="5">
        <f ca="1">SUMIFS(Movimientos!$C:$C,Movimientos!$A:$A,$B13,Movimientos!$D:$D,CONCATENATE("&lt;=",QT$3),Movimientos!$C:$C,"&gt;0")+SUMIFS(Movimientos!$C:$C,Movimientos!$A:$A,$B13,Movimientos!$D:$D,CONCATENATE("&lt;",QT$3),Movimientos!$C:$C,"&lt;0")</f>
        <v>0</v>
      </c>
      <c r="QU13" s="5">
        <f ca="1">SUMIFS(Movimientos!$C:$C,Movimientos!$A:$A,$B13,Movimientos!$D:$D,CONCATENATE("&lt;=",QU$3),Movimientos!$C:$C,"&gt;0")+SUMIFS(Movimientos!$C:$C,Movimientos!$A:$A,$B13,Movimientos!$D:$D,CONCATENATE("&lt;",QU$3),Movimientos!$C:$C,"&lt;0")</f>
        <v>0</v>
      </c>
      <c r="QV13" s="5">
        <f ca="1">SUMIFS(Movimientos!$C:$C,Movimientos!$A:$A,$B13,Movimientos!$D:$D,CONCATENATE("&lt;=",QV$3),Movimientos!$C:$C,"&gt;0")+SUMIFS(Movimientos!$C:$C,Movimientos!$A:$A,$B13,Movimientos!$D:$D,CONCATENATE("&lt;",QV$3),Movimientos!$C:$C,"&lt;0")</f>
        <v>0</v>
      </c>
      <c r="QW13" s="5">
        <f ca="1">SUMIFS(Movimientos!$C:$C,Movimientos!$A:$A,$B13,Movimientos!$D:$D,CONCATENATE("&lt;=",QW$3),Movimientos!$C:$C,"&gt;0")+SUMIFS(Movimientos!$C:$C,Movimientos!$A:$A,$B13,Movimientos!$D:$D,CONCATENATE("&lt;",QW$3),Movimientos!$C:$C,"&lt;0")</f>
        <v>0</v>
      </c>
      <c r="QX13" s="5">
        <f ca="1">SUMIFS(Movimientos!$C:$C,Movimientos!$A:$A,$B13,Movimientos!$D:$D,CONCATENATE("&lt;=",QX$3),Movimientos!$C:$C,"&gt;0")+SUMIFS(Movimientos!$C:$C,Movimientos!$A:$A,$B13,Movimientos!$D:$D,CONCATENATE("&lt;",QX$3),Movimientos!$C:$C,"&lt;0")</f>
        <v>0</v>
      </c>
      <c r="QY13" s="5">
        <f ca="1">SUMIFS(Movimientos!$C:$C,Movimientos!$A:$A,$B13,Movimientos!$D:$D,CONCATENATE("&lt;=",QY$3),Movimientos!$C:$C,"&gt;0")+SUMIFS(Movimientos!$C:$C,Movimientos!$A:$A,$B13,Movimientos!$D:$D,CONCATENATE("&lt;",QY$3),Movimientos!$C:$C,"&lt;0")</f>
        <v>0</v>
      </c>
      <c r="QZ13" s="5">
        <f ca="1">SUMIFS(Movimientos!$C:$C,Movimientos!$A:$A,$B13,Movimientos!$D:$D,CONCATENATE("&lt;=",QZ$3),Movimientos!$C:$C,"&gt;0")+SUMIFS(Movimientos!$C:$C,Movimientos!$A:$A,$B13,Movimientos!$D:$D,CONCATENATE("&lt;",QZ$3),Movimientos!$C:$C,"&lt;0")</f>
        <v>0</v>
      </c>
      <c r="RA13" s="5">
        <f ca="1">SUMIFS(Movimientos!$C:$C,Movimientos!$A:$A,$B13,Movimientos!$D:$D,CONCATENATE("&lt;=",RA$3),Movimientos!$C:$C,"&gt;0")+SUMIFS(Movimientos!$C:$C,Movimientos!$A:$A,$B13,Movimientos!$D:$D,CONCATENATE("&lt;",RA$3),Movimientos!$C:$C,"&lt;0")</f>
        <v>0</v>
      </c>
      <c r="RB13" s="5">
        <f ca="1">SUMIFS(Movimientos!$C:$C,Movimientos!$A:$A,$B13,Movimientos!$D:$D,CONCATENATE("&lt;=",RB$3),Movimientos!$C:$C,"&gt;0")+SUMIFS(Movimientos!$C:$C,Movimientos!$A:$A,$B13,Movimientos!$D:$D,CONCATENATE("&lt;",RB$3),Movimientos!$C:$C,"&lt;0")</f>
        <v>0</v>
      </c>
      <c r="RC13" s="5">
        <f ca="1">SUMIFS(Movimientos!$C:$C,Movimientos!$A:$A,$B13,Movimientos!$D:$D,CONCATENATE("&lt;=",RC$3),Movimientos!$C:$C,"&gt;0")+SUMIFS(Movimientos!$C:$C,Movimientos!$A:$A,$B13,Movimientos!$D:$D,CONCATENATE("&lt;",RC$3),Movimientos!$C:$C,"&lt;0")</f>
        <v>0</v>
      </c>
      <c r="RD13" s="5">
        <f ca="1">SUMIFS(Movimientos!$C:$C,Movimientos!$A:$A,$B13,Movimientos!$D:$D,CONCATENATE("&lt;=",RD$3),Movimientos!$C:$C,"&gt;0")+SUMIFS(Movimientos!$C:$C,Movimientos!$A:$A,$B13,Movimientos!$D:$D,CONCATENATE("&lt;",RD$3),Movimientos!$C:$C,"&lt;0")</f>
        <v>0</v>
      </c>
      <c r="RE13" s="5">
        <f ca="1">SUMIFS(Movimientos!$C:$C,Movimientos!$A:$A,$B13,Movimientos!$D:$D,CONCATENATE("&lt;=",RE$3),Movimientos!$C:$C,"&gt;0")+SUMIFS(Movimientos!$C:$C,Movimientos!$A:$A,$B13,Movimientos!$D:$D,CONCATENATE("&lt;",RE$3),Movimientos!$C:$C,"&lt;0")</f>
        <v>0</v>
      </c>
      <c r="RF13" s="5">
        <f ca="1">SUMIFS(Movimientos!$C:$C,Movimientos!$A:$A,$B13,Movimientos!$D:$D,CONCATENATE("&lt;=",RF$3),Movimientos!$C:$C,"&gt;0")+SUMIFS(Movimientos!$C:$C,Movimientos!$A:$A,$B13,Movimientos!$D:$D,CONCATENATE("&lt;",RF$3),Movimientos!$C:$C,"&lt;0")</f>
        <v>0</v>
      </c>
      <c r="RG13" s="5">
        <f ca="1">SUMIFS(Movimientos!$C:$C,Movimientos!$A:$A,$B13,Movimientos!$D:$D,CONCATENATE("&lt;=",RG$3),Movimientos!$C:$C,"&gt;0")+SUMIFS(Movimientos!$C:$C,Movimientos!$A:$A,$B13,Movimientos!$D:$D,CONCATENATE("&lt;",RG$3),Movimientos!$C:$C,"&lt;0")</f>
        <v>0</v>
      </c>
      <c r="RH13" s="5">
        <f ca="1">SUMIFS(Movimientos!$C:$C,Movimientos!$A:$A,$B13,Movimientos!$D:$D,CONCATENATE("&lt;=",RH$3),Movimientos!$C:$C,"&gt;0")+SUMIFS(Movimientos!$C:$C,Movimientos!$A:$A,$B13,Movimientos!$D:$D,CONCATENATE("&lt;",RH$3),Movimientos!$C:$C,"&lt;0")</f>
        <v>0</v>
      </c>
      <c r="RI13" s="5">
        <f ca="1">SUMIFS(Movimientos!$C:$C,Movimientos!$A:$A,$B13,Movimientos!$D:$D,CONCATENATE("&lt;=",RI$3),Movimientos!$C:$C,"&gt;0")+SUMIFS(Movimientos!$C:$C,Movimientos!$A:$A,$B13,Movimientos!$D:$D,CONCATENATE("&lt;",RI$3),Movimientos!$C:$C,"&lt;0")</f>
        <v>0</v>
      </c>
      <c r="RJ13" s="5">
        <f ca="1">SUMIFS(Movimientos!$C:$C,Movimientos!$A:$A,$B13,Movimientos!$D:$D,CONCATENATE("&lt;=",RJ$3),Movimientos!$C:$C,"&gt;0")+SUMIFS(Movimientos!$C:$C,Movimientos!$A:$A,$B13,Movimientos!$D:$D,CONCATENATE("&lt;",RJ$3),Movimientos!$C:$C,"&lt;0")</f>
        <v>0</v>
      </c>
      <c r="RK13" s="5">
        <f ca="1">SUMIFS(Movimientos!$C:$C,Movimientos!$A:$A,$B13,Movimientos!$D:$D,CONCATENATE("&lt;=",RK$3),Movimientos!$C:$C,"&gt;0")+SUMIFS(Movimientos!$C:$C,Movimientos!$A:$A,$B13,Movimientos!$D:$D,CONCATENATE("&lt;",RK$3),Movimientos!$C:$C,"&lt;0")</f>
        <v>0</v>
      </c>
      <c r="RL13" s="5">
        <f ca="1">SUMIFS(Movimientos!$C:$C,Movimientos!$A:$A,$B13,Movimientos!$D:$D,CONCATENATE("&lt;=",RL$3),Movimientos!$C:$C,"&gt;0")+SUMIFS(Movimientos!$C:$C,Movimientos!$A:$A,$B13,Movimientos!$D:$D,CONCATENATE("&lt;",RL$3),Movimientos!$C:$C,"&lt;0")</f>
        <v>0</v>
      </c>
      <c r="RM13" s="5">
        <f ca="1">SUMIFS(Movimientos!$C:$C,Movimientos!$A:$A,$B13,Movimientos!$D:$D,CONCATENATE("&lt;=",RM$3),Movimientos!$C:$C,"&gt;0")+SUMIFS(Movimientos!$C:$C,Movimientos!$A:$A,$B13,Movimientos!$D:$D,CONCATENATE("&lt;",RM$3),Movimientos!$C:$C,"&lt;0")</f>
        <v>0</v>
      </c>
      <c r="RN13" s="5">
        <f ca="1">SUMIFS(Movimientos!$C:$C,Movimientos!$A:$A,$B13,Movimientos!$D:$D,CONCATENATE("&lt;=",RN$3),Movimientos!$C:$C,"&gt;0")+SUMIFS(Movimientos!$C:$C,Movimientos!$A:$A,$B13,Movimientos!$D:$D,CONCATENATE("&lt;",RN$3),Movimientos!$C:$C,"&lt;0")</f>
        <v>0</v>
      </c>
      <c r="RO13" s="5">
        <f ca="1">SUMIFS(Movimientos!$C:$C,Movimientos!$A:$A,$B13,Movimientos!$D:$D,CONCATENATE("&lt;=",RO$3),Movimientos!$C:$C,"&gt;0")+SUMIFS(Movimientos!$C:$C,Movimientos!$A:$A,$B13,Movimientos!$D:$D,CONCATENATE("&lt;",RO$3),Movimientos!$C:$C,"&lt;0")</f>
        <v>0</v>
      </c>
      <c r="RP13" s="5">
        <f ca="1">SUMIFS(Movimientos!$C:$C,Movimientos!$A:$A,$B13,Movimientos!$D:$D,CONCATENATE("&lt;=",RP$3),Movimientos!$C:$C,"&gt;0")+SUMIFS(Movimientos!$C:$C,Movimientos!$A:$A,$B13,Movimientos!$D:$D,CONCATENATE("&lt;",RP$3),Movimientos!$C:$C,"&lt;0")</f>
        <v>0</v>
      </c>
      <c r="RQ13" s="5">
        <f ca="1">SUMIFS(Movimientos!$C:$C,Movimientos!$A:$A,$B13,Movimientos!$D:$D,CONCATENATE("&lt;=",RQ$3),Movimientos!$C:$C,"&gt;0")+SUMIFS(Movimientos!$C:$C,Movimientos!$A:$A,$B13,Movimientos!$D:$D,CONCATENATE("&lt;",RQ$3),Movimientos!$C:$C,"&lt;0")</f>
        <v>0</v>
      </c>
      <c r="RR13" s="5">
        <f ca="1">SUMIFS(Movimientos!$C:$C,Movimientos!$A:$A,$B13,Movimientos!$D:$D,CONCATENATE("&lt;=",RR$3),Movimientos!$C:$C,"&gt;0")+SUMIFS(Movimientos!$C:$C,Movimientos!$A:$A,$B13,Movimientos!$D:$D,CONCATENATE("&lt;",RR$3),Movimientos!$C:$C,"&lt;0")</f>
        <v>0</v>
      </c>
      <c r="RS13" s="5">
        <f ca="1">SUMIFS(Movimientos!$C:$C,Movimientos!$A:$A,$B13,Movimientos!$D:$D,CONCATENATE("&lt;=",RS$3),Movimientos!$C:$C,"&gt;0")+SUMIFS(Movimientos!$C:$C,Movimientos!$A:$A,$B13,Movimientos!$D:$D,CONCATENATE("&lt;",RS$3),Movimientos!$C:$C,"&lt;0")</f>
        <v>0</v>
      </c>
      <c r="RT13" s="5">
        <f ca="1">SUMIFS(Movimientos!$C:$C,Movimientos!$A:$A,$B13,Movimientos!$D:$D,CONCATENATE("&lt;=",RT$3),Movimientos!$C:$C,"&gt;0")+SUMIFS(Movimientos!$C:$C,Movimientos!$A:$A,$B13,Movimientos!$D:$D,CONCATENATE("&lt;",RT$3),Movimientos!$C:$C,"&lt;0")</f>
        <v>0</v>
      </c>
      <c r="RU13" s="5">
        <f ca="1">SUMIFS(Movimientos!$C:$C,Movimientos!$A:$A,$B13,Movimientos!$D:$D,CONCATENATE("&lt;=",RU$3),Movimientos!$C:$C,"&gt;0")+SUMIFS(Movimientos!$C:$C,Movimientos!$A:$A,$B13,Movimientos!$D:$D,CONCATENATE("&lt;",RU$3),Movimientos!$C:$C,"&lt;0")</f>
        <v>0</v>
      </c>
      <c r="RV13" s="5">
        <f ca="1">SUMIFS(Movimientos!$C:$C,Movimientos!$A:$A,$B13,Movimientos!$D:$D,CONCATENATE("&lt;=",RV$3),Movimientos!$C:$C,"&gt;0")+SUMIFS(Movimientos!$C:$C,Movimientos!$A:$A,$B13,Movimientos!$D:$D,CONCATENATE("&lt;",RV$3),Movimientos!$C:$C,"&lt;0")</f>
        <v>0</v>
      </c>
      <c r="RW13" s="5">
        <f ca="1">SUMIFS(Movimientos!$C:$C,Movimientos!$A:$A,$B13,Movimientos!$D:$D,CONCATENATE("&lt;=",RW$3),Movimientos!$C:$C,"&gt;0")+SUMIFS(Movimientos!$C:$C,Movimientos!$A:$A,$B13,Movimientos!$D:$D,CONCATENATE("&lt;",RW$3),Movimientos!$C:$C,"&lt;0")</f>
        <v>0</v>
      </c>
      <c r="RX13" s="5">
        <f ca="1">SUMIFS(Movimientos!$C:$C,Movimientos!$A:$A,$B13,Movimientos!$D:$D,CONCATENATE("&lt;=",RX$3),Movimientos!$C:$C,"&gt;0")+SUMIFS(Movimientos!$C:$C,Movimientos!$A:$A,$B13,Movimientos!$D:$D,CONCATENATE("&lt;",RX$3),Movimientos!$C:$C,"&lt;0")</f>
        <v>0</v>
      </c>
      <c r="RY13" s="5">
        <f ca="1">SUMIFS(Movimientos!$C:$C,Movimientos!$A:$A,$B13,Movimientos!$D:$D,CONCATENATE("&lt;=",RY$3),Movimientos!$C:$C,"&gt;0")+SUMIFS(Movimientos!$C:$C,Movimientos!$A:$A,$B13,Movimientos!$D:$D,CONCATENATE("&lt;",RY$3),Movimientos!$C:$C,"&lt;0")</f>
        <v>0</v>
      </c>
      <c r="RZ13" s="5">
        <f ca="1">SUMIFS(Movimientos!$C:$C,Movimientos!$A:$A,$B13,Movimientos!$D:$D,CONCATENATE("&lt;=",RZ$3),Movimientos!$C:$C,"&gt;0")+SUMIFS(Movimientos!$C:$C,Movimientos!$A:$A,$B13,Movimientos!$D:$D,CONCATENATE("&lt;",RZ$3),Movimientos!$C:$C,"&lt;0")</f>
        <v>0</v>
      </c>
      <c r="SA13" s="5">
        <f ca="1">SUMIFS(Movimientos!$C:$C,Movimientos!$A:$A,$B13,Movimientos!$D:$D,CONCATENATE("&lt;=",SA$3),Movimientos!$C:$C,"&gt;0")+SUMIFS(Movimientos!$C:$C,Movimientos!$A:$A,$B13,Movimientos!$D:$D,CONCATENATE("&lt;",SA$3),Movimientos!$C:$C,"&lt;0")</f>
        <v>0</v>
      </c>
      <c r="SB13" s="5">
        <f ca="1">SUMIFS(Movimientos!$C:$C,Movimientos!$A:$A,$B13,Movimientos!$D:$D,CONCATENATE("&lt;=",SB$3),Movimientos!$C:$C,"&gt;0")+SUMIFS(Movimientos!$C:$C,Movimientos!$A:$A,$B13,Movimientos!$D:$D,CONCATENATE("&lt;",SB$3),Movimientos!$C:$C,"&lt;0")</f>
        <v>0</v>
      </c>
      <c r="SC13" s="5">
        <f ca="1">SUMIFS(Movimientos!$C:$C,Movimientos!$A:$A,$B13,Movimientos!$D:$D,CONCATENATE("&lt;=",SC$3),Movimientos!$C:$C,"&gt;0")+SUMIFS(Movimientos!$C:$C,Movimientos!$A:$A,$B13,Movimientos!$D:$D,CONCATENATE("&lt;",SC$3),Movimientos!$C:$C,"&lt;0")</f>
        <v>0</v>
      </c>
      <c r="SD13" s="5">
        <f ca="1">SUMIFS(Movimientos!$C:$C,Movimientos!$A:$A,$B13,Movimientos!$D:$D,CONCATENATE("&lt;=",SD$3),Movimientos!$C:$C,"&gt;0")+SUMIFS(Movimientos!$C:$C,Movimientos!$A:$A,$B13,Movimientos!$D:$D,CONCATENATE("&lt;",SD$3),Movimientos!$C:$C,"&lt;0")</f>
        <v>0</v>
      </c>
      <c r="SE13" s="5">
        <f ca="1">SUMIFS(Movimientos!$C:$C,Movimientos!$A:$A,$B13,Movimientos!$D:$D,CONCATENATE("&lt;=",SE$3),Movimientos!$C:$C,"&gt;0")+SUMIFS(Movimientos!$C:$C,Movimientos!$A:$A,$B13,Movimientos!$D:$D,CONCATENATE("&lt;",SE$3),Movimientos!$C:$C,"&lt;0")</f>
        <v>0</v>
      </c>
      <c r="SF13" s="5">
        <f ca="1">SUMIFS(Movimientos!$C:$C,Movimientos!$A:$A,$B13,Movimientos!$D:$D,CONCATENATE("&lt;=",SF$3),Movimientos!$C:$C,"&gt;0")+SUMIFS(Movimientos!$C:$C,Movimientos!$A:$A,$B13,Movimientos!$D:$D,CONCATENATE("&lt;",SF$3),Movimientos!$C:$C,"&lt;0")</f>
        <v>0</v>
      </c>
      <c r="SG13" s="5">
        <f ca="1">SUMIFS(Movimientos!$C:$C,Movimientos!$A:$A,$B13,Movimientos!$D:$D,CONCATENATE("&lt;=",SG$3),Movimientos!$C:$C,"&gt;0")+SUMIFS(Movimientos!$C:$C,Movimientos!$A:$A,$B13,Movimientos!$D:$D,CONCATENATE("&lt;",SG$3),Movimientos!$C:$C,"&lt;0")</f>
        <v>0</v>
      </c>
      <c r="SH13" s="5">
        <f ca="1">SUMIFS(Movimientos!$C:$C,Movimientos!$A:$A,$B13,Movimientos!$D:$D,CONCATENATE("&lt;=",SH$3),Movimientos!$C:$C,"&gt;0")+SUMIFS(Movimientos!$C:$C,Movimientos!$A:$A,$B13,Movimientos!$D:$D,CONCATENATE("&lt;",SH$3),Movimientos!$C:$C,"&lt;0")</f>
        <v>0</v>
      </c>
      <c r="SI13" s="5">
        <f ca="1">SUMIFS(Movimientos!$C:$C,Movimientos!$A:$A,$B13,Movimientos!$D:$D,CONCATENATE("&lt;=",SI$3),Movimientos!$C:$C,"&gt;0")+SUMIFS(Movimientos!$C:$C,Movimientos!$A:$A,$B13,Movimientos!$D:$D,CONCATENATE("&lt;",SI$3),Movimientos!$C:$C,"&lt;0")</f>
        <v>0</v>
      </c>
      <c r="SJ13" s="5">
        <f ca="1">SUMIFS(Movimientos!$C:$C,Movimientos!$A:$A,$B13,Movimientos!$D:$D,CONCATENATE("&lt;=",SJ$3),Movimientos!$C:$C,"&gt;0")+SUMIFS(Movimientos!$C:$C,Movimientos!$A:$A,$B13,Movimientos!$D:$D,CONCATENATE("&lt;",SJ$3),Movimientos!$C:$C,"&lt;0")</f>
        <v>0</v>
      </c>
      <c r="SK13" s="5">
        <f ca="1">SUMIFS(Movimientos!$C:$C,Movimientos!$A:$A,$B13,Movimientos!$D:$D,CONCATENATE("&lt;=",SK$3),Movimientos!$C:$C,"&gt;0")+SUMIFS(Movimientos!$C:$C,Movimientos!$A:$A,$B13,Movimientos!$D:$D,CONCATENATE("&lt;",SK$3),Movimientos!$C:$C,"&lt;0")</f>
        <v>0</v>
      </c>
      <c r="SL13" s="5">
        <f ca="1">SUMIFS(Movimientos!$C:$C,Movimientos!$A:$A,$B13,Movimientos!$D:$D,CONCATENATE("&lt;=",SL$3),Movimientos!$C:$C,"&gt;0")+SUMIFS(Movimientos!$C:$C,Movimientos!$A:$A,$B13,Movimientos!$D:$D,CONCATENATE("&lt;",SL$3),Movimientos!$C:$C,"&lt;0")</f>
        <v>0</v>
      </c>
      <c r="SM13" s="5">
        <f ca="1">SUMIFS(Movimientos!$C:$C,Movimientos!$A:$A,$B13,Movimientos!$D:$D,CONCATENATE("&lt;=",SM$3),Movimientos!$C:$C,"&gt;0")+SUMIFS(Movimientos!$C:$C,Movimientos!$A:$A,$B13,Movimientos!$D:$D,CONCATENATE("&lt;",SM$3),Movimientos!$C:$C,"&lt;0")</f>
        <v>0</v>
      </c>
      <c r="SN13" s="5">
        <f ca="1">SUMIFS(Movimientos!$C:$C,Movimientos!$A:$A,$B13,Movimientos!$D:$D,CONCATENATE("&lt;=",SN$3),Movimientos!$C:$C,"&gt;0")+SUMIFS(Movimientos!$C:$C,Movimientos!$A:$A,$B13,Movimientos!$D:$D,CONCATENATE("&lt;",SN$3),Movimientos!$C:$C,"&lt;0")</f>
        <v>0</v>
      </c>
      <c r="SO13" s="5">
        <f ca="1">SUMIFS(Movimientos!$C:$C,Movimientos!$A:$A,$B13,Movimientos!$D:$D,CONCATENATE("&lt;=",SO$3),Movimientos!$C:$C,"&gt;0")+SUMIFS(Movimientos!$C:$C,Movimientos!$A:$A,$B13,Movimientos!$D:$D,CONCATENATE("&lt;",SO$3),Movimientos!$C:$C,"&lt;0")</f>
        <v>0</v>
      </c>
      <c r="SP13" s="5">
        <f ca="1">SUMIFS(Movimientos!$C:$C,Movimientos!$A:$A,$B13,Movimientos!$D:$D,CONCATENATE("&lt;=",SP$3),Movimientos!$C:$C,"&gt;0")+SUMIFS(Movimientos!$C:$C,Movimientos!$A:$A,$B13,Movimientos!$D:$D,CONCATENATE("&lt;",SP$3),Movimientos!$C:$C,"&lt;0")</f>
        <v>0</v>
      </c>
      <c r="SQ13" s="5">
        <f ca="1">SUMIFS(Movimientos!$C:$C,Movimientos!$A:$A,$B13,Movimientos!$D:$D,CONCATENATE("&lt;=",SQ$3),Movimientos!$C:$C,"&gt;0")+SUMIFS(Movimientos!$C:$C,Movimientos!$A:$A,$B13,Movimientos!$D:$D,CONCATENATE("&lt;",SQ$3),Movimientos!$C:$C,"&lt;0")</f>
        <v>0</v>
      </c>
      <c r="SR13" s="5">
        <f ca="1">SUMIFS(Movimientos!$C:$C,Movimientos!$A:$A,$B13,Movimientos!$D:$D,CONCATENATE("&lt;=",SR$3),Movimientos!$C:$C,"&gt;0")+SUMIFS(Movimientos!$C:$C,Movimientos!$A:$A,$B13,Movimientos!$D:$D,CONCATENATE("&lt;",SR$3),Movimientos!$C:$C,"&lt;0")</f>
        <v>0</v>
      </c>
      <c r="SS13" s="5">
        <f ca="1">SUMIFS(Movimientos!$C:$C,Movimientos!$A:$A,$B13,Movimientos!$D:$D,CONCATENATE("&lt;=",SS$3),Movimientos!$C:$C,"&gt;0")+SUMIFS(Movimientos!$C:$C,Movimientos!$A:$A,$B13,Movimientos!$D:$D,CONCATENATE("&lt;",SS$3),Movimientos!$C:$C,"&lt;0")</f>
        <v>0</v>
      </c>
      <c r="ST13" s="5">
        <f ca="1">SUMIFS(Movimientos!$C:$C,Movimientos!$A:$A,$B13,Movimientos!$D:$D,CONCATENATE("&lt;=",ST$3),Movimientos!$C:$C,"&gt;0")+SUMIFS(Movimientos!$C:$C,Movimientos!$A:$A,$B13,Movimientos!$D:$D,CONCATENATE("&lt;",ST$3),Movimientos!$C:$C,"&lt;0")</f>
        <v>0</v>
      </c>
      <c r="SU13" s="5">
        <f ca="1">SUMIFS(Movimientos!$C:$C,Movimientos!$A:$A,$B13,Movimientos!$D:$D,CONCATENATE("&lt;=",SU$3),Movimientos!$C:$C,"&gt;0")+SUMIFS(Movimientos!$C:$C,Movimientos!$A:$A,$B13,Movimientos!$D:$D,CONCATENATE("&lt;",SU$3),Movimientos!$C:$C,"&lt;0")</f>
        <v>0</v>
      </c>
      <c r="SV13" s="5">
        <f ca="1">SUMIFS(Movimientos!$C:$C,Movimientos!$A:$A,$B13,Movimientos!$D:$D,CONCATENATE("&lt;=",SV$3),Movimientos!$C:$C,"&gt;0")+SUMIFS(Movimientos!$C:$C,Movimientos!$A:$A,$B13,Movimientos!$D:$D,CONCATENATE("&lt;",SV$3),Movimientos!$C:$C,"&lt;0")</f>
        <v>0</v>
      </c>
      <c r="SW13" s="5">
        <f ca="1">SUMIFS(Movimientos!$C:$C,Movimientos!$A:$A,$B13,Movimientos!$D:$D,CONCATENATE("&lt;=",SW$3),Movimientos!$C:$C,"&gt;0")+SUMIFS(Movimientos!$C:$C,Movimientos!$A:$A,$B13,Movimientos!$D:$D,CONCATENATE("&lt;",SW$3),Movimientos!$C:$C,"&lt;0")</f>
        <v>0</v>
      </c>
      <c r="SX13" s="5">
        <f ca="1">SUMIFS(Movimientos!$C:$C,Movimientos!$A:$A,$B13,Movimientos!$D:$D,CONCATENATE("&lt;=",SX$3),Movimientos!$C:$C,"&gt;0")+SUMIFS(Movimientos!$C:$C,Movimientos!$A:$A,$B13,Movimientos!$D:$D,CONCATENATE("&lt;",SX$3),Movimientos!$C:$C,"&lt;0")</f>
        <v>0</v>
      </c>
      <c r="SY13" s="5">
        <f ca="1">SUMIFS(Movimientos!$C:$C,Movimientos!$A:$A,$B13,Movimientos!$D:$D,CONCATENATE("&lt;=",SY$3),Movimientos!$C:$C,"&gt;0")+SUMIFS(Movimientos!$C:$C,Movimientos!$A:$A,$B13,Movimientos!$D:$D,CONCATENATE("&lt;",SY$3),Movimientos!$C:$C,"&lt;0")</f>
        <v>0</v>
      </c>
      <c r="SZ13" s="5">
        <f ca="1">SUMIFS(Movimientos!$C:$C,Movimientos!$A:$A,$B13,Movimientos!$D:$D,CONCATENATE("&lt;=",SZ$3),Movimientos!$C:$C,"&gt;0")+SUMIFS(Movimientos!$C:$C,Movimientos!$A:$A,$B13,Movimientos!$D:$D,CONCATENATE("&lt;",SZ$3),Movimientos!$C:$C,"&lt;0")</f>
        <v>0</v>
      </c>
      <c r="TA13" s="5">
        <f ca="1">SUMIFS(Movimientos!$C:$C,Movimientos!$A:$A,$B13,Movimientos!$D:$D,CONCATENATE("&lt;=",TA$3),Movimientos!$C:$C,"&gt;0")+SUMIFS(Movimientos!$C:$C,Movimientos!$A:$A,$B13,Movimientos!$D:$D,CONCATENATE("&lt;",TA$3),Movimientos!$C:$C,"&lt;0")</f>
        <v>0</v>
      </c>
      <c r="TB13" s="5">
        <f ca="1">SUMIFS(Movimientos!$C:$C,Movimientos!$A:$A,$B13,Movimientos!$D:$D,CONCATENATE("&lt;=",TB$3),Movimientos!$C:$C,"&gt;0")+SUMIFS(Movimientos!$C:$C,Movimientos!$A:$A,$B13,Movimientos!$D:$D,CONCATENATE("&lt;",TB$3),Movimientos!$C:$C,"&lt;0")</f>
        <v>0</v>
      </c>
      <c r="TC13" s="5">
        <f ca="1">SUMIFS(Movimientos!$C:$C,Movimientos!$A:$A,$B13,Movimientos!$D:$D,CONCATENATE("&lt;=",TC$3),Movimientos!$C:$C,"&gt;0")+SUMIFS(Movimientos!$C:$C,Movimientos!$A:$A,$B13,Movimientos!$D:$D,CONCATENATE("&lt;",TC$3),Movimientos!$C:$C,"&lt;0")</f>
        <v>0</v>
      </c>
      <c r="TD13" s="5">
        <f ca="1">SUMIFS(Movimientos!$C:$C,Movimientos!$A:$A,$B13,Movimientos!$D:$D,CONCATENATE("&lt;=",TD$3),Movimientos!$C:$C,"&gt;0")+SUMIFS(Movimientos!$C:$C,Movimientos!$A:$A,$B13,Movimientos!$D:$D,CONCATENATE("&lt;",TD$3),Movimientos!$C:$C,"&lt;0")</f>
        <v>0</v>
      </c>
      <c r="TE13" s="5">
        <f ca="1">SUMIFS(Movimientos!$C:$C,Movimientos!$A:$A,$B13,Movimientos!$D:$D,CONCATENATE("&lt;=",TE$3),Movimientos!$C:$C,"&gt;0")+SUMIFS(Movimientos!$C:$C,Movimientos!$A:$A,$B13,Movimientos!$D:$D,CONCATENATE("&lt;",TE$3),Movimientos!$C:$C,"&lt;0")</f>
        <v>0</v>
      </c>
      <c r="TF13" s="5">
        <f ca="1">SUMIFS(Movimientos!$C:$C,Movimientos!$A:$A,$B13,Movimientos!$D:$D,CONCATENATE("&lt;=",TF$3),Movimientos!$C:$C,"&gt;0")+SUMIFS(Movimientos!$C:$C,Movimientos!$A:$A,$B13,Movimientos!$D:$D,CONCATENATE("&lt;",TF$3),Movimientos!$C:$C,"&lt;0")</f>
        <v>0</v>
      </c>
    </row>
    <row r="14" spans="1:526">
      <c r="A14" s="31" t="s">
        <v>48</v>
      </c>
      <c r="B14" s="4">
        <f>Cartera!B14</f>
        <v>0</v>
      </c>
      <c r="C14" s="4">
        <f>Cartera!C14</f>
        <v>0</v>
      </c>
      <c r="D14" s="5">
        <f ca="1">SUMIFS(Movimientos!$C:$C,Movimientos!$A:$A,$B14,Movimientos!$D:$D,CONCATENATE("&lt;=",D$3),Movimientos!$C:$C,"&gt;0")+SUMIFS(Movimientos!$C:$C,Movimientos!$A:$A,$B14,Movimientos!$D:$D,CONCATENATE("&lt;",D$3),Movimientos!$C:$C,"&lt;0")</f>
        <v>0</v>
      </c>
      <c r="E14" s="5">
        <f ca="1">SUMIFS(Movimientos!$C:$C,Movimientos!$A:$A,$B14,Movimientos!$D:$D,CONCATENATE("&lt;=",E$3),Movimientos!$C:$C,"&gt;0")+SUMIFS(Movimientos!$C:$C,Movimientos!$A:$A,$B14,Movimientos!$D:$D,CONCATENATE("&lt;",E$3),Movimientos!$C:$C,"&lt;0")</f>
        <v>0</v>
      </c>
      <c r="F14" s="5">
        <f ca="1">SUMIFS(Movimientos!$C:$C,Movimientos!$A:$A,$B14,Movimientos!$D:$D,CONCATENATE("&lt;=",F$3),Movimientos!$C:$C,"&gt;0")+SUMIFS(Movimientos!$C:$C,Movimientos!$A:$A,$B14,Movimientos!$D:$D,CONCATENATE("&lt;",F$3),Movimientos!$C:$C,"&lt;0")</f>
        <v>0</v>
      </c>
      <c r="G14" s="5">
        <f ca="1">SUMIFS(Movimientos!$C:$C,Movimientos!$A:$A,$B14,Movimientos!$D:$D,CONCATENATE("&lt;=",G$3),Movimientos!$C:$C,"&gt;0")+SUMIFS(Movimientos!$C:$C,Movimientos!$A:$A,$B14,Movimientos!$D:$D,CONCATENATE("&lt;",G$3),Movimientos!$C:$C,"&lt;0")</f>
        <v>0</v>
      </c>
      <c r="H14" s="5">
        <f ca="1">SUMIFS(Movimientos!$C:$C,Movimientos!$A:$A,$B14,Movimientos!$D:$D,CONCATENATE("&lt;=",H$3),Movimientos!$C:$C,"&gt;0")+SUMIFS(Movimientos!$C:$C,Movimientos!$A:$A,$B14,Movimientos!$D:$D,CONCATENATE("&lt;",H$3),Movimientos!$C:$C,"&lt;0")</f>
        <v>0</v>
      </c>
      <c r="I14" s="5">
        <f ca="1">SUMIFS(Movimientos!$C:$C,Movimientos!$A:$A,$B14,Movimientos!$D:$D,CONCATENATE("&lt;=",I$3),Movimientos!$C:$C,"&gt;0")+SUMIFS(Movimientos!$C:$C,Movimientos!$A:$A,$B14,Movimientos!$D:$D,CONCATENATE("&lt;",I$3),Movimientos!$C:$C,"&lt;0")</f>
        <v>0</v>
      </c>
      <c r="J14" s="5">
        <f ca="1">SUMIFS(Movimientos!$C:$C,Movimientos!$A:$A,$B14,Movimientos!$D:$D,CONCATENATE("&lt;=",J$3),Movimientos!$C:$C,"&gt;0")+SUMIFS(Movimientos!$C:$C,Movimientos!$A:$A,$B14,Movimientos!$D:$D,CONCATENATE("&lt;",J$3),Movimientos!$C:$C,"&lt;0")</f>
        <v>0</v>
      </c>
      <c r="K14" s="5">
        <f ca="1">SUMIFS(Movimientos!$C:$C,Movimientos!$A:$A,$B14,Movimientos!$D:$D,CONCATENATE("&lt;=",K$3),Movimientos!$C:$C,"&gt;0")+SUMIFS(Movimientos!$C:$C,Movimientos!$A:$A,$B14,Movimientos!$D:$D,CONCATENATE("&lt;",K$3),Movimientos!$C:$C,"&lt;0")</f>
        <v>0</v>
      </c>
      <c r="L14" s="5">
        <f ca="1">SUMIFS(Movimientos!$C:$C,Movimientos!$A:$A,$B14,Movimientos!$D:$D,CONCATENATE("&lt;=",L$3),Movimientos!$C:$C,"&gt;0")+SUMIFS(Movimientos!$C:$C,Movimientos!$A:$A,$B14,Movimientos!$D:$D,CONCATENATE("&lt;",L$3),Movimientos!$C:$C,"&lt;0")</f>
        <v>0</v>
      </c>
      <c r="M14" s="5">
        <f ca="1">SUMIFS(Movimientos!$C:$C,Movimientos!$A:$A,$B14,Movimientos!$D:$D,CONCATENATE("&lt;=",M$3),Movimientos!$C:$C,"&gt;0")+SUMIFS(Movimientos!$C:$C,Movimientos!$A:$A,$B14,Movimientos!$D:$D,CONCATENATE("&lt;",M$3),Movimientos!$C:$C,"&lt;0")</f>
        <v>0</v>
      </c>
      <c r="N14" s="5">
        <f ca="1">SUMIFS(Movimientos!$C:$C,Movimientos!$A:$A,$B14,Movimientos!$D:$D,CONCATENATE("&lt;=",N$3),Movimientos!$C:$C,"&gt;0")+SUMIFS(Movimientos!$C:$C,Movimientos!$A:$A,$B14,Movimientos!$D:$D,CONCATENATE("&lt;",N$3),Movimientos!$C:$C,"&lt;0")</f>
        <v>0</v>
      </c>
      <c r="O14" s="5">
        <f ca="1">SUMIFS(Movimientos!$C:$C,Movimientos!$A:$A,$B14,Movimientos!$D:$D,CONCATENATE("&lt;=",O$3),Movimientos!$C:$C,"&gt;0")+SUMIFS(Movimientos!$C:$C,Movimientos!$A:$A,$B14,Movimientos!$D:$D,CONCATENATE("&lt;",O$3),Movimientos!$C:$C,"&lt;0")</f>
        <v>0</v>
      </c>
      <c r="P14" s="5">
        <f ca="1">SUMIFS(Movimientos!$C:$C,Movimientos!$A:$A,$B14,Movimientos!$D:$D,CONCATENATE("&lt;=",P$3),Movimientos!$C:$C,"&gt;0")+SUMIFS(Movimientos!$C:$C,Movimientos!$A:$A,$B14,Movimientos!$D:$D,CONCATENATE("&lt;",P$3),Movimientos!$C:$C,"&lt;0")</f>
        <v>0</v>
      </c>
      <c r="Q14" s="5">
        <f ca="1">SUMIFS(Movimientos!$C:$C,Movimientos!$A:$A,$B14,Movimientos!$D:$D,CONCATENATE("&lt;=",Q$3),Movimientos!$C:$C,"&gt;0")+SUMIFS(Movimientos!$C:$C,Movimientos!$A:$A,$B14,Movimientos!$D:$D,CONCATENATE("&lt;",Q$3),Movimientos!$C:$C,"&lt;0")</f>
        <v>0</v>
      </c>
      <c r="R14" s="5">
        <f ca="1">SUMIFS(Movimientos!$C:$C,Movimientos!$A:$A,$B14,Movimientos!$D:$D,CONCATENATE("&lt;=",R$3),Movimientos!$C:$C,"&gt;0")+SUMIFS(Movimientos!$C:$C,Movimientos!$A:$A,$B14,Movimientos!$D:$D,CONCATENATE("&lt;",R$3),Movimientos!$C:$C,"&lt;0")</f>
        <v>0</v>
      </c>
      <c r="S14" s="5">
        <f ca="1">SUMIFS(Movimientos!$C:$C,Movimientos!$A:$A,$B14,Movimientos!$D:$D,CONCATENATE("&lt;=",S$3),Movimientos!$C:$C,"&gt;0")+SUMIFS(Movimientos!$C:$C,Movimientos!$A:$A,$B14,Movimientos!$D:$D,CONCATENATE("&lt;",S$3),Movimientos!$C:$C,"&lt;0")</f>
        <v>0</v>
      </c>
      <c r="T14" s="5">
        <f ca="1">SUMIFS(Movimientos!$C:$C,Movimientos!$A:$A,$B14,Movimientos!$D:$D,CONCATENATE("&lt;=",T$3),Movimientos!$C:$C,"&gt;0")+SUMIFS(Movimientos!$C:$C,Movimientos!$A:$A,$B14,Movimientos!$D:$D,CONCATENATE("&lt;",T$3),Movimientos!$C:$C,"&lt;0")</f>
        <v>0</v>
      </c>
      <c r="U14" s="5">
        <f ca="1">SUMIFS(Movimientos!$C:$C,Movimientos!$A:$A,$B14,Movimientos!$D:$D,CONCATENATE("&lt;=",U$3),Movimientos!$C:$C,"&gt;0")+SUMIFS(Movimientos!$C:$C,Movimientos!$A:$A,$B14,Movimientos!$D:$D,CONCATENATE("&lt;",U$3),Movimientos!$C:$C,"&lt;0")</f>
        <v>0</v>
      </c>
      <c r="V14" s="5">
        <f ca="1">SUMIFS(Movimientos!$C:$C,Movimientos!$A:$A,$B14,Movimientos!$D:$D,CONCATENATE("&lt;=",V$3),Movimientos!$C:$C,"&gt;0")+SUMIFS(Movimientos!$C:$C,Movimientos!$A:$A,$B14,Movimientos!$D:$D,CONCATENATE("&lt;",V$3),Movimientos!$C:$C,"&lt;0")</f>
        <v>0</v>
      </c>
      <c r="W14" s="5">
        <f ca="1">SUMIFS(Movimientos!$C:$C,Movimientos!$A:$A,$B14,Movimientos!$D:$D,CONCATENATE("&lt;=",W$3),Movimientos!$C:$C,"&gt;0")+SUMIFS(Movimientos!$C:$C,Movimientos!$A:$A,$B14,Movimientos!$D:$D,CONCATENATE("&lt;",W$3),Movimientos!$C:$C,"&lt;0")</f>
        <v>0</v>
      </c>
      <c r="X14" s="5">
        <f ca="1">SUMIFS(Movimientos!$C:$C,Movimientos!$A:$A,$B14,Movimientos!$D:$D,CONCATENATE("&lt;=",X$3),Movimientos!$C:$C,"&gt;0")+SUMIFS(Movimientos!$C:$C,Movimientos!$A:$A,$B14,Movimientos!$D:$D,CONCATENATE("&lt;",X$3),Movimientos!$C:$C,"&lt;0")</f>
        <v>0</v>
      </c>
      <c r="Y14" s="5">
        <f ca="1">SUMIFS(Movimientos!$C:$C,Movimientos!$A:$A,$B14,Movimientos!$D:$D,CONCATENATE("&lt;=",Y$3),Movimientos!$C:$C,"&gt;0")+SUMIFS(Movimientos!$C:$C,Movimientos!$A:$A,$B14,Movimientos!$D:$D,CONCATENATE("&lt;",Y$3),Movimientos!$C:$C,"&lt;0")</f>
        <v>0</v>
      </c>
      <c r="Z14" s="5">
        <f ca="1">SUMIFS(Movimientos!$C:$C,Movimientos!$A:$A,$B14,Movimientos!$D:$D,CONCATENATE("&lt;=",Z$3),Movimientos!$C:$C,"&gt;0")+SUMIFS(Movimientos!$C:$C,Movimientos!$A:$A,$B14,Movimientos!$D:$D,CONCATENATE("&lt;",Z$3),Movimientos!$C:$C,"&lt;0")</f>
        <v>0</v>
      </c>
      <c r="AA14" s="5">
        <f ca="1">SUMIFS(Movimientos!$C:$C,Movimientos!$A:$A,$B14,Movimientos!$D:$D,CONCATENATE("&lt;=",AA$3),Movimientos!$C:$C,"&gt;0")+SUMIFS(Movimientos!$C:$C,Movimientos!$A:$A,$B14,Movimientos!$D:$D,CONCATENATE("&lt;",AA$3),Movimientos!$C:$C,"&lt;0")</f>
        <v>0</v>
      </c>
      <c r="AB14" s="5">
        <f ca="1">SUMIFS(Movimientos!$C:$C,Movimientos!$A:$A,$B14,Movimientos!$D:$D,CONCATENATE("&lt;=",AB$3),Movimientos!$C:$C,"&gt;0")+SUMIFS(Movimientos!$C:$C,Movimientos!$A:$A,$B14,Movimientos!$D:$D,CONCATENATE("&lt;",AB$3),Movimientos!$C:$C,"&lt;0")</f>
        <v>0</v>
      </c>
      <c r="AC14" s="5">
        <f ca="1">SUMIFS(Movimientos!$C:$C,Movimientos!$A:$A,$B14,Movimientos!$D:$D,CONCATENATE("&lt;=",AC$3),Movimientos!$C:$C,"&gt;0")+SUMIFS(Movimientos!$C:$C,Movimientos!$A:$A,$B14,Movimientos!$D:$D,CONCATENATE("&lt;",AC$3),Movimientos!$C:$C,"&lt;0")</f>
        <v>0</v>
      </c>
      <c r="AD14" s="5">
        <f ca="1">SUMIFS(Movimientos!$C:$C,Movimientos!$A:$A,$B14,Movimientos!$D:$D,CONCATENATE("&lt;=",AD$3),Movimientos!$C:$C,"&gt;0")+SUMIFS(Movimientos!$C:$C,Movimientos!$A:$A,$B14,Movimientos!$D:$D,CONCATENATE("&lt;",AD$3),Movimientos!$C:$C,"&lt;0")</f>
        <v>0</v>
      </c>
      <c r="AE14" s="5">
        <f ca="1">SUMIFS(Movimientos!$C:$C,Movimientos!$A:$A,$B14,Movimientos!$D:$D,CONCATENATE("&lt;=",AE$3),Movimientos!$C:$C,"&gt;0")+SUMIFS(Movimientos!$C:$C,Movimientos!$A:$A,$B14,Movimientos!$D:$D,CONCATENATE("&lt;",AE$3),Movimientos!$C:$C,"&lt;0")</f>
        <v>0</v>
      </c>
      <c r="AF14" s="5">
        <f ca="1">SUMIFS(Movimientos!$C:$C,Movimientos!$A:$A,$B14,Movimientos!$D:$D,CONCATENATE("&lt;=",AF$3),Movimientos!$C:$C,"&gt;0")+SUMIFS(Movimientos!$C:$C,Movimientos!$A:$A,$B14,Movimientos!$D:$D,CONCATENATE("&lt;",AF$3),Movimientos!$C:$C,"&lt;0")</f>
        <v>0</v>
      </c>
      <c r="AG14" s="5">
        <f ca="1">SUMIFS(Movimientos!$C:$C,Movimientos!$A:$A,$B14,Movimientos!$D:$D,CONCATENATE("&lt;=",AG$3),Movimientos!$C:$C,"&gt;0")+SUMIFS(Movimientos!$C:$C,Movimientos!$A:$A,$B14,Movimientos!$D:$D,CONCATENATE("&lt;",AG$3),Movimientos!$C:$C,"&lt;0")</f>
        <v>0</v>
      </c>
      <c r="AH14" s="5">
        <f ca="1">SUMIFS(Movimientos!$C:$C,Movimientos!$A:$A,$B14,Movimientos!$D:$D,CONCATENATE("&lt;=",AH$3),Movimientos!$C:$C,"&gt;0")+SUMIFS(Movimientos!$C:$C,Movimientos!$A:$A,$B14,Movimientos!$D:$D,CONCATENATE("&lt;",AH$3),Movimientos!$C:$C,"&lt;0")</f>
        <v>0</v>
      </c>
      <c r="AI14" s="5">
        <f ca="1">SUMIFS(Movimientos!$C:$C,Movimientos!$A:$A,$B14,Movimientos!$D:$D,CONCATENATE("&lt;=",AI$3),Movimientos!$C:$C,"&gt;0")+SUMIFS(Movimientos!$C:$C,Movimientos!$A:$A,$B14,Movimientos!$D:$D,CONCATENATE("&lt;",AI$3),Movimientos!$C:$C,"&lt;0")</f>
        <v>0</v>
      </c>
      <c r="AJ14" s="5">
        <f ca="1">SUMIFS(Movimientos!$C:$C,Movimientos!$A:$A,$B14,Movimientos!$D:$D,CONCATENATE("&lt;=",AJ$3),Movimientos!$C:$C,"&gt;0")+SUMIFS(Movimientos!$C:$C,Movimientos!$A:$A,$B14,Movimientos!$D:$D,CONCATENATE("&lt;",AJ$3),Movimientos!$C:$C,"&lt;0")</f>
        <v>0</v>
      </c>
      <c r="AK14" s="5">
        <f ca="1">SUMIFS(Movimientos!$C:$C,Movimientos!$A:$A,$B14,Movimientos!$D:$D,CONCATENATE("&lt;=",AK$3),Movimientos!$C:$C,"&gt;0")+SUMIFS(Movimientos!$C:$C,Movimientos!$A:$A,$B14,Movimientos!$D:$D,CONCATENATE("&lt;",AK$3),Movimientos!$C:$C,"&lt;0")</f>
        <v>0</v>
      </c>
      <c r="AL14" s="5">
        <f ca="1">SUMIFS(Movimientos!$C:$C,Movimientos!$A:$A,$B14,Movimientos!$D:$D,CONCATENATE("&lt;=",AL$3),Movimientos!$C:$C,"&gt;0")+SUMIFS(Movimientos!$C:$C,Movimientos!$A:$A,$B14,Movimientos!$D:$D,CONCATENATE("&lt;",AL$3),Movimientos!$C:$C,"&lt;0")</f>
        <v>0</v>
      </c>
      <c r="AM14" s="5">
        <f ca="1">SUMIFS(Movimientos!$C:$C,Movimientos!$A:$A,$B14,Movimientos!$D:$D,CONCATENATE("&lt;=",AM$3),Movimientos!$C:$C,"&gt;0")+SUMIFS(Movimientos!$C:$C,Movimientos!$A:$A,$B14,Movimientos!$D:$D,CONCATENATE("&lt;",AM$3),Movimientos!$C:$C,"&lt;0")</f>
        <v>0</v>
      </c>
      <c r="AN14" s="5">
        <f ca="1">SUMIFS(Movimientos!$C:$C,Movimientos!$A:$A,$B14,Movimientos!$D:$D,CONCATENATE("&lt;=",AN$3),Movimientos!$C:$C,"&gt;0")+SUMIFS(Movimientos!$C:$C,Movimientos!$A:$A,$B14,Movimientos!$D:$D,CONCATENATE("&lt;",AN$3),Movimientos!$C:$C,"&lt;0")</f>
        <v>0</v>
      </c>
      <c r="AO14" s="5">
        <f ca="1">SUMIFS(Movimientos!$C:$C,Movimientos!$A:$A,$B14,Movimientos!$D:$D,CONCATENATE("&lt;=",AO$3),Movimientos!$C:$C,"&gt;0")+SUMIFS(Movimientos!$C:$C,Movimientos!$A:$A,$B14,Movimientos!$D:$D,CONCATENATE("&lt;",AO$3),Movimientos!$C:$C,"&lt;0")</f>
        <v>0</v>
      </c>
      <c r="AP14" s="5">
        <f ca="1">SUMIFS(Movimientos!$C:$C,Movimientos!$A:$A,$B14,Movimientos!$D:$D,CONCATENATE("&lt;=",AP$3),Movimientos!$C:$C,"&gt;0")+SUMIFS(Movimientos!$C:$C,Movimientos!$A:$A,$B14,Movimientos!$D:$D,CONCATENATE("&lt;",AP$3),Movimientos!$C:$C,"&lt;0")</f>
        <v>0</v>
      </c>
      <c r="AQ14" s="5">
        <f ca="1">SUMIFS(Movimientos!$C:$C,Movimientos!$A:$A,$B14,Movimientos!$D:$D,CONCATENATE("&lt;=",AQ$3),Movimientos!$C:$C,"&gt;0")+SUMIFS(Movimientos!$C:$C,Movimientos!$A:$A,$B14,Movimientos!$D:$D,CONCATENATE("&lt;",AQ$3),Movimientos!$C:$C,"&lt;0")</f>
        <v>0</v>
      </c>
      <c r="AR14" s="5">
        <f ca="1">SUMIFS(Movimientos!$C:$C,Movimientos!$A:$A,$B14,Movimientos!$D:$D,CONCATENATE("&lt;=",AR$3),Movimientos!$C:$C,"&gt;0")+SUMIFS(Movimientos!$C:$C,Movimientos!$A:$A,$B14,Movimientos!$D:$D,CONCATENATE("&lt;",AR$3),Movimientos!$C:$C,"&lt;0")</f>
        <v>0</v>
      </c>
      <c r="AS14" s="5">
        <f ca="1">SUMIFS(Movimientos!$C:$C,Movimientos!$A:$A,$B14,Movimientos!$D:$D,CONCATENATE("&lt;=",AS$3),Movimientos!$C:$C,"&gt;0")+SUMIFS(Movimientos!$C:$C,Movimientos!$A:$A,$B14,Movimientos!$D:$D,CONCATENATE("&lt;",AS$3),Movimientos!$C:$C,"&lt;0")</f>
        <v>0</v>
      </c>
      <c r="AT14" s="5">
        <f ca="1">SUMIFS(Movimientos!$C:$C,Movimientos!$A:$A,$B14,Movimientos!$D:$D,CONCATENATE("&lt;=",AT$3),Movimientos!$C:$C,"&gt;0")+SUMIFS(Movimientos!$C:$C,Movimientos!$A:$A,$B14,Movimientos!$D:$D,CONCATENATE("&lt;",AT$3),Movimientos!$C:$C,"&lt;0")</f>
        <v>0</v>
      </c>
      <c r="AU14" s="5">
        <f ca="1">SUMIFS(Movimientos!$C:$C,Movimientos!$A:$A,$B14,Movimientos!$D:$D,CONCATENATE("&lt;=",AU$3),Movimientos!$C:$C,"&gt;0")+SUMIFS(Movimientos!$C:$C,Movimientos!$A:$A,$B14,Movimientos!$D:$D,CONCATENATE("&lt;",AU$3),Movimientos!$C:$C,"&lt;0")</f>
        <v>0</v>
      </c>
      <c r="AV14" s="5">
        <f ca="1">SUMIFS(Movimientos!$C:$C,Movimientos!$A:$A,$B14,Movimientos!$D:$D,CONCATENATE("&lt;=",AV$3),Movimientos!$C:$C,"&gt;0")+SUMIFS(Movimientos!$C:$C,Movimientos!$A:$A,$B14,Movimientos!$D:$D,CONCATENATE("&lt;",AV$3),Movimientos!$C:$C,"&lt;0")</f>
        <v>0</v>
      </c>
      <c r="AW14" s="5">
        <f ca="1">SUMIFS(Movimientos!$C:$C,Movimientos!$A:$A,$B14,Movimientos!$D:$D,CONCATENATE("&lt;=",AW$3),Movimientos!$C:$C,"&gt;0")+SUMIFS(Movimientos!$C:$C,Movimientos!$A:$A,$B14,Movimientos!$D:$D,CONCATENATE("&lt;",AW$3),Movimientos!$C:$C,"&lt;0")</f>
        <v>0</v>
      </c>
      <c r="AX14" s="5">
        <f ca="1">SUMIFS(Movimientos!$C:$C,Movimientos!$A:$A,$B14,Movimientos!$D:$D,CONCATENATE("&lt;=",AX$3),Movimientos!$C:$C,"&gt;0")+SUMIFS(Movimientos!$C:$C,Movimientos!$A:$A,$B14,Movimientos!$D:$D,CONCATENATE("&lt;",AX$3),Movimientos!$C:$C,"&lt;0")</f>
        <v>0</v>
      </c>
      <c r="AY14" s="5">
        <f ca="1">SUMIFS(Movimientos!$C:$C,Movimientos!$A:$A,$B14,Movimientos!$D:$D,CONCATENATE("&lt;=",AY$3),Movimientos!$C:$C,"&gt;0")+SUMIFS(Movimientos!$C:$C,Movimientos!$A:$A,$B14,Movimientos!$D:$D,CONCATENATE("&lt;",AY$3),Movimientos!$C:$C,"&lt;0")</f>
        <v>0</v>
      </c>
      <c r="AZ14" s="5">
        <f ca="1">SUMIFS(Movimientos!$C:$C,Movimientos!$A:$A,$B14,Movimientos!$D:$D,CONCATENATE("&lt;=",AZ$3),Movimientos!$C:$C,"&gt;0")+SUMIFS(Movimientos!$C:$C,Movimientos!$A:$A,$B14,Movimientos!$D:$D,CONCATENATE("&lt;",AZ$3),Movimientos!$C:$C,"&lt;0")</f>
        <v>0</v>
      </c>
      <c r="BA14" s="5">
        <f ca="1">SUMIFS(Movimientos!$C:$C,Movimientos!$A:$A,$B14,Movimientos!$D:$D,CONCATENATE("&lt;=",BA$3),Movimientos!$C:$C,"&gt;0")+SUMIFS(Movimientos!$C:$C,Movimientos!$A:$A,$B14,Movimientos!$D:$D,CONCATENATE("&lt;",BA$3),Movimientos!$C:$C,"&lt;0")</f>
        <v>0</v>
      </c>
      <c r="BB14" s="5">
        <f ca="1">SUMIFS(Movimientos!$C:$C,Movimientos!$A:$A,$B14,Movimientos!$D:$D,CONCATENATE("&lt;=",BB$3),Movimientos!$C:$C,"&gt;0")+SUMIFS(Movimientos!$C:$C,Movimientos!$A:$A,$B14,Movimientos!$D:$D,CONCATENATE("&lt;",BB$3),Movimientos!$C:$C,"&lt;0")</f>
        <v>0</v>
      </c>
      <c r="BC14" s="5">
        <f ca="1">SUMIFS(Movimientos!$C:$C,Movimientos!$A:$A,$B14,Movimientos!$D:$D,CONCATENATE("&lt;=",BC$3),Movimientos!$C:$C,"&gt;0")+SUMIFS(Movimientos!$C:$C,Movimientos!$A:$A,$B14,Movimientos!$D:$D,CONCATENATE("&lt;",BC$3),Movimientos!$C:$C,"&lt;0")</f>
        <v>0</v>
      </c>
      <c r="BD14" s="5">
        <f ca="1">SUMIFS(Movimientos!$C:$C,Movimientos!$A:$A,$B14,Movimientos!$D:$D,CONCATENATE("&lt;=",BD$3),Movimientos!$C:$C,"&gt;0")+SUMIFS(Movimientos!$C:$C,Movimientos!$A:$A,$B14,Movimientos!$D:$D,CONCATENATE("&lt;",BD$3),Movimientos!$C:$C,"&lt;0")</f>
        <v>0</v>
      </c>
      <c r="BE14" s="5">
        <f ca="1">SUMIFS(Movimientos!$C:$C,Movimientos!$A:$A,$B14,Movimientos!$D:$D,CONCATENATE("&lt;=",BE$3),Movimientos!$C:$C,"&gt;0")+SUMIFS(Movimientos!$C:$C,Movimientos!$A:$A,$B14,Movimientos!$D:$D,CONCATENATE("&lt;",BE$3),Movimientos!$C:$C,"&lt;0")</f>
        <v>0</v>
      </c>
      <c r="BF14" s="5">
        <f ca="1">SUMIFS(Movimientos!$C:$C,Movimientos!$A:$A,$B14,Movimientos!$D:$D,CONCATENATE("&lt;=",BF$3),Movimientos!$C:$C,"&gt;0")+SUMIFS(Movimientos!$C:$C,Movimientos!$A:$A,$B14,Movimientos!$D:$D,CONCATENATE("&lt;",BF$3),Movimientos!$C:$C,"&lt;0")</f>
        <v>0</v>
      </c>
      <c r="BG14" s="5">
        <f ca="1">SUMIFS(Movimientos!$C:$C,Movimientos!$A:$A,$B14,Movimientos!$D:$D,CONCATENATE("&lt;=",BG$3),Movimientos!$C:$C,"&gt;0")+SUMIFS(Movimientos!$C:$C,Movimientos!$A:$A,$B14,Movimientos!$D:$D,CONCATENATE("&lt;",BG$3),Movimientos!$C:$C,"&lt;0")</f>
        <v>0</v>
      </c>
      <c r="BH14" s="5">
        <f ca="1">SUMIFS(Movimientos!$C:$C,Movimientos!$A:$A,$B14,Movimientos!$D:$D,CONCATENATE("&lt;=",BH$3),Movimientos!$C:$C,"&gt;0")+SUMIFS(Movimientos!$C:$C,Movimientos!$A:$A,$B14,Movimientos!$D:$D,CONCATENATE("&lt;",BH$3),Movimientos!$C:$C,"&lt;0")</f>
        <v>0</v>
      </c>
      <c r="BI14" s="5">
        <f ca="1">SUMIFS(Movimientos!$C:$C,Movimientos!$A:$A,$B14,Movimientos!$D:$D,CONCATENATE("&lt;=",BI$3),Movimientos!$C:$C,"&gt;0")+SUMIFS(Movimientos!$C:$C,Movimientos!$A:$A,$B14,Movimientos!$D:$D,CONCATENATE("&lt;",BI$3),Movimientos!$C:$C,"&lt;0")</f>
        <v>0</v>
      </c>
      <c r="BJ14" s="5">
        <f ca="1">SUMIFS(Movimientos!$C:$C,Movimientos!$A:$A,$B14,Movimientos!$D:$D,CONCATENATE("&lt;=",BJ$3),Movimientos!$C:$C,"&gt;0")+SUMIFS(Movimientos!$C:$C,Movimientos!$A:$A,$B14,Movimientos!$D:$D,CONCATENATE("&lt;",BJ$3),Movimientos!$C:$C,"&lt;0")</f>
        <v>0</v>
      </c>
      <c r="BK14" s="5">
        <f ca="1">SUMIFS(Movimientos!$C:$C,Movimientos!$A:$A,$B14,Movimientos!$D:$D,CONCATENATE("&lt;=",BK$3),Movimientos!$C:$C,"&gt;0")+SUMIFS(Movimientos!$C:$C,Movimientos!$A:$A,$B14,Movimientos!$D:$D,CONCATENATE("&lt;",BK$3),Movimientos!$C:$C,"&lt;0")</f>
        <v>0</v>
      </c>
      <c r="BL14" s="5">
        <f ca="1">SUMIFS(Movimientos!$C:$C,Movimientos!$A:$A,$B14,Movimientos!$D:$D,CONCATENATE("&lt;=",BL$3),Movimientos!$C:$C,"&gt;0")+SUMIFS(Movimientos!$C:$C,Movimientos!$A:$A,$B14,Movimientos!$D:$D,CONCATENATE("&lt;",BL$3),Movimientos!$C:$C,"&lt;0")</f>
        <v>0</v>
      </c>
      <c r="BM14" s="5">
        <f ca="1">SUMIFS(Movimientos!$C:$C,Movimientos!$A:$A,$B14,Movimientos!$D:$D,CONCATENATE("&lt;=",BM$3),Movimientos!$C:$C,"&gt;0")+SUMIFS(Movimientos!$C:$C,Movimientos!$A:$A,$B14,Movimientos!$D:$D,CONCATENATE("&lt;",BM$3),Movimientos!$C:$C,"&lt;0")</f>
        <v>0</v>
      </c>
      <c r="BN14" s="5">
        <f ca="1">SUMIFS(Movimientos!$C:$C,Movimientos!$A:$A,$B14,Movimientos!$D:$D,CONCATENATE("&lt;=",BN$3),Movimientos!$C:$C,"&gt;0")+SUMIFS(Movimientos!$C:$C,Movimientos!$A:$A,$B14,Movimientos!$D:$D,CONCATENATE("&lt;",BN$3),Movimientos!$C:$C,"&lt;0")</f>
        <v>0</v>
      </c>
      <c r="BO14" s="5">
        <f ca="1">SUMIFS(Movimientos!$C:$C,Movimientos!$A:$A,$B14,Movimientos!$D:$D,CONCATENATE("&lt;=",BO$3),Movimientos!$C:$C,"&gt;0")+SUMIFS(Movimientos!$C:$C,Movimientos!$A:$A,$B14,Movimientos!$D:$D,CONCATENATE("&lt;",BO$3),Movimientos!$C:$C,"&lt;0")</f>
        <v>0</v>
      </c>
      <c r="BP14" s="5">
        <f ca="1">SUMIFS(Movimientos!$C:$C,Movimientos!$A:$A,$B14,Movimientos!$D:$D,CONCATENATE("&lt;=",BP$3),Movimientos!$C:$C,"&gt;0")+SUMIFS(Movimientos!$C:$C,Movimientos!$A:$A,$B14,Movimientos!$D:$D,CONCATENATE("&lt;",BP$3),Movimientos!$C:$C,"&lt;0")</f>
        <v>0</v>
      </c>
      <c r="BQ14" s="5">
        <f ca="1">SUMIFS(Movimientos!$C:$C,Movimientos!$A:$A,$B14,Movimientos!$D:$D,CONCATENATE("&lt;=",BQ$3),Movimientos!$C:$C,"&gt;0")+SUMIFS(Movimientos!$C:$C,Movimientos!$A:$A,$B14,Movimientos!$D:$D,CONCATENATE("&lt;",BQ$3),Movimientos!$C:$C,"&lt;0")</f>
        <v>0</v>
      </c>
      <c r="BR14" s="5">
        <f ca="1">SUMIFS(Movimientos!$C:$C,Movimientos!$A:$A,$B14,Movimientos!$D:$D,CONCATENATE("&lt;=",BR$3),Movimientos!$C:$C,"&gt;0")+SUMIFS(Movimientos!$C:$C,Movimientos!$A:$A,$B14,Movimientos!$D:$D,CONCATENATE("&lt;",BR$3),Movimientos!$C:$C,"&lt;0")</f>
        <v>0</v>
      </c>
      <c r="BS14" s="5">
        <f ca="1">SUMIFS(Movimientos!$C:$C,Movimientos!$A:$A,$B14,Movimientos!$D:$D,CONCATENATE("&lt;=",BS$3),Movimientos!$C:$C,"&gt;0")+SUMIFS(Movimientos!$C:$C,Movimientos!$A:$A,$B14,Movimientos!$D:$D,CONCATENATE("&lt;",BS$3),Movimientos!$C:$C,"&lt;0")</f>
        <v>0</v>
      </c>
      <c r="BT14" s="5">
        <f ca="1">SUMIFS(Movimientos!$C:$C,Movimientos!$A:$A,$B14,Movimientos!$D:$D,CONCATENATE("&lt;=",BT$3),Movimientos!$C:$C,"&gt;0")+SUMIFS(Movimientos!$C:$C,Movimientos!$A:$A,$B14,Movimientos!$D:$D,CONCATENATE("&lt;",BT$3),Movimientos!$C:$C,"&lt;0")</f>
        <v>0</v>
      </c>
      <c r="BU14" s="5">
        <f ca="1">SUMIFS(Movimientos!$C:$C,Movimientos!$A:$A,$B14,Movimientos!$D:$D,CONCATENATE("&lt;=",BU$3),Movimientos!$C:$C,"&gt;0")+SUMIFS(Movimientos!$C:$C,Movimientos!$A:$A,$B14,Movimientos!$D:$D,CONCATENATE("&lt;",BU$3),Movimientos!$C:$C,"&lt;0")</f>
        <v>0</v>
      </c>
      <c r="BV14" s="5">
        <f ca="1">SUMIFS(Movimientos!$C:$C,Movimientos!$A:$A,$B14,Movimientos!$D:$D,CONCATENATE("&lt;=",BV$3),Movimientos!$C:$C,"&gt;0")+SUMIFS(Movimientos!$C:$C,Movimientos!$A:$A,$B14,Movimientos!$D:$D,CONCATENATE("&lt;",BV$3),Movimientos!$C:$C,"&lt;0")</f>
        <v>0</v>
      </c>
      <c r="BW14" s="5">
        <f ca="1">SUMIFS(Movimientos!$C:$C,Movimientos!$A:$A,$B14,Movimientos!$D:$D,CONCATENATE("&lt;=",BW$3),Movimientos!$C:$C,"&gt;0")+SUMIFS(Movimientos!$C:$C,Movimientos!$A:$A,$B14,Movimientos!$D:$D,CONCATENATE("&lt;",BW$3),Movimientos!$C:$C,"&lt;0")</f>
        <v>0</v>
      </c>
      <c r="BX14" s="5">
        <f ca="1">SUMIFS(Movimientos!$C:$C,Movimientos!$A:$A,$B14,Movimientos!$D:$D,CONCATENATE("&lt;=",BX$3),Movimientos!$C:$C,"&gt;0")+SUMIFS(Movimientos!$C:$C,Movimientos!$A:$A,$B14,Movimientos!$D:$D,CONCATENATE("&lt;",BX$3),Movimientos!$C:$C,"&lt;0")</f>
        <v>0</v>
      </c>
      <c r="BY14" s="5">
        <f ca="1">SUMIFS(Movimientos!$C:$C,Movimientos!$A:$A,$B14,Movimientos!$D:$D,CONCATENATE("&lt;=",BY$3),Movimientos!$C:$C,"&gt;0")+SUMIFS(Movimientos!$C:$C,Movimientos!$A:$A,$B14,Movimientos!$D:$D,CONCATENATE("&lt;",BY$3),Movimientos!$C:$C,"&lt;0")</f>
        <v>0</v>
      </c>
      <c r="BZ14" s="5">
        <f ca="1">SUMIFS(Movimientos!$C:$C,Movimientos!$A:$A,$B14,Movimientos!$D:$D,CONCATENATE("&lt;=",BZ$3),Movimientos!$C:$C,"&gt;0")+SUMIFS(Movimientos!$C:$C,Movimientos!$A:$A,$B14,Movimientos!$D:$D,CONCATENATE("&lt;",BZ$3),Movimientos!$C:$C,"&lt;0")</f>
        <v>0</v>
      </c>
      <c r="CA14" s="5">
        <f ca="1">SUMIFS(Movimientos!$C:$C,Movimientos!$A:$A,$B14,Movimientos!$D:$D,CONCATENATE("&lt;=",CA$3),Movimientos!$C:$C,"&gt;0")+SUMIFS(Movimientos!$C:$C,Movimientos!$A:$A,$B14,Movimientos!$D:$D,CONCATENATE("&lt;",CA$3),Movimientos!$C:$C,"&lt;0")</f>
        <v>0</v>
      </c>
      <c r="CB14" s="5">
        <f ca="1">SUMIFS(Movimientos!$C:$C,Movimientos!$A:$A,$B14,Movimientos!$D:$D,CONCATENATE("&lt;=",CB$3),Movimientos!$C:$C,"&gt;0")+SUMIFS(Movimientos!$C:$C,Movimientos!$A:$A,$B14,Movimientos!$D:$D,CONCATENATE("&lt;",CB$3),Movimientos!$C:$C,"&lt;0")</f>
        <v>0</v>
      </c>
      <c r="CC14" s="5">
        <f ca="1">SUMIFS(Movimientos!$C:$C,Movimientos!$A:$A,$B14,Movimientos!$D:$D,CONCATENATE("&lt;=",CC$3),Movimientos!$C:$C,"&gt;0")+SUMIFS(Movimientos!$C:$C,Movimientos!$A:$A,$B14,Movimientos!$D:$D,CONCATENATE("&lt;",CC$3),Movimientos!$C:$C,"&lt;0")</f>
        <v>0</v>
      </c>
      <c r="CD14" s="5">
        <f ca="1">SUMIFS(Movimientos!$C:$C,Movimientos!$A:$A,$B14,Movimientos!$D:$D,CONCATENATE("&lt;=",CD$3),Movimientos!$C:$C,"&gt;0")+SUMIFS(Movimientos!$C:$C,Movimientos!$A:$A,$B14,Movimientos!$D:$D,CONCATENATE("&lt;",CD$3),Movimientos!$C:$C,"&lt;0")</f>
        <v>0</v>
      </c>
      <c r="CE14" s="5">
        <f ca="1">SUMIFS(Movimientos!$C:$C,Movimientos!$A:$A,$B14,Movimientos!$D:$D,CONCATENATE("&lt;=",CE$3),Movimientos!$C:$C,"&gt;0")+SUMIFS(Movimientos!$C:$C,Movimientos!$A:$A,$B14,Movimientos!$D:$D,CONCATENATE("&lt;",CE$3),Movimientos!$C:$C,"&lt;0")</f>
        <v>0</v>
      </c>
      <c r="CF14" s="5">
        <f ca="1">SUMIFS(Movimientos!$C:$C,Movimientos!$A:$A,$B14,Movimientos!$D:$D,CONCATENATE("&lt;=",CF$3),Movimientos!$C:$C,"&gt;0")+SUMIFS(Movimientos!$C:$C,Movimientos!$A:$A,$B14,Movimientos!$D:$D,CONCATENATE("&lt;",CF$3),Movimientos!$C:$C,"&lt;0")</f>
        <v>0</v>
      </c>
      <c r="CG14" s="5">
        <f ca="1">SUMIFS(Movimientos!$C:$C,Movimientos!$A:$A,$B14,Movimientos!$D:$D,CONCATENATE("&lt;=",CG$3),Movimientos!$C:$C,"&gt;0")+SUMIFS(Movimientos!$C:$C,Movimientos!$A:$A,$B14,Movimientos!$D:$D,CONCATENATE("&lt;",CG$3),Movimientos!$C:$C,"&lt;0")</f>
        <v>0</v>
      </c>
      <c r="CH14" s="5">
        <f ca="1">SUMIFS(Movimientos!$C:$C,Movimientos!$A:$A,$B14,Movimientos!$D:$D,CONCATENATE("&lt;=",CH$3),Movimientos!$C:$C,"&gt;0")+SUMIFS(Movimientos!$C:$C,Movimientos!$A:$A,$B14,Movimientos!$D:$D,CONCATENATE("&lt;",CH$3),Movimientos!$C:$C,"&lt;0")</f>
        <v>0</v>
      </c>
      <c r="CI14" s="5">
        <f ca="1">SUMIFS(Movimientos!$C:$C,Movimientos!$A:$A,$B14,Movimientos!$D:$D,CONCATENATE("&lt;=",CI$3),Movimientos!$C:$C,"&gt;0")+SUMIFS(Movimientos!$C:$C,Movimientos!$A:$A,$B14,Movimientos!$D:$D,CONCATENATE("&lt;",CI$3),Movimientos!$C:$C,"&lt;0")</f>
        <v>0</v>
      </c>
      <c r="CJ14" s="5">
        <f ca="1">SUMIFS(Movimientos!$C:$C,Movimientos!$A:$A,$B14,Movimientos!$D:$D,CONCATENATE("&lt;=",CJ$3),Movimientos!$C:$C,"&gt;0")+SUMIFS(Movimientos!$C:$C,Movimientos!$A:$A,$B14,Movimientos!$D:$D,CONCATENATE("&lt;",CJ$3),Movimientos!$C:$C,"&lt;0")</f>
        <v>0</v>
      </c>
      <c r="CK14" s="5">
        <f ca="1">SUMIFS(Movimientos!$C:$C,Movimientos!$A:$A,$B14,Movimientos!$D:$D,CONCATENATE("&lt;=",CK$3),Movimientos!$C:$C,"&gt;0")+SUMIFS(Movimientos!$C:$C,Movimientos!$A:$A,$B14,Movimientos!$D:$D,CONCATENATE("&lt;",CK$3),Movimientos!$C:$C,"&lt;0")</f>
        <v>0</v>
      </c>
      <c r="CL14" s="5">
        <f ca="1">SUMIFS(Movimientos!$C:$C,Movimientos!$A:$A,$B14,Movimientos!$D:$D,CONCATENATE("&lt;=",CL$3),Movimientos!$C:$C,"&gt;0")+SUMIFS(Movimientos!$C:$C,Movimientos!$A:$A,$B14,Movimientos!$D:$D,CONCATENATE("&lt;",CL$3),Movimientos!$C:$C,"&lt;0")</f>
        <v>0</v>
      </c>
      <c r="CM14" s="5">
        <f ca="1">SUMIFS(Movimientos!$C:$C,Movimientos!$A:$A,$B14,Movimientos!$D:$D,CONCATENATE("&lt;=",CM$3),Movimientos!$C:$C,"&gt;0")+SUMIFS(Movimientos!$C:$C,Movimientos!$A:$A,$B14,Movimientos!$D:$D,CONCATENATE("&lt;",CM$3),Movimientos!$C:$C,"&lt;0")</f>
        <v>0</v>
      </c>
      <c r="CN14" s="5">
        <f ca="1">SUMIFS(Movimientos!$C:$C,Movimientos!$A:$A,$B14,Movimientos!$D:$D,CONCATENATE("&lt;=",CN$3),Movimientos!$C:$C,"&gt;0")+SUMIFS(Movimientos!$C:$C,Movimientos!$A:$A,$B14,Movimientos!$D:$D,CONCATENATE("&lt;",CN$3),Movimientos!$C:$C,"&lt;0")</f>
        <v>0</v>
      </c>
      <c r="CO14" s="5">
        <f ca="1">SUMIFS(Movimientos!$C:$C,Movimientos!$A:$A,$B14,Movimientos!$D:$D,CONCATENATE("&lt;=",CO$3),Movimientos!$C:$C,"&gt;0")+SUMIFS(Movimientos!$C:$C,Movimientos!$A:$A,$B14,Movimientos!$D:$D,CONCATENATE("&lt;",CO$3),Movimientos!$C:$C,"&lt;0")</f>
        <v>0</v>
      </c>
      <c r="CP14" s="5">
        <f ca="1">SUMIFS(Movimientos!$C:$C,Movimientos!$A:$A,$B14,Movimientos!$D:$D,CONCATENATE("&lt;=",CP$3),Movimientos!$C:$C,"&gt;0")+SUMIFS(Movimientos!$C:$C,Movimientos!$A:$A,$B14,Movimientos!$D:$D,CONCATENATE("&lt;",CP$3),Movimientos!$C:$C,"&lt;0")</f>
        <v>0</v>
      </c>
      <c r="CQ14" s="5">
        <f ca="1">SUMIFS(Movimientos!$C:$C,Movimientos!$A:$A,$B14,Movimientos!$D:$D,CONCATENATE("&lt;=",CQ$3),Movimientos!$C:$C,"&gt;0")+SUMIFS(Movimientos!$C:$C,Movimientos!$A:$A,$B14,Movimientos!$D:$D,CONCATENATE("&lt;",CQ$3),Movimientos!$C:$C,"&lt;0")</f>
        <v>0</v>
      </c>
      <c r="CR14" s="5">
        <f ca="1">SUMIFS(Movimientos!$C:$C,Movimientos!$A:$A,$B14,Movimientos!$D:$D,CONCATENATE("&lt;=",CR$3),Movimientos!$C:$C,"&gt;0")+SUMIFS(Movimientos!$C:$C,Movimientos!$A:$A,$B14,Movimientos!$D:$D,CONCATENATE("&lt;",CR$3),Movimientos!$C:$C,"&lt;0")</f>
        <v>0</v>
      </c>
      <c r="CS14" s="5">
        <f ca="1">SUMIFS(Movimientos!$C:$C,Movimientos!$A:$A,$B14,Movimientos!$D:$D,CONCATENATE("&lt;=",CS$3),Movimientos!$C:$C,"&gt;0")+SUMIFS(Movimientos!$C:$C,Movimientos!$A:$A,$B14,Movimientos!$D:$D,CONCATENATE("&lt;",CS$3),Movimientos!$C:$C,"&lt;0")</f>
        <v>0</v>
      </c>
      <c r="CT14" s="5">
        <f ca="1">SUMIFS(Movimientos!$C:$C,Movimientos!$A:$A,$B14,Movimientos!$D:$D,CONCATENATE("&lt;=",CT$3),Movimientos!$C:$C,"&gt;0")+SUMIFS(Movimientos!$C:$C,Movimientos!$A:$A,$B14,Movimientos!$D:$D,CONCATENATE("&lt;",CT$3),Movimientos!$C:$C,"&lt;0")</f>
        <v>0</v>
      </c>
      <c r="CU14" s="5">
        <f ca="1">SUMIFS(Movimientos!$C:$C,Movimientos!$A:$A,$B14,Movimientos!$D:$D,CONCATENATE("&lt;=",CU$3),Movimientos!$C:$C,"&gt;0")+SUMIFS(Movimientos!$C:$C,Movimientos!$A:$A,$B14,Movimientos!$D:$D,CONCATENATE("&lt;",CU$3),Movimientos!$C:$C,"&lt;0")</f>
        <v>0</v>
      </c>
      <c r="CV14" s="5">
        <f ca="1">SUMIFS(Movimientos!$C:$C,Movimientos!$A:$A,$B14,Movimientos!$D:$D,CONCATENATE("&lt;=",CV$3),Movimientos!$C:$C,"&gt;0")+SUMIFS(Movimientos!$C:$C,Movimientos!$A:$A,$B14,Movimientos!$D:$D,CONCATENATE("&lt;",CV$3),Movimientos!$C:$C,"&lt;0")</f>
        <v>0</v>
      </c>
      <c r="CW14" s="5">
        <f ca="1">SUMIFS(Movimientos!$C:$C,Movimientos!$A:$A,$B14,Movimientos!$D:$D,CONCATENATE("&lt;=",CW$3),Movimientos!$C:$C,"&gt;0")+SUMIFS(Movimientos!$C:$C,Movimientos!$A:$A,$B14,Movimientos!$D:$D,CONCATENATE("&lt;",CW$3),Movimientos!$C:$C,"&lt;0")</f>
        <v>0</v>
      </c>
      <c r="CX14" s="5">
        <f ca="1">SUMIFS(Movimientos!$C:$C,Movimientos!$A:$A,$B14,Movimientos!$D:$D,CONCATENATE("&lt;=",CX$3),Movimientos!$C:$C,"&gt;0")+SUMIFS(Movimientos!$C:$C,Movimientos!$A:$A,$B14,Movimientos!$D:$D,CONCATENATE("&lt;",CX$3),Movimientos!$C:$C,"&lt;0")</f>
        <v>0</v>
      </c>
      <c r="CY14" s="5">
        <f ca="1">SUMIFS(Movimientos!$C:$C,Movimientos!$A:$A,$B14,Movimientos!$D:$D,CONCATENATE("&lt;=",CY$3),Movimientos!$C:$C,"&gt;0")+SUMIFS(Movimientos!$C:$C,Movimientos!$A:$A,$B14,Movimientos!$D:$D,CONCATENATE("&lt;",CY$3),Movimientos!$C:$C,"&lt;0")</f>
        <v>0</v>
      </c>
      <c r="CZ14" s="5">
        <f ca="1">SUMIFS(Movimientos!$C:$C,Movimientos!$A:$A,$B14,Movimientos!$D:$D,CONCATENATE("&lt;=",CZ$3),Movimientos!$C:$C,"&gt;0")+SUMIFS(Movimientos!$C:$C,Movimientos!$A:$A,$B14,Movimientos!$D:$D,CONCATENATE("&lt;",CZ$3),Movimientos!$C:$C,"&lt;0")</f>
        <v>0</v>
      </c>
      <c r="DA14" s="5">
        <f ca="1">SUMIFS(Movimientos!$C:$C,Movimientos!$A:$A,$B14,Movimientos!$D:$D,CONCATENATE("&lt;=",DA$3),Movimientos!$C:$C,"&gt;0")+SUMIFS(Movimientos!$C:$C,Movimientos!$A:$A,$B14,Movimientos!$D:$D,CONCATENATE("&lt;",DA$3),Movimientos!$C:$C,"&lt;0")</f>
        <v>0</v>
      </c>
      <c r="DB14" s="5">
        <f ca="1">SUMIFS(Movimientos!$C:$C,Movimientos!$A:$A,$B14,Movimientos!$D:$D,CONCATENATE("&lt;=",DB$3),Movimientos!$C:$C,"&gt;0")+SUMIFS(Movimientos!$C:$C,Movimientos!$A:$A,$B14,Movimientos!$D:$D,CONCATENATE("&lt;",DB$3),Movimientos!$C:$C,"&lt;0")</f>
        <v>0</v>
      </c>
      <c r="DC14" s="5">
        <f ca="1">SUMIFS(Movimientos!$C:$C,Movimientos!$A:$A,$B14,Movimientos!$D:$D,CONCATENATE("&lt;=",DC$3),Movimientos!$C:$C,"&gt;0")+SUMIFS(Movimientos!$C:$C,Movimientos!$A:$A,$B14,Movimientos!$D:$D,CONCATENATE("&lt;",DC$3),Movimientos!$C:$C,"&lt;0")</f>
        <v>0</v>
      </c>
      <c r="DD14" s="5">
        <f ca="1">SUMIFS(Movimientos!$C:$C,Movimientos!$A:$A,$B14,Movimientos!$D:$D,CONCATENATE("&lt;=",DD$3),Movimientos!$C:$C,"&gt;0")+SUMIFS(Movimientos!$C:$C,Movimientos!$A:$A,$B14,Movimientos!$D:$D,CONCATENATE("&lt;",DD$3),Movimientos!$C:$C,"&lt;0")</f>
        <v>0</v>
      </c>
      <c r="DE14" s="5">
        <f ca="1">SUMIFS(Movimientos!$C:$C,Movimientos!$A:$A,$B14,Movimientos!$D:$D,CONCATENATE("&lt;=",DE$3),Movimientos!$C:$C,"&gt;0")+SUMIFS(Movimientos!$C:$C,Movimientos!$A:$A,$B14,Movimientos!$D:$D,CONCATENATE("&lt;",DE$3),Movimientos!$C:$C,"&lt;0")</f>
        <v>0</v>
      </c>
      <c r="DF14" s="5">
        <f ca="1">SUMIFS(Movimientos!$C:$C,Movimientos!$A:$A,$B14,Movimientos!$D:$D,CONCATENATE("&lt;=",DF$3),Movimientos!$C:$C,"&gt;0")+SUMIFS(Movimientos!$C:$C,Movimientos!$A:$A,$B14,Movimientos!$D:$D,CONCATENATE("&lt;",DF$3),Movimientos!$C:$C,"&lt;0")</f>
        <v>0</v>
      </c>
      <c r="DG14" s="5">
        <f ca="1">SUMIFS(Movimientos!$C:$C,Movimientos!$A:$A,$B14,Movimientos!$D:$D,CONCATENATE("&lt;=",DG$3),Movimientos!$C:$C,"&gt;0")+SUMIFS(Movimientos!$C:$C,Movimientos!$A:$A,$B14,Movimientos!$D:$D,CONCATENATE("&lt;",DG$3),Movimientos!$C:$C,"&lt;0")</f>
        <v>0</v>
      </c>
      <c r="DH14" s="5">
        <f ca="1">SUMIFS(Movimientos!$C:$C,Movimientos!$A:$A,$B14,Movimientos!$D:$D,CONCATENATE("&lt;=",DH$3),Movimientos!$C:$C,"&gt;0")+SUMIFS(Movimientos!$C:$C,Movimientos!$A:$A,$B14,Movimientos!$D:$D,CONCATENATE("&lt;",DH$3),Movimientos!$C:$C,"&lt;0")</f>
        <v>0</v>
      </c>
      <c r="DI14" s="5">
        <f ca="1">SUMIFS(Movimientos!$C:$C,Movimientos!$A:$A,$B14,Movimientos!$D:$D,CONCATENATE("&lt;=",DI$3),Movimientos!$C:$C,"&gt;0")+SUMIFS(Movimientos!$C:$C,Movimientos!$A:$A,$B14,Movimientos!$D:$D,CONCATENATE("&lt;",DI$3),Movimientos!$C:$C,"&lt;0")</f>
        <v>0</v>
      </c>
      <c r="DJ14" s="5">
        <f ca="1">SUMIFS(Movimientos!$C:$C,Movimientos!$A:$A,$B14,Movimientos!$D:$D,CONCATENATE("&lt;=",DJ$3),Movimientos!$C:$C,"&gt;0")+SUMIFS(Movimientos!$C:$C,Movimientos!$A:$A,$B14,Movimientos!$D:$D,CONCATENATE("&lt;",DJ$3),Movimientos!$C:$C,"&lt;0")</f>
        <v>0</v>
      </c>
      <c r="DK14" s="5">
        <f ca="1">SUMIFS(Movimientos!$C:$C,Movimientos!$A:$A,$B14,Movimientos!$D:$D,CONCATENATE("&lt;=",DK$3),Movimientos!$C:$C,"&gt;0")+SUMIFS(Movimientos!$C:$C,Movimientos!$A:$A,$B14,Movimientos!$D:$D,CONCATENATE("&lt;",DK$3),Movimientos!$C:$C,"&lt;0")</f>
        <v>0</v>
      </c>
      <c r="DL14" s="5">
        <f ca="1">SUMIFS(Movimientos!$C:$C,Movimientos!$A:$A,$B14,Movimientos!$D:$D,CONCATENATE("&lt;=",DL$3),Movimientos!$C:$C,"&gt;0")+SUMIFS(Movimientos!$C:$C,Movimientos!$A:$A,$B14,Movimientos!$D:$D,CONCATENATE("&lt;",DL$3),Movimientos!$C:$C,"&lt;0")</f>
        <v>0</v>
      </c>
      <c r="DM14" s="5">
        <f ca="1">SUMIFS(Movimientos!$C:$C,Movimientos!$A:$A,$B14,Movimientos!$D:$D,CONCATENATE("&lt;=",DM$3),Movimientos!$C:$C,"&gt;0")+SUMIFS(Movimientos!$C:$C,Movimientos!$A:$A,$B14,Movimientos!$D:$D,CONCATENATE("&lt;",DM$3),Movimientos!$C:$C,"&lt;0")</f>
        <v>0</v>
      </c>
      <c r="DN14" s="5">
        <f ca="1">SUMIFS(Movimientos!$C:$C,Movimientos!$A:$A,$B14,Movimientos!$D:$D,CONCATENATE("&lt;=",DN$3),Movimientos!$C:$C,"&gt;0")+SUMIFS(Movimientos!$C:$C,Movimientos!$A:$A,$B14,Movimientos!$D:$D,CONCATENATE("&lt;",DN$3),Movimientos!$C:$C,"&lt;0")</f>
        <v>0</v>
      </c>
      <c r="DO14" s="5">
        <f ca="1">SUMIFS(Movimientos!$C:$C,Movimientos!$A:$A,$B14,Movimientos!$D:$D,CONCATENATE("&lt;=",DO$3),Movimientos!$C:$C,"&gt;0")+SUMIFS(Movimientos!$C:$C,Movimientos!$A:$A,$B14,Movimientos!$D:$D,CONCATENATE("&lt;",DO$3),Movimientos!$C:$C,"&lt;0")</f>
        <v>0</v>
      </c>
      <c r="DP14" s="5">
        <f ca="1">SUMIFS(Movimientos!$C:$C,Movimientos!$A:$A,$B14,Movimientos!$D:$D,CONCATENATE("&lt;=",DP$3),Movimientos!$C:$C,"&gt;0")+SUMIFS(Movimientos!$C:$C,Movimientos!$A:$A,$B14,Movimientos!$D:$D,CONCATENATE("&lt;",DP$3),Movimientos!$C:$C,"&lt;0")</f>
        <v>0</v>
      </c>
      <c r="DQ14" s="5">
        <f ca="1">SUMIFS(Movimientos!$C:$C,Movimientos!$A:$A,$B14,Movimientos!$D:$D,CONCATENATE("&lt;=",DQ$3),Movimientos!$C:$C,"&gt;0")+SUMIFS(Movimientos!$C:$C,Movimientos!$A:$A,$B14,Movimientos!$D:$D,CONCATENATE("&lt;",DQ$3),Movimientos!$C:$C,"&lt;0")</f>
        <v>0</v>
      </c>
      <c r="DR14" s="5">
        <f ca="1">SUMIFS(Movimientos!$C:$C,Movimientos!$A:$A,$B14,Movimientos!$D:$D,CONCATENATE("&lt;=",DR$3),Movimientos!$C:$C,"&gt;0")+SUMIFS(Movimientos!$C:$C,Movimientos!$A:$A,$B14,Movimientos!$D:$D,CONCATENATE("&lt;",DR$3),Movimientos!$C:$C,"&lt;0")</f>
        <v>0</v>
      </c>
      <c r="DS14" s="5">
        <f ca="1">SUMIFS(Movimientos!$C:$C,Movimientos!$A:$A,$B14,Movimientos!$D:$D,CONCATENATE("&lt;=",DS$3),Movimientos!$C:$C,"&gt;0")+SUMIFS(Movimientos!$C:$C,Movimientos!$A:$A,$B14,Movimientos!$D:$D,CONCATENATE("&lt;",DS$3),Movimientos!$C:$C,"&lt;0")</f>
        <v>0</v>
      </c>
      <c r="DT14" s="5">
        <f ca="1">SUMIFS(Movimientos!$C:$C,Movimientos!$A:$A,$B14,Movimientos!$D:$D,CONCATENATE("&lt;=",DT$3),Movimientos!$C:$C,"&gt;0")+SUMIFS(Movimientos!$C:$C,Movimientos!$A:$A,$B14,Movimientos!$D:$D,CONCATENATE("&lt;",DT$3),Movimientos!$C:$C,"&lt;0")</f>
        <v>0</v>
      </c>
      <c r="DU14" s="5">
        <f ca="1">SUMIFS(Movimientos!$C:$C,Movimientos!$A:$A,$B14,Movimientos!$D:$D,CONCATENATE("&lt;=",DU$3),Movimientos!$C:$C,"&gt;0")+SUMIFS(Movimientos!$C:$C,Movimientos!$A:$A,$B14,Movimientos!$D:$D,CONCATENATE("&lt;",DU$3),Movimientos!$C:$C,"&lt;0")</f>
        <v>0</v>
      </c>
      <c r="DV14" s="5">
        <f ca="1">SUMIFS(Movimientos!$C:$C,Movimientos!$A:$A,$B14,Movimientos!$D:$D,CONCATENATE("&lt;=",DV$3),Movimientos!$C:$C,"&gt;0")+SUMIFS(Movimientos!$C:$C,Movimientos!$A:$A,$B14,Movimientos!$D:$D,CONCATENATE("&lt;",DV$3),Movimientos!$C:$C,"&lt;0")</f>
        <v>0</v>
      </c>
      <c r="DW14" s="5">
        <f ca="1">SUMIFS(Movimientos!$C:$C,Movimientos!$A:$A,$B14,Movimientos!$D:$D,CONCATENATE("&lt;=",DW$3),Movimientos!$C:$C,"&gt;0")+SUMIFS(Movimientos!$C:$C,Movimientos!$A:$A,$B14,Movimientos!$D:$D,CONCATENATE("&lt;",DW$3),Movimientos!$C:$C,"&lt;0")</f>
        <v>0</v>
      </c>
      <c r="DX14" s="5">
        <f ca="1">SUMIFS(Movimientos!$C:$C,Movimientos!$A:$A,$B14,Movimientos!$D:$D,CONCATENATE("&lt;=",DX$3),Movimientos!$C:$C,"&gt;0")+SUMIFS(Movimientos!$C:$C,Movimientos!$A:$A,$B14,Movimientos!$D:$D,CONCATENATE("&lt;",DX$3),Movimientos!$C:$C,"&lt;0")</f>
        <v>0</v>
      </c>
      <c r="DY14" s="5">
        <f ca="1">SUMIFS(Movimientos!$C:$C,Movimientos!$A:$A,$B14,Movimientos!$D:$D,CONCATENATE("&lt;=",DY$3),Movimientos!$C:$C,"&gt;0")+SUMIFS(Movimientos!$C:$C,Movimientos!$A:$A,$B14,Movimientos!$D:$D,CONCATENATE("&lt;",DY$3),Movimientos!$C:$C,"&lt;0")</f>
        <v>0</v>
      </c>
      <c r="DZ14" s="5">
        <f ca="1">SUMIFS(Movimientos!$C:$C,Movimientos!$A:$A,$B14,Movimientos!$D:$D,CONCATENATE("&lt;=",DZ$3),Movimientos!$C:$C,"&gt;0")+SUMIFS(Movimientos!$C:$C,Movimientos!$A:$A,$B14,Movimientos!$D:$D,CONCATENATE("&lt;",DZ$3),Movimientos!$C:$C,"&lt;0")</f>
        <v>0</v>
      </c>
      <c r="EA14" s="5">
        <f ca="1">SUMIFS(Movimientos!$C:$C,Movimientos!$A:$A,$B14,Movimientos!$D:$D,CONCATENATE("&lt;=",EA$3),Movimientos!$C:$C,"&gt;0")+SUMIFS(Movimientos!$C:$C,Movimientos!$A:$A,$B14,Movimientos!$D:$D,CONCATENATE("&lt;",EA$3),Movimientos!$C:$C,"&lt;0")</f>
        <v>0</v>
      </c>
      <c r="EB14" s="5">
        <f ca="1">SUMIFS(Movimientos!$C:$C,Movimientos!$A:$A,$B14,Movimientos!$D:$D,CONCATENATE("&lt;=",EB$3),Movimientos!$C:$C,"&gt;0")+SUMIFS(Movimientos!$C:$C,Movimientos!$A:$A,$B14,Movimientos!$D:$D,CONCATENATE("&lt;",EB$3),Movimientos!$C:$C,"&lt;0")</f>
        <v>0</v>
      </c>
      <c r="EC14" s="5">
        <f ca="1">SUMIFS(Movimientos!$C:$C,Movimientos!$A:$A,$B14,Movimientos!$D:$D,CONCATENATE("&lt;=",EC$3),Movimientos!$C:$C,"&gt;0")+SUMIFS(Movimientos!$C:$C,Movimientos!$A:$A,$B14,Movimientos!$D:$D,CONCATENATE("&lt;",EC$3),Movimientos!$C:$C,"&lt;0")</f>
        <v>0</v>
      </c>
      <c r="ED14" s="5">
        <f ca="1">SUMIFS(Movimientos!$C:$C,Movimientos!$A:$A,$B14,Movimientos!$D:$D,CONCATENATE("&lt;=",ED$3),Movimientos!$C:$C,"&gt;0")+SUMIFS(Movimientos!$C:$C,Movimientos!$A:$A,$B14,Movimientos!$D:$D,CONCATENATE("&lt;",ED$3),Movimientos!$C:$C,"&lt;0")</f>
        <v>0</v>
      </c>
      <c r="EE14" s="5">
        <f ca="1">SUMIFS(Movimientos!$C:$C,Movimientos!$A:$A,$B14,Movimientos!$D:$D,CONCATENATE("&lt;=",EE$3),Movimientos!$C:$C,"&gt;0")+SUMIFS(Movimientos!$C:$C,Movimientos!$A:$A,$B14,Movimientos!$D:$D,CONCATENATE("&lt;",EE$3),Movimientos!$C:$C,"&lt;0")</f>
        <v>0</v>
      </c>
      <c r="EF14" s="5">
        <f ca="1">SUMIFS(Movimientos!$C:$C,Movimientos!$A:$A,$B14,Movimientos!$D:$D,CONCATENATE("&lt;=",EF$3),Movimientos!$C:$C,"&gt;0")+SUMIFS(Movimientos!$C:$C,Movimientos!$A:$A,$B14,Movimientos!$D:$D,CONCATENATE("&lt;",EF$3),Movimientos!$C:$C,"&lt;0")</f>
        <v>0</v>
      </c>
      <c r="EG14" s="5">
        <f ca="1">SUMIFS(Movimientos!$C:$C,Movimientos!$A:$A,$B14,Movimientos!$D:$D,CONCATENATE("&lt;=",EG$3),Movimientos!$C:$C,"&gt;0")+SUMIFS(Movimientos!$C:$C,Movimientos!$A:$A,$B14,Movimientos!$D:$D,CONCATENATE("&lt;",EG$3),Movimientos!$C:$C,"&lt;0")</f>
        <v>0</v>
      </c>
      <c r="EH14" s="5">
        <f ca="1">SUMIFS(Movimientos!$C:$C,Movimientos!$A:$A,$B14,Movimientos!$D:$D,CONCATENATE("&lt;=",EH$3),Movimientos!$C:$C,"&gt;0")+SUMIFS(Movimientos!$C:$C,Movimientos!$A:$A,$B14,Movimientos!$D:$D,CONCATENATE("&lt;",EH$3),Movimientos!$C:$C,"&lt;0")</f>
        <v>0</v>
      </c>
      <c r="EI14" s="5">
        <f ca="1">SUMIFS(Movimientos!$C:$C,Movimientos!$A:$A,$B14,Movimientos!$D:$D,CONCATENATE("&lt;=",EI$3),Movimientos!$C:$C,"&gt;0")+SUMIFS(Movimientos!$C:$C,Movimientos!$A:$A,$B14,Movimientos!$D:$D,CONCATENATE("&lt;",EI$3),Movimientos!$C:$C,"&lt;0")</f>
        <v>0</v>
      </c>
      <c r="EJ14" s="5">
        <f ca="1">SUMIFS(Movimientos!$C:$C,Movimientos!$A:$A,$B14,Movimientos!$D:$D,CONCATENATE("&lt;=",EJ$3),Movimientos!$C:$C,"&gt;0")+SUMIFS(Movimientos!$C:$C,Movimientos!$A:$A,$B14,Movimientos!$D:$D,CONCATENATE("&lt;",EJ$3),Movimientos!$C:$C,"&lt;0")</f>
        <v>0</v>
      </c>
      <c r="EK14" s="5">
        <f ca="1">SUMIFS(Movimientos!$C:$C,Movimientos!$A:$A,$B14,Movimientos!$D:$D,CONCATENATE("&lt;=",EK$3),Movimientos!$C:$C,"&gt;0")+SUMIFS(Movimientos!$C:$C,Movimientos!$A:$A,$B14,Movimientos!$D:$D,CONCATENATE("&lt;",EK$3),Movimientos!$C:$C,"&lt;0")</f>
        <v>0</v>
      </c>
      <c r="EL14" s="5">
        <f ca="1">SUMIFS(Movimientos!$C:$C,Movimientos!$A:$A,$B14,Movimientos!$D:$D,CONCATENATE("&lt;=",EL$3),Movimientos!$C:$C,"&gt;0")+SUMIFS(Movimientos!$C:$C,Movimientos!$A:$A,$B14,Movimientos!$D:$D,CONCATENATE("&lt;",EL$3),Movimientos!$C:$C,"&lt;0")</f>
        <v>0</v>
      </c>
      <c r="EM14" s="5">
        <f ca="1">SUMIFS(Movimientos!$C:$C,Movimientos!$A:$A,$B14,Movimientos!$D:$D,CONCATENATE("&lt;=",EM$3),Movimientos!$C:$C,"&gt;0")+SUMIFS(Movimientos!$C:$C,Movimientos!$A:$A,$B14,Movimientos!$D:$D,CONCATENATE("&lt;",EM$3),Movimientos!$C:$C,"&lt;0")</f>
        <v>0</v>
      </c>
      <c r="EN14" s="5">
        <f ca="1">SUMIFS(Movimientos!$C:$C,Movimientos!$A:$A,$B14,Movimientos!$D:$D,CONCATENATE("&lt;=",EN$3),Movimientos!$C:$C,"&gt;0")+SUMIFS(Movimientos!$C:$C,Movimientos!$A:$A,$B14,Movimientos!$D:$D,CONCATENATE("&lt;",EN$3),Movimientos!$C:$C,"&lt;0")</f>
        <v>0</v>
      </c>
      <c r="EO14" s="5">
        <f ca="1">SUMIFS(Movimientos!$C:$C,Movimientos!$A:$A,$B14,Movimientos!$D:$D,CONCATENATE("&lt;=",EO$3),Movimientos!$C:$C,"&gt;0")+SUMIFS(Movimientos!$C:$C,Movimientos!$A:$A,$B14,Movimientos!$D:$D,CONCATENATE("&lt;",EO$3),Movimientos!$C:$C,"&lt;0")</f>
        <v>0</v>
      </c>
      <c r="EP14" s="5">
        <f ca="1">SUMIFS(Movimientos!$C:$C,Movimientos!$A:$A,$B14,Movimientos!$D:$D,CONCATENATE("&lt;=",EP$3),Movimientos!$C:$C,"&gt;0")+SUMIFS(Movimientos!$C:$C,Movimientos!$A:$A,$B14,Movimientos!$D:$D,CONCATENATE("&lt;",EP$3),Movimientos!$C:$C,"&lt;0")</f>
        <v>0</v>
      </c>
      <c r="EQ14" s="5">
        <f ca="1">SUMIFS(Movimientos!$C:$C,Movimientos!$A:$A,$B14,Movimientos!$D:$D,CONCATENATE("&lt;=",EQ$3),Movimientos!$C:$C,"&gt;0")+SUMIFS(Movimientos!$C:$C,Movimientos!$A:$A,$B14,Movimientos!$D:$D,CONCATENATE("&lt;",EQ$3),Movimientos!$C:$C,"&lt;0")</f>
        <v>0</v>
      </c>
      <c r="ER14" s="5">
        <f ca="1">SUMIFS(Movimientos!$C:$C,Movimientos!$A:$A,$B14,Movimientos!$D:$D,CONCATENATE("&lt;=",ER$3),Movimientos!$C:$C,"&gt;0")+SUMIFS(Movimientos!$C:$C,Movimientos!$A:$A,$B14,Movimientos!$D:$D,CONCATENATE("&lt;",ER$3),Movimientos!$C:$C,"&lt;0")</f>
        <v>0</v>
      </c>
      <c r="ES14" s="5">
        <f ca="1">SUMIFS(Movimientos!$C:$C,Movimientos!$A:$A,$B14,Movimientos!$D:$D,CONCATENATE("&lt;=",ES$3),Movimientos!$C:$C,"&gt;0")+SUMIFS(Movimientos!$C:$C,Movimientos!$A:$A,$B14,Movimientos!$D:$D,CONCATENATE("&lt;",ES$3),Movimientos!$C:$C,"&lt;0")</f>
        <v>0</v>
      </c>
      <c r="ET14" s="5">
        <f ca="1">SUMIFS(Movimientos!$C:$C,Movimientos!$A:$A,$B14,Movimientos!$D:$D,CONCATENATE("&lt;=",ET$3),Movimientos!$C:$C,"&gt;0")+SUMIFS(Movimientos!$C:$C,Movimientos!$A:$A,$B14,Movimientos!$D:$D,CONCATENATE("&lt;",ET$3),Movimientos!$C:$C,"&lt;0")</f>
        <v>0</v>
      </c>
      <c r="EU14" s="5">
        <f ca="1">SUMIFS(Movimientos!$C:$C,Movimientos!$A:$A,$B14,Movimientos!$D:$D,CONCATENATE("&lt;=",EU$3),Movimientos!$C:$C,"&gt;0")+SUMIFS(Movimientos!$C:$C,Movimientos!$A:$A,$B14,Movimientos!$D:$D,CONCATENATE("&lt;",EU$3),Movimientos!$C:$C,"&lt;0")</f>
        <v>0</v>
      </c>
      <c r="EV14" s="5">
        <f ca="1">SUMIFS(Movimientos!$C:$C,Movimientos!$A:$A,$B14,Movimientos!$D:$D,CONCATENATE("&lt;=",EV$3),Movimientos!$C:$C,"&gt;0")+SUMIFS(Movimientos!$C:$C,Movimientos!$A:$A,$B14,Movimientos!$D:$D,CONCATENATE("&lt;",EV$3),Movimientos!$C:$C,"&lt;0")</f>
        <v>0</v>
      </c>
      <c r="EW14" s="5">
        <f ca="1">SUMIFS(Movimientos!$C:$C,Movimientos!$A:$A,$B14,Movimientos!$D:$D,CONCATENATE("&lt;=",EW$3),Movimientos!$C:$C,"&gt;0")+SUMIFS(Movimientos!$C:$C,Movimientos!$A:$A,$B14,Movimientos!$D:$D,CONCATENATE("&lt;",EW$3),Movimientos!$C:$C,"&lt;0")</f>
        <v>0</v>
      </c>
      <c r="EX14" s="5">
        <f ca="1">SUMIFS(Movimientos!$C:$C,Movimientos!$A:$A,$B14,Movimientos!$D:$D,CONCATENATE("&lt;=",EX$3),Movimientos!$C:$C,"&gt;0")+SUMIFS(Movimientos!$C:$C,Movimientos!$A:$A,$B14,Movimientos!$D:$D,CONCATENATE("&lt;",EX$3),Movimientos!$C:$C,"&lt;0")</f>
        <v>0</v>
      </c>
      <c r="EY14" s="5">
        <f ca="1">SUMIFS(Movimientos!$C:$C,Movimientos!$A:$A,$B14,Movimientos!$D:$D,CONCATENATE("&lt;=",EY$3),Movimientos!$C:$C,"&gt;0")+SUMIFS(Movimientos!$C:$C,Movimientos!$A:$A,$B14,Movimientos!$D:$D,CONCATENATE("&lt;",EY$3),Movimientos!$C:$C,"&lt;0")</f>
        <v>0</v>
      </c>
      <c r="EZ14" s="5">
        <f ca="1">SUMIFS(Movimientos!$C:$C,Movimientos!$A:$A,$B14,Movimientos!$D:$D,CONCATENATE("&lt;=",EZ$3),Movimientos!$C:$C,"&gt;0")+SUMIFS(Movimientos!$C:$C,Movimientos!$A:$A,$B14,Movimientos!$D:$D,CONCATENATE("&lt;",EZ$3),Movimientos!$C:$C,"&lt;0")</f>
        <v>0</v>
      </c>
      <c r="FA14" s="5">
        <f ca="1">SUMIFS(Movimientos!$C:$C,Movimientos!$A:$A,$B14,Movimientos!$D:$D,CONCATENATE("&lt;=",FA$3),Movimientos!$C:$C,"&gt;0")+SUMIFS(Movimientos!$C:$C,Movimientos!$A:$A,$B14,Movimientos!$D:$D,CONCATENATE("&lt;",FA$3),Movimientos!$C:$C,"&lt;0")</f>
        <v>0</v>
      </c>
      <c r="FB14" s="5">
        <f ca="1">SUMIFS(Movimientos!$C:$C,Movimientos!$A:$A,$B14,Movimientos!$D:$D,CONCATENATE("&lt;=",FB$3),Movimientos!$C:$C,"&gt;0")+SUMIFS(Movimientos!$C:$C,Movimientos!$A:$A,$B14,Movimientos!$D:$D,CONCATENATE("&lt;",FB$3),Movimientos!$C:$C,"&lt;0")</f>
        <v>0</v>
      </c>
      <c r="FC14" s="5">
        <f ca="1">SUMIFS(Movimientos!$C:$C,Movimientos!$A:$A,$B14,Movimientos!$D:$D,CONCATENATE("&lt;=",FC$3),Movimientos!$C:$C,"&gt;0")+SUMIFS(Movimientos!$C:$C,Movimientos!$A:$A,$B14,Movimientos!$D:$D,CONCATENATE("&lt;",FC$3),Movimientos!$C:$C,"&lt;0")</f>
        <v>0</v>
      </c>
      <c r="FD14" s="5">
        <f ca="1">SUMIFS(Movimientos!$C:$C,Movimientos!$A:$A,$B14,Movimientos!$D:$D,CONCATENATE("&lt;=",FD$3),Movimientos!$C:$C,"&gt;0")+SUMIFS(Movimientos!$C:$C,Movimientos!$A:$A,$B14,Movimientos!$D:$D,CONCATENATE("&lt;",FD$3),Movimientos!$C:$C,"&lt;0")</f>
        <v>0</v>
      </c>
      <c r="FE14" s="5">
        <f ca="1">SUMIFS(Movimientos!$C:$C,Movimientos!$A:$A,$B14,Movimientos!$D:$D,CONCATENATE("&lt;=",FE$3),Movimientos!$C:$C,"&gt;0")+SUMIFS(Movimientos!$C:$C,Movimientos!$A:$A,$B14,Movimientos!$D:$D,CONCATENATE("&lt;",FE$3),Movimientos!$C:$C,"&lt;0")</f>
        <v>0</v>
      </c>
      <c r="FF14" s="5">
        <f ca="1">SUMIFS(Movimientos!$C:$C,Movimientos!$A:$A,$B14,Movimientos!$D:$D,CONCATENATE("&lt;=",FF$3),Movimientos!$C:$C,"&gt;0")+SUMIFS(Movimientos!$C:$C,Movimientos!$A:$A,$B14,Movimientos!$D:$D,CONCATENATE("&lt;",FF$3),Movimientos!$C:$C,"&lt;0")</f>
        <v>0</v>
      </c>
      <c r="FG14" s="5">
        <f ca="1">SUMIFS(Movimientos!$C:$C,Movimientos!$A:$A,$B14,Movimientos!$D:$D,CONCATENATE("&lt;=",FG$3),Movimientos!$C:$C,"&gt;0")+SUMIFS(Movimientos!$C:$C,Movimientos!$A:$A,$B14,Movimientos!$D:$D,CONCATENATE("&lt;",FG$3),Movimientos!$C:$C,"&lt;0")</f>
        <v>0</v>
      </c>
      <c r="FH14" s="5">
        <f ca="1">SUMIFS(Movimientos!$C:$C,Movimientos!$A:$A,$B14,Movimientos!$D:$D,CONCATENATE("&lt;=",FH$3),Movimientos!$C:$C,"&gt;0")+SUMIFS(Movimientos!$C:$C,Movimientos!$A:$A,$B14,Movimientos!$D:$D,CONCATENATE("&lt;",FH$3),Movimientos!$C:$C,"&lt;0")</f>
        <v>0</v>
      </c>
      <c r="FI14" s="5">
        <f ca="1">SUMIFS(Movimientos!$C:$C,Movimientos!$A:$A,$B14,Movimientos!$D:$D,CONCATENATE("&lt;=",FI$3),Movimientos!$C:$C,"&gt;0")+SUMIFS(Movimientos!$C:$C,Movimientos!$A:$A,$B14,Movimientos!$D:$D,CONCATENATE("&lt;",FI$3),Movimientos!$C:$C,"&lt;0")</f>
        <v>0</v>
      </c>
      <c r="FJ14" s="5">
        <f ca="1">SUMIFS(Movimientos!$C:$C,Movimientos!$A:$A,$B14,Movimientos!$D:$D,CONCATENATE("&lt;=",FJ$3),Movimientos!$C:$C,"&gt;0")+SUMIFS(Movimientos!$C:$C,Movimientos!$A:$A,$B14,Movimientos!$D:$D,CONCATENATE("&lt;",FJ$3),Movimientos!$C:$C,"&lt;0")</f>
        <v>0</v>
      </c>
      <c r="FK14" s="5">
        <f ca="1">SUMIFS(Movimientos!$C:$C,Movimientos!$A:$A,$B14,Movimientos!$D:$D,CONCATENATE("&lt;=",FK$3),Movimientos!$C:$C,"&gt;0")+SUMIFS(Movimientos!$C:$C,Movimientos!$A:$A,$B14,Movimientos!$D:$D,CONCATENATE("&lt;",FK$3),Movimientos!$C:$C,"&lt;0")</f>
        <v>0</v>
      </c>
      <c r="FL14" s="5">
        <f ca="1">SUMIFS(Movimientos!$C:$C,Movimientos!$A:$A,$B14,Movimientos!$D:$D,CONCATENATE("&lt;=",FL$3),Movimientos!$C:$C,"&gt;0")+SUMIFS(Movimientos!$C:$C,Movimientos!$A:$A,$B14,Movimientos!$D:$D,CONCATENATE("&lt;",FL$3),Movimientos!$C:$C,"&lt;0")</f>
        <v>0</v>
      </c>
      <c r="FM14" s="5">
        <f ca="1">SUMIFS(Movimientos!$C:$C,Movimientos!$A:$A,$B14,Movimientos!$D:$D,CONCATENATE("&lt;=",FM$3),Movimientos!$C:$C,"&gt;0")+SUMIFS(Movimientos!$C:$C,Movimientos!$A:$A,$B14,Movimientos!$D:$D,CONCATENATE("&lt;",FM$3),Movimientos!$C:$C,"&lt;0")</f>
        <v>0</v>
      </c>
      <c r="FN14" s="5">
        <f ca="1">SUMIFS(Movimientos!$C:$C,Movimientos!$A:$A,$B14,Movimientos!$D:$D,CONCATENATE("&lt;=",FN$3),Movimientos!$C:$C,"&gt;0")+SUMIFS(Movimientos!$C:$C,Movimientos!$A:$A,$B14,Movimientos!$D:$D,CONCATENATE("&lt;",FN$3),Movimientos!$C:$C,"&lt;0")</f>
        <v>0</v>
      </c>
      <c r="FO14" s="5">
        <f ca="1">SUMIFS(Movimientos!$C:$C,Movimientos!$A:$A,$B14,Movimientos!$D:$D,CONCATENATE("&lt;=",FO$3),Movimientos!$C:$C,"&gt;0")+SUMIFS(Movimientos!$C:$C,Movimientos!$A:$A,$B14,Movimientos!$D:$D,CONCATENATE("&lt;",FO$3),Movimientos!$C:$C,"&lt;0")</f>
        <v>0</v>
      </c>
      <c r="FP14" s="5">
        <f ca="1">SUMIFS(Movimientos!$C:$C,Movimientos!$A:$A,$B14,Movimientos!$D:$D,CONCATENATE("&lt;=",FP$3),Movimientos!$C:$C,"&gt;0")+SUMIFS(Movimientos!$C:$C,Movimientos!$A:$A,$B14,Movimientos!$D:$D,CONCATENATE("&lt;",FP$3),Movimientos!$C:$C,"&lt;0")</f>
        <v>0</v>
      </c>
      <c r="FQ14" s="5">
        <f ca="1">SUMIFS(Movimientos!$C:$C,Movimientos!$A:$A,$B14,Movimientos!$D:$D,CONCATENATE("&lt;=",FQ$3),Movimientos!$C:$C,"&gt;0")+SUMIFS(Movimientos!$C:$C,Movimientos!$A:$A,$B14,Movimientos!$D:$D,CONCATENATE("&lt;",FQ$3),Movimientos!$C:$C,"&lt;0")</f>
        <v>0</v>
      </c>
      <c r="FR14" s="5">
        <f ca="1">SUMIFS(Movimientos!$C:$C,Movimientos!$A:$A,$B14,Movimientos!$D:$D,CONCATENATE("&lt;=",FR$3),Movimientos!$C:$C,"&gt;0")+SUMIFS(Movimientos!$C:$C,Movimientos!$A:$A,$B14,Movimientos!$D:$D,CONCATENATE("&lt;",FR$3),Movimientos!$C:$C,"&lt;0")</f>
        <v>0</v>
      </c>
      <c r="FS14" s="5">
        <f ca="1">SUMIFS(Movimientos!$C:$C,Movimientos!$A:$A,$B14,Movimientos!$D:$D,CONCATENATE("&lt;=",FS$3),Movimientos!$C:$C,"&gt;0")+SUMIFS(Movimientos!$C:$C,Movimientos!$A:$A,$B14,Movimientos!$D:$D,CONCATENATE("&lt;",FS$3),Movimientos!$C:$C,"&lt;0")</f>
        <v>0</v>
      </c>
      <c r="FT14" s="5">
        <f ca="1">SUMIFS(Movimientos!$C:$C,Movimientos!$A:$A,$B14,Movimientos!$D:$D,CONCATENATE("&lt;=",FT$3),Movimientos!$C:$C,"&gt;0")+SUMIFS(Movimientos!$C:$C,Movimientos!$A:$A,$B14,Movimientos!$D:$D,CONCATENATE("&lt;",FT$3),Movimientos!$C:$C,"&lt;0")</f>
        <v>0</v>
      </c>
      <c r="FU14" s="5">
        <f ca="1">SUMIFS(Movimientos!$C:$C,Movimientos!$A:$A,$B14,Movimientos!$D:$D,CONCATENATE("&lt;=",FU$3),Movimientos!$C:$C,"&gt;0")+SUMIFS(Movimientos!$C:$C,Movimientos!$A:$A,$B14,Movimientos!$D:$D,CONCATENATE("&lt;",FU$3),Movimientos!$C:$C,"&lt;0")</f>
        <v>0</v>
      </c>
      <c r="FV14" s="5">
        <f ca="1">SUMIFS(Movimientos!$C:$C,Movimientos!$A:$A,$B14,Movimientos!$D:$D,CONCATENATE("&lt;=",FV$3),Movimientos!$C:$C,"&gt;0")+SUMIFS(Movimientos!$C:$C,Movimientos!$A:$A,$B14,Movimientos!$D:$D,CONCATENATE("&lt;",FV$3),Movimientos!$C:$C,"&lt;0")</f>
        <v>0</v>
      </c>
      <c r="FW14" s="5">
        <f ca="1">SUMIFS(Movimientos!$C:$C,Movimientos!$A:$A,$B14,Movimientos!$D:$D,CONCATENATE("&lt;=",FW$3),Movimientos!$C:$C,"&gt;0")+SUMIFS(Movimientos!$C:$C,Movimientos!$A:$A,$B14,Movimientos!$D:$D,CONCATENATE("&lt;",FW$3),Movimientos!$C:$C,"&lt;0")</f>
        <v>0</v>
      </c>
      <c r="FX14" s="5">
        <f ca="1">SUMIFS(Movimientos!$C:$C,Movimientos!$A:$A,$B14,Movimientos!$D:$D,CONCATENATE("&lt;=",FX$3),Movimientos!$C:$C,"&gt;0")+SUMIFS(Movimientos!$C:$C,Movimientos!$A:$A,$B14,Movimientos!$D:$D,CONCATENATE("&lt;",FX$3),Movimientos!$C:$C,"&lt;0")</f>
        <v>0</v>
      </c>
      <c r="FY14" s="5">
        <f ca="1">SUMIFS(Movimientos!$C:$C,Movimientos!$A:$A,$B14,Movimientos!$D:$D,CONCATENATE("&lt;=",FY$3),Movimientos!$C:$C,"&gt;0")+SUMIFS(Movimientos!$C:$C,Movimientos!$A:$A,$B14,Movimientos!$D:$D,CONCATENATE("&lt;",FY$3),Movimientos!$C:$C,"&lt;0")</f>
        <v>0</v>
      </c>
      <c r="FZ14" s="5">
        <f ca="1">SUMIFS(Movimientos!$C:$C,Movimientos!$A:$A,$B14,Movimientos!$D:$D,CONCATENATE("&lt;=",FZ$3),Movimientos!$C:$C,"&gt;0")+SUMIFS(Movimientos!$C:$C,Movimientos!$A:$A,$B14,Movimientos!$D:$D,CONCATENATE("&lt;",FZ$3),Movimientos!$C:$C,"&lt;0")</f>
        <v>0</v>
      </c>
      <c r="GA14" s="5">
        <f ca="1">SUMIFS(Movimientos!$C:$C,Movimientos!$A:$A,$B14,Movimientos!$D:$D,CONCATENATE("&lt;=",GA$3),Movimientos!$C:$C,"&gt;0")+SUMIFS(Movimientos!$C:$C,Movimientos!$A:$A,$B14,Movimientos!$D:$D,CONCATENATE("&lt;",GA$3),Movimientos!$C:$C,"&lt;0")</f>
        <v>0</v>
      </c>
      <c r="GB14" s="5">
        <f ca="1">SUMIFS(Movimientos!$C:$C,Movimientos!$A:$A,$B14,Movimientos!$D:$D,CONCATENATE("&lt;=",GB$3),Movimientos!$C:$C,"&gt;0")+SUMIFS(Movimientos!$C:$C,Movimientos!$A:$A,$B14,Movimientos!$D:$D,CONCATENATE("&lt;",GB$3),Movimientos!$C:$C,"&lt;0")</f>
        <v>0</v>
      </c>
      <c r="GC14" s="5">
        <f ca="1">SUMIFS(Movimientos!$C:$C,Movimientos!$A:$A,$B14,Movimientos!$D:$D,CONCATENATE("&lt;=",GC$3),Movimientos!$C:$C,"&gt;0")+SUMIFS(Movimientos!$C:$C,Movimientos!$A:$A,$B14,Movimientos!$D:$D,CONCATENATE("&lt;",GC$3),Movimientos!$C:$C,"&lt;0")</f>
        <v>0</v>
      </c>
      <c r="GD14" s="5">
        <f ca="1">SUMIFS(Movimientos!$C:$C,Movimientos!$A:$A,$B14,Movimientos!$D:$D,CONCATENATE("&lt;=",GD$3),Movimientos!$C:$C,"&gt;0")+SUMIFS(Movimientos!$C:$C,Movimientos!$A:$A,$B14,Movimientos!$D:$D,CONCATENATE("&lt;",GD$3),Movimientos!$C:$C,"&lt;0")</f>
        <v>0</v>
      </c>
      <c r="GE14" s="5">
        <f ca="1">SUMIFS(Movimientos!$C:$C,Movimientos!$A:$A,$B14,Movimientos!$D:$D,CONCATENATE("&lt;=",GE$3),Movimientos!$C:$C,"&gt;0")+SUMIFS(Movimientos!$C:$C,Movimientos!$A:$A,$B14,Movimientos!$D:$D,CONCATENATE("&lt;",GE$3),Movimientos!$C:$C,"&lt;0")</f>
        <v>0</v>
      </c>
      <c r="GF14" s="5">
        <f ca="1">SUMIFS(Movimientos!$C:$C,Movimientos!$A:$A,$B14,Movimientos!$D:$D,CONCATENATE("&lt;=",GF$3),Movimientos!$C:$C,"&gt;0")+SUMIFS(Movimientos!$C:$C,Movimientos!$A:$A,$B14,Movimientos!$D:$D,CONCATENATE("&lt;",GF$3),Movimientos!$C:$C,"&lt;0")</f>
        <v>0</v>
      </c>
      <c r="GG14" s="5">
        <f ca="1">SUMIFS(Movimientos!$C:$C,Movimientos!$A:$A,$B14,Movimientos!$D:$D,CONCATENATE("&lt;=",GG$3),Movimientos!$C:$C,"&gt;0")+SUMIFS(Movimientos!$C:$C,Movimientos!$A:$A,$B14,Movimientos!$D:$D,CONCATENATE("&lt;",GG$3),Movimientos!$C:$C,"&lt;0")</f>
        <v>0</v>
      </c>
      <c r="GH14" s="5">
        <f ca="1">SUMIFS(Movimientos!$C:$C,Movimientos!$A:$A,$B14,Movimientos!$D:$D,CONCATENATE("&lt;=",GH$3),Movimientos!$C:$C,"&gt;0")+SUMIFS(Movimientos!$C:$C,Movimientos!$A:$A,$B14,Movimientos!$D:$D,CONCATENATE("&lt;",GH$3),Movimientos!$C:$C,"&lt;0")</f>
        <v>0</v>
      </c>
      <c r="GI14" s="5">
        <f ca="1">SUMIFS(Movimientos!$C:$C,Movimientos!$A:$A,$B14,Movimientos!$D:$D,CONCATENATE("&lt;=",GI$3),Movimientos!$C:$C,"&gt;0")+SUMIFS(Movimientos!$C:$C,Movimientos!$A:$A,$B14,Movimientos!$D:$D,CONCATENATE("&lt;",GI$3),Movimientos!$C:$C,"&lt;0")</f>
        <v>0</v>
      </c>
      <c r="GJ14" s="5">
        <f ca="1">SUMIFS(Movimientos!$C:$C,Movimientos!$A:$A,$B14,Movimientos!$D:$D,CONCATENATE("&lt;=",GJ$3),Movimientos!$C:$C,"&gt;0")+SUMIFS(Movimientos!$C:$C,Movimientos!$A:$A,$B14,Movimientos!$D:$D,CONCATENATE("&lt;",GJ$3),Movimientos!$C:$C,"&lt;0")</f>
        <v>0</v>
      </c>
      <c r="GK14" s="5">
        <f ca="1">SUMIFS(Movimientos!$C:$C,Movimientos!$A:$A,$B14,Movimientos!$D:$D,CONCATENATE("&lt;=",GK$3),Movimientos!$C:$C,"&gt;0")+SUMIFS(Movimientos!$C:$C,Movimientos!$A:$A,$B14,Movimientos!$D:$D,CONCATENATE("&lt;",GK$3),Movimientos!$C:$C,"&lt;0")</f>
        <v>0</v>
      </c>
      <c r="GL14" s="5">
        <f ca="1">SUMIFS(Movimientos!$C:$C,Movimientos!$A:$A,$B14,Movimientos!$D:$D,CONCATENATE("&lt;=",GL$3),Movimientos!$C:$C,"&gt;0")+SUMIFS(Movimientos!$C:$C,Movimientos!$A:$A,$B14,Movimientos!$D:$D,CONCATENATE("&lt;",GL$3),Movimientos!$C:$C,"&lt;0")</f>
        <v>0</v>
      </c>
      <c r="GM14" s="5">
        <f ca="1">SUMIFS(Movimientos!$C:$C,Movimientos!$A:$A,$B14,Movimientos!$D:$D,CONCATENATE("&lt;=",GM$3),Movimientos!$C:$C,"&gt;0")+SUMIFS(Movimientos!$C:$C,Movimientos!$A:$A,$B14,Movimientos!$D:$D,CONCATENATE("&lt;",GM$3),Movimientos!$C:$C,"&lt;0")</f>
        <v>0</v>
      </c>
      <c r="GN14" s="5">
        <f ca="1">SUMIFS(Movimientos!$C:$C,Movimientos!$A:$A,$B14,Movimientos!$D:$D,CONCATENATE("&lt;=",GN$3),Movimientos!$C:$C,"&gt;0")+SUMIFS(Movimientos!$C:$C,Movimientos!$A:$A,$B14,Movimientos!$D:$D,CONCATENATE("&lt;",GN$3),Movimientos!$C:$C,"&lt;0")</f>
        <v>0</v>
      </c>
      <c r="GO14" s="5">
        <f ca="1">SUMIFS(Movimientos!$C:$C,Movimientos!$A:$A,$B14,Movimientos!$D:$D,CONCATENATE("&lt;=",GO$3),Movimientos!$C:$C,"&gt;0")+SUMIFS(Movimientos!$C:$C,Movimientos!$A:$A,$B14,Movimientos!$D:$D,CONCATENATE("&lt;",GO$3),Movimientos!$C:$C,"&lt;0")</f>
        <v>0</v>
      </c>
      <c r="GP14" s="5">
        <f ca="1">SUMIFS(Movimientos!$C:$C,Movimientos!$A:$A,$B14,Movimientos!$D:$D,CONCATENATE("&lt;=",GP$3),Movimientos!$C:$C,"&gt;0")+SUMIFS(Movimientos!$C:$C,Movimientos!$A:$A,$B14,Movimientos!$D:$D,CONCATENATE("&lt;",GP$3),Movimientos!$C:$C,"&lt;0")</f>
        <v>0</v>
      </c>
      <c r="GQ14" s="5">
        <f ca="1">SUMIFS(Movimientos!$C:$C,Movimientos!$A:$A,$B14,Movimientos!$D:$D,CONCATENATE("&lt;=",GQ$3),Movimientos!$C:$C,"&gt;0")+SUMIFS(Movimientos!$C:$C,Movimientos!$A:$A,$B14,Movimientos!$D:$D,CONCATENATE("&lt;",GQ$3),Movimientos!$C:$C,"&lt;0")</f>
        <v>0</v>
      </c>
      <c r="GR14" s="5">
        <f ca="1">SUMIFS(Movimientos!$C:$C,Movimientos!$A:$A,$B14,Movimientos!$D:$D,CONCATENATE("&lt;=",GR$3),Movimientos!$C:$C,"&gt;0")+SUMIFS(Movimientos!$C:$C,Movimientos!$A:$A,$B14,Movimientos!$D:$D,CONCATENATE("&lt;",GR$3),Movimientos!$C:$C,"&lt;0")</f>
        <v>0</v>
      </c>
      <c r="GS14" s="5">
        <f ca="1">SUMIFS(Movimientos!$C:$C,Movimientos!$A:$A,$B14,Movimientos!$D:$D,CONCATENATE("&lt;=",GS$3),Movimientos!$C:$C,"&gt;0")+SUMIFS(Movimientos!$C:$C,Movimientos!$A:$A,$B14,Movimientos!$D:$D,CONCATENATE("&lt;",GS$3),Movimientos!$C:$C,"&lt;0")</f>
        <v>0</v>
      </c>
      <c r="GT14" s="5">
        <f ca="1">SUMIFS(Movimientos!$C:$C,Movimientos!$A:$A,$B14,Movimientos!$D:$D,CONCATENATE("&lt;=",GT$3),Movimientos!$C:$C,"&gt;0")+SUMIFS(Movimientos!$C:$C,Movimientos!$A:$A,$B14,Movimientos!$D:$D,CONCATENATE("&lt;",GT$3),Movimientos!$C:$C,"&lt;0")</f>
        <v>0</v>
      </c>
      <c r="GU14" s="5">
        <f ca="1">SUMIFS(Movimientos!$C:$C,Movimientos!$A:$A,$B14,Movimientos!$D:$D,CONCATENATE("&lt;=",GU$3),Movimientos!$C:$C,"&gt;0")+SUMIFS(Movimientos!$C:$C,Movimientos!$A:$A,$B14,Movimientos!$D:$D,CONCATENATE("&lt;",GU$3),Movimientos!$C:$C,"&lt;0")</f>
        <v>0</v>
      </c>
      <c r="GV14" s="5">
        <f ca="1">SUMIFS(Movimientos!$C:$C,Movimientos!$A:$A,$B14,Movimientos!$D:$D,CONCATENATE("&lt;=",GV$3),Movimientos!$C:$C,"&gt;0")+SUMIFS(Movimientos!$C:$C,Movimientos!$A:$A,$B14,Movimientos!$D:$D,CONCATENATE("&lt;",GV$3),Movimientos!$C:$C,"&lt;0")</f>
        <v>0</v>
      </c>
      <c r="GW14" s="5">
        <f ca="1">SUMIFS(Movimientos!$C:$C,Movimientos!$A:$A,$B14,Movimientos!$D:$D,CONCATENATE("&lt;=",GW$3),Movimientos!$C:$C,"&gt;0")+SUMIFS(Movimientos!$C:$C,Movimientos!$A:$A,$B14,Movimientos!$D:$D,CONCATENATE("&lt;",GW$3),Movimientos!$C:$C,"&lt;0")</f>
        <v>0</v>
      </c>
      <c r="GX14" s="5">
        <f ca="1">SUMIFS(Movimientos!$C:$C,Movimientos!$A:$A,$B14,Movimientos!$D:$D,CONCATENATE("&lt;=",GX$3),Movimientos!$C:$C,"&gt;0")+SUMIFS(Movimientos!$C:$C,Movimientos!$A:$A,$B14,Movimientos!$D:$D,CONCATENATE("&lt;",GX$3),Movimientos!$C:$C,"&lt;0")</f>
        <v>0</v>
      </c>
      <c r="GY14" s="5">
        <f ca="1">SUMIFS(Movimientos!$C:$C,Movimientos!$A:$A,$B14,Movimientos!$D:$D,CONCATENATE("&lt;=",GY$3),Movimientos!$C:$C,"&gt;0")+SUMIFS(Movimientos!$C:$C,Movimientos!$A:$A,$B14,Movimientos!$D:$D,CONCATENATE("&lt;",GY$3),Movimientos!$C:$C,"&lt;0")</f>
        <v>0</v>
      </c>
      <c r="GZ14" s="5">
        <f ca="1">SUMIFS(Movimientos!$C:$C,Movimientos!$A:$A,$B14,Movimientos!$D:$D,CONCATENATE("&lt;=",GZ$3),Movimientos!$C:$C,"&gt;0")+SUMIFS(Movimientos!$C:$C,Movimientos!$A:$A,$B14,Movimientos!$D:$D,CONCATENATE("&lt;",GZ$3),Movimientos!$C:$C,"&lt;0")</f>
        <v>0</v>
      </c>
      <c r="HA14" s="5">
        <f ca="1">SUMIFS(Movimientos!$C:$C,Movimientos!$A:$A,$B14,Movimientos!$D:$D,CONCATENATE("&lt;=",HA$3),Movimientos!$C:$C,"&gt;0")+SUMIFS(Movimientos!$C:$C,Movimientos!$A:$A,$B14,Movimientos!$D:$D,CONCATENATE("&lt;",HA$3),Movimientos!$C:$C,"&lt;0")</f>
        <v>0</v>
      </c>
      <c r="HB14" s="5">
        <f ca="1">SUMIFS(Movimientos!$C:$C,Movimientos!$A:$A,$B14,Movimientos!$D:$D,CONCATENATE("&lt;=",HB$3),Movimientos!$C:$C,"&gt;0")+SUMIFS(Movimientos!$C:$C,Movimientos!$A:$A,$B14,Movimientos!$D:$D,CONCATENATE("&lt;",HB$3),Movimientos!$C:$C,"&lt;0")</f>
        <v>0</v>
      </c>
      <c r="HC14" s="5">
        <f ca="1">SUMIFS(Movimientos!$C:$C,Movimientos!$A:$A,$B14,Movimientos!$D:$D,CONCATENATE("&lt;=",HC$3),Movimientos!$C:$C,"&gt;0")+SUMIFS(Movimientos!$C:$C,Movimientos!$A:$A,$B14,Movimientos!$D:$D,CONCATENATE("&lt;",HC$3),Movimientos!$C:$C,"&lt;0")</f>
        <v>0</v>
      </c>
      <c r="HD14" s="5">
        <f ca="1">SUMIFS(Movimientos!$C:$C,Movimientos!$A:$A,$B14,Movimientos!$D:$D,CONCATENATE("&lt;=",HD$3),Movimientos!$C:$C,"&gt;0")+SUMIFS(Movimientos!$C:$C,Movimientos!$A:$A,$B14,Movimientos!$D:$D,CONCATENATE("&lt;",HD$3),Movimientos!$C:$C,"&lt;0")</f>
        <v>0</v>
      </c>
      <c r="HE14" s="5">
        <f ca="1">SUMIFS(Movimientos!$C:$C,Movimientos!$A:$A,$B14,Movimientos!$D:$D,CONCATENATE("&lt;=",HE$3),Movimientos!$C:$C,"&gt;0")+SUMIFS(Movimientos!$C:$C,Movimientos!$A:$A,$B14,Movimientos!$D:$D,CONCATENATE("&lt;",HE$3),Movimientos!$C:$C,"&lt;0")</f>
        <v>0</v>
      </c>
      <c r="HF14" s="5">
        <f ca="1">SUMIFS(Movimientos!$C:$C,Movimientos!$A:$A,$B14,Movimientos!$D:$D,CONCATENATE("&lt;=",HF$3),Movimientos!$C:$C,"&gt;0")+SUMIFS(Movimientos!$C:$C,Movimientos!$A:$A,$B14,Movimientos!$D:$D,CONCATENATE("&lt;",HF$3),Movimientos!$C:$C,"&lt;0")</f>
        <v>0</v>
      </c>
      <c r="HG14" s="5">
        <f ca="1">SUMIFS(Movimientos!$C:$C,Movimientos!$A:$A,$B14,Movimientos!$D:$D,CONCATENATE("&lt;=",HG$3),Movimientos!$C:$C,"&gt;0")+SUMIFS(Movimientos!$C:$C,Movimientos!$A:$A,$B14,Movimientos!$D:$D,CONCATENATE("&lt;",HG$3),Movimientos!$C:$C,"&lt;0")</f>
        <v>0</v>
      </c>
      <c r="HH14" s="5">
        <f ca="1">SUMIFS(Movimientos!$C:$C,Movimientos!$A:$A,$B14,Movimientos!$D:$D,CONCATENATE("&lt;=",HH$3),Movimientos!$C:$C,"&gt;0")+SUMIFS(Movimientos!$C:$C,Movimientos!$A:$A,$B14,Movimientos!$D:$D,CONCATENATE("&lt;",HH$3),Movimientos!$C:$C,"&lt;0")</f>
        <v>0</v>
      </c>
      <c r="HI14" s="5">
        <f ca="1">SUMIFS(Movimientos!$C:$C,Movimientos!$A:$A,$B14,Movimientos!$D:$D,CONCATENATE("&lt;=",HI$3),Movimientos!$C:$C,"&gt;0")+SUMIFS(Movimientos!$C:$C,Movimientos!$A:$A,$B14,Movimientos!$D:$D,CONCATENATE("&lt;",HI$3),Movimientos!$C:$C,"&lt;0")</f>
        <v>0</v>
      </c>
      <c r="HJ14" s="5">
        <f ca="1">SUMIFS(Movimientos!$C:$C,Movimientos!$A:$A,$B14,Movimientos!$D:$D,CONCATENATE("&lt;=",HJ$3),Movimientos!$C:$C,"&gt;0")+SUMIFS(Movimientos!$C:$C,Movimientos!$A:$A,$B14,Movimientos!$D:$D,CONCATENATE("&lt;",HJ$3),Movimientos!$C:$C,"&lt;0")</f>
        <v>0</v>
      </c>
      <c r="HK14" s="5">
        <f ca="1">SUMIFS(Movimientos!$C:$C,Movimientos!$A:$A,$B14,Movimientos!$D:$D,CONCATENATE("&lt;=",HK$3),Movimientos!$C:$C,"&gt;0")+SUMIFS(Movimientos!$C:$C,Movimientos!$A:$A,$B14,Movimientos!$D:$D,CONCATENATE("&lt;",HK$3),Movimientos!$C:$C,"&lt;0")</f>
        <v>0</v>
      </c>
      <c r="HL14" s="5">
        <f ca="1">SUMIFS(Movimientos!$C:$C,Movimientos!$A:$A,$B14,Movimientos!$D:$D,CONCATENATE("&lt;=",HL$3),Movimientos!$C:$C,"&gt;0")+SUMIFS(Movimientos!$C:$C,Movimientos!$A:$A,$B14,Movimientos!$D:$D,CONCATENATE("&lt;",HL$3),Movimientos!$C:$C,"&lt;0")</f>
        <v>0</v>
      </c>
      <c r="HM14" s="5">
        <f ca="1">SUMIFS(Movimientos!$C:$C,Movimientos!$A:$A,$B14,Movimientos!$D:$D,CONCATENATE("&lt;=",HM$3),Movimientos!$C:$C,"&gt;0")+SUMIFS(Movimientos!$C:$C,Movimientos!$A:$A,$B14,Movimientos!$D:$D,CONCATENATE("&lt;",HM$3),Movimientos!$C:$C,"&lt;0")</f>
        <v>0</v>
      </c>
      <c r="HN14" s="5">
        <f ca="1">SUMIFS(Movimientos!$C:$C,Movimientos!$A:$A,$B14,Movimientos!$D:$D,CONCATENATE("&lt;=",HN$3),Movimientos!$C:$C,"&gt;0")+SUMIFS(Movimientos!$C:$C,Movimientos!$A:$A,$B14,Movimientos!$D:$D,CONCATENATE("&lt;",HN$3),Movimientos!$C:$C,"&lt;0")</f>
        <v>0</v>
      </c>
      <c r="HO14" s="5">
        <f ca="1">SUMIFS(Movimientos!$C:$C,Movimientos!$A:$A,$B14,Movimientos!$D:$D,CONCATENATE("&lt;=",HO$3),Movimientos!$C:$C,"&gt;0")+SUMIFS(Movimientos!$C:$C,Movimientos!$A:$A,$B14,Movimientos!$D:$D,CONCATENATE("&lt;",HO$3),Movimientos!$C:$C,"&lt;0")</f>
        <v>0</v>
      </c>
      <c r="HP14" s="5">
        <f ca="1">SUMIFS(Movimientos!$C:$C,Movimientos!$A:$A,$B14,Movimientos!$D:$D,CONCATENATE("&lt;=",HP$3),Movimientos!$C:$C,"&gt;0")+SUMIFS(Movimientos!$C:$C,Movimientos!$A:$A,$B14,Movimientos!$D:$D,CONCATENATE("&lt;",HP$3),Movimientos!$C:$C,"&lt;0")</f>
        <v>0</v>
      </c>
      <c r="HQ14" s="5">
        <f ca="1">SUMIFS(Movimientos!$C:$C,Movimientos!$A:$A,$B14,Movimientos!$D:$D,CONCATENATE("&lt;=",HQ$3),Movimientos!$C:$C,"&gt;0")+SUMIFS(Movimientos!$C:$C,Movimientos!$A:$A,$B14,Movimientos!$D:$D,CONCATENATE("&lt;",HQ$3),Movimientos!$C:$C,"&lt;0")</f>
        <v>0</v>
      </c>
      <c r="HR14" s="5">
        <f ca="1">SUMIFS(Movimientos!$C:$C,Movimientos!$A:$A,$B14,Movimientos!$D:$D,CONCATENATE("&lt;=",HR$3),Movimientos!$C:$C,"&gt;0")+SUMIFS(Movimientos!$C:$C,Movimientos!$A:$A,$B14,Movimientos!$D:$D,CONCATENATE("&lt;",HR$3),Movimientos!$C:$C,"&lt;0")</f>
        <v>0</v>
      </c>
      <c r="HS14" s="5">
        <f ca="1">SUMIFS(Movimientos!$C:$C,Movimientos!$A:$A,$B14,Movimientos!$D:$D,CONCATENATE("&lt;=",HS$3),Movimientos!$C:$C,"&gt;0")+SUMIFS(Movimientos!$C:$C,Movimientos!$A:$A,$B14,Movimientos!$D:$D,CONCATENATE("&lt;",HS$3),Movimientos!$C:$C,"&lt;0")</f>
        <v>0</v>
      </c>
      <c r="HT14" s="5">
        <f ca="1">SUMIFS(Movimientos!$C:$C,Movimientos!$A:$A,$B14,Movimientos!$D:$D,CONCATENATE("&lt;=",HT$3),Movimientos!$C:$C,"&gt;0")+SUMIFS(Movimientos!$C:$C,Movimientos!$A:$A,$B14,Movimientos!$D:$D,CONCATENATE("&lt;",HT$3),Movimientos!$C:$C,"&lt;0")</f>
        <v>0</v>
      </c>
      <c r="HU14" s="5">
        <f ca="1">SUMIFS(Movimientos!$C:$C,Movimientos!$A:$A,$B14,Movimientos!$D:$D,CONCATENATE("&lt;=",HU$3),Movimientos!$C:$C,"&gt;0")+SUMIFS(Movimientos!$C:$C,Movimientos!$A:$A,$B14,Movimientos!$D:$D,CONCATENATE("&lt;",HU$3),Movimientos!$C:$C,"&lt;0")</f>
        <v>0</v>
      </c>
      <c r="HV14" s="5">
        <f ca="1">SUMIFS(Movimientos!$C:$C,Movimientos!$A:$A,$B14,Movimientos!$D:$D,CONCATENATE("&lt;=",HV$3),Movimientos!$C:$C,"&gt;0")+SUMIFS(Movimientos!$C:$C,Movimientos!$A:$A,$B14,Movimientos!$D:$D,CONCATENATE("&lt;",HV$3),Movimientos!$C:$C,"&lt;0")</f>
        <v>0</v>
      </c>
      <c r="HW14" s="5">
        <f ca="1">SUMIFS(Movimientos!$C:$C,Movimientos!$A:$A,$B14,Movimientos!$D:$D,CONCATENATE("&lt;=",HW$3),Movimientos!$C:$C,"&gt;0")+SUMIFS(Movimientos!$C:$C,Movimientos!$A:$A,$B14,Movimientos!$D:$D,CONCATENATE("&lt;",HW$3),Movimientos!$C:$C,"&lt;0")</f>
        <v>0</v>
      </c>
      <c r="HX14" s="5">
        <f ca="1">SUMIFS(Movimientos!$C:$C,Movimientos!$A:$A,$B14,Movimientos!$D:$D,CONCATENATE("&lt;=",HX$3),Movimientos!$C:$C,"&gt;0")+SUMIFS(Movimientos!$C:$C,Movimientos!$A:$A,$B14,Movimientos!$D:$D,CONCATENATE("&lt;",HX$3),Movimientos!$C:$C,"&lt;0")</f>
        <v>0</v>
      </c>
      <c r="HY14" s="5">
        <f ca="1">SUMIFS(Movimientos!$C:$C,Movimientos!$A:$A,$B14,Movimientos!$D:$D,CONCATENATE("&lt;=",HY$3),Movimientos!$C:$C,"&gt;0")+SUMIFS(Movimientos!$C:$C,Movimientos!$A:$A,$B14,Movimientos!$D:$D,CONCATENATE("&lt;",HY$3),Movimientos!$C:$C,"&lt;0")</f>
        <v>0</v>
      </c>
      <c r="HZ14" s="5">
        <f ca="1">SUMIFS(Movimientos!$C:$C,Movimientos!$A:$A,$B14,Movimientos!$D:$D,CONCATENATE("&lt;=",HZ$3),Movimientos!$C:$C,"&gt;0")+SUMIFS(Movimientos!$C:$C,Movimientos!$A:$A,$B14,Movimientos!$D:$D,CONCATENATE("&lt;",HZ$3),Movimientos!$C:$C,"&lt;0")</f>
        <v>0</v>
      </c>
      <c r="IA14" s="5">
        <f ca="1">SUMIFS(Movimientos!$C:$C,Movimientos!$A:$A,$B14,Movimientos!$D:$D,CONCATENATE("&lt;=",IA$3),Movimientos!$C:$C,"&gt;0")+SUMIFS(Movimientos!$C:$C,Movimientos!$A:$A,$B14,Movimientos!$D:$D,CONCATENATE("&lt;",IA$3),Movimientos!$C:$C,"&lt;0")</f>
        <v>0</v>
      </c>
      <c r="IB14" s="5">
        <f ca="1">SUMIFS(Movimientos!$C:$C,Movimientos!$A:$A,$B14,Movimientos!$D:$D,CONCATENATE("&lt;=",IB$3),Movimientos!$C:$C,"&gt;0")+SUMIFS(Movimientos!$C:$C,Movimientos!$A:$A,$B14,Movimientos!$D:$D,CONCATENATE("&lt;",IB$3),Movimientos!$C:$C,"&lt;0")</f>
        <v>0</v>
      </c>
      <c r="IC14" s="5">
        <f ca="1">SUMIFS(Movimientos!$C:$C,Movimientos!$A:$A,$B14,Movimientos!$D:$D,CONCATENATE("&lt;=",IC$3),Movimientos!$C:$C,"&gt;0")+SUMIFS(Movimientos!$C:$C,Movimientos!$A:$A,$B14,Movimientos!$D:$D,CONCATENATE("&lt;",IC$3),Movimientos!$C:$C,"&lt;0")</f>
        <v>0</v>
      </c>
      <c r="ID14" s="5">
        <f ca="1">SUMIFS(Movimientos!$C:$C,Movimientos!$A:$A,$B14,Movimientos!$D:$D,CONCATENATE("&lt;=",ID$3),Movimientos!$C:$C,"&gt;0")+SUMIFS(Movimientos!$C:$C,Movimientos!$A:$A,$B14,Movimientos!$D:$D,CONCATENATE("&lt;",ID$3),Movimientos!$C:$C,"&lt;0")</f>
        <v>0</v>
      </c>
      <c r="IE14" s="5">
        <f ca="1">SUMIFS(Movimientos!$C:$C,Movimientos!$A:$A,$B14,Movimientos!$D:$D,CONCATENATE("&lt;=",IE$3),Movimientos!$C:$C,"&gt;0")+SUMIFS(Movimientos!$C:$C,Movimientos!$A:$A,$B14,Movimientos!$D:$D,CONCATENATE("&lt;",IE$3),Movimientos!$C:$C,"&lt;0")</f>
        <v>0</v>
      </c>
      <c r="IF14" s="5">
        <f ca="1">SUMIFS(Movimientos!$C:$C,Movimientos!$A:$A,$B14,Movimientos!$D:$D,CONCATENATE("&lt;=",IF$3),Movimientos!$C:$C,"&gt;0")+SUMIFS(Movimientos!$C:$C,Movimientos!$A:$A,$B14,Movimientos!$D:$D,CONCATENATE("&lt;",IF$3),Movimientos!$C:$C,"&lt;0")</f>
        <v>0</v>
      </c>
      <c r="IG14" s="5">
        <f ca="1">SUMIFS(Movimientos!$C:$C,Movimientos!$A:$A,$B14,Movimientos!$D:$D,CONCATENATE("&lt;=",IG$3),Movimientos!$C:$C,"&gt;0")+SUMIFS(Movimientos!$C:$C,Movimientos!$A:$A,$B14,Movimientos!$D:$D,CONCATENATE("&lt;",IG$3),Movimientos!$C:$C,"&lt;0")</f>
        <v>0</v>
      </c>
      <c r="IH14" s="5">
        <f ca="1">SUMIFS(Movimientos!$C:$C,Movimientos!$A:$A,$B14,Movimientos!$D:$D,CONCATENATE("&lt;=",IH$3),Movimientos!$C:$C,"&gt;0")+SUMIFS(Movimientos!$C:$C,Movimientos!$A:$A,$B14,Movimientos!$D:$D,CONCATENATE("&lt;",IH$3),Movimientos!$C:$C,"&lt;0")</f>
        <v>0</v>
      </c>
      <c r="II14" s="5">
        <f ca="1">SUMIFS(Movimientos!$C:$C,Movimientos!$A:$A,$B14,Movimientos!$D:$D,CONCATENATE("&lt;=",II$3),Movimientos!$C:$C,"&gt;0")+SUMIFS(Movimientos!$C:$C,Movimientos!$A:$A,$B14,Movimientos!$D:$D,CONCATENATE("&lt;",II$3),Movimientos!$C:$C,"&lt;0")</f>
        <v>0</v>
      </c>
      <c r="IJ14" s="5">
        <f ca="1">SUMIFS(Movimientos!$C:$C,Movimientos!$A:$A,$B14,Movimientos!$D:$D,CONCATENATE("&lt;=",IJ$3),Movimientos!$C:$C,"&gt;0")+SUMIFS(Movimientos!$C:$C,Movimientos!$A:$A,$B14,Movimientos!$D:$D,CONCATENATE("&lt;",IJ$3),Movimientos!$C:$C,"&lt;0")</f>
        <v>0</v>
      </c>
      <c r="IK14" s="5">
        <f ca="1">SUMIFS(Movimientos!$C:$C,Movimientos!$A:$A,$B14,Movimientos!$D:$D,CONCATENATE("&lt;=",IK$3),Movimientos!$C:$C,"&gt;0")+SUMIFS(Movimientos!$C:$C,Movimientos!$A:$A,$B14,Movimientos!$D:$D,CONCATENATE("&lt;",IK$3),Movimientos!$C:$C,"&lt;0")</f>
        <v>0</v>
      </c>
      <c r="IL14" s="5">
        <f ca="1">SUMIFS(Movimientos!$C:$C,Movimientos!$A:$A,$B14,Movimientos!$D:$D,CONCATENATE("&lt;=",IL$3),Movimientos!$C:$C,"&gt;0")+SUMIFS(Movimientos!$C:$C,Movimientos!$A:$A,$B14,Movimientos!$D:$D,CONCATENATE("&lt;",IL$3),Movimientos!$C:$C,"&lt;0")</f>
        <v>0</v>
      </c>
      <c r="IM14" s="5">
        <f ca="1">SUMIFS(Movimientos!$C:$C,Movimientos!$A:$A,$B14,Movimientos!$D:$D,CONCATENATE("&lt;=",IM$3),Movimientos!$C:$C,"&gt;0")+SUMIFS(Movimientos!$C:$C,Movimientos!$A:$A,$B14,Movimientos!$D:$D,CONCATENATE("&lt;",IM$3),Movimientos!$C:$C,"&lt;0")</f>
        <v>0</v>
      </c>
      <c r="IN14" s="5">
        <f ca="1">SUMIFS(Movimientos!$C:$C,Movimientos!$A:$A,$B14,Movimientos!$D:$D,CONCATENATE("&lt;=",IN$3),Movimientos!$C:$C,"&gt;0")+SUMIFS(Movimientos!$C:$C,Movimientos!$A:$A,$B14,Movimientos!$D:$D,CONCATENATE("&lt;",IN$3),Movimientos!$C:$C,"&lt;0")</f>
        <v>0</v>
      </c>
      <c r="IO14" s="5">
        <f ca="1">SUMIFS(Movimientos!$C:$C,Movimientos!$A:$A,$B14,Movimientos!$D:$D,CONCATENATE("&lt;=",IO$3),Movimientos!$C:$C,"&gt;0")+SUMIFS(Movimientos!$C:$C,Movimientos!$A:$A,$B14,Movimientos!$D:$D,CONCATENATE("&lt;",IO$3),Movimientos!$C:$C,"&lt;0")</f>
        <v>0</v>
      </c>
      <c r="IP14" s="5">
        <f ca="1">SUMIFS(Movimientos!$C:$C,Movimientos!$A:$A,$B14,Movimientos!$D:$D,CONCATENATE("&lt;=",IP$3),Movimientos!$C:$C,"&gt;0")+SUMIFS(Movimientos!$C:$C,Movimientos!$A:$A,$B14,Movimientos!$D:$D,CONCATENATE("&lt;",IP$3),Movimientos!$C:$C,"&lt;0")</f>
        <v>0</v>
      </c>
      <c r="IQ14" s="5">
        <f ca="1">SUMIFS(Movimientos!$C:$C,Movimientos!$A:$A,$B14,Movimientos!$D:$D,CONCATENATE("&lt;=",IQ$3),Movimientos!$C:$C,"&gt;0")+SUMIFS(Movimientos!$C:$C,Movimientos!$A:$A,$B14,Movimientos!$D:$D,CONCATENATE("&lt;",IQ$3),Movimientos!$C:$C,"&lt;0")</f>
        <v>0</v>
      </c>
      <c r="IR14" s="5">
        <f ca="1">SUMIFS(Movimientos!$C:$C,Movimientos!$A:$A,$B14,Movimientos!$D:$D,CONCATENATE("&lt;=",IR$3),Movimientos!$C:$C,"&gt;0")+SUMIFS(Movimientos!$C:$C,Movimientos!$A:$A,$B14,Movimientos!$D:$D,CONCATENATE("&lt;",IR$3),Movimientos!$C:$C,"&lt;0")</f>
        <v>0</v>
      </c>
      <c r="IS14" s="5">
        <f ca="1">SUMIFS(Movimientos!$C:$C,Movimientos!$A:$A,$B14,Movimientos!$D:$D,CONCATENATE("&lt;=",IS$3),Movimientos!$C:$C,"&gt;0")+SUMIFS(Movimientos!$C:$C,Movimientos!$A:$A,$B14,Movimientos!$D:$D,CONCATENATE("&lt;",IS$3),Movimientos!$C:$C,"&lt;0")</f>
        <v>0</v>
      </c>
      <c r="IT14" s="5">
        <f ca="1">SUMIFS(Movimientos!$C:$C,Movimientos!$A:$A,$B14,Movimientos!$D:$D,CONCATENATE("&lt;=",IT$3),Movimientos!$C:$C,"&gt;0")+SUMIFS(Movimientos!$C:$C,Movimientos!$A:$A,$B14,Movimientos!$D:$D,CONCATENATE("&lt;",IT$3),Movimientos!$C:$C,"&lt;0")</f>
        <v>0</v>
      </c>
      <c r="IU14" s="5">
        <f ca="1">SUMIFS(Movimientos!$C:$C,Movimientos!$A:$A,$B14,Movimientos!$D:$D,CONCATENATE("&lt;=",IU$3),Movimientos!$C:$C,"&gt;0")+SUMIFS(Movimientos!$C:$C,Movimientos!$A:$A,$B14,Movimientos!$D:$D,CONCATENATE("&lt;",IU$3),Movimientos!$C:$C,"&lt;0")</f>
        <v>0</v>
      </c>
      <c r="IV14" s="5">
        <f ca="1">SUMIFS(Movimientos!$C:$C,Movimientos!$A:$A,$B14,Movimientos!$D:$D,CONCATENATE("&lt;=",IV$3),Movimientos!$C:$C,"&gt;0")+SUMIFS(Movimientos!$C:$C,Movimientos!$A:$A,$B14,Movimientos!$D:$D,CONCATENATE("&lt;",IV$3),Movimientos!$C:$C,"&lt;0")</f>
        <v>0</v>
      </c>
      <c r="IW14" s="5">
        <f ca="1">SUMIFS(Movimientos!$C:$C,Movimientos!$A:$A,$B14,Movimientos!$D:$D,CONCATENATE("&lt;=",IW$3),Movimientos!$C:$C,"&gt;0")+SUMIFS(Movimientos!$C:$C,Movimientos!$A:$A,$B14,Movimientos!$D:$D,CONCATENATE("&lt;",IW$3),Movimientos!$C:$C,"&lt;0")</f>
        <v>0</v>
      </c>
      <c r="IX14" s="5">
        <f ca="1">SUMIFS(Movimientos!$C:$C,Movimientos!$A:$A,$B14,Movimientos!$D:$D,CONCATENATE("&lt;=",IX$3),Movimientos!$C:$C,"&gt;0")+SUMIFS(Movimientos!$C:$C,Movimientos!$A:$A,$B14,Movimientos!$D:$D,CONCATENATE("&lt;",IX$3),Movimientos!$C:$C,"&lt;0")</f>
        <v>0</v>
      </c>
      <c r="IY14" s="5">
        <f ca="1">SUMIFS(Movimientos!$C:$C,Movimientos!$A:$A,$B14,Movimientos!$D:$D,CONCATENATE("&lt;=",IY$3),Movimientos!$C:$C,"&gt;0")+SUMIFS(Movimientos!$C:$C,Movimientos!$A:$A,$B14,Movimientos!$D:$D,CONCATENATE("&lt;",IY$3),Movimientos!$C:$C,"&lt;0")</f>
        <v>0</v>
      </c>
      <c r="IZ14" s="5">
        <f ca="1">SUMIFS(Movimientos!$C:$C,Movimientos!$A:$A,$B14,Movimientos!$D:$D,CONCATENATE("&lt;=",IZ$3),Movimientos!$C:$C,"&gt;0")+SUMIFS(Movimientos!$C:$C,Movimientos!$A:$A,$B14,Movimientos!$D:$D,CONCATENATE("&lt;",IZ$3),Movimientos!$C:$C,"&lt;0")</f>
        <v>0</v>
      </c>
      <c r="JA14" s="5">
        <f ca="1">SUMIFS(Movimientos!$C:$C,Movimientos!$A:$A,$B14,Movimientos!$D:$D,CONCATENATE("&lt;=",JA$3),Movimientos!$C:$C,"&gt;0")+SUMIFS(Movimientos!$C:$C,Movimientos!$A:$A,$B14,Movimientos!$D:$D,CONCATENATE("&lt;",JA$3),Movimientos!$C:$C,"&lt;0")</f>
        <v>0</v>
      </c>
      <c r="JB14" s="5">
        <f ca="1">SUMIFS(Movimientos!$C:$C,Movimientos!$A:$A,$B14,Movimientos!$D:$D,CONCATENATE("&lt;=",JB$3),Movimientos!$C:$C,"&gt;0")+SUMIFS(Movimientos!$C:$C,Movimientos!$A:$A,$B14,Movimientos!$D:$D,CONCATENATE("&lt;",JB$3),Movimientos!$C:$C,"&lt;0")</f>
        <v>0</v>
      </c>
      <c r="JC14" s="5">
        <f ca="1">SUMIFS(Movimientos!$C:$C,Movimientos!$A:$A,$B14,Movimientos!$D:$D,CONCATENATE("&lt;=",JC$3),Movimientos!$C:$C,"&gt;0")+SUMIFS(Movimientos!$C:$C,Movimientos!$A:$A,$B14,Movimientos!$D:$D,CONCATENATE("&lt;",JC$3),Movimientos!$C:$C,"&lt;0")</f>
        <v>0</v>
      </c>
      <c r="JD14" s="5">
        <f ca="1">SUMIFS(Movimientos!$C:$C,Movimientos!$A:$A,$B14,Movimientos!$D:$D,CONCATENATE("&lt;=",JD$3),Movimientos!$C:$C,"&gt;0")+SUMIFS(Movimientos!$C:$C,Movimientos!$A:$A,$B14,Movimientos!$D:$D,CONCATENATE("&lt;",JD$3),Movimientos!$C:$C,"&lt;0")</f>
        <v>0</v>
      </c>
      <c r="JE14" s="5">
        <f ca="1">SUMIFS(Movimientos!$C:$C,Movimientos!$A:$A,$B14,Movimientos!$D:$D,CONCATENATE("&lt;=",JE$3),Movimientos!$C:$C,"&gt;0")+SUMIFS(Movimientos!$C:$C,Movimientos!$A:$A,$B14,Movimientos!$D:$D,CONCATENATE("&lt;",JE$3),Movimientos!$C:$C,"&lt;0")</f>
        <v>0</v>
      </c>
      <c r="JF14" s="5">
        <f ca="1">SUMIFS(Movimientos!$C:$C,Movimientos!$A:$A,$B14,Movimientos!$D:$D,CONCATENATE("&lt;=",JF$3),Movimientos!$C:$C,"&gt;0")+SUMIFS(Movimientos!$C:$C,Movimientos!$A:$A,$B14,Movimientos!$D:$D,CONCATENATE("&lt;",JF$3),Movimientos!$C:$C,"&lt;0")</f>
        <v>0</v>
      </c>
      <c r="JG14" s="5">
        <f ca="1">SUMIFS(Movimientos!$C:$C,Movimientos!$A:$A,$B14,Movimientos!$D:$D,CONCATENATE("&lt;=",JG$3),Movimientos!$C:$C,"&gt;0")+SUMIFS(Movimientos!$C:$C,Movimientos!$A:$A,$B14,Movimientos!$D:$D,CONCATENATE("&lt;",JG$3),Movimientos!$C:$C,"&lt;0")</f>
        <v>0</v>
      </c>
      <c r="JH14" s="5">
        <f ca="1">SUMIFS(Movimientos!$C:$C,Movimientos!$A:$A,$B14,Movimientos!$D:$D,CONCATENATE("&lt;=",JH$3),Movimientos!$C:$C,"&gt;0")+SUMIFS(Movimientos!$C:$C,Movimientos!$A:$A,$B14,Movimientos!$D:$D,CONCATENATE("&lt;",JH$3),Movimientos!$C:$C,"&lt;0")</f>
        <v>0</v>
      </c>
      <c r="JI14" s="5">
        <f ca="1">SUMIFS(Movimientos!$C:$C,Movimientos!$A:$A,$B14,Movimientos!$D:$D,CONCATENATE("&lt;=",JI$3),Movimientos!$C:$C,"&gt;0")+SUMIFS(Movimientos!$C:$C,Movimientos!$A:$A,$B14,Movimientos!$D:$D,CONCATENATE("&lt;",JI$3),Movimientos!$C:$C,"&lt;0")</f>
        <v>0</v>
      </c>
      <c r="JJ14" s="5">
        <f ca="1">SUMIFS(Movimientos!$C:$C,Movimientos!$A:$A,$B14,Movimientos!$D:$D,CONCATENATE("&lt;=",JJ$3),Movimientos!$C:$C,"&gt;0")+SUMIFS(Movimientos!$C:$C,Movimientos!$A:$A,$B14,Movimientos!$D:$D,CONCATENATE("&lt;",JJ$3),Movimientos!$C:$C,"&lt;0")</f>
        <v>0</v>
      </c>
      <c r="JK14" s="5">
        <f ca="1">SUMIFS(Movimientos!$C:$C,Movimientos!$A:$A,$B14,Movimientos!$D:$D,CONCATENATE("&lt;=",JK$3),Movimientos!$C:$C,"&gt;0")+SUMIFS(Movimientos!$C:$C,Movimientos!$A:$A,$B14,Movimientos!$D:$D,CONCATENATE("&lt;",JK$3),Movimientos!$C:$C,"&lt;0")</f>
        <v>0</v>
      </c>
      <c r="JL14" s="5">
        <f ca="1">SUMIFS(Movimientos!$C:$C,Movimientos!$A:$A,$B14,Movimientos!$D:$D,CONCATENATE("&lt;=",JL$3),Movimientos!$C:$C,"&gt;0")+SUMIFS(Movimientos!$C:$C,Movimientos!$A:$A,$B14,Movimientos!$D:$D,CONCATENATE("&lt;",JL$3),Movimientos!$C:$C,"&lt;0")</f>
        <v>0</v>
      </c>
      <c r="JM14" s="5">
        <f ca="1">SUMIFS(Movimientos!$C:$C,Movimientos!$A:$A,$B14,Movimientos!$D:$D,CONCATENATE("&lt;=",JM$3),Movimientos!$C:$C,"&gt;0")+SUMIFS(Movimientos!$C:$C,Movimientos!$A:$A,$B14,Movimientos!$D:$D,CONCATENATE("&lt;",JM$3),Movimientos!$C:$C,"&lt;0")</f>
        <v>0</v>
      </c>
      <c r="JN14" s="5">
        <f ca="1">SUMIFS(Movimientos!$C:$C,Movimientos!$A:$A,$B14,Movimientos!$D:$D,CONCATENATE("&lt;=",JN$3),Movimientos!$C:$C,"&gt;0")+SUMIFS(Movimientos!$C:$C,Movimientos!$A:$A,$B14,Movimientos!$D:$D,CONCATENATE("&lt;",JN$3),Movimientos!$C:$C,"&lt;0")</f>
        <v>0</v>
      </c>
      <c r="JO14" s="5">
        <f ca="1">SUMIFS(Movimientos!$C:$C,Movimientos!$A:$A,$B14,Movimientos!$D:$D,CONCATENATE("&lt;=",JO$3),Movimientos!$C:$C,"&gt;0")+SUMIFS(Movimientos!$C:$C,Movimientos!$A:$A,$B14,Movimientos!$D:$D,CONCATENATE("&lt;",JO$3),Movimientos!$C:$C,"&lt;0")</f>
        <v>0</v>
      </c>
      <c r="JP14" s="5">
        <f ca="1">SUMIFS(Movimientos!$C:$C,Movimientos!$A:$A,$B14,Movimientos!$D:$D,CONCATENATE("&lt;=",JP$3),Movimientos!$C:$C,"&gt;0")+SUMIFS(Movimientos!$C:$C,Movimientos!$A:$A,$B14,Movimientos!$D:$D,CONCATENATE("&lt;",JP$3),Movimientos!$C:$C,"&lt;0")</f>
        <v>0</v>
      </c>
      <c r="JQ14" s="5">
        <f ca="1">SUMIFS(Movimientos!$C:$C,Movimientos!$A:$A,$B14,Movimientos!$D:$D,CONCATENATE("&lt;=",JQ$3),Movimientos!$C:$C,"&gt;0")+SUMIFS(Movimientos!$C:$C,Movimientos!$A:$A,$B14,Movimientos!$D:$D,CONCATENATE("&lt;",JQ$3),Movimientos!$C:$C,"&lt;0")</f>
        <v>0</v>
      </c>
      <c r="JR14" s="5">
        <f ca="1">SUMIFS(Movimientos!$C:$C,Movimientos!$A:$A,$B14,Movimientos!$D:$D,CONCATENATE("&lt;=",JR$3),Movimientos!$C:$C,"&gt;0")+SUMIFS(Movimientos!$C:$C,Movimientos!$A:$A,$B14,Movimientos!$D:$D,CONCATENATE("&lt;",JR$3),Movimientos!$C:$C,"&lt;0")</f>
        <v>0</v>
      </c>
      <c r="JS14" s="5">
        <f ca="1">SUMIFS(Movimientos!$C:$C,Movimientos!$A:$A,$B14,Movimientos!$D:$D,CONCATENATE("&lt;=",JS$3),Movimientos!$C:$C,"&gt;0")+SUMIFS(Movimientos!$C:$C,Movimientos!$A:$A,$B14,Movimientos!$D:$D,CONCATENATE("&lt;",JS$3),Movimientos!$C:$C,"&lt;0")</f>
        <v>0</v>
      </c>
      <c r="JT14" s="5">
        <f ca="1">SUMIFS(Movimientos!$C:$C,Movimientos!$A:$A,$B14,Movimientos!$D:$D,CONCATENATE("&lt;=",JT$3),Movimientos!$C:$C,"&gt;0")+SUMIFS(Movimientos!$C:$C,Movimientos!$A:$A,$B14,Movimientos!$D:$D,CONCATENATE("&lt;",JT$3),Movimientos!$C:$C,"&lt;0")</f>
        <v>0</v>
      </c>
      <c r="JU14" s="5">
        <f ca="1">SUMIFS(Movimientos!$C:$C,Movimientos!$A:$A,$B14,Movimientos!$D:$D,CONCATENATE("&lt;=",JU$3),Movimientos!$C:$C,"&gt;0")+SUMIFS(Movimientos!$C:$C,Movimientos!$A:$A,$B14,Movimientos!$D:$D,CONCATENATE("&lt;",JU$3),Movimientos!$C:$C,"&lt;0")</f>
        <v>0</v>
      </c>
      <c r="JV14" s="5">
        <f ca="1">SUMIFS(Movimientos!$C:$C,Movimientos!$A:$A,$B14,Movimientos!$D:$D,CONCATENATE("&lt;=",JV$3),Movimientos!$C:$C,"&gt;0")+SUMIFS(Movimientos!$C:$C,Movimientos!$A:$A,$B14,Movimientos!$D:$D,CONCATENATE("&lt;",JV$3),Movimientos!$C:$C,"&lt;0")</f>
        <v>0</v>
      </c>
      <c r="JW14" s="5">
        <f ca="1">SUMIFS(Movimientos!$C:$C,Movimientos!$A:$A,$B14,Movimientos!$D:$D,CONCATENATE("&lt;=",JW$3),Movimientos!$C:$C,"&gt;0")+SUMIFS(Movimientos!$C:$C,Movimientos!$A:$A,$B14,Movimientos!$D:$D,CONCATENATE("&lt;",JW$3),Movimientos!$C:$C,"&lt;0")</f>
        <v>0</v>
      </c>
      <c r="JX14" s="5">
        <f ca="1">SUMIFS(Movimientos!$C:$C,Movimientos!$A:$A,$B14,Movimientos!$D:$D,CONCATENATE("&lt;=",JX$3),Movimientos!$C:$C,"&gt;0")+SUMIFS(Movimientos!$C:$C,Movimientos!$A:$A,$B14,Movimientos!$D:$D,CONCATENATE("&lt;",JX$3),Movimientos!$C:$C,"&lt;0")</f>
        <v>0</v>
      </c>
      <c r="JY14" s="5">
        <f ca="1">SUMIFS(Movimientos!$C:$C,Movimientos!$A:$A,$B14,Movimientos!$D:$D,CONCATENATE("&lt;=",JY$3),Movimientos!$C:$C,"&gt;0")+SUMIFS(Movimientos!$C:$C,Movimientos!$A:$A,$B14,Movimientos!$D:$D,CONCATENATE("&lt;",JY$3),Movimientos!$C:$C,"&lt;0")</f>
        <v>0</v>
      </c>
      <c r="JZ14" s="5">
        <f ca="1">SUMIFS(Movimientos!$C:$C,Movimientos!$A:$A,$B14,Movimientos!$D:$D,CONCATENATE("&lt;=",JZ$3),Movimientos!$C:$C,"&gt;0")+SUMIFS(Movimientos!$C:$C,Movimientos!$A:$A,$B14,Movimientos!$D:$D,CONCATENATE("&lt;",JZ$3),Movimientos!$C:$C,"&lt;0")</f>
        <v>0</v>
      </c>
      <c r="KA14" s="5">
        <f ca="1">SUMIFS(Movimientos!$C:$C,Movimientos!$A:$A,$B14,Movimientos!$D:$D,CONCATENATE("&lt;=",KA$3),Movimientos!$C:$C,"&gt;0")+SUMIFS(Movimientos!$C:$C,Movimientos!$A:$A,$B14,Movimientos!$D:$D,CONCATENATE("&lt;",KA$3),Movimientos!$C:$C,"&lt;0")</f>
        <v>0</v>
      </c>
      <c r="KB14" s="5">
        <f ca="1">SUMIFS(Movimientos!$C:$C,Movimientos!$A:$A,$B14,Movimientos!$D:$D,CONCATENATE("&lt;=",KB$3),Movimientos!$C:$C,"&gt;0")+SUMIFS(Movimientos!$C:$C,Movimientos!$A:$A,$B14,Movimientos!$D:$D,CONCATENATE("&lt;",KB$3),Movimientos!$C:$C,"&lt;0")</f>
        <v>0</v>
      </c>
      <c r="KC14" s="5">
        <f ca="1">SUMIFS(Movimientos!$C:$C,Movimientos!$A:$A,$B14,Movimientos!$D:$D,CONCATENATE("&lt;=",KC$3),Movimientos!$C:$C,"&gt;0")+SUMIFS(Movimientos!$C:$C,Movimientos!$A:$A,$B14,Movimientos!$D:$D,CONCATENATE("&lt;",KC$3),Movimientos!$C:$C,"&lt;0")</f>
        <v>0</v>
      </c>
      <c r="KD14" s="5">
        <f ca="1">SUMIFS(Movimientos!$C:$C,Movimientos!$A:$A,$B14,Movimientos!$D:$D,CONCATENATE("&lt;=",KD$3),Movimientos!$C:$C,"&gt;0")+SUMIFS(Movimientos!$C:$C,Movimientos!$A:$A,$B14,Movimientos!$D:$D,CONCATENATE("&lt;",KD$3),Movimientos!$C:$C,"&lt;0")</f>
        <v>0</v>
      </c>
      <c r="KE14" s="5">
        <f ca="1">SUMIFS(Movimientos!$C:$C,Movimientos!$A:$A,$B14,Movimientos!$D:$D,CONCATENATE("&lt;=",KE$3),Movimientos!$C:$C,"&gt;0")+SUMIFS(Movimientos!$C:$C,Movimientos!$A:$A,$B14,Movimientos!$D:$D,CONCATENATE("&lt;",KE$3),Movimientos!$C:$C,"&lt;0")</f>
        <v>0</v>
      </c>
      <c r="KF14" s="5">
        <f ca="1">SUMIFS(Movimientos!$C:$C,Movimientos!$A:$A,$B14,Movimientos!$D:$D,CONCATENATE("&lt;=",KF$3),Movimientos!$C:$C,"&gt;0")+SUMIFS(Movimientos!$C:$C,Movimientos!$A:$A,$B14,Movimientos!$D:$D,CONCATENATE("&lt;",KF$3),Movimientos!$C:$C,"&lt;0")</f>
        <v>0</v>
      </c>
      <c r="KG14" s="5">
        <f ca="1">SUMIFS(Movimientos!$C:$C,Movimientos!$A:$A,$B14,Movimientos!$D:$D,CONCATENATE("&lt;=",KG$3),Movimientos!$C:$C,"&gt;0")+SUMIFS(Movimientos!$C:$C,Movimientos!$A:$A,$B14,Movimientos!$D:$D,CONCATENATE("&lt;",KG$3),Movimientos!$C:$C,"&lt;0")</f>
        <v>0</v>
      </c>
      <c r="KH14" s="5">
        <f ca="1">SUMIFS(Movimientos!$C:$C,Movimientos!$A:$A,$B14,Movimientos!$D:$D,CONCATENATE("&lt;=",KH$3),Movimientos!$C:$C,"&gt;0")+SUMIFS(Movimientos!$C:$C,Movimientos!$A:$A,$B14,Movimientos!$D:$D,CONCATENATE("&lt;",KH$3),Movimientos!$C:$C,"&lt;0")</f>
        <v>0</v>
      </c>
      <c r="KI14" s="5">
        <f ca="1">SUMIFS(Movimientos!$C:$C,Movimientos!$A:$A,$B14,Movimientos!$D:$D,CONCATENATE("&lt;=",KI$3),Movimientos!$C:$C,"&gt;0")+SUMIFS(Movimientos!$C:$C,Movimientos!$A:$A,$B14,Movimientos!$D:$D,CONCATENATE("&lt;",KI$3),Movimientos!$C:$C,"&lt;0")</f>
        <v>0</v>
      </c>
      <c r="KJ14" s="5">
        <f ca="1">SUMIFS(Movimientos!$C:$C,Movimientos!$A:$A,$B14,Movimientos!$D:$D,CONCATENATE("&lt;=",KJ$3),Movimientos!$C:$C,"&gt;0")+SUMIFS(Movimientos!$C:$C,Movimientos!$A:$A,$B14,Movimientos!$D:$D,CONCATENATE("&lt;",KJ$3),Movimientos!$C:$C,"&lt;0")</f>
        <v>0</v>
      </c>
      <c r="KK14" s="5">
        <f ca="1">SUMIFS(Movimientos!$C:$C,Movimientos!$A:$A,$B14,Movimientos!$D:$D,CONCATENATE("&lt;=",KK$3),Movimientos!$C:$C,"&gt;0")+SUMIFS(Movimientos!$C:$C,Movimientos!$A:$A,$B14,Movimientos!$D:$D,CONCATENATE("&lt;",KK$3),Movimientos!$C:$C,"&lt;0")</f>
        <v>0</v>
      </c>
      <c r="KL14" s="5">
        <f ca="1">SUMIFS(Movimientos!$C:$C,Movimientos!$A:$A,$B14,Movimientos!$D:$D,CONCATENATE("&lt;=",KL$3),Movimientos!$C:$C,"&gt;0")+SUMIFS(Movimientos!$C:$C,Movimientos!$A:$A,$B14,Movimientos!$D:$D,CONCATENATE("&lt;",KL$3),Movimientos!$C:$C,"&lt;0")</f>
        <v>0</v>
      </c>
      <c r="KM14" s="5">
        <f ca="1">SUMIFS(Movimientos!$C:$C,Movimientos!$A:$A,$B14,Movimientos!$D:$D,CONCATENATE("&lt;=",KM$3),Movimientos!$C:$C,"&gt;0")+SUMIFS(Movimientos!$C:$C,Movimientos!$A:$A,$B14,Movimientos!$D:$D,CONCATENATE("&lt;",KM$3),Movimientos!$C:$C,"&lt;0")</f>
        <v>0</v>
      </c>
      <c r="KN14" s="5">
        <f ca="1">SUMIFS(Movimientos!$C:$C,Movimientos!$A:$A,$B14,Movimientos!$D:$D,CONCATENATE("&lt;=",KN$3),Movimientos!$C:$C,"&gt;0")+SUMIFS(Movimientos!$C:$C,Movimientos!$A:$A,$B14,Movimientos!$D:$D,CONCATENATE("&lt;",KN$3),Movimientos!$C:$C,"&lt;0")</f>
        <v>0</v>
      </c>
      <c r="KO14" s="5">
        <f ca="1">SUMIFS(Movimientos!$C:$C,Movimientos!$A:$A,$B14,Movimientos!$D:$D,CONCATENATE("&lt;=",KO$3),Movimientos!$C:$C,"&gt;0")+SUMIFS(Movimientos!$C:$C,Movimientos!$A:$A,$B14,Movimientos!$D:$D,CONCATENATE("&lt;",KO$3),Movimientos!$C:$C,"&lt;0")</f>
        <v>0</v>
      </c>
      <c r="KP14" s="5">
        <f ca="1">SUMIFS(Movimientos!$C:$C,Movimientos!$A:$A,$B14,Movimientos!$D:$D,CONCATENATE("&lt;=",KP$3),Movimientos!$C:$C,"&gt;0")+SUMIFS(Movimientos!$C:$C,Movimientos!$A:$A,$B14,Movimientos!$D:$D,CONCATENATE("&lt;",KP$3),Movimientos!$C:$C,"&lt;0")</f>
        <v>0</v>
      </c>
      <c r="KQ14" s="5">
        <f ca="1">SUMIFS(Movimientos!$C:$C,Movimientos!$A:$A,$B14,Movimientos!$D:$D,CONCATENATE("&lt;=",KQ$3),Movimientos!$C:$C,"&gt;0")+SUMIFS(Movimientos!$C:$C,Movimientos!$A:$A,$B14,Movimientos!$D:$D,CONCATENATE("&lt;",KQ$3),Movimientos!$C:$C,"&lt;0")</f>
        <v>0</v>
      </c>
      <c r="KR14" s="5">
        <f ca="1">SUMIFS(Movimientos!$C:$C,Movimientos!$A:$A,$B14,Movimientos!$D:$D,CONCATENATE("&lt;=",KR$3),Movimientos!$C:$C,"&gt;0")+SUMIFS(Movimientos!$C:$C,Movimientos!$A:$A,$B14,Movimientos!$D:$D,CONCATENATE("&lt;",KR$3),Movimientos!$C:$C,"&lt;0")</f>
        <v>0</v>
      </c>
      <c r="KS14" s="5">
        <f ca="1">SUMIFS(Movimientos!$C:$C,Movimientos!$A:$A,$B14,Movimientos!$D:$D,CONCATENATE("&lt;=",KS$3),Movimientos!$C:$C,"&gt;0")+SUMIFS(Movimientos!$C:$C,Movimientos!$A:$A,$B14,Movimientos!$D:$D,CONCATENATE("&lt;",KS$3),Movimientos!$C:$C,"&lt;0")</f>
        <v>0</v>
      </c>
      <c r="KT14" s="5">
        <f ca="1">SUMIFS(Movimientos!$C:$C,Movimientos!$A:$A,$B14,Movimientos!$D:$D,CONCATENATE("&lt;=",KT$3),Movimientos!$C:$C,"&gt;0")+SUMIFS(Movimientos!$C:$C,Movimientos!$A:$A,$B14,Movimientos!$D:$D,CONCATENATE("&lt;",KT$3),Movimientos!$C:$C,"&lt;0")</f>
        <v>0</v>
      </c>
      <c r="KU14" s="5">
        <f ca="1">SUMIFS(Movimientos!$C:$C,Movimientos!$A:$A,$B14,Movimientos!$D:$D,CONCATENATE("&lt;=",KU$3),Movimientos!$C:$C,"&gt;0")+SUMIFS(Movimientos!$C:$C,Movimientos!$A:$A,$B14,Movimientos!$D:$D,CONCATENATE("&lt;",KU$3),Movimientos!$C:$C,"&lt;0")</f>
        <v>0</v>
      </c>
      <c r="KV14" s="5">
        <f ca="1">SUMIFS(Movimientos!$C:$C,Movimientos!$A:$A,$B14,Movimientos!$D:$D,CONCATENATE("&lt;=",KV$3),Movimientos!$C:$C,"&gt;0")+SUMIFS(Movimientos!$C:$C,Movimientos!$A:$A,$B14,Movimientos!$D:$D,CONCATENATE("&lt;",KV$3),Movimientos!$C:$C,"&lt;0")</f>
        <v>0</v>
      </c>
      <c r="KW14" s="5">
        <f ca="1">SUMIFS(Movimientos!$C:$C,Movimientos!$A:$A,$B14,Movimientos!$D:$D,CONCATENATE("&lt;=",KW$3),Movimientos!$C:$C,"&gt;0")+SUMIFS(Movimientos!$C:$C,Movimientos!$A:$A,$B14,Movimientos!$D:$D,CONCATENATE("&lt;",KW$3),Movimientos!$C:$C,"&lt;0")</f>
        <v>0</v>
      </c>
      <c r="KX14" s="5">
        <f ca="1">SUMIFS(Movimientos!$C:$C,Movimientos!$A:$A,$B14,Movimientos!$D:$D,CONCATENATE("&lt;=",KX$3),Movimientos!$C:$C,"&gt;0")+SUMIFS(Movimientos!$C:$C,Movimientos!$A:$A,$B14,Movimientos!$D:$D,CONCATENATE("&lt;",KX$3),Movimientos!$C:$C,"&lt;0")</f>
        <v>0</v>
      </c>
      <c r="KY14" s="5">
        <f ca="1">SUMIFS(Movimientos!$C:$C,Movimientos!$A:$A,$B14,Movimientos!$D:$D,CONCATENATE("&lt;=",KY$3),Movimientos!$C:$C,"&gt;0")+SUMIFS(Movimientos!$C:$C,Movimientos!$A:$A,$B14,Movimientos!$D:$D,CONCATENATE("&lt;",KY$3),Movimientos!$C:$C,"&lt;0")</f>
        <v>0</v>
      </c>
      <c r="KZ14" s="5">
        <f ca="1">SUMIFS(Movimientos!$C:$C,Movimientos!$A:$A,$B14,Movimientos!$D:$D,CONCATENATE("&lt;=",KZ$3),Movimientos!$C:$C,"&gt;0")+SUMIFS(Movimientos!$C:$C,Movimientos!$A:$A,$B14,Movimientos!$D:$D,CONCATENATE("&lt;",KZ$3),Movimientos!$C:$C,"&lt;0")</f>
        <v>0</v>
      </c>
      <c r="LA14" s="5">
        <f ca="1">SUMIFS(Movimientos!$C:$C,Movimientos!$A:$A,$B14,Movimientos!$D:$D,CONCATENATE("&lt;=",LA$3),Movimientos!$C:$C,"&gt;0")+SUMIFS(Movimientos!$C:$C,Movimientos!$A:$A,$B14,Movimientos!$D:$D,CONCATENATE("&lt;",LA$3),Movimientos!$C:$C,"&lt;0")</f>
        <v>0</v>
      </c>
      <c r="LB14" s="5">
        <f ca="1">SUMIFS(Movimientos!$C:$C,Movimientos!$A:$A,$B14,Movimientos!$D:$D,CONCATENATE("&lt;=",LB$3),Movimientos!$C:$C,"&gt;0")+SUMIFS(Movimientos!$C:$C,Movimientos!$A:$A,$B14,Movimientos!$D:$D,CONCATENATE("&lt;",LB$3),Movimientos!$C:$C,"&lt;0")</f>
        <v>0</v>
      </c>
      <c r="LC14" s="5">
        <f ca="1">SUMIFS(Movimientos!$C:$C,Movimientos!$A:$A,$B14,Movimientos!$D:$D,CONCATENATE("&lt;=",LC$3),Movimientos!$C:$C,"&gt;0")+SUMIFS(Movimientos!$C:$C,Movimientos!$A:$A,$B14,Movimientos!$D:$D,CONCATENATE("&lt;",LC$3),Movimientos!$C:$C,"&lt;0")</f>
        <v>0</v>
      </c>
      <c r="LD14" s="5">
        <f ca="1">SUMIFS(Movimientos!$C:$C,Movimientos!$A:$A,$B14,Movimientos!$D:$D,CONCATENATE("&lt;=",LD$3),Movimientos!$C:$C,"&gt;0")+SUMIFS(Movimientos!$C:$C,Movimientos!$A:$A,$B14,Movimientos!$D:$D,CONCATENATE("&lt;",LD$3),Movimientos!$C:$C,"&lt;0")</f>
        <v>0</v>
      </c>
      <c r="LE14" s="5">
        <f ca="1">SUMIFS(Movimientos!$C:$C,Movimientos!$A:$A,$B14,Movimientos!$D:$D,CONCATENATE("&lt;=",LE$3),Movimientos!$C:$C,"&gt;0")+SUMIFS(Movimientos!$C:$C,Movimientos!$A:$A,$B14,Movimientos!$D:$D,CONCATENATE("&lt;",LE$3),Movimientos!$C:$C,"&lt;0")</f>
        <v>0</v>
      </c>
      <c r="LF14" s="5">
        <f ca="1">SUMIFS(Movimientos!$C:$C,Movimientos!$A:$A,$B14,Movimientos!$D:$D,CONCATENATE("&lt;=",LF$3),Movimientos!$C:$C,"&gt;0")+SUMIFS(Movimientos!$C:$C,Movimientos!$A:$A,$B14,Movimientos!$D:$D,CONCATENATE("&lt;",LF$3),Movimientos!$C:$C,"&lt;0")</f>
        <v>0</v>
      </c>
      <c r="LG14" s="5">
        <f ca="1">SUMIFS(Movimientos!$C:$C,Movimientos!$A:$A,$B14,Movimientos!$D:$D,CONCATENATE("&lt;=",LG$3),Movimientos!$C:$C,"&gt;0")+SUMIFS(Movimientos!$C:$C,Movimientos!$A:$A,$B14,Movimientos!$D:$D,CONCATENATE("&lt;",LG$3),Movimientos!$C:$C,"&lt;0")</f>
        <v>0</v>
      </c>
      <c r="LH14" s="5">
        <f ca="1">SUMIFS(Movimientos!$C:$C,Movimientos!$A:$A,$B14,Movimientos!$D:$D,CONCATENATE("&lt;=",LH$3),Movimientos!$C:$C,"&gt;0")+SUMIFS(Movimientos!$C:$C,Movimientos!$A:$A,$B14,Movimientos!$D:$D,CONCATENATE("&lt;",LH$3),Movimientos!$C:$C,"&lt;0")</f>
        <v>0</v>
      </c>
      <c r="LI14" s="5">
        <f ca="1">SUMIFS(Movimientos!$C:$C,Movimientos!$A:$A,$B14,Movimientos!$D:$D,CONCATENATE("&lt;=",LI$3),Movimientos!$C:$C,"&gt;0")+SUMIFS(Movimientos!$C:$C,Movimientos!$A:$A,$B14,Movimientos!$D:$D,CONCATENATE("&lt;",LI$3),Movimientos!$C:$C,"&lt;0")</f>
        <v>0</v>
      </c>
      <c r="LJ14" s="5">
        <f ca="1">SUMIFS(Movimientos!$C:$C,Movimientos!$A:$A,$B14,Movimientos!$D:$D,CONCATENATE("&lt;=",LJ$3),Movimientos!$C:$C,"&gt;0")+SUMIFS(Movimientos!$C:$C,Movimientos!$A:$A,$B14,Movimientos!$D:$D,CONCATENATE("&lt;",LJ$3),Movimientos!$C:$C,"&lt;0")</f>
        <v>0</v>
      </c>
      <c r="LK14" s="5">
        <f ca="1">SUMIFS(Movimientos!$C:$C,Movimientos!$A:$A,$B14,Movimientos!$D:$D,CONCATENATE("&lt;=",LK$3),Movimientos!$C:$C,"&gt;0")+SUMIFS(Movimientos!$C:$C,Movimientos!$A:$A,$B14,Movimientos!$D:$D,CONCATENATE("&lt;",LK$3),Movimientos!$C:$C,"&lt;0")</f>
        <v>0</v>
      </c>
      <c r="LL14" s="5">
        <f ca="1">SUMIFS(Movimientos!$C:$C,Movimientos!$A:$A,$B14,Movimientos!$D:$D,CONCATENATE("&lt;=",LL$3),Movimientos!$C:$C,"&gt;0")+SUMIFS(Movimientos!$C:$C,Movimientos!$A:$A,$B14,Movimientos!$D:$D,CONCATENATE("&lt;",LL$3),Movimientos!$C:$C,"&lt;0")</f>
        <v>0</v>
      </c>
      <c r="LM14" s="5">
        <f ca="1">SUMIFS(Movimientos!$C:$C,Movimientos!$A:$A,$B14,Movimientos!$D:$D,CONCATENATE("&lt;=",LM$3),Movimientos!$C:$C,"&gt;0")+SUMIFS(Movimientos!$C:$C,Movimientos!$A:$A,$B14,Movimientos!$D:$D,CONCATENATE("&lt;",LM$3),Movimientos!$C:$C,"&lt;0")</f>
        <v>0</v>
      </c>
      <c r="LN14" s="5">
        <f ca="1">SUMIFS(Movimientos!$C:$C,Movimientos!$A:$A,$B14,Movimientos!$D:$D,CONCATENATE("&lt;=",LN$3),Movimientos!$C:$C,"&gt;0")+SUMIFS(Movimientos!$C:$C,Movimientos!$A:$A,$B14,Movimientos!$D:$D,CONCATENATE("&lt;",LN$3),Movimientos!$C:$C,"&lt;0")</f>
        <v>0</v>
      </c>
      <c r="LO14" s="5">
        <f ca="1">SUMIFS(Movimientos!$C:$C,Movimientos!$A:$A,$B14,Movimientos!$D:$D,CONCATENATE("&lt;=",LO$3),Movimientos!$C:$C,"&gt;0")+SUMIFS(Movimientos!$C:$C,Movimientos!$A:$A,$B14,Movimientos!$D:$D,CONCATENATE("&lt;",LO$3),Movimientos!$C:$C,"&lt;0")</f>
        <v>0</v>
      </c>
      <c r="LP14" s="5">
        <f ca="1">SUMIFS(Movimientos!$C:$C,Movimientos!$A:$A,$B14,Movimientos!$D:$D,CONCATENATE("&lt;=",LP$3),Movimientos!$C:$C,"&gt;0")+SUMIFS(Movimientos!$C:$C,Movimientos!$A:$A,$B14,Movimientos!$D:$D,CONCATENATE("&lt;",LP$3),Movimientos!$C:$C,"&lt;0")</f>
        <v>0</v>
      </c>
      <c r="LQ14" s="5">
        <f ca="1">SUMIFS(Movimientos!$C:$C,Movimientos!$A:$A,$B14,Movimientos!$D:$D,CONCATENATE("&lt;=",LQ$3),Movimientos!$C:$C,"&gt;0")+SUMIFS(Movimientos!$C:$C,Movimientos!$A:$A,$B14,Movimientos!$D:$D,CONCATENATE("&lt;",LQ$3),Movimientos!$C:$C,"&lt;0")</f>
        <v>0</v>
      </c>
      <c r="LR14" s="5">
        <f ca="1">SUMIFS(Movimientos!$C:$C,Movimientos!$A:$A,$B14,Movimientos!$D:$D,CONCATENATE("&lt;=",LR$3),Movimientos!$C:$C,"&gt;0")+SUMIFS(Movimientos!$C:$C,Movimientos!$A:$A,$B14,Movimientos!$D:$D,CONCATENATE("&lt;",LR$3),Movimientos!$C:$C,"&lt;0")</f>
        <v>0</v>
      </c>
      <c r="LS14" s="5">
        <f ca="1">SUMIFS(Movimientos!$C:$C,Movimientos!$A:$A,$B14,Movimientos!$D:$D,CONCATENATE("&lt;=",LS$3),Movimientos!$C:$C,"&gt;0")+SUMIFS(Movimientos!$C:$C,Movimientos!$A:$A,$B14,Movimientos!$D:$D,CONCATENATE("&lt;",LS$3),Movimientos!$C:$C,"&lt;0")</f>
        <v>0</v>
      </c>
      <c r="LT14" s="5">
        <f ca="1">SUMIFS(Movimientos!$C:$C,Movimientos!$A:$A,$B14,Movimientos!$D:$D,CONCATENATE("&lt;=",LT$3),Movimientos!$C:$C,"&gt;0")+SUMIFS(Movimientos!$C:$C,Movimientos!$A:$A,$B14,Movimientos!$D:$D,CONCATENATE("&lt;",LT$3),Movimientos!$C:$C,"&lt;0")</f>
        <v>0</v>
      </c>
      <c r="LU14" s="5">
        <f ca="1">SUMIFS(Movimientos!$C:$C,Movimientos!$A:$A,$B14,Movimientos!$D:$D,CONCATENATE("&lt;=",LU$3),Movimientos!$C:$C,"&gt;0")+SUMIFS(Movimientos!$C:$C,Movimientos!$A:$A,$B14,Movimientos!$D:$D,CONCATENATE("&lt;",LU$3),Movimientos!$C:$C,"&lt;0")</f>
        <v>0</v>
      </c>
      <c r="LV14" s="5">
        <f ca="1">SUMIFS(Movimientos!$C:$C,Movimientos!$A:$A,$B14,Movimientos!$D:$D,CONCATENATE("&lt;=",LV$3),Movimientos!$C:$C,"&gt;0")+SUMIFS(Movimientos!$C:$C,Movimientos!$A:$A,$B14,Movimientos!$D:$D,CONCATENATE("&lt;",LV$3),Movimientos!$C:$C,"&lt;0")</f>
        <v>0</v>
      </c>
      <c r="LW14" s="5">
        <f ca="1">SUMIFS(Movimientos!$C:$C,Movimientos!$A:$A,$B14,Movimientos!$D:$D,CONCATENATE("&lt;=",LW$3),Movimientos!$C:$C,"&gt;0")+SUMIFS(Movimientos!$C:$C,Movimientos!$A:$A,$B14,Movimientos!$D:$D,CONCATENATE("&lt;",LW$3),Movimientos!$C:$C,"&lt;0")</f>
        <v>0</v>
      </c>
      <c r="LX14" s="5">
        <f ca="1">SUMIFS(Movimientos!$C:$C,Movimientos!$A:$A,$B14,Movimientos!$D:$D,CONCATENATE("&lt;=",LX$3),Movimientos!$C:$C,"&gt;0")+SUMIFS(Movimientos!$C:$C,Movimientos!$A:$A,$B14,Movimientos!$D:$D,CONCATENATE("&lt;",LX$3),Movimientos!$C:$C,"&lt;0")</f>
        <v>0</v>
      </c>
      <c r="LY14" s="5">
        <f ca="1">SUMIFS(Movimientos!$C:$C,Movimientos!$A:$A,$B14,Movimientos!$D:$D,CONCATENATE("&lt;=",LY$3),Movimientos!$C:$C,"&gt;0")+SUMIFS(Movimientos!$C:$C,Movimientos!$A:$A,$B14,Movimientos!$D:$D,CONCATENATE("&lt;",LY$3),Movimientos!$C:$C,"&lt;0")</f>
        <v>0</v>
      </c>
      <c r="LZ14" s="5">
        <f ca="1">SUMIFS(Movimientos!$C:$C,Movimientos!$A:$A,$B14,Movimientos!$D:$D,CONCATENATE("&lt;=",LZ$3),Movimientos!$C:$C,"&gt;0")+SUMIFS(Movimientos!$C:$C,Movimientos!$A:$A,$B14,Movimientos!$D:$D,CONCATENATE("&lt;",LZ$3),Movimientos!$C:$C,"&lt;0")</f>
        <v>0</v>
      </c>
      <c r="MA14" s="5">
        <f ca="1">SUMIFS(Movimientos!$C:$C,Movimientos!$A:$A,$B14,Movimientos!$D:$D,CONCATENATE("&lt;=",MA$3),Movimientos!$C:$C,"&gt;0")+SUMIFS(Movimientos!$C:$C,Movimientos!$A:$A,$B14,Movimientos!$D:$D,CONCATENATE("&lt;",MA$3),Movimientos!$C:$C,"&lt;0")</f>
        <v>0</v>
      </c>
      <c r="MB14" s="5">
        <f ca="1">SUMIFS(Movimientos!$C:$C,Movimientos!$A:$A,$B14,Movimientos!$D:$D,CONCATENATE("&lt;=",MB$3),Movimientos!$C:$C,"&gt;0")+SUMIFS(Movimientos!$C:$C,Movimientos!$A:$A,$B14,Movimientos!$D:$D,CONCATENATE("&lt;",MB$3),Movimientos!$C:$C,"&lt;0")</f>
        <v>0</v>
      </c>
      <c r="MC14" s="5">
        <f ca="1">SUMIFS(Movimientos!$C:$C,Movimientos!$A:$A,$B14,Movimientos!$D:$D,CONCATENATE("&lt;=",MC$3),Movimientos!$C:$C,"&gt;0")+SUMIFS(Movimientos!$C:$C,Movimientos!$A:$A,$B14,Movimientos!$D:$D,CONCATENATE("&lt;",MC$3),Movimientos!$C:$C,"&lt;0")</f>
        <v>0</v>
      </c>
      <c r="MD14" s="5">
        <f ca="1">SUMIFS(Movimientos!$C:$C,Movimientos!$A:$A,$B14,Movimientos!$D:$D,CONCATENATE("&lt;=",MD$3),Movimientos!$C:$C,"&gt;0")+SUMIFS(Movimientos!$C:$C,Movimientos!$A:$A,$B14,Movimientos!$D:$D,CONCATENATE("&lt;",MD$3),Movimientos!$C:$C,"&lt;0")</f>
        <v>0</v>
      </c>
      <c r="ME14" s="5">
        <f ca="1">SUMIFS(Movimientos!$C:$C,Movimientos!$A:$A,$B14,Movimientos!$D:$D,CONCATENATE("&lt;=",ME$3),Movimientos!$C:$C,"&gt;0")+SUMIFS(Movimientos!$C:$C,Movimientos!$A:$A,$B14,Movimientos!$D:$D,CONCATENATE("&lt;",ME$3),Movimientos!$C:$C,"&lt;0")</f>
        <v>0</v>
      </c>
      <c r="MF14" s="5">
        <f ca="1">SUMIFS(Movimientos!$C:$C,Movimientos!$A:$A,$B14,Movimientos!$D:$D,CONCATENATE("&lt;=",MF$3),Movimientos!$C:$C,"&gt;0")+SUMIFS(Movimientos!$C:$C,Movimientos!$A:$A,$B14,Movimientos!$D:$D,CONCATENATE("&lt;",MF$3),Movimientos!$C:$C,"&lt;0")</f>
        <v>0</v>
      </c>
      <c r="MG14" s="5">
        <f ca="1">SUMIFS(Movimientos!$C:$C,Movimientos!$A:$A,$B14,Movimientos!$D:$D,CONCATENATE("&lt;=",MG$3),Movimientos!$C:$C,"&gt;0")+SUMIFS(Movimientos!$C:$C,Movimientos!$A:$A,$B14,Movimientos!$D:$D,CONCATENATE("&lt;",MG$3),Movimientos!$C:$C,"&lt;0")</f>
        <v>0</v>
      </c>
      <c r="MH14" s="5">
        <f ca="1">SUMIFS(Movimientos!$C:$C,Movimientos!$A:$A,$B14,Movimientos!$D:$D,CONCATENATE("&lt;=",MH$3),Movimientos!$C:$C,"&gt;0")+SUMIFS(Movimientos!$C:$C,Movimientos!$A:$A,$B14,Movimientos!$D:$D,CONCATENATE("&lt;",MH$3),Movimientos!$C:$C,"&lt;0")</f>
        <v>0</v>
      </c>
      <c r="MI14" s="5">
        <f ca="1">SUMIFS(Movimientos!$C:$C,Movimientos!$A:$A,$B14,Movimientos!$D:$D,CONCATENATE("&lt;=",MI$3),Movimientos!$C:$C,"&gt;0")+SUMIFS(Movimientos!$C:$C,Movimientos!$A:$A,$B14,Movimientos!$D:$D,CONCATENATE("&lt;",MI$3),Movimientos!$C:$C,"&lt;0")</f>
        <v>0</v>
      </c>
      <c r="MJ14" s="5">
        <f ca="1">SUMIFS(Movimientos!$C:$C,Movimientos!$A:$A,$B14,Movimientos!$D:$D,CONCATENATE("&lt;=",MJ$3),Movimientos!$C:$C,"&gt;0")+SUMIFS(Movimientos!$C:$C,Movimientos!$A:$A,$B14,Movimientos!$D:$D,CONCATENATE("&lt;",MJ$3),Movimientos!$C:$C,"&lt;0")</f>
        <v>0</v>
      </c>
      <c r="MK14" s="5">
        <f ca="1">SUMIFS(Movimientos!$C:$C,Movimientos!$A:$A,$B14,Movimientos!$D:$D,CONCATENATE("&lt;=",MK$3),Movimientos!$C:$C,"&gt;0")+SUMIFS(Movimientos!$C:$C,Movimientos!$A:$A,$B14,Movimientos!$D:$D,CONCATENATE("&lt;",MK$3),Movimientos!$C:$C,"&lt;0")</f>
        <v>0</v>
      </c>
      <c r="ML14" s="5">
        <f ca="1">SUMIFS(Movimientos!$C:$C,Movimientos!$A:$A,$B14,Movimientos!$D:$D,CONCATENATE("&lt;=",ML$3),Movimientos!$C:$C,"&gt;0")+SUMIFS(Movimientos!$C:$C,Movimientos!$A:$A,$B14,Movimientos!$D:$D,CONCATENATE("&lt;",ML$3),Movimientos!$C:$C,"&lt;0")</f>
        <v>0</v>
      </c>
      <c r="MM14" s="5">
        <f ca="1">SUMIFS(Movimientos!$C:$C,Movimientos!$A:$A,$B14,Movimientos!$D:$D,CONCATENATE("&lt;=",MM$3),Movimientos!$C:$C,"&gt;0")+SUMIFS(Movimientos!$C:$C,Movimientos!$A:$A,$B14,Movimientos!$D:$D,CONCATENATE("&lt;",MM$3),Movimientos!$C:$C,"&lt;0")</f>
        <v>0</v>
      </c>
      <c r="MN14" s="5">
        <f ca="1">SUMIFS(Movimientos!$C:$C,Movimientos!$A:$A,$B14,Movimientos!$D:$D,CONCATENATE("&lt;=",MN$3),Movimientos!$C:$C,"&gt;0")+SUMIFS(Movimientos!$C:$C,Movimientos!$A:$A,$B14,Movimientos!$D:$D,CONCATENATE("&lt;",MN$3),Movimientos!$C:$C,"&lt;0")</f>
        <v>0</v>
      </c>
      <c r="MO14" s="5">
        <f ca="1">SUMIFS(Movimientos!$C:$C,Movimientos!$A:$A,$B14,Movimientos!$D:$D,CONCATENATE("&lt;=",MO$3),Movimientos!$C:$C,"&gt;0")+SUMIFS(Movimientos!$C:$C,Movimientos!$A:$A,$B14,Movimientos!$D:$D,CONCATENATE("&lt;",MO$3),Movimientos!$C:$C,"&lt;0")</f>
        <v>0</v>
      </c>
      <c r="MP14" s="5">
        <f ca="1">SUMIFS(Movimientos!$C:$C,Movimientos!$A:$A,$B14,Movimientos!$D:$D,CONCATENATE("&lt;=",MP$3),Movimientos!$C:$C,"&gt;0")+SUMIFS(Movimientos!$C:$C,Movimientos!$A:$A,$B14,Movimientos!$D:$D,CONCATENATE("&lt;",MP$3),Movimientos!$C:$C,"&lt;0")</f>
        <v>0</v>
      </c>
      <c r="MQ14" s="5">
        <f ca="1">SUMIFS(Movimientos!$C:$C,Movimientos!$A:$A,$B14,Movimientos!$D:$D,CONCATENATE("&lt;=",MQ$3),Movimientos!$C:$C,"&gt;0")+SUMIFS(Movimientos!$C:$C,Movimientos!$A:$A,$B14,Movimientos!$D:$D,CONCATENATE("&lt;",MQ$3),Movimientos!$C:$C,"&lt;0")</f>
        <v>0</v>
      </c>
      <c r="MR14" s="5">
        <f ca="1">SUMIFS(Movimientos!$C:$C,Movimientos!$A:$A,$B14,Movimientos!$D:$D,CONCATENATE("&lt;=",MR$3),Movimientos!$C:$C,"&gt;0")+SUMIFS(Movimientos!$C:$C,Movimientos!$A:$A,$B14,Movimientos!$D:$D,CONCATENATE("&lt;",MR$3),Movimientos!$C:$C,"&lt;0")</f>
        <v>0</v>
      </c>
      <c r="MS14" s="5">
        <f ca="1">SUMIFS(Movimientos!$C:$C,Movimientos!$A:$A,$B14,Movimientos!$D:$D,CONCATENATE("&lt;=",MS$3),Movimientos!$C:$C,"&gt;0")+SUMIFS(Movimientos!$C:$C,Movimientos!$A:$A,$B14,Movimientos!$D:$D,CONCATENATE("&lt;",MS$3),Movimientos!$C:$C,"&lt;0")</f>
        <v>0</v>
      </c>
      <c r="MT14" s="5">
        <f ca="1">SUMIFS(Movimientos!$C:$C,Movimientos!$A:$A,$B14,Movimientos!$D:$D,CONCATENATE("&lt;=",MT$3),Movimientos!$C:$C,"&gt;0")+SUMIFS(Movimientos!$C:$C,Movimientos!$A:$A,$B14,Movimientos!$D:$D,CONCATENATE("&lt;",MT$3),Movimientos!$C:$C,"&lt;0")</f>
        <v>0</v>
      </c>
      <c r="MU14" s="5">
        <f ca="1">SUMIFS(Movimientos!$C:$C,Movimientos!$A:$A,$B14,Movimientos!$D:$D,CONCATENATE("&lt;=",MU$3),Movimientos!$C:$C,"&gt;0")+SUMIFS(Movimientos!$C:$C,Movimientos!$A:$A,$B14,Movimientos!$D:$D,CONCATENATE("&lt;",MU$3),Movimientos!$C:$C,"&lt;0")</f>
        <v>0</v>
      </c>
      <c r="MV14" s="5">
        <f ca="1">SUMIFS(Movimientos!$C:$C,Movimientos!$A:$A,$B14,Movimientos!$D:$D,CONCATENATE("&lt;=",MV$3),Movimientos!$C:$C,"&gt;0")+SUMIFS(Movimientos!$C:$C,Movimientos!$A:$A,$B14,Movimientos!$D:$D,CONCATENATE("&lt;",MV$3),Movimientos!$C:$C,"&lt;0")</f>
        <v>0</v>
      </c>
      <c r="MW14" s="5">
        <f ca="1">SUMIFS(Movimientos!$C:$C,Movimientos!$A:$A,$B14,Movimientos!$D:$D,CONCATENATE("&lt;=",MW$3),Movimientos!$C:$C,"&gt;0")+SUMIFS(Movimientos!$C:$C,Movimientos!$A:$A,$B14,Movimientos!$D:$D,CONCATENATE("&lt;",MW$3),Movimientos!$C:$C,"&lt;0")</f>
        <v>0</v>
      </c>
      <c r="MX14" s="5">
        <f ca="1">SUMIFS(Movimientos!$C:$C,Movimientos!$A:$A,$B14,Movimientos!$D:$D,CONCATENATE("&lt;=",MX$3),Movimientos!$C:$C,"&gt;0")+SUMIFS(Movimientos!$C:$C,Movimientos!$A:$A,$B14,Movimientos!$D:$D,CONCATENATE("&lt;",MX$3),Movimientos!$C:$C,"&lt;0")</f>
        <v>0</v>
      </c>
      <c r="MY14" s="5">
        <f ca="1">SUMIFS(Movimientos!$C:$C,Movimientos!$A:$A,$B14,Movimientos!$D:$D,CONCATENATE("&lt;=",MY$3),Movimientos!$C:$C,"&gt;0")+SUMIFS(Movimientos!$C:$C,Movimientos!$A:$A,$B14,Movimientos!$D:$D,CONCATENATE("&lt;",MY$3),Movimientos!$C:$C,"&lt;0")</f>
        <v>0</v>
      </c>
      <c r="MZ14" s="5">
        <f ca="1">SUMIFS(Movimientos!$C:$C,Movimientos!$A:$A,$B14,Movimientos!$D:$D,CONCATENATE("&lt;=",MZ$3),Movimientos!$C:$C,"&gt;0")+SUMIFS(Movimientos!$C:$C,Movimientos!$A:$A,$B14,Movimientos!$D:$D,CONCATENATE("&lt;",MZ$3),Movimientos!$C:$C,"&lt;0")</f>
        <v>0</v>
      </c>
      <c r="NA14" s="5">
        <f ca="1">SUMIFS(Movimientos!$C:$C,Movimientos!$A:$A,$B14,Movimientos!$D:$D,CONCATENATE("&lt;=",NA$3),Movimientos!$C:$C,"&gt;0")+SUMIFS(Movimientos!$C:$C,Movimientos!$A:$A,$B14,Movimientos!$D:$D,CONCATENATE("&lt;",NA$3),Movimientos!$C:$C,"&lt;0")</f>
        <v>0</v>
      </c>
      <c r="NB14" s="5">
        <f ca="1">SUMIFS(Movimientos!$C:$C,Movimientos!$A:$A,$B14,Movimientos!$D:$D,CONCATENATE("&lt;=",NB$3),Movimientos!$C:$C,"&gt;0")+SUMIFS(Movimientos!$C:$C,Movimientos!$A:$A,$B14,Movimientos!$D:$D,CONCATENATE("&lt;",NB$3),Movimientos!$C:$C,"&lt;0")</f>
        <v>0</v>
      </c>
      <c r="NC14" s="5">
        <f ca="1">SUMIFS(Movimientos!$C:$C,Movimientos!$A:$A,$B14,Movimientos!$D:$D,CONCATENATE("&lt;=",NC$3),Movimientos!$C:$C,"&gt;0")+SUMIFS(Movimientos!$C:$C,Movimientos!$A:$A,$B14,Movimientos!$D:$D,CONCATENATE("&lt;",NC$3),Movimientos!$C:$C,"&lt;0")</f>
        <v>0</v>
      </c>
      <c r="ND14" s="5">
        <f ca="1">SUMIFS(Movimientos!$C:$C,Movimientos!$A:$A,$B14,Movimientos!$D:$D,CONCATENATE("&lt;=",ND$3),Movimientos!$C:$C,"&gt;0")+SUMIFS(Movimientos!$C:$C,Movimientos!$A:$A,$B14,Movimientos!$D:$D,CONCATENATE("&lt;",ND$3),Movimientos!$C:$C,"&lt;0")</f>
        <v>0</v>
      </c>
      <c r="NE14" s="5">
        <f ca="1">SUMIFS(Movimientos!$C:$C,Movimientos!$A:$A,$B14,Movimientos!$D:$D,CONCATENATE("&lt;=",NE$3),Movimientos!$C:$C,"&gt;0")+SUMIFS(Movimientos!$C:$C,Movimientos!$A:$A,$B14,Movimientos!$D:$D,CONCATENATE("&lt;",NE$3),Movimientos!$C:$C,"&lt;0")</f>
        <v>0</v>
      </c>
      <c r="NF14" s="5">
        <f ca="1">SUMIFS(Movimientos!$C:$C,Movimientos!$A:$A,$B14,Movimientos!$D:$D,CONCATENATE("&lt;=",NF$3),Movimientos!$C:$C,"&gt;0")+SUMIFS(Movimientos!$C:$C,Movimientos!$A:$A,$B14,Movimientos!$D:$D,CONCATENATE("&lt;",NF$3),Movimientos!$C:$C,"&lt;0")</f>
        <v>0</v>
      </c>
      <c r="NG14" s="5">
        <f ca="1">SUMIFS(Movimientos!$C:$C,Movimientos!$A:$A,$B14,Movimientos!$D:$D,CONCATENATE("&lt;=",NG$3),Movimientos!$C:$C,"&gt;0")+SUMIFS(Movimientos!$C:$C,Movimientos!$A:$A,$B14,Movimientos!$D:$D,CONCATENATE("&lt;",NG$3),Movimientos!$C:$C,"&lt;0")</f>
        <v>0</v>
      </c>
      <c r="NH14" s="5">
        <f ca="1">SUMIFS(Movimientos!$C:$C,Movimientos!$A:$A,$B14,Movimientos!$D:$D,CONCATENATE("&lt;=",NH$3),Movimientos!$C:$C,"&gt;0")+SUMIFS(Movimientos!$C:$C,Movimientos!$A:$A,$B14,Movimientos!$D:$D,CONCATENATE("&lt;",NH$3),Movimientos!$C:$C,"&lt;0")</f>
        <v>0</v>
      </c>
      <c r="NI14" s="5">
        <f ca="1">SUMIFS(Movimientos!$C:$C,Movimientos!$A:$A,$B14,Movimientos!$D:$D,CONCATENATE("&lt;=",NI$3),Movimientos!$C:$C,"&gt;0")+SUMIFS(Movimientos!$C:$C,Movimientos!$A:$A,$B14,Movimientos!$D:$D,CONCATENATE("&lt;",NI$3),Movimientos!$C:$C,"&lt;0")</f>
        <v>0</v>
      </c>
      <c r="NJ14" s="5">
        <f ca="1">SUMIFS(Movimientos!$C:$C,Movimientos!$A:$A,$B14,Movimientos!$D:$D,CONCATENATE("&lt;=",NJ$3),Movimientos!$C:$C,"&gt;0")+SUMIFS(Movimientos!$C:$C,Movimientos!$A:$A,$B14,Movimientos!$D:$D,CONCATENATE("&lt;",NJ$3),Movimientos!$C:$C,"&lt;0")</f>
        <v>0</v>
      </c>
      <c r="NK14" s="5">
        <f ca="1">SUMIFS(Movimientos!$C:$C,Movimientos!$A:$A,$B14,Movimientos!$D:$D,CONCATENATE("&lt;=",NK$3),Movimientos!$C:$C,"&gt;0")+SUMIFS(Movimientos!$C:$C,Movimientos!$A:$A,$B14,Movimientos!$D:$D,CONCATENATE("&lt;",NK$3),Movimientos!$C:$C,"&lt;0")</f>
        <v>0</v>
      </c>
      <c r="NL14" s="5">
        <f ca="1">SUMIFS(Movimientos!$C:$C,Movimientos!$A:$A,$B14,Movimientos!$D:$D,CONCATENATE("&lt;=",NL$3),Movimientos!$C:$C,"&gt;0")+SUMIFS(Movimientos!$C:$C,Movimientos!$A:$A,$B14,Movimientos!$D:$D,CONCATENATE("&lt;",NL$3),Movimientos!$C:$C,"&lt;0")</f>
        <v>0</v>
      </c>
      <c r="NM14" s="5">
        <f ca="1">SUMIFS(Movimientos!$C:$C,Movimientos!$A:$A,$B14,Movimientos!$D:$D,CONCATENATE("&lt;=",NM$3),Movimientos!$C:$C,"&gt;0")+SUMIFS(Movimientos!$C:$C,Movimientos!$A:$A,$B14,Movimientos!$D:$D,CONCATENATE("&lt;",NM$3),Movimientos!$C:$C,"&lt;0")</f>
        <v>0</v>
      </c>
      <c r="NN14" s="5">
        <f ca="1">SUMIFS(Movimientos!$C:$C,Movimientos!$A:$A,$B14,Movimientos!$D:$D,CONCATENATE("&lt;=",NN$3),Movimientos!$C:$C,"&gt;0")+SUMIFS(Movimientos!$C:$C,Movimientos!$A:$A,$B14,Movimientos!$D:$D,CONCATENATE("&lt;",NN$3),Movimientos!$C:$C,"&lt;0")</f>
        <v>0</v>
      </c>
      <c r="NO14" s="5">
        <f ca="1">SUMIFS(Movimientos!$C:$C,Movimientos!$A:$A,$B14,Movimientos!$D:$D,CONCATENATE("&lt;=",NO$3),Movimientos!$C:$C,"&gt;0")+SUMIFS(Movimientos!$C:$C,Movimientos!$A:$A,$B14,Movimientos!$D:$D,CONCATENATE("&lt;",NO$3),Movimientos!$C:$C,"&lt;0")</f>
        <v>0</v>
      </c>
      <c r="NP14" s="5">
        <f ca="1">SUMIFS(Movimientos!$C:$C,Movimientos!$A:$A,$B14,Movimientos!$D:$D,CONCATENATE("&lt;=",NP$3),Movimientos!$C:$C,"&gt;0")+SUMIFS(Movimientos!$C:$C,Movimientos!$A:$A,$B14,Movimientos!$D:$D,CONCATENATE("&lt;",NP$3),Movimientos!$C:$C,"&lt;0")</f>
        <v>0</v>
      </c>
      <c r="NQ14" s="5">
        <f ca="1">SUMIFS(Movimientos!$C:$C,Movimientos!$A:$A,$B14,Movimientos!$D:$D,CONCATENATE("&lt;=",NQ$3),Movimientos!$C:$C,"&gt;0")+SUMIFS(Movimientos!$C:$C,Movimientos!$A:$A,$B14,Movimientos!$D:$D,CONCATENATE("&lt;",NQ$3),Movimientos!$C:$C,"&lt;0")</f>
        <v>0</v>
      </c>
      <c r="NR14" s="5">
        <f ca="1">SUMIFS(Movimientos!$C:$C,Movimientos!$A:$A,$B14,Movimientos!$D:$D,CONCATENATE("&lt;=",NR$3),Movimientos!$C:$C,"&gt;0")+SUMIFS(Movimientos!$C:$C,Movimientos!$A:$A,$B14,Movimientos!$D:$D,CONCATENATE("&lt;",NR$3),Movimientos!$C:$C,"&lt;0")</f>
        <v>0</v>
      </c>
      <c r="NS14" s="5">
        <f ca="1">SUMIFS(Movimientos!$C:$C,Movimientos!$A:$A,$B14,Movimientos!$D:$D,CONCATENATE("&lt;=",NS$3),Movimientos!$C:$C,"&gt;0")+SUMIFS(Movimientos!$C:$C,Movimientos!$A:$A,$B14,Movimientos!$D:$D,CONCATENATE("&lt;",NS$3),Movimientos!$C:$C,"&lt;0")</f>
        <v>0</v>
      </c>
      <c r="NT14" s="5">
        <f ca="1">SUMIFS(Movimientos!$C:$C,Movimientos!$A:$A,$B14,Movimientos!$D:$D,CONCATENATE("&lt;=",NT$3),Movimientos!$C:$C,"&gt;0")+SUMIFS(Movimientos!$C:$C,Movimientos!$A:$A,$B14,Movimientos!$D:$D,CONCATENATE("&lt;",NT$3),Movimientos!$C:$C,"&lt;0")</f>
        <v>0</v>
      </c>
      <c r="NU14" s="5">
        <f ca="1">SUMIFS(Movimientos!$C:$C,Movimientos!$A:$A,$B14,Movimientos!$D:$D,CONCATENATE("&lt;=",NU$3),Movimientos!$C:$C,"&gt;0")+SUMIFS(Movimientos!$C:$C,Movimientos!$A:$A,$B14,Movimientos!$D:$D,CONCATENATE("&lt;",NU$3),Movimientos!$C:$C,"&lt;0")</f>
        <v>0</v>
      </c>
      <c r="NV14" s="5">
        <f ca="1">SUMIFS(Movimientos!$C:$C,Movimientos!$A:$A,$B14,Movimientos!$D:$D,CONCATENATE("&lt;=",NV$3),Movimientos!$C:$C,"&gt;0")+SUMIFS(Movimientos!$C:$C,Movimientos!$A:$A,$B14,Movimientos!$D:$D,CONCATENATE("&lt;",NV$3),Movimientos!$C:$C,"&lt;0")</f>
        <v>0</v>
      </c>
      <c r="NW14" s="5">
        <f ca="1">SUMIFS(Movimientos!$C:$C,Movimientos!$A:$A,$B14,Movimientos!$D:$D,CONCATENATE("&lt;=",NW$3),Movimientos!$C:$C,"&gt;0")+SUMIFS(Movimientos!$C:$C,Movimientos!$A:$A,$B14,Movimientos!$D:$D,CONCATENATE("&lt;",NW$3),Movimientos!$C:$C,"&lt;0")</f>
        <v>0</v>
      </c>
      <c r="NX14" s="5">
        <f ca="1">SUMIFS(Movimientos!$C:$C,Movimientos!$A:$A,$B14,Movimientos!$D:$D,CONCATENATE("&lt;=",NX$3),Movimientos!$C:$C,"&gt;0")+SUMIFS(Movimientos!$C:$C,Movimientos!$A:$A,$B14,Movimientos!$D:$D,CONCATENATE("&lt;",NX$3),Movimientos!$C:$C,"&lt;0")</f>
        <v>0</v>
      </c>
      <c r="NY14" s="5">
        <f ca="1">SUMIFS(Movimientos!$C:$C,Movimientos!$A:$A,$B14,Movimientos!$D:$D,CONCATENATE("&lt;=",NY$3),Movimientos!$C:$C,"&gt;0")+SUMIFS(Movimientos!$C:$C,Movimientos!$A:$A,$B14,Movimientos!$D:$D,CONCATENATE("&lt;",NY$3),Movimientos!$C:$C,"&lt;0")</f>
        <v>0</v>
      </c>
      <c r="NZ14" s="5">
        <f ca="1">SUMIFS(Movimientos!$C:$C,Movimientos!$A:$A,$B14,Movimientos!$D:$D,CONCATENATE("&lt;=",NZ$3),Movimientos!$C:$C,"&gt;0")+SUMIFS(Movimientos!$C:$C,Movimientos!$A:$A,$B14,Movimientos!$D:$D,CONCATENATE("&lt;",NZ$3),Movimientos!$C:$C,"&lt;0")</f>
        <v>0</v>
      </c>
      <c r="OA14" s="5">
        <f ca="1">SUMIFS(Movimientos!$C:$C,Movimientos!$A:$A,$B14,Movimientos!$D:$D,CONCATENATE("&lt;=",OA$3),Movimientos!$C:$C,"&gt;0")+SUMIFS(Movimientos!$C:$C,Movimientos!$A:$A,$B14,Movimientos!$D:$D,CONCATENATE("&lt;",OA$3),Movimientos!$C:$C,"&lt;0")</f>
        <v>0</v>
      </c>
      <c r="OB14" s="5">
        <f ca="1">SUMIFS(Movimientos!$C:$C,Movimientos!$A:$A,$B14,Movimientos!$D:$D,CONCATENATE("&lt;=",OB$3),Movimientos!$C:$C,"&gt;0")+SUMIFS(Movimientos!$C:$C,Movimientos!$A:$A,$B14,Movimientos!$D:$D,CONCATENATE("&lt;",OB$3),Movimientos!$C:$C,"&lt;0")</f>
        <v>0</v>
      </c>
      <c r="OC14" s="5">
        <f ca="1">SUMIFS(Movimientos!$C:$C,Movimientos!$A:$A,$B14,Movimientos!$D:$D,CONCATENATE("&lt;=",OC$3),Movimientos!$C:$C,"&gt;0")+SUMIFS(Movimientos!$C:$C,Movimientos!$A:$A,$B14,Movimientos!$D:$D,CONCATENATE("&lt;",OC$3),Movimientos!$C:$C,"&lt;0")</f>
        <v>0</v>
      </c>
      <c r="OD14" s="5">
        <f ca="1">SUMIFS(Movimientos!$C:$C,Movimientos!$A:$A,$B14,Movimientos!$D:$D,CONCATENATE("&lt;=",OD$3),Movimientos!$C:$C,"&gt;0")+SUMIFS(Movimientos!$C:$C,Movimientos!$A:$A,$B14,Movimientos!$D:$D,CONCATENATE("&lt;",OD$3),Movimientos!$C:$C,"&lt;0")</f>
        <v>0</v>
      </c>
      <c r="OE14" s="5">
        <f ca="1">SUMIFS(Movimientos!$C:$C,Movimientos!$A:$A,$B14,Movimientos!$D:$D,CONCATENATE("&lt;=",OE$3),Movimientos!$C:$C,"&gt;0")+SUMIFS(Movimientos!$C:$C,Movimientos!$A:$A,$B14,Movimientos!$D:$D,CONCATENATE("&lt;",OE$3),Movimientos!$C:$C,"&lt;0")</f>
        <v>0</v>
      </c>
      <c r="OF14" s="5">
        <f ca="1">SUMIFS(Movimientos!$C:$C,Movimientos!$A:$A,$B14,Movimientos!$D:$D,CONCATENATE("&lt;=",OF$3),Movimientos!$C:$C,"&gt;0")+SUMIFS(Movimientos!$C:$C,Movimientos!$A:$A,$B14,Movimientos!$D:$D,CONCATENATE("&lt;",OF$3),Movimientos!$C:$C,"&lt;0")</f>
        <v>0</v>
      </c>
      <c r="OG14" s="5">
        <f ca="1">SUMIFS(Movimientos!$C:$C,Movimientos!$A:$A,$B14,Movimientos!$D:$D,CONCATENATE("&lt;=",OG$3),Movimientos!$C:$C,"&gt;0")+SUMIFS(Movimientos!$C:$C,Movimientos!$A:$A,$B14,Movimientos!$D:$D,CONCATENATE("&lt;",OG$3),Movimientos!$C:$C,"&lt;0")</f>
        <v>0</v>
      </c>
      <c r="OH14" s="5">
        <f ca="1">SUMIFS(Movimientos!$C:$C,Movimientos!$A:$A,$B14,Movimientos!$D:$D,CONCATENATE("&lt;=",OH$3),Movimientos!$C:$C,"&gt;0")+SUMIFS(Movimientos!$C:$C,Movimientos!$A:$A,$B14,Movimientos!$D:$D,CONCATENATE("&lt;",OH$3),Movimientos!$C:$C,"&lt;0")</f>
        <v>0</v>
      </c>
      <c r="OI14" s="5">
        <f ca="1">SUMIFS(Movimientos!$C:$C,Movimientos!$A:$A,$B14,Movimientos!$D:$D,CONCATENATE("&lt;=",OI$3),Movimientos!$C:$C,"&gt;0")+SUMIFS(Movimientos!$C:$C,Movimientos!$A:$A,$B14,Movimientos!$D:$D,CONCATENATE("&lt;",OI$3),Movimientos!$C:$C,"&lt;0")</f>
        <v>0</v>
      </c>
      <c r="OJ14" s="5">
        <f ca="1">SUMIFS(Movimientos!$C:$C,Movimientos!$A:$A,$B14,Movimientos!$D:$D,CONCATENATE("&lt;=",OJ$3),Movimientos!$C:$C,"&gt;0")+SUMIFS(Movimientos!$C:$C,Movimientos!$A:$A,$B14,Movimientos!$D:$D,CONCATENATE("&lt;",OJ$3),Movimientos!$C:$C,"&lt;0")</f>
        <v>0</v>
      </c>
      <c r="OK14" s="5">
        <f ca="1">SUMIFS(Movimientos!$C:$C,Movimientos!$A:$A,$B14,Movimientos!$D:$D,CONCATENATE("&lt;=",OK$3),Movimientos!$C:$C,"&gt;0")+SUMIFS(Movimientos!$C:$C,Movimientos!$A:$A,$B14,Movimientos!$D:$D,CONCATENATE("&lt;",OK$3),Movimientos!$C:$C,"&lt;0")</f>
        <v>0</v>
      </c>
      <c r="OL14" s="5">
        <f ca="1">SUMIFS(Movimientos!$C:$C,Movimientos!$A:$A,$B14,Movimientos!$D:$D,CONCATENATE("&lt;=",OL$3),Movimientos!$C:$C,"&gt;0")+SUMIFS(Movimientos!$C:$C,Movimientos!$A:$A,$B14,Movimientos!$D:$D,CONCATENATE("&lt;",OL$3),Movimientos!$C:$C,"&lt;0")</f>
        <v>0</v>
      </c>
      <c r="OM14" s="5">
        <f ca="1">SUMIFS(Movimientos!$C:$C,Movimientos!$A:$A,$B14,Movimientos!$D:$D,CONCATENATE("&lt;=",OM$3),Movimientos!$C:$C,"&gt;0")+SUMIFS(Movimientos!$C:$C,Movimientos!$A:$A,$B14,Movimientos!$D:$D,CONCATENATE("&lt;",OM$3),Movimientos!$C:$C,"&lt;0")</f>
        <v>0</v>
      </c>
      <c r="ON14" s="5">
        <f ca="1">SUMIFS(Movimientos!$C:$C,Movimientos!$A:$A,$B14,Movimientos!$D:$D,CONCATENATE("&lt;=",ON$3),Movimientos!$C:$C,"&gt;0")+SUMIFS(Movimientos!$C:$C,Movimientos!$A:$A,$B14,Movimientos!$D:$D,CONCATENATE("&lt;",ON$3),Movimientos!$C:$C,"&lt;0")</f>
        <v>0</v>
      </c>
      <c r="OO14" s="5">
        <f ca="1">SUMIFS(Movimientos!$C:$C,Movimientos!$A:$A,$B14,Movimientos!$D:$D,CONCATENATE("&lt;=",OO$3),Movimientos!$C:$C,"&gt;0")+SUMIFS(Movimientos!$C:$C,Movimientos!$A:$A,$B14,Movimientos!$D:$D,CONCATENATE("&lt;",OO$3),Movimientos!$C:$C,"&lt;0")</f>
        <v>0</v>
      </c>
      <c r="OP14" s="5">
        <f ca="1">SUMIFS(Movimientos!$C:$C,Movimientos!$A:$A,$B14,Movimientos!$D:$D,CONCATENATE("&lt;=",OP$3),Movimientos!$C:$C,"&gt;0")+SUMIFS(Movimientos!$C:$C,Movimientos!$A:$A,$B14,Movimientos!$D:$D,CONCATENATE("&lt;",OP$3),Movimientos!$C:$C,"&lt;0")</f>
        <v>0</v>
      </c>
      <c r="OQ14" s="5">
        <f ca="1">SUMIFS(Movimientos!$C:$C,Movimientos!$A:$A,$B14,Movimientos!$D:$D,CONCATENATE("&lt;=",OQ$3),Movimientos!$C:$C,"&gt;0")+SUMIFS(Movimientos!$C:$C,Movimientos!$A:$A,$B14,Movimientos!$D:$D,CONCATENATE("&lt;",OQ$3),Movimientos!$C:$C,"&lt;0")</f>
        <v>0</v>
      </c>
      <c r="OR14" s="5">
        <f ca="1">SUMIFS(Movimientos!$C:$C,Movimientos!$A:$A,$B14,Movimientos!$D:$D,CONCATENATE("&lt;=",OR$3),Movimientos!$C:$C,"&gt;0")+SUMIFS(Movimientos!$C:$C,Movimientos!$A:$A,$B14,Movimientos!$D:$D,CONCATENATE("&lt;",OR$3),Movimientos!$C:$C,"&lt;0")</f>
        <v>0</v>
      </c>
      <c r="OS14" s="5">
        <f ca="1">SUMIFS(Movimientos!$C:$C,Movimientos!$A:$A,$B14,Movimientos!$D:$D,CONCATENATE("&lt;=",OS$3),Movimientos!$C:$C,"&gt;0")+SUMIFS(Movimientos!$C:$C,Movimientos!$A:$A,$B14,Movimientos!$D:$D,CONCATENATE("&lt;",OS$3),Movimientos!$C:$C,"&lt;0")</f>
        <v>0</v>
      </c>
      <c r="OT14" s="5">
        <f ca="1">SUMIFS(Movimientos!$C:$C,Movimientos!$A:$A,$B14,Movimientos!$D:$D,CONCATENATE("&lt;=",OT$3),Movimientos!$C:$C,"&gt;0")+SUMIFS(Movimientos!$C:$C,Movimientos!$A:$A,$B14,Movimientos!$D:$D,CONCATENATE("&lt;",OT$3),Movimientos!$C:$C,"&lt;0")</f>
        <v>0</v>
      </c>
      <c r="OU14" s="5">
        <f ca="1">SUMIFS(Movimientos!$C:$C,Movimientos!$A:$A,$B14,Movimientos!$D:$D,CONCATENATE("&lt;=",OU$3),Movimientos!$C:$C,"&gt;0")+SUMIFS(Movimientos!$C:$C,Movimientos!$A:$A,$B14,Movimientos!$D:$D,CONCATENATE("&lt;",OU$3),Movimientos!$C:$C,"&lt;0")</f>
        <v>0</v>
      </c>
      <c r="OV14" s="5">
        <f ca="1">SUMIFS(Movimientos!$C:$C,Movimientos!$A:$A,$B14,Movimientos!$D:$D,CONCATENATE("&lt;=",OV$3),Movimientos!$C:$C,"&gt;0")+SUMIFS(Movimientos!$C:$C,Movimientos!$A:$A,$B14,Movimientos!$D:$D,CONCATENATE("&lt;",OV$3),Movimientos!$C:$C,"&lt;0")</f>
        <v>0</v>
      </c>
      <c r="OW14" s="5">
        <f ca="1">SUMIFS(Movimientos!$C:$C,Movimientos!$A:$A,$B14,Movimientos!$D:$D,CONCATENATE("&lt;=",OW$3),Movimientos!$C:$C,"&gt;0")+SUMIFS(Movimientos!$C:$C,Movimientos!$A:$A,$B14,Movimientos!$D:$D,CONCATENATE("&lt;",OW$3),Movimientos!$C:$C,"&lt;0")</f>
        <v>0</v>
      </c>
      <c r="OX14" s="5">
        <f ca="1">SUMIFS(Movimientos!$C:$C,Movimientos!$A:$A,$B14,Movimientos!$D:$D,CONCATENATE("&lt;=",OX$3),Movimientos!$C:$C,"&gt;0")+SUMIFS(Movimientos!$C:$C,Movimientos!$A:$A,$B14,Movimientos!$D:$D,CONCATENATE("&lt;",OX$3),Movimientos!$C:$C,"&lt;0")</f>
        <v>0</v>
      </c>
      <c r="OY14" s="5">
        <f ca="1">SUMIFS(Movimientos!$C:$C,Movimientos!$A:$A,$B14,Movimientos!$D:$D,CONCATENATE("&lt;=",OY$3),Movimientos!$C:$C,"&gt;0")+SUMIFS(Movimientos!$C:$C,Movimientos!$A:$A,$B14,Movimientos!$D:$D,CONCATENATE("&lt;",OY$3),Movimientos!$C:$C,"&lt;0")</f>
        <v>0</v>
      </c>
      <c r="OZ14" s="5">
        <f ca="1">SUMIFS(Movimientos!$C:$C,Movimientos!$A:$A,$B14,Movimientos!$D:$D,CONCATENATE("&lt;=",OZ$3),Movimientos!$C:$C,"&gt;0")+SUMIFS(Movimientos!$C:$C,Movimientos!$A:$A,$B14,Movimientos!$D:$D,CONCATENATE("&lt;",OZ$3),Movimientos!$C:$C,"&lt;0")</f>
        <v>0</v>
      </c>
      <c r="PA14" s="5">
        <f ca="1">SUMIFS(Movimientos!$C:$C,Movimientos!$A:$A,$B14,Movimientos!$D:$D,CONCATENATE("&lt;=",PA$3),Movimientos!$C:$C,"&gt;0")+SUMIFS(Movimientos!$C:$C,Movimientos!$A:$A,$B14,Movimientos!$D:$D,CONCATENATE("&lt;",PA$3),Movimientos!$C:$C,"&lt;0")</f>
        <v>0</v>
      </c>
      <c r="PB14" s="5">
        <f ca="1">SUMIFS(Movimientos!$C:$C,Movimientos!$A:$A,$B14,Movimientos!$D:$D,CONCATENATE("&lt;=",PB$3),Movimientos!$C:$C,"&gt;0")+SUMIFS(Movimientos!$C:$C,Movimientos!$A:$A,$B14,Movimientos!$D:$D,CONCATENATE("&lt;",PB$3),Movimientos!$C:$C,"&lt;0")</f>
        <v>0</v>
      </c>
      <c r="PC14" s="5">
        <f ca="1">SUMIFS(Movimientos!$C:$C,Movimientos!$A:$A,$B14,Movimientos!$D:$D,CONCATENATE("&lt;=",PC$3),Movimientos!$C:$C,"&gt;0")+SUMIFS(Movimientos!$C:$C,Movimientos!$A:$A,$B14,Movimientos!$D:$D,CONCATENATE("&lt;",PC$3),Movimientos!$C:$C,"&lt;0")</f>
        <v>0</v>
      </c>
      <c r="PD14" s="5">
        <f ca="1">SUMIFS(Movimientos!$C:$C,Movimientos!$A:$A,$B14,Movimientos!$D:$D,CONCATENATE("&lt;=",PD$3),Movimientos!$C:$C,"&gt;0")+SUMIFS(Movimientos!$C:$C,Movimientos!$A:$A,$B14,Movimientos!$D:$D,CONCATENATE("&lt;",PD$3),Movimientos!$C:$C,"&lt;0")</f>
        <v>0</v>
      </c>
      <c r="PE14" s="5">
        <f ca="1">SUMIFS(Movimientos!$C:$C,Movimientos!$A:$A,$B14,Movimientos!$D:$D,CONCATENATE("&lt;=",PE$3),Movimientos!$C:$C,"&gt;0")+SUMIFS(Movimientos!$C:$C,Movimientos!$A:$A,$B14,Movimientos!$D:$D,CONCATENATE("&lt;",PE$3),Movimientos!$C:$C,"&lt;0")</f>
        <v>0</v>
      </c>
      <c r="PF14" s="5">
        <f ca="1">SUMIFS(Movimientos!$C:$C,Movimientos!$A:$A,$B14,Movimientos!$D:$D,CONCATENATE("&lt;=",PF$3),Movimientos!$C:$C,"&gt;0")+SUMIFS(Movimientos!$C:$C,Movimientos!$A:$A,$B14,Movimientos!$D:$D,CONCATENATE("&lt;",PF$3),Movimientos!$C:$C,"&lt;0")</f>
        <v>0</v>
      </c>
      <c r="PG14" s="5">
        <f ca="1">SUMIFS(Movimientos!$C:$C,Movimientos!$A:$A,$B14,Movimientos!$D:$D,CONCATENATE("&lt;=",PG$3),Movimientos!$C:$C,"&gt;0")+SUMIFS(Movimientos!$C:$C,Movimientos!$A:$A,$B14,Movimientos!$D:$D,CONCATENATE("&lt;",PG$3),Movimientos!$C:$C,"&lt;0")</f>
        <v>0</v>
      </c>
      <c r="PH14" s="5">
        <f ca="1">SUMIFS(Movimientos!$C:$C,Movimientos!$A:$A,$B14,Movimientos!$D:$D,CONCATENATE("&lt;=",PH$3),Movimientos!$C:$C,"&gt;0")+SUMIFS(Movimientos!$C:$C,Movimientos!$A:$A,$B14,Movimientos!$D:$D,CONCATENATE("&lt;",PH$3),Movimientos!$C:$C,"&lt;0")</f>
        <v>0</v>
      </c>
      <c r="PI14" s="5">
        <f ca="1">SUMIFS(Movimientos!$C:$C,Movimientos!$A:$A,$B14,Movimientos!$D:$D,CONCATENATE("&lt;=",PI$3),Movimientos!$C:$C,"&gt;0")+SUMIFS(Movimientos!$C:$C,Movimientos!$A:$A,$B14,Movimientos!$D:$D,CONCATENATE("&lt;",PI$3),Movimientos!$C:$C,"&lt;0")</f>
        <v>0</v>
      </c>
      <c r="PJ14" s="5">
        <f ca="1">SUMIFS(Movimientos!$C:$C,Movimientos!$A:$A,$B14,Movimientos!$D:$D,CONCATENATE("&lt;=",PJ$3),Movimientos!$C:$C,"&gt;0")+SUMIFS(Movimientos!$C:$C,Movimientos!$A:$A,$B14,Movimientos!$D:$D,CONCATENATE("&lt;",PJ$3),Movimientos!$C:$C,"&lt;0")</f>
        <v>0</v>
      </c>
      <c r="PK14" s="5">
        <f ca="1">SUMIFS(Movimientos!$C:$C,Movimientos!$A:$A,$B14,Movimientos!$D:$D,CONCATENATE("&lt;=",PK$3),Movimientos!$C:$C,"&gt;0")+SUMIFS(Movimientos!$C:$C,Movimientos!$A:$A,$B14,Movimientos!$D:$D,CONCATENATE("&lt;",PK$3),Movimientos!$C:$C,"&lt;0")</f>
        <v>0</v>
      </c>
      <c r="PL14" s="5">
        <f ca="1">SUMIFS(Movimientos!$C:$C,Movimientos!$A:$A,$B14,Movimientos!$D:$D,CONCATENATE("&lt;=",PL$3),Movimientos!$C:$C,"&gt;0")+SUMIFS(Movimientos!$C:$C,Movimientos!$A:$A,$B14,Movimientos!$D:$D,CONCATENATE("&lt;",PL$3),Movimientos!$C:$C,"&lt;0")</f>
        <v>0</v>
      </c>
      <c r="PM14" s="5">
        <f ca="1">SUMIFS(Movimientos!$C:$C,Movimientos!$A:$A,$B14,Movimientos!$D:$D,CONCATENATE("&lt;=",PM$3),Movimientos!$C:$C,"&gt;0")+SUMIFS(Movimientos!$C:$C,Movimientos!$A:$A,$B14,Movimientos!$D:$D,CONCATENATE("&lt;",PM$3),Movimientos!$C:$C,"&lt;0")</f>
        <v>0</v>
      </c>
      <c r="PN14" s="5">
        <f ca="1">SUMIFS(Movimientos!$C:$C,Movimientos!$A:$A,$B14,Movimientos!$D:$D,CONCATENATE("&lt;=",PN$3),Movimientos!$C:$C,"&gt;0")+SUMIFS(Movimientos!$C:$C,Movimientos!$A:$A,$B14,Movimientos!$D:$D,CONCATENATE("&lt;",PN$3),Movimientos!$C:$C,"&lt;0")</f>
        <v>0</v>
      </c>
      <c r="PO14" s="5">
        <f ca="1">SUMIFS(Movimientos!$C:$C,Movimientos!$A:$A,$B14,Movimientos!$D:$D,CONCATENATE("&lt;=",PO$3),Movimientos!$C:$C,"&gt;0")+SUMIFS(Movimientos!$C:$C,Movimientos!$A:$A,$B14,Movimientos!$D:$D,CONCATENATE("&lt;",PO$3),Movimientos!$C:$C,"&lt;0")</f>
        <v>0</v>
      </c>
      <c r="PP14" s="5">
        <f ca="1">SUMIFS(Movimientos!$C:$C,Movimientos!$A:$A,$B14,Movimientos!$D:$D,CONCATENATE("&lt;=",PP$3),Movimientos!$C:$C,"&gt;0")+SUMIFS(Movimientos!$C:$C,Movimientos!$A:$A,$B14,Movimientos!$D:$D,CONCATENATE("&lt;",PP$3),Movimientos!$C:$C,"&lt;0")</f>
        <v>0</v>
      </c>
      <c r="PQ14" s="5">
        <f ca="1">SUMIFS(Movimientos!$C:$C,Movimientos!$A:$A,$B14,Movimientos!$D:$D,CONCATENATE("&lt;=",PQ$3),Movimientos!$C:$C,"&gt;0")+SUMIFS(Movimientos!$C:$C,Movimientos!$A:$A,$B14,Movimientos!$D:$D,CONCATENATE("&lt;",PQ$3),Movimientos!$C:$C,"&lt;0")</f>
        <v>0</v>
      </c>
      <c r="PR14" s="5">
        <f ca="1">SUMIFS(Movimientos!$C:$C,Movimientos!$A:$A,$B14,Movimientos!$D:$D,CONCATENATE("&lt;=",PR$3),Movimientos!$C:$C,"&gt;0")+SUMIFS(Movimientos!$C:$C,Movimientos!$A:$A,$B14,Movimientos!$D:$D,CONCATENATE("&lt;",PR$3),Movimientos!$C:$C,"&lt;0")</f>
        <v>0</v>
      </c>
      <c r="PS14" s="5">
        <f ca="1">SUMIFS(Movimientos!$C:$C,Movimientos!$A:$A,$B14,Movimientos!$D:$D,CONCATENATE("&lt;=",PS$3),Movimientos!$C:$C,"&gt;0")+SUMIFS(Movimientos!$C:$C,Movimientos!$A:$A,$B14,Movimientos!$D:$D,CONCATENATE("&lt;",PS$3),Movimientos!$C:$C,"&lt;0")</f>
        <v>0</v>
      </c>
      <c r="PT14" s="5">
        <f ca="1">SUMIFS(Movimientos!$C:$C,Movimientos!$A:$A,$B14,Movimientos!$D:$D,CONCATENATE("&lt;=",PT$3),Movimientos!$C:$C,"&gt;0")+SUMIFS(Movimientos!$C:$C,Movimientos!$A:$A,$B14,Movimientos!$D:$D,CONCATENATE("&lt;",PT$3),Movimientos!$C:$C,"&lt;0")</f>
        <v>0</v>
      </c>
      <c r="PU14" s="5">
        <f ca="1">SUMIFS(Movimientos!$C:$C,Movimientos!$A:$A,$B14,Movimientos!$D:$D,CONCATENATE("&lt;=",PU$3),Movimientos!$C:$C,"&gt;0")+SUMIFS(Movimientos!$C:$C,Movimientos!$A:$A,$B14,Movimientos!$D:$D,CONCATENATE("&lt;",PU$3),Movimientos!$C:$C,"&lt;0")</f>
        <v>0</v>
      </c>
      <c r="PV14" s="5">
        <f ca="1">SUMIFS(Movimientos!$C:$C,Movimientos!$A:$A,$B14,Movimientos!$D:$D,CONCATENATE("&lt;=",PV$3),Movimientos!$C:$C,"&gt;0")+SUMIFS(Movimientos!$C:$C,Movimientos!$A:$A,$B14,Movimientos!$D:$D,CONCATENATE("&lt;",PV$3),Movimientos!$C:$C,"&lt;0")</f>
        <v>0</v>
      </c>
      <c r="PW14" s="5">
        <f ca="1">SUMIFS(Movimientos!$C:$C,Movimientos!$A:$A,$B14,Movimientos!$D:$D,CONCATENATE("&lt;=",PW$3),Movimientos!$C:$C,"&gt;0")+SUMIFS(Movimientos!$C:$C,Movimientos!$A:$A,$B14,Movimientos!$D:$D,CONCATENATE("&lt;",PW$3),Movimientos!$C:$C,"&lt;0")</f>
        <v>0</v>
      </c>
      <c r="PX14" s="5">
        <f ca="1">SUMIFS(Movimientos!$C:$C,Movimientos!$A:$A,$B14,Movimientos!$D:$D,CONCATENATE("&lt;=",PX$3),Movimientos!$C:$C,"&gt;0")+SUMIFS(Movimientos!$C:$C,Movimientos!$A:$A,$B14,Movimientos!$D:$D,CONCATENATE("&lt;",PX$3),Movimientos!$C:$C,"&lt;0")</f>
        <v>0</v>
      </c>
      <c r="PY14" s="5">
        <f ca="1">SUMIFS(Movimientos!$C:$C,Movimientos!$A:$A,$B14,Movimientos!$D:$D,CONCATENATE("&lt;=",PY$3),Movimientos!$C:$C,"&gt;0")+SUMIFS(Movimientos!$C:$C,Movimientos!$A:$A,$B14,Movimientos!$D:$D,CONCATENATE("&lt;",PY$3),Movimientos!$C:$C,"&lt;0")</f>
        <v>0</v>
      </c>
      <c r="PZ14" s="5">
        <f ca="1">SUMIFS(Movimientos!$C:$C,Movimientos!$A:$A,$B14,Movimientos!$D:$D,CONCATENATE("&lt;=",PZ$3),Movimientos!$C:$C,"&gt;0")+SUMIFS(Movimientos!$C:$C,Movimientos!$A:$A,$B14,Movimientos!$D:$D,CONCATENATE("&lt;",PZ$3),Movimientos!$C:$C,"&lt;0")</f>
        <v>0</v>
      </c>
      <c r="QA14" s="5">
        <f ca="1">SUMIFS(Movimientos!$C:$C,Movimientos!$A:$A,$B14,Movimientos!$D:$D,CONCATENATE("&lt;=",QA$3),Movimientos!$C:$C,"&gt;0")+SUMIFS(Movimientos!$C:$C,Movimientos!$A:$A,$B14,Movimientos!$D:$D,CONCATENATE("&lt;",QA$3),Movimientos!$C:$C,"&lt;0")</f>
        <v>0</v>
      </c>
      <c r="QB14" s="5">
        <f ca="1">SUMIFS(Movimientos!$C:$C,Movimientos!$A:$A,$B14,Movimientos!$D:$D,CONCATENATE("&lt;=",QB$3),Movimientos!$C:$C,"&gt;0")+SUMIFS(Movimientos!$C:$C,Movimientos!$A:$A,$B14,Movimientos!$D:$D,CONCATENATE("&lt;",QB$3),Movimientos!$C:$C,"&lt;0")</f>
        <v>0</v>
      </c>
      <c r="QC14" s="5">
        <f ca="1">SUMIFS(Movimientos!$C:$C,Movimientos!$A:$A,$B14,Movimientos!$D:$D,CONCATENATE("&lt;=",QC$3),Movimientos!$C:$C,"&gt;0")+SUMIFS(Movimientos!$C:$C,Movimientos!$A:$A,$B14,Movimientos!$D:$D,CONCATENATE("&lt;",QC$3),Movimientos!$C:$C,"&lt;0")</f>
        <v>0</v>
      </c>
      <c r="QD14" s="5">
        <f ca="1">SUMIFS(Movimientos!$C:$C,Movimientos!$A:$A,$B14,Movimientos!$D:$D,CONCATENATE("&lt;=",QD$3),Movimientos!$C:$C,"&gt;0")+SUMIFS(Movimientos!$C:$C,Movimientos!$A:$A,$B14,Movimientos!$D:$D,CONCATENATE("&lt;",QD$3),Movimientos!$C:$C,"&lt;0")</f>
        <v>0</v>
      </c>
      <c r="QE14" s="5">
        <f ca="1">SUMIFS(Movimientos!$C:$C,Movimientos!$A:$A,$B14,Movimientos!$D:$D,CONCATENATE("&lt;=",QE$3),Movimientos!$C:$C,"&gt;0")+SUMIFS(Movimientos!$C:$C,Movimientos!$A:$A,$B14,Movimientos!$D:$D,CONCATENATE("&lt;",QE$3),Movimientos!$C:$C,"&lt;0")</f>
        <v>0</v>
      </c>
      <c r="QF14" s="5">
        <f ca="1">SUMIFS(Movimientos!$C:$C,Movimientos!$A:$A,$B14,Movimientos!$D:$D,CONCATENATE("&lt;=",QF$3),Movimientos!$C:$C,"&gt;0")+SUMIFS(Movimientos!$C:$C,Movimientos!$A:$A,$B14,Movimientos!$D:$D,CONCATENATE("&lt;",QF$3),Movimientos!$C:$C,"&lt;0")</f>
        <v>0</v>
      </c>
      <c r="QG14" s="5">
        <f ca="1">SUMIFS(Movimientos!$C:$C,Movimientos!$A:$A,$B14,Movimientos!$D:$D,CONCATENATE("&lt;=",QG$3),Movimientos!$C:$C,"&gt;0")+SUMIFS(Movimientos!$C:$C,Movimientos!$A:$A,$B14,Movimientos!$D:$D,CONCATENATE("&lt;",QG$3),Movimientos!$C:$C,"&lt;0")</f>
        <v>0</v>
      </c>
      <c r="QH14" s="5">
        <f ca="1">SUMIFS(Movimientos!$C:$C,Movimientos!$A:$A,$B14,Movimientos!$D:$D,CONCATENATE("&lt;=",QH$3),Movimientos!$C:$C,"&gt;0")+SUMIFS(Movimientos!$C:$C,Movimientos!$A:$A,$B14,Movimientos!$D:$D,CONCATENATE("&lt;",QH$3),Movimientos!$C:$C,"&lt;0")</f>
        <v>0</v>
      </c>
      <c r="QI14" s="5">
        <f ca="1">SUMIFS(Movimientos!$C:$C,Movimientos!$A:$A,$B14,Movimientos!$D:$D,CONCATENATE("&lt;=",QI$3),Movimientos!$C:$C,"&gt;0")+SUMIFS(Movimientos!$C:$C,Movimientos!$A:$A,$B14,Movimientos!$D:$D,CONCATENATE("&lt;",QI$3),Movimientos!$C:$C,"&lt;0")</f>
        <v>0</v>
      </c>
      <c r="QJ14" s="5">
        <f ca="1">SUMIFS(Movimientos!$C:$C,Movimientos!$A:$A,$B14,Movimientos!$D:$D,CONCATENATE("&lt;=",QJ$3),Movimientos!$C:$C,"&gt;0")+SUMIFS(Movimientos!$C:$C,Movimientos!$A:$A,$B14,Movimientos!$D:$D,CONCATENATE("&lt;",QJ$3),Movimientos!$C:$C,"&lt;0")</f>
        <v>0</v>
      </c>
      <c r="QK14" s="5">
        <f ca="1">SUMIFS(Movimientos!$C:$C,Movimientos!$A:$A,$B14,Movimientos!$D:$D,CONCATENATE("&lt;=",QK$3),Movimientos!$C:$C,"&gt;0")+SUMIFS(Movimientos!$C:$C,Movimientos!$A:$A,$B14,Movimientos!$D:$D,CONCATENATE("&lt;",QK$3),Movimientos!$C:$C,"&lt;0")</f>
        <v>0</v>
      </c>
      <c r="QL14" s="5">
        <f ca="1">SUMIFS(Movimientos!$C:$C,Movimientos!$A:$A,$B14,Movimientos!$D:$D,CONCATENATE("&lt;=",QL$3),Movimientos!$C:$C,"&gt;0")+SUMIFS(Movimientos!$C:$C,Movimientos!$A:$A,$B14,Movimientos!$D:$D,CONCATENATE("&lt;",QL$3),Movimientos!$C:$C,"&lt;0")</f>
        <v>0</v>
      </c>
      <c r="QM14" s="5">
        <f ca="1">SUMIFS(Movimientos!$C:$C,Movimientos!$A:$A,$B14,Movimientos!$D:$D,CONCATENATE("&lt;=",QM$3),Movimientos!$C:$C,"&gt;0")+SUMIFS(Movimientos!$C:$C,Movimientos!$A:$A,$B14,Movimientos!$D:$D,CONCATENATE("&lt;",QM$3),Movimientos!$C:$C,"&lt;0")</f>
        <v>0</v>
      </c>
      <c r="QN14" s="5">
        <f ca="1">SUMIFS(Movimientos!$C:$C,Movimientos!$A:$A,$B14,Movimientos!$D:$D,CONCATENATE("&lt;=",QN$3),Movimientos!$C:$C,"&gt;0")+SUMIFS(Movimientos!$C:$C,Movimientos!$A:$A,$B14,Movimientos!$D:$D,CONCATENATE("&lt;",QN$3),Movimientos!$C:$C,"&lt;0")</f>
        <v>0</v>
      </c>
      <c r="QO14" s="5">
        <f ca="1">SUMIFS(Movimientos!$C:$C,Movimientos!$A:$A,$B14,Movimientos!$D:$D,CONCATENATE("&lt;=",QO$3),Movimientos!$C:$C,"&gt;0")+SUMIFS(Movimientos!$C:$C,Movimientos!$A:$A,$B14,Movimientos!$D:$D,CONCATENATE("&lt;",QO$3),Movimientos!$C:$C,"&lt;0")</f>
        <v>0</v>
      </c>
      <c r="QP14" s="5">
        <f ca="1">SUMIFS(Movimientos!$C:$C,Movimientos!$A:$A,$B14,Movimientos!$D:$D,CONCATENATE("&lt;=",QP$3),Movimientos!$C:$C,"&gt;0")+SUMIFS(Movimientos!$C:$C,Movimientos!$A:$A,$B14,Movimientos!$D:$D,CONCATENATE("&lt;",QP$3),Movimientos!$C:$C,"&lt;0")</f>
        <v>0</v>
      </c>
      <c r="QQ14" s="5">
        <f ca="1">SUMIFS(Movimientos!$C:$C,Movimientos!$A:$A,$B14,Movimientos!$D:$D,CONCATENATE("&lt;=",QQ$3),Movimientos!$C:$C,"&gt;0")+SUMIFS(Movimientos!$C:$C,Movimientos!$A:$A,$B14,Movimientos!$D:$D,CONCATENATE("&lt;",QQ$3),Movimientos!$C:$C,"&lt;0")</f>
        <v>0</v>
      </c>
      <c r="QR14" s="5">
        <f ca="1">SUMIFS(Movimientos!$C:$C,Movimientos!$A:$A,$B14,Movimientos!$D:$D,CONCATENATE("&lt;=",QR$3),Movimientos!$C:$C,"&gt;0")+SUMIFS(Movimientos!$C:$C,Movimientos!$A:$A,$B14,Movimientos!$D:$D,CONCATENATE("&lt;",QR$3),Movimientos!$C:$C,"&lt;0")</f>
        <v>0</v>
      </c>
      <c r="QS14" s="5">
        <f ca="1">SUMIFS(Movimientos!$C:$C,Movimientos!$A:$A,$B14,Movimientos!$D:$D,CONCATENATE("&lt;=",QS$3),Movimientos!$C:$C,"&gt;0")+SUMIFS(Movimientos!$C:$C,Movimientos!$A:$A,$B14,Movimientos!$D:$D,CONCATENATE("&lt;",QS$3),Movimientos!$C:$C,"&lt;0")</f>
        <v>0</v>
      </c>
      <c r="QT14" s="5">
        <f ca="1">SUMIFS(Movimientos!$C:$C,Movimientos!$A:$A,$B14,Movimientos!$D:$D,CONCATENATE("&lt;=",QT$3),Movimientos!$C:$C,"&gt;0")+SUMIFS(Movimientos!$C:$C,Movimientos!$A:$A,$B14,Movimientos!$D:$D,CONCATENATE("&lt;",QT$3),Movimientos!$C:$C,"&lt;0")</f>
        <v>0</v>
      </c>
      <c r="QU14" s="5">
        <f ca="1">SUMIFS(Movimientos!$C:$C,Movimientos!$A:$A,$B14,Movimientos!$D:$D,CONCATENATE("&lt;=",QU$3),Movimientos!$C:$C,"&gt;0")+SUMIFS(Movimientos!$C:$C,Movimientos!$A:$A,$B14,Movimientos!$D:$D,CONCATENATE("&lt;",QU$3),Movimientos!$C:$C,"&lt;0")</f>
        <v>0</v>
      </c>
      <c r="QV14" s="5">
        <f ca="1">SUMIFS(Movimientos!$C:$C,Movimientos!$A:$A,$B14,Movimientos!$D:$D,CONCATENATE("&lt;=",QV$3),Movimientos!$C:$C,"&gt;0")+SUMIFS(Movimientos!$C:$C,Movimientos!$A:$A,$B14,Movimientos!$D:$D,CONCATENATE("&lt;",QV$3),Movimientos!$C:$C,"&lt;0")</f>
        <v>0</v>
      </c>
      <c r="QW14" s="5">
        <f ca="1">SUMIFS(Movimientos!$C:$C,Movimientos!$A:$A,$B14,Movimientos!$D:$D,CONCATENATE("&lt;=",QW$3),Movimientos!$C:$C,"&gt;0")+SUMIFS(Movimientos!$C:$C,Movimientos!$A:$A,$B14,Movimientos!$D:$D,CONCATENATE("&lt;",QW$3),Movimientos!$C:$C,"&lt;0")</f>
        <v>0</v>
      </c>
      <c r="QX14" s="5">
        <f ca="1">SUMIFS(Movimientos!$C:$C,Movimientos!$A:$A,$B14,Movimientos!$D:$D,CONCATENATE("&lt;=",QX$3),Movimientos!$C:$C,"&gt;0")+SUMIFS(Movimientos!$C:$C,Movimientos!$A:$A,$B14,Movimientos!$D:$D,CONCATENATE("&lt;",QX$3),Movimientos!$C:$C,"&lt;0")</f>
        <v>0</v>
      </c>
      <c r="QY14" s="5">
        <f ca="1">SUMIFS(Movimientos!$C:$C,Movimientos!$A:$A,$B14,Movimientos!$D:$D,CONCATENATE("&lt;=",QY$3),Movimientos!$C:$C,"&gt;0")+SUMIFS(Movimientos!$C:$C,Movimientos!$A:$A,$B14,Movimientos!$D:$D,CONCATENATE("&lt;",QY$3),Movimientos!$C:$C,"&lt;0")</f>
        <v>0</v>
      </c>
      <c r="QZ14" s="5">
        <f ca="1">SUMIFS(Movimientos!$C:$C,Movimientos!$A:$A,$B14,Movimientos!$D:$D,CONCATENATE("&lt;=",QZ$3),Movimientos!$C:$C,"&gt;0")+SUMIFS(Movimientos!$C:$C,Movimientos!$A:$A,$B14,Movimientos!$D:$D,CONCATENATE("&lt;",QZ$3),Movimientos!$C:$C,"&lt;0")</f>
        <v>0</v>
      </c>
      <c r="RA14" s="5">
        <f ca="1">SUMIFS(Movimientos!$C:$C,Movimientos!$A:$A,$B14,Movimientos!$D:$D,CONCATENATE("&lt;=",RA$3),Movimientos!$C:$C,"&gt;0")+SUMIFS(Movimientos!$C:$C,Movimientos!$A:$A,$B14,Movimientos!$D:$D,CONCATENATE("&lt;",RA$3),Movimientos!$C:$C,"&lt;0")</f>
        <v>0</v>
      </c>
      <c r="RB14" s="5">
        <f ca="1">SUMIFS(Movimientos!$C:$C,Movimientos!$A:$A,$B14,Movimientos!$D:$D,CONCATENATE("&lt;=",RB$3),Movimientos!$C:$C,"&gt;0")+SUMIFS(Movimientos!$C:$C,Movimientos!$A:$A,$B14,Movimientos!$D:$D,CONCATENATE("&lt;",RB$3),Movimientos!$C:$C,"&lt;0")</f>
        <v>0</v>
      </c>
      <c r="RC14" s="5">
        <f ca="1">SUMIFS(Movimientos!$C:$C,Movimientos!$A:$A,$B14,Movimientos!$D:$D,CONCATENATE("&lt;=",RC$3),Movimientos!$C:$C,"&gt;0")+SUMIFS(Movimientos!$C:$C,Movimientos!$A:$A,$B14,Movimientos!$D:$D,CONCATENATE("&lt;",RC$3),Movimientos!$C:$C,"&lt;0")</f>
        <v>0</v>
      </c>
      <c r="RD14" s="5">
        <f ca="1">SUMIFS(Movimientos!$C:$C,Movimientos!$A:$A,$B14,Movimientos!$D:$D,CONCATENATE("&lt;=",RD$3),Movimientos!$C:$C,"&gt;0")+SUMIFS(Movimientos!$C:$C,Movimientos!$A:$A,$B14,Movimientos!$D:$D,CONCATENATE("&lt;",RD$3),Movimientos!$C:$C,"&lt;0")</f>
        <v>0</v>
      </c>
      <c r="RE14" s="5">
        <f ca="1">SUMIFS(Movimientos!$C:$C,Movimientos!$A:$A,$B14,Movimientos!$D:$D,CONCATENATE("&lt;=",RE$3),Movimientos!$C:$C,"&gt;0")+SUMIFS(Movimientos!$C:$C,Movimientos!$A:$A,$B14,Movimientos!$D:$D,CONCATENATE("&lt;",RE$3),Movimientos!$C:$C,"&lt;0")</f>
        <v>0</v>
      </c>
      <c r="RF14" s="5">
        <f ca="1">SUMIFS(Movimientos!$C:$C,Movimientos!$A:$A,$B14,Movimientos!$D:$D,CONCATENATE("&lt;=",RF$3),Movimientos!$C:$C,"&gt;0")+SUMIFS(Movimientos!$C:$C,Movimientos!$A:$A,$B14,Movimientos!$D:$D,CONCATENATE("&lt;",RF$3),Movimientos!$C:$C,"&lt;0")</f>
        <v>0</v>
      </c>
      <c r="RG14" s="5">
        <f ca="1">SUMIFS(Movimientos!$C:$C,Movimientos!$A:$A,$B14,Movimientos!$D:$D,CONCATENATE("&lt;=",RG$3),Movimientos!$C:$C,"&gt;0")+SUMIFS(Movimientos!$C:$C,Movimientos!$A:$A,$B14,Movimientos!$D:$D,CONCATENATE("&lt;",RG$3),Movimientos!$C:$C,"&lt;0")</f>
        <v>0</v>
      </c>
      <c r="RH14" s="5">
        <f ca="1">SUMIFS(Movimientos!$C:$C,Movimientos!$A:$A,$B14,Movimientos!$D:$D,CONCATENATE("&lt;=",RH$3),Movimientos!$C:$C,"&gt;0")+SUMIFS(Movimientos!$C:$C,Movimientos!$A:$A,$B14,Movimientos!$D:$D,CONCATENATE("&lt;",RH$3),Movimientos!$C:$C,"&lt;0")</f>
        <v>0</v>
      </c>
      <c r="RI14" s="5">
        <f ca="1">SUMIFS(Movimientos!$C:$C,Movimientos!$A:$A,$B14,Movimientos!$D:$D,CONCATENATE("&lt;=",RI$3),Movimientos!$C:$C,"&gt;0")+SUMIFS(Movimientos!$C:$C,Movimientos!$A:$A,$B14,Movimientos!$D:$D,CONCATENATE("&lt;",RI$3),Movimientos!$C:$C,"&lt;0")</f>
        <v>0</v>
      </c>
      <c r="RJ14" s="5">
        <f ca="1">SUMIFS(Movimientos!$C:$C,Movimientos!$A:$A,$B14,Movimientos!$D:$D,CONCATENATE("&lt;=",RJ$3),Movimientos!$C:$C,"&gt;0")+SUMIFS(Movimientos!$C:$C,Movimientos!$A:$A,$B14,Movimientos!$D:$D,CONCATENATE("&lt;",RJ$3),Movimientos!$C:$C,"&lt;0")</f>
        <v>0</v>
      </c>
      <c r="RK14" s="5">
        <f ca="1">SUMIFS(Movimientos!$C:$C,Movimientos!$A:$A,$B14,Movimientos!$D:$D,CONCATENATE("&lt;=",RK$3),Movimientos!$C:$C,"&gt;0")+SUMIFS(Movimientos!$C:$C,Movimientos!$A:$A,$B14,Movimientos!$D:$D,CONCATENATE("&lt;",RK$3),Movimientos!$C:$C,"&lt;0")</f>
        <v>0</v>
      </c>
      <c r="RL14" s="5">
        <f ca="1">SUMIFS(Movimientos!$C:$C,Movimientos!$A:$A,$B14,Movimientos!$D:$D,CONCATENATE("&lt;=",RL$3),Movimientos!$C:$C,"&gt;0")+SUMIFS(Movimientos!$C:$C,Movimientos!$A:$A,$B14,Movimientos!$D:$D,CONCATENATE("&lt;",RL$3),Movimientos!$C:$C,"&lt;0")</f>
        <v>0</v>
      </c>
      <c r="RM14" s="5">
        <f ca="1">SUMIFS(Movimientos!$C:$C,Movimientos!$A:$A,$B14,Movimientos!$D:$D,CONCATENATE("&lt;=",RM$3),Movimientos!$C:$C,"&gt;0")+SUMIFS(Movimientos!$C:$C,Movimientos!$A:$A,$B14,Movimientos!$D:$D,CONCATENATE("&lt;",RM$3),Movimientos!$C:$C,"&lt;0")</f>
        <v>0</v>
      </c>
      <c r="RN14" s="5">
        <f ca="1">SUMIFS(Movimientos!$C:$C,Movimientos!$A:$A,$B14,Movimientos!$D:$D,CONCATENATE("&lt;=",RN$3),Movimientos!$C:$C,"&gt;0")+SUMIFS(Movimientos!$C:$C,Movimientos!$A:$A,$B14,Movimientos!$D:$D,CONCATENATE("&lt;",RN$3),Movimientos!$C:$C,"&lt;0")</f>
        <v>0</v>
      </c>
      <c r="RO14" s="5">
        <f ca="1">SUMIFS(Movimientos!$C:$C,Movimientos!$A:$A,$B14,Movimientos!$D:$D,CONCATENATE("&lt;=",RO$3),Movimientos!$C:$C,"&gt;0")+SUMIFS(Movimientos!$C:$C,Movimientos!$A:$A,$B14,Movimientos!$D:$D,CONCATENATE("&lt;",RO$3),Movimientos!$C:$C,"&lt;0")</f>
        <v>0</v>
      </c>
      <c r="RP14" s="5">
        <f ca="1">SUMIFS(Movimientos!$C:$C,Movimientos!$A:$A,$B14,Movimientos!$D:$D,CONCATENATE("&lt;=",RP$3),Movimientos!$C:$C,"&gt;0")+SUMIFS(Movimientos!$C:$C,Movimientos!$A:$A,$B14,Movimientos!$D:$D,CONCATENATE("&lt;",RP$3),Movimientos!$C:$C,"&lt;0")</f>
        <v>0</v>
      </c>
      <c r="RQ14" s="5">
        <f ca="1">SUMIFS(Movimientos!$C:$C,Movimientos!$A:$A,$B14,Movimientos!$D:$D,CONCATENATE("&lt;=",RQ$3),Movimientos!$C:$C,"&gt;0")+SUMIFS(Movimientos!$C:$C,Movimientos!$A:$A,$B14,Movimientos!$D:$D,CONCATENATE("&lt;",RQ$3),Movimientos!$C:$C,"&lt;0")</f>
        <v>0</v>
      </c>
      <c r="RR14" s="5">
        <f ca="1">SUMIFS(Movimientos!$C:$C,Movimientos!$A:$A,$B14,Movimientos!$D:$D,CONCATENATE("&lt;=",RR$3),Movimientos!$C:$C,"&gt;0")+SUMIFS(Movimientos!$C:$C,Movimientos!$A:$A,$B14,Movimientos!$D:$D,CONCATENATE("&lt;",RR$3),Movimientos!$C:$C,"&lt;0")</f>
        <v>0</v>
      </c>
      <c r="RS14" s="5">
        <f ca="1">SUMIFS(Movimientos!$C:$C,Movimientos!$A:$A,$B14,Movimientos!$D:$D,CONCATENATE("&lt;=",RS$3),Movimientos!$C:$C,"&gt;0")+SUMIFS(Movimientos!$C:$C,Movimientos!$A:$A,$B14,Movimientos!$D:$D,CONCATENATE("&lt;",RS$3),Movimientos!$C:$C,"&lt;0")</f>
        <v>0</v>
      </c>
      <c r="RT14" s="5">
        <f ca="1">SUMIFS(Movimientos!$C:$C,Movimientos!$A:$A,$B14,Movimientos!$D:$D,CONCATENATE("&lt;=",RT$3),Movimientos!$C:$C,"&gt;0")+SUMIFS(Movimientos!$C:$C,Movimientos!$A:$A,$B14,Movimientos!$D:$D,CONCATENATE("&lt;",RT$3),Movimientos!$C:$C,"&lt;0")</f>
        <v>0</v>
      </c>
      <c r="RU14" s="5">
        <f ca="1">SUMIFS(Movimientos!$C:$C,Movimientos!$A:$A,$B14,Movimientos!$D:$D,CONCATENATE("&lt;=",RU$3),Movimientos!$C:$C,"&gt;0")+SUMIFS(Movimientos!$C:$C,Movimientos!$A:$A,$B14,Movimientos!$D:$D,CONCATENATE("&lt;",RU$3),Movimientos!$C:$C,"&lt;0")</f>
        <v>0</v>
      </c>
      <c r="RV14" s="5">
        <f ca="1">SUMIFS(Movimientos!$C:$C,Movimientos!$A:$A,$B14,Movimientos!$D:$D,CONCATENATE("&lt;=",RV$3),Movimientos!$C:$C,"&gt;0")+SUMIFS(Movimientos!$C:$C,Movimientos!$A:$A,$B14,Movimientos!$D:$D,CONCATENATE("&lt;",RV$3),Movimientos!$C:$C,"&lt;0")</f>
        <v>0</v>
      </c>
      <c r="RW14" s="5">
        <f ca="1">SUMIFS(Movimientos!$C:$C,Movimientos!$A:$A,$B14,Movimientos!$D:$D,CONCATENATE("&lt;=",RW$3),Movimientos!$C:$C,"&gt;0")+SUMIFS(Movimientos!$C:$C,Movimientos!$A:$A,$B14,Movimientos!$D:$D,CONCATENATE("&lt;",RW$3),Movimientos!$C:$C,"&lt;0")</f>
        <v>0</v>
      </c>
      <c r="RX14" s="5">
        <f ca="1">SUMIFS(Movimientos!$C:$C,Movimientos!$A:$A,$B14,Movimientos!$D:$D,CONCATENATE("&lt;=",RX$3),Movimientos!$C:$C,"&gt;0")+SUMIFS(Movimientos!$C:$C,Movimientos!$A:$A,$B14,Movimientos!$D:$D,CONCATENATE("&lt;",RX$3),Movimientos!$C:$C,"&lt;0")</f>
        <v>0</v>
      </c>
      <c r="RY14" s="5">
        <f ca="1">SUMIFS(Movimientos!$C:$C,Movimientos!$A:$A,$B14,Movimientos!$D:$D,CONCATENATE("&lt;=",RY$3),Movimientos!$C:$C,"&gt;0")+SUMIFS(Movimientos!$C:$C,Movimientos!$A:$A,$B14,Movimientos!$D:$D,CONCATENATE("&lt;",RY$3),Movimientos!$C:$C,"&lt;0")</f>
        <v>0</v>
      </c>
      <c r="RZ14" s="5">
        <f ca="1">SUMIFS(Movimientos!$C:$C,Movimientos!$A:$A,$B14,Movimientos!$D:$D,CONCATENATE("&lt;=",RZ$3),Movimientos!$C:$C,"&gt;0")+SUMIFS(Movimientos!$C:$C,Movimientos!$A:$A,$B14,Movimientos!$D:$D,CONCATENATE("&lt;",RZ$3),Movimientos!$C:$C,"&lt;0")</f>
        <v>0</v>
      </c>
      <c r="SA14" s="5">
        <f ca="1">SUMIFS(Movimientos!$C:$C,Movimientos!$A:$A,$B14,Movimientos!$D:$D,CONCATENATE("&lt;=",SA$3),Movimientos!$C:$C,"&gt;0")+SUMIFS(Movimientos!$C:$C,Movimientos!$A:$A,$B14,Movimientos!$D:$D,CONCATENATE("&lt;",SA$3),Movimientos!$C:$C,"&lt;0")</f>
        <v>0</v>
      </c>
      <c r="SB14" s="5">
        <f ca="1">SUMIFS(Movimientos!$C:$C,Movimientos!$A:$A,$B14,Movimientos!$D:$D,CONCATENATE("&lt;=",SB$3),Movimientos!$C:$C,"&gt;0")+SUMIFS(Movimientos!$C:$C,Movimientos!$A:$A,$B14,Movimientos!$D:$D,CONCATENATE("&lt;",SB$3),Movimientos!$C:$C,"&lt;0")</f>
        <v>0</v>
      </c>
      <c r="SC14" s="5">
        <f ca="1">SUMIFS(Movimientos!$C:$C,Movimientos!$A:$A,$B14,Movimientos!$D:$D,CONCATENATE("&lt;=",SC$3),Movimientos!$C:$C,"&gt;0")+SUMIFS(Movimientos!$C:$C,Movimientos!$A:$A,$B14,Movimientos!$D:$D,CONCATENATE("&lt;",SC$3),Movimientos!$C:$C,"&lt;0")</f>
        <v>0</v>
      </c>
      <c r="SD14" s="5">
        <f ca="1">SUMIFS(Movimientos!$C:$C,Movimientos!$A:$A,$B14,Movimientos!$D:$D,CONCATENATE("&lt;=",SD$3),Movimientos!$C:$C,"&gt;0")+SUMIFS(Movimientos!$C:$C,Movimientos!$A:$A,$B14,Movimientos!$D:$D,CONCATENATE("&lt;",SD$3),Movimientos!$C:$C,"&lt;0")</f>
        <v>0</v>
      </c>
      <c r="SE14" s="5">
        <f ca="1">SUMIFS(Movimientos!$C:$C,Movimientos!$A:$A,$B14,Movimientos!$D:$D,CONCATENATE("&lt;=",SE$3),Movimientos!$C:$C,"&gt;0")+SUMIFS(Movimientos!$C:$C,Movimientos!$A:$A,$B14,Movimientos!$D:$D,CONCATENATE("&lt;",SE$3),Movimientos!$C:$C,"&lt;0")</f>
        <v>0</v>
      </c>
      <c r="SF14" s="5">
        <f ca="1">SUMIFS(Movimientos!$C:$C,Movimientos!$A:$A,$B14,Movimientos!$D:$D,CONCATENATE("&lt;=",SF$3),Movimientos!$C:$C,"&gt;0")+SUMIFS(Movimientos!$C:$C,Movimientos!$A:$A,$B14,Movimientos!$D:$D,CONCATENATE("&lt;",SF$3),Movimientos!$C:$C,"&lt;0")</f>
        <v>0</v>
      </c>
      <c r="SG14" s="5">
        <f ca="1">SUMIFS(Movimientos!$C:$C,Movimientos!$A:$A,$B14,Movimientos!$D:$D,CONCATENATE("&lt;=",SG$3),Movimientos!$C:$C,"&gt;0")+SUMIFS(Movimientos!$C:$C,Movimientos!$A:$A,$B14,Movimientos!$D:$D,CONCATENATE("&lt;",SG$3),Movimientos!$C:$C,"&lt;0")</f>
        <v>0</v>
      </c>
      <c r="SH14" s="5">
        <f ca="1">SUMIFS(Movimientos!$C:$C,Movimientos!$A:$A,$B14,Movimientos!$D:$D,CONCATENATE("&lt;=",SH$3),Movimientos!$C:$C,"&gt;0")+SUMIFS(Movimientos!$C:$C,Movimientos!$A:$A,$B14,Movimientos!$D:$D,CONCATENATE("&lt;",SH$3),Movimientos!$C:$C,"&lt;0")</f>
        <v>0</v>
      </c>
      <c r="SI14" s="5">
        <f ca="1">SUMIFS(Movimientos!$C:$C,Movimientos!$A:$A,$B14,Movimientos!$D:$D,CONCATENATE("&lt;=",SI$3),Movimientos!$C:$C,"&gt;0")+SUMIFS(Movimientos!$C:$C,Movimientos!$A:$A,$B14,Movimientos!$D:$D,CONCATENATE("&lt;",SI$3),Movimientos!$C:$C,"&lt;0")</f>
        <v>0</v>
      </c>
      <c r="SJ14" s="5">
        <f ca="1">SUMIFS(Movimientos!$C:$C,Movimientos!$A:$A,$B14,Movimientos!$D:$D,CONCATENATE("&lt;=",SJ$3),Movimientos!$C:$C,"&gt;0")+SUMIFS(Movimientos!$C:$C,Movimientos!$A:$A,$B14,Movimientos!$D:$D,CONCATENATE("&lt;",SJ$3),Movimientos!$C:$C,"&lt;0")</f>
        <v>0</v>
      </c>
      <c r="SK14" s="5">
        <f ca="1">SUMIFS(Movimientos!$C:$C,Movimientos!$A:$A,$B14,Movimientos!$D:$D,CONCATENATE("&lt;=",SK$3),Movimientos!$C:$C,"&gt;0")+SUMIFS(Movimientos!$C:$C,Movimientos!$A:$A,$B14,Movimientos!$D:$D,CONCATENATE("&lt;",SK$3),Movimientos!$C:$C,"&lt;0")</f>
        <v>0</v>
      </c>
      <c r="SL14" s="5">
        <f ca="1">SUMIFS(Movimientos!$C:$C,Movimientos!$A:$A,$B14,Movimientos!$D:$D,CONCATENATE("&lt;=",SL$3),Movimientos!$C:$C,"&gt;0")+SUMIFS(Movimientos!$C:$C,Movimientos!$A:$A,$B14,Movimientos!$D:$D,CONCATENATE("&lt;",SL$3),Movimientos!$C:$C,"&lt;0")</f>
        <v>0</v>
      </c>
      <c r="SM14" s="5">
        <f ca="1">SUMIFS(Movimientos!$C:$C,Movimientos!$A:$A,$B14,Movimientos!$D:$D,CONCATENATE("&lt;=",SM$3),Movimientos!$C:$C,"&gt;0")+SUMIFS(Movimientos!$C:$C,Movimientos!$A:$A,$B14,Movimientos!$D:$D,CONCATENATE("&lt;",SM$3),Movimientos!$C:$C,"&lt;0")</f>
        <v>0</v>
      </c>
      <c r="SN14" s="5">
        <f ca="1">SUMIFS(Movimientos!$C:$C,Movimientos!$A:$A,$B14,Movimientos!$D:$D,CONCATENATE("&lt;=",SN$3),Movimientos!$C:$C,"&gt;0")+SUMIFS(Movimientos!$C:$C,Movimientos!$A:$A,$B14,Movimientos!$D:$D,CONCATENATE("&lt;",SN$3),Movimientos!$C:$C,"&lt;0")</f>
        <v>0</v>
      </c>
      <c r="SO14" s="5">
        <f ca="1">SUMIFS(Movimientos!$C:$C,Movimientos!$A:$A,$B14,Movimientos!$D:$D,CONCATENATE("&lt;=",SO$3),Movimientos!$C:$C,"&gt;0")+SUMIFS(Movimientos!$C:$C,Movimientos!$A:$A,$B14,Movimientos!$D:$D,CONCATENATE("&lt;",SO$3),Movimientos!$C:$C,"&lt;0")</f>
        <v>0</v>
      </c>
      <c r="SP14" s="5">
        <f ca="1">SUMIFS(Movimientos!$C:$C,Movimientos!$A:$A,$B14,Movimientos!$D:$D,CONCATENATE("&lt;=",SP$3),Movimientos!$C:$C,"&gt;0")+SUMIFS(Movimientos!$C:$C,Movimientos!$A:$A,$B14,Movimientos!$D:$D,CONCATENATE("&lt;",SP$3),Movimientos!$C:$C,"&lt;0")</f>
        <v>0</v>
      </c>
      <c r="SQ14" s="5">
        <f ca="1">SUMIFS(Movimientos!$C:$C,Movimientos!$A:$A,$B14,Movimientos!$D:$D,CONCATENATE("&lt;=",SQ$3),Movimientos!$C:$C,"&gt;0")+SUMIFS(Movimientos!$C:$C,Movimientos!$A:$A,$B14,Movimientos!$D:$D,CONCATENATE("&lt;",SQ$3),Movimientos!$C:$C,"&lt;0")</f>
        <v>0</v>
      </c>
      <c r="SR14" s="5">
        <f ca="1">SUMIFS(Movimientos!$C:$C,Movimientos!$A:$A,$B14,Movimientos!$D:$D,CONCATENATE("&lt;=",SR$3),Movimientos!$C:$C,"&gt;0")+SUMIFS(Movimientos!$C:$C,Movimientos!$A:$A,$B14,Movimientos!$D:$D,CONCATENATE("&lt;",SR$3),Movimientos!$C:$C,"&lt;0")</f>
        <v>0</v>
      </c>
      <c r="SS14" s="5">
        <f ca="1">SUMIFS(Movimientos!$C:$C,Movimientos!$A:$A,$B14,Movimientos!$D:$D,CONCATENATE("&lt;=",SS$3),Movimientos!$C:$C,"&gt;0")+SUMIFS(Movimientos!$C:$C,Movimientos!$A:$A,$B14,Movimientos!$D:$D,CONCATENATE("&lt;",SS$3),Movimientos!$C:$C,"&lt;0")</f>
        <v>0</v>
      </c>
      <c r="ST14" s="5">
        <f ca="1">SUMIFS(Movimientos!$C:$C,Movimientos!$A:$A,$B14,Movimientos!$D:$D,CONCATENATE("&lt;=",ST$3),Movimientos!$C:$C,"&gt;0")+SUMIFS(Movimientos!$C:$C,Movimientos!$A:$A,$B14,Movimientos!$D:$D,CONCATENATE("&lt;",ST$3),Movimientos!$C:$C,"&lt;0")</f>
        <v>0</v>
      </c>
      <c r="SU14" s="5">
        <f ca="1">SUMIFS(Movimientos!$C:$C,Movimientos!$A:$A,$B14,Movimientos!$D:$D,CONCATENATE("&lt;=",SU$3),Movimientos!$C:$C,"&gt;0")+SUMIFS(Movimientos!$C:$C,Movimientos!$A:$A,$B14,Movimientos!$D:$D,CONCATENATE("&lt;",SU$3),Movimientos!$C:$C,"&lt;0")</f>
        <v>0</v>
      </c>
      <c r="SV14" s="5">
        <f ca="1">SUMIFS(Movimientos!$C:$C,Movimientos!$A:$A,$B14,Movimientos!$D:$D,CONCATENATE("&lt;=",SV$3),Movimientos!$C:$C,"&gt;0")+SUMIFS(Movimientos!$C:$C,Movimientos!$A:$A,$B14,Movimientos!$D:$D,CONCATENATE("&lt;",SV$3),Movimientos!$C:$C,"&lt;0")</f>
        <v>0</v>
      </c>
      <c r="SW14" s="5">
        <f ca="1">SUMIFS(Movimientos!$C:$C,Movimientos!$A:$A,$B14,Movimientos!$D:$D,CONCATENATE("&lt;=",SW$3),Movimientos!$C:$C,"&gt;0")+SUMIFS(Movimientos!$C:$C,Movimientos!$A:$A,$B14,Movimientos!$D:$D,CONCATENATE("&lt;",SW$3),Movimientos!$C:$C,"&lt;0")</f>
        <v>0</v>
      </c>
      <c r="SX14" s="5">
        <f ca="1">SUMIFS(Movimientos!$C:$C,Movimientos!$A:$A,$B14,Movimientos!$D:$D,CONCATENATE("&lt;=",SX$3),Movimientos!$C:$C,"&gt;0")+SUMIFS(Movimientos!$C:$C,Movimientos!$A:$A,$B14,Movimientos!$D:$D,CONCATENATE("&lt;",SX$3),Movimientos!$C:$C,"&lt;0")</f>
        <v>0</v>
      </c>
      <c r="SY14" s="5">
        <f ca="1">SUMIFS(Movimientos!$C:$C,Movimientos!$A:$A,$B14,Movimientos!$D:$D,CONCATENATE("&lt;=",SY$3),Movimientos!$C:$C,"&gt;0")+SUMIFS(Movimientos!$C:$C,Movimientos!$A:$A,$B14,Movimientos!$D:$D,CONCATENATE("&lt;",SY$3),Movimientos!$C:$C,"&lt;0")</f>
        <v>0</v>
      </c>
      <c r="SZ14" s="5">
        <f ca="1">SUMIFS(Movimientos!$C:$C,Movimientos!$A:$A,$B14,Movimientos!$D:$D,CONCATENATE("&lt;=",SZ$3),Movimientos!$C:$C,"&gt;0")+SUMIFS(Movimientos!$C:$C,Movimientos!$A:$A,$B14,Movimientos!$D:$D,CONCATENATE("&lt;",SZ$3),Movimientos!$C:$C,"&lt;0")</f>
        <v>0</v>
      </c>
      <c r="TA14" s="5">
        <f ca="1">SUMIFS(Movimientos!$C:$C,Movimientos!$A:$A,$B14,Movimientos!$D:$D,CONCATENATE("&lt;=",TA$3),Movimientos!$C:$C,"&gt;0")+SUMIFS(Movimientos!$C:$C,Movimientos!$A:$A,$B14,Movimientos!$D:$D,CONCATENATE("&lt;",TA$3),Movimientos!$C:$C,"&lt;0")</f>
        <v>0</v>
      </c>
      <c r="TB14" s="5">
        <f ca="1">SUMIFS(Movimientos!$C:$C,Movimientos!$A:$A,$B14,Movimientos!$D:$D,CONCATENATE("&lt;=",TB$3),Movimientos!$C:$C,"&gt;0")+SUMIFS(Movimientos!$C:$C,Movimientos!$A:$A,$B14,Movimientos!$D:$D,CONCATENATE("&lt;",TB$3),Movimientos!$C:$C,"&lt;0")</f>
        <v>0</v>
      </c>
      <c r="TC14" s="5">
        <f ca="1">SUMIFS(Movimientos!$C:$C,Movimientos!$A:$A,$B14,Movimientos!$D:$D,CONCATENATE("&lt;=",TC$3),Movimientos!$C:$C,"&gt;0")+SUMIFS(Movimientos!$C:$C,Movimientos!$A:$A,$B14,Movimientos!$D:$D,CONCATENATE("&lt;",TC$3),Movimientos!$C:$C,"&lt;0")</f>
        <v>0</v>
      </c>
      <c r="TD14" s="5">
        <f ca="1">SUMIFS(Movimientos!$C:$C,Movimientos!$A:$A,$B14,Movimientos!$D:$D,CONCATENATE("&lt;=",TD$3),Movimientos!$C:$C,"&gt;0")+SUMIFS(Movimientos!$C:$C,Movimientos!$A:$A,$B14,Movimientos!$D:$D,CONCATENATE("&lt;",TD$3),Movimientos!$C:$C,"&lt;0")</f>
        <v>0</v>
      </c>
      <c r="TE14" s="5">
        <f ca="1">SUMIFS(Movimientos!$C:$C,Movimientos!$A:$A,$B14,Movimientos!$D:$D,CONCATENATE("&lt;=",TE$3),Movimientos!$C:$C,"&gt;0")+SUMIFS(Movimientos!$C:$C,Movimientos!$A:$A,$B14,Movimientos!$D:$D,CONCATENATE("&lt;",TE$3),Movimientos!$C:$C,"&lt;0")</f>
        <v>0</v>
      </c>
      <c r="TF14" s="5">
        <f ca="1">SUMIFS(Movimientos!$C:$C,Movimientos!$A:$A,$B14,Movimientos!$D:$D,CONCATENATE("&lt;=",TF$3),Movimientos!$C:$C,"&gt;0")+SUMIFS(Movimientos!$C:$C,Movimientos!$A:$A,$B14,Movimientos!$D:$D,CONCATENATE("&lt;",TF$3),Movimientos!$C:$C,"&lt;0")</f>
        <v>0</v>
      </c>
    </row>
    <row r="15" spans="1:526">
      <c r="A15" s="31" t="s">
        <v>48</v>
      </c>
      <c r="B15" s="4">
        <f>Cartera!B15</f>
        <v>0</v>
      </c>
      <c r="C15" s="4">
        <f>Cartera!C15</f>
        <v>0</v>
      </c>
      <c r="D15" s="5">
        <f ca="1">SUMIFS(Movimientos!$C:$C,Movimientos!$A:$A,$B15,Movimientos!$D:$D,CONCATENATE("&lt;=",D$3),Movimientos!$C:$C,"&gt;0")+SUMIFS(Movimientos!$C:$C,Movimientos!$A:$A,$B15,Movimientos!$D:$D,CONCATENATE("&lt;",D$3),Movimientos!$C:$C,"&lt;0")</f>
        <v>0</v>
      </c>
      <c r="E15" s="5">
        <f ca="1">SUMIFS(Movimientos!$C:$C,Movimientos!$A:$A,$B15,Movimientos!$D:$D,CONCATENATE("&lt;=",E$3),Movimientos!$C:$C,"&gt;0")+SUMIFS(Movimientos!$C:$C,Movimientos!$A:$A,$B15,Movimientos!$D:$D,CONCATENATE("&lt;",E$3),Movimientos!$C:$C,"&lt;0")</f>
        <v>0</v>
      </c>
      <c r="F15" s="5">
        <f ca="1">SUMIFS(Movimientos!$C:$C,Movimientos!$A:$A,$B15,Movimientos!$D:$D,CONCATENATE("&lt;=",F$3),Movimientos!$C:$C,"&gt;0")+SUMIFS(Movimientos!$C:$C,Movimientos!$A:$A,$B15,Movimientos!$D:$D,CONCATENATE("&lt;",F$3),Movimientos!$C:$C,"&lt;0")</f>
        <v>0</v>
      </c>
      <c r="G15" s="5">
        <f ca="1">SUMIFS(Movimientos!$C:$C,Movimientos!$A:$A,$B15,Movimientos!$D:$D,CONCATENATE("&lt;=",G$3),Movimientos!$C:$C,"&gt;0")+SUMIFS(Movimientos!$C:$C,Movimientos!$A:$A,$B15,Movimientos!$D:$D,CONCATENATE("&lt;",G$3),Movimientos!$C:$C,"&lt;0")</f>
        <v>0</v>
      </c>
      <c r="H15" s="5">
        <f ca="1">SUMIFS(Movimientos!$C:$C,Movimientos!$A:$A,$B15,Movimientos!$D:$D,CONCATENATE("&lt;=",H$3),Movimientos!$C:$C,"&gt;0")+SUMIFS(Movimientos!$C:$C,Movimientos!$A:$A,$B15,Movimientos!$D:$D,CONCATENATE("&lt;",H$3),Movimientos!$C:$C,"&lt;0")</f>
        <v>0</v>
      </c>
      <c r="I15" s="5">
        <f ca="1">SUMIFS(Movimientos!$C:$C,Movimientos!$A:$A,$B15,Movimientos!$D:$D,CONCATENATE("&lt;=",I$3),Movimientos!$C:$C,"&gt;0")+SUMIFS(Movimientos!$C:$C,Movimientos!$A:$A,$B15,Movimientos!$D:$D,CONCATENATE("&lt;",I$3),Movimientos!$C:$C,"&lt;0")</f>
        <v>0</v>
      </c>
      <c r="J15" s="5">
        <f ca="1">SUMIFS(Movimientos!$C:$C,Movimientos!$A:$A,$B15,Movimientos!$D:$D,CONCATENATE("&lt;=",J$3),Movimientos!$C:$C,"&gt;0")+SUMIFS(Movimientos!$C:$C,Movimientos!$A:$A,$B15,Movimientos!$D:$D,CONCATENATE("&lt;",J$3),Movimientos!$C:$C,"&lt;0")</f>
        <v>0</v>
      </c>
      <c r="K15" s="5">
        <f ca="1">SUMIFS(Movimientos!$C:$C,Movimientos!$A:$A,$B15,Movimientos!$D:$D,CONCATENATE("&lt;=",K$3),Movimientos!$C:$C,"&gt;0")+SUMIFS(Movimientos!$C:$C,Movimientos!$A:$A,$B15,Movimientos!$D:$D,CONCATENATE("&lt;",K$3),Movimientos!$C:$C,"&lt;0")</f>
        <v>0</v>
      </c>
      <c r="L15" s="5">
        <f ca="1">SUMIFS(Movimientos!$C:$C,Movimientos!$A:$A,$B15,Movimientos!$D:$D,CONCATENATE("&lt;=",L$3),Movimientos!$C:$C,"&gt;0")+SUMIFS(Movimientos!$C:$C,Movimientos!$A:$A,$B15,Movimientos!$D:$D,CONCATENATE("&lt;",L$3),Movimientos!$C:$C,"&lt;0")</f>
        <v>0</v>
      </c>
      <c r="M15" s="5">
        <f ca="1">SUMIFS(Movimientos!$C:$C,Movimientos!$A:$A,$B15,Movimientos!$D:$D,CONCATENATE("&lt;=",M$3),Movimientos!$C:$C,"&gt;0")+SUMIFS(Movimientos!$C:$C,Movimientos!$A:$A,$B15,Movimientos!$D:$D,CONCATENATE("&lt;",M$3),Movimientos!$C:$C,"&lt;0")</f>
        <v>0</v>
      </c>
      <c r="N15" s="5">
        <f ca="1">SUMIFS(Movimientos!$C:$C,Movimientos!$A:$A,$B15,Movimientos!$D:$D,CONCATENATE("&lt;=",N$3),Movimientos!$C:$C,"&gt;0")+SUMIFS(Movimientos!$C:$C,Movimientos!$A:$A,$B15,Movimientos!$D:$D,CONCATENATE("&lt;",N$3),Movimientos!$C:$C,"&lt;0")</f>
        <v>0</v>
      </c>
      <c r="O15" s="5">
        <f ca="1">SUMIFS(Movimientos!$C:$C,Movimientos!$A:$A,$B15,Movimientos!$D:$D,CONCATENATE("&lt;=",O$3),Movimientos!$C:$C,"&gt;0")+SUMIFS(Movimientos!$C:$C,Movimientos!$A:$A,$B15,Movimientos!$D:$D,CONCATENATE("&lt;",O$3),Movimientos!$C:$C,"&lt;0")</f>
        <v>0</v>
      </c>
      <c r="P15" s="5">
        <f ca="1">SUMIFS(Movimientos!$C:$C,Movimientos!$A:$A,$B15,Movimientos!$D:$D,CONCATENATE("&lt;=",P$3),Movimientos!$C:$C,"&gt;0")+SUMIFS(Movimientos!$C:$C,Movimientos!$A:$A,$B15,Movimientos!$D:$D,CONCATENATE("&lt;",P$3),Movimientos!$C:$C,"&lt;0")</f>
        <v>0</v>
      </c>
      <c r="Q15" s="5">
        <f ca="1">SUMIFS(Movimientos!$C:$C,Movimientos!$A:$A,$B15,Movimientos!$D:$D,CONCATENATE("&lt;=",Q$3),Movimientos!$C:$C,"&gt;0")+SUMIFS(Movimientos!$C:$C,Movimientos!$A:$A,$B15,Movimientos!$D:$D,CONCATENATE("&lt;",Q$3),Movimientos!$C:$C,"&lt;0")</f>
        <v>0</v>
      </c>
      <c r="R15" s="5">
        <f ca="1">SUMIFS(Movimientos!$C:$C,Movimientos!$A:$A,$B15,Movimientos!$D:$D,CONCATENATE("&lt;=",R$3),Movimientos!$C:$C,"&gt;0")+SUMIFS(Movimientos!$C:$C,Movimientos!$A:$A,$B15,Movimientos!$D:$D,CONCATENATE("&lt;",R$3),Movimientos!$C:$C,"&lt;0")</f>
        <v>0</v>
      </c>
      <c r="S15" s="5">
        <f ca="1">SUMIFS(Movimientos!$C:$C,Movimientos!$A:$A,$B15,Movimientos!$D:$D,CONCATENATE("&lt;=",S$3),Movimientos!$C:$C,"&gt;0")+SUMIFS(Movimientos!$C:$C,Movimientos!$A:$A,$B15,Movimientos!$D:$D,CONCATENATE("&lt;",S$3),Movimientos!$C:$C,"&lt;0")</f>
        <v>0</v>
      </c>
      <c r="T15" s="5">
        <f ca="1">SUMIFS(Movimientos!$C:$C,Movimientos!$A:$A,$B15,Movimientos!$D:$D,CONCATENATE("&lt;=",T$3),Movimientos!$C:$C,"&gt;0")+SUMIFS(Movimientos!$C:$C,Movimientos!$A:$A,$B15,Movimientos!$D:$D,CONCATENATE("&lt;",T$3),Movimientos!$C:$C,"&lt;0")</f>
        <v>0</v>
      </c>
      <c r="U15" s="5">
        <f ca="1">SUMIFS(Movimientos!$C:$C,Movimientos!$A:$A,$B15,Movimientos!$D:$D,CONCATENATE("&lt;=",U$3),Movimientos!$C:$C,"&gt;0")+SUMIFS(Movimientos!$C:$C,Movimientos!$A:$A,$B15,Movimientos!$D:$D,CONCATENATE("&lt;",U$3),Movimientos!$C:$C,"&lt;0")</f>
        <v>0</v>
      </c>
      <c r="V15" s="5">
        <f ca="1">SUMIFS(Movimientos!$C:$C,Movimientos!$A:$A,$B15,Movimientos!$D:$D,CONCATENATE("&lt;=",V$3),Movimientos!$C:$C,"&gt;0")+SUMIFS(Movimientos!$C:$C,Movimientos!$A:$A,$B15,Movimientos!$D:$D,CONCATENATE("&lt;",V$3),Movimientos!$C:$C,"&lt;0")</f>
        <v>0</v>
      </c>
      <c r="W15" s="5">
        <f ca="1">SUMIFS(Movimientos!$C:$C,Movimientos!$A:$A,$B15,Movimientos!$D:$D,CONCATENATE("&lt;=",W$3),Movimientos!$C:$C,"&gt;0")+SUMIFS(Movimientos!$C:$C,Movimientos!$A:$A,$B15,Movimientos!$D:$D,CONCATENATE("&lt;",W$3),Movimientos!$C:$C,"&lt;0")</f>
        <v>0</v>
      </c>
      <c r="X15" s="5">
        <f ca="1">SUMIFS(Movimientos!$C:$C,Movimientos!$A:$A,$B15,Movimientos!$D:$D,CONCATENATE("&lt;=",X$3),Movimientos!$C:$C,"&gt;0")+SUMIFS(Movimientos!$C:$C,Movimientos!$A:$A,$B15,Movimientos!$D:$D,CONCATENATE("&lt;",X$3),Movimientos!$C:$C,"&lt;0")</f>
        <v>0</v>
      </c>
      <c r="Y15" s="5">
        <f ca="1">SUMIFS(Movimientos!$C:$C,Movimientos!$A:$A,$B15,Movimientos!$D:$D,CONCATENATE("&lt;=",Y$3),Movimientos!$C:$C,"&gt;0")+SUMIFS(Movimientos!$C:$C,Movimientos!$A:$A,$B15,Movimientos!$D:$D,CONCATENATE("&lt;",Y$3),Movimientos!$C:$C,"&lt;0")</f>
        <v>0</v>
      </c>
      <c r="Z15" s="5">
        <f ca="1">SUMIFS(Movimientos!$C:$C,Movimientos!$A:$A,$B15,Movimientos!$D:$D,CONCATENATE("&lt;=",Z$3),Movimientos!$C:$C,"&gt;0")+SUMIFS(Movimientos!$C:$C,Movimientos!$A:$A,$B15,Movimientos!$D:$D,CONCATENATE("&lt;",Z$3),Movimientos!$C:$C,"&lt;0")</f>
        <v>0</v>
      </c>
      <c r="AA15" s="5">
        <f ca="1">SUMIFS(Movimientos!$C:$C,Movimientos!$A:$A,$B15,Movimientos!$D:$D,CONCATENATE("&lt;=",AA$3),Movimientos!$C:$C,"&gt;0")+SUMIFS(Movimientos!$C:$C,Movimientos!$A:$A,$B15,Movimientos!$D:$D,CONCATENATE("&lt;",AA$3),Movimientos!$C:$C,"&lt;0")</f>
        <v>0</v>
      </c>
      <c r="AB15" s="5">
        <f ca="1">SUMIFS(Movimientos!$C:$C,Movimientos!$A:$A,$B15,Movimientos!$D:$D,CONCATENATE("&lt;=",AB$3),Movimientos!$C:$C,"&gt;0")+SUMIFS(Movimientos!$C:$C,Movimientos!$A:$A,$B15,Movimientos!$D:$D,CONCATENATE("&lt;",AB$3),Movimientos!$C:$C,"&lt;0")</f>
        <v>0</v>
      </c>
      <c r="AC15" s="5">
        <f ca="1">SUMIFS(Movimientos!$C:$C,Movimientos!$A:$A,$B15,Movimientos!$D:$D,CONCATENATE("&lt;=",AC$3),Movimientos!$C:$C,"&gt;0")+SUMIFS(Movimientos!$C:$C,Movimientos!$A:$A,$B15,Movimientos!$D:$D,CONCATENATE("&lt;",AC$3),Movimientos!$C:$C,"&lt;0")</f>
        <v>0</v>
      </c>
      <c r="AD15" s="5">
        <f ca="1">SUMIFS(Movimientos!$C:$C,Movimientos!$A:$A,$B15,Movimientos!$D:$D,CONCATENATE("&lt;=",AD$3),Movimientos!$C:$C,"&gt;0")+SUMIFS(Movimientos!$C:$C,Movimientos!$A:$A,$B15,Movimientos!$D:$D,CONCATENATE("&lt;",AD$3),Movimientos!$C:$C,"&lt;0")</f>
        <v>0</v>
      </c>
      <c r="AE15" s="5">
        <f ca="1">SUMIFS(Movimientos!$C:$C,Movimientos!$A:$A,$B15,Movimientos!$D:$D,CONCATENATE("&lt;=",AE$3),Movimientos!$C:$C,"&gt;0")+SUMIFS(Movimientos!$C:$C,Movimientos!$A:$A,$B15,Movimientos!$D:$D,CONCATENATE("&lt;",AE$3),Movimientos!$C:$C,"&lt;0")</f>
        <v>0</v>
      </c>
      <c r="AF15" s="5">
        <f ca="1">SUMIFS(Movimientos!$C:$C,Movimientos!$A:$A,$B15,Movimientos!$D:$D,CONCATENATE("&lt;=",AF$3),Movimientos!$C:$C,"&gt;0")+SUMIFS(Movimientos!$C:$C,Movimientos!$A:$A,$B15,Movimientos!$D:$D,CONCATENATE("&lt;",AF$3),Movimientos!$C:$C,"&lt;0")</f>
        <v>0</v>
      </c>
      <c r="AG15" s="5">
        <f ca="1">SUMIFS(Movimientos!$C:$C,Movimientos!$A:$A,$B15,Movimientos!$D:$D,CONCATENATE("&lt;=",AG$3),Movimientos!$C:$C,"&gt;0")+SUMIFS(Movimientos!$C:$C,Movimientos!$A:$A,$B15,Movimientos!$D:$D,CONCATENATE("&lt;",AG$3),Movimientos!$C:$C,"&lt;0")</f>
        <v>0</v>
      </c>
      <c r="AH15" s="5">
        <f ca="1">SUMIFS(Movimientos!$C:$C,Movimientos!$A:$A,$B15,Movimientos!$D:$D,CONCATENATE("&lt;=",AH$3),Movimientos!$C:$C,"&gt;0")+SUMIFS(Movimientos!$C:$C,Movimientos!$A:$A,$B15,Movimientos!$D:$D,CONCATENATE("&lt;",AH$3),Movimientos!$C:$C,"&lt;0")</f>
        <v>0</v>
      </c>
      <c r="AI15" s="5">
        <f ca="1">SUMIFS(Movimientos!$C:$C,Movimientos!$A:$A,$B15,Movimientos!$D:$D,CONCATENATE("&lt;=",AI$3),Movimientos!$C:$C,"&gt;0")+SUMIFS(Movimientos!$C:$C,Movimientos!$A:$A,$B15,Movimientos!$D:$D,CONCATENATE("&lt;",AI$3),Movimientos!$C:$C,"&lt;0")</f>
        <v>0</v>
      </c>
      <c r="AJ15" s="5">
        <f ca="1">SUMIFS(Movimientos!$C:$C,Movimientos!$A:$A,$B15,Movimientos!$D:$D,CONCATENATE("&lt;=",AJ$3),Movimientos!$C:$C,"&gt;0")+SUMIFS(Movimientos!$C:$C,Movimientos!$A:$A,$B15,Movimientos!$D:$D,CONCATENATE("&lt;",AJ$3),Movimientos!$C:$C,"&lt;0")</f>
        <v>0</v>
      </c>
      <c r="AK15" s="5">
        <f ca="1">SUMIFS(Movimientos!$C:$C,Movimientos!$A:$A,$B15,Movimientos!$D:$D,CONCATENATE("&lt;=",AK$3),Movimientos!$C:$C,"&gt;0")+SUMIFS(Movimientos!$C:$C,Movimientos!$A:$A,$B15,Movimientos!$D:$D,CONCATENATE("&lt;",AK$3),Movimientos!$C:$C,"&lt;0")</f>
        <v>0</v>
      </c>
      <c r="AL15" s="5">
        <f ca="1">SUMIFS(Movimientos!$C:$C,Movimientos!$A:$A,$B15,Movimientos!$D:$D,CONCATENATE("&lt;=",AL$3),Movimientos!$C:$C,"&gt;0")+SUMIFS(Movimientos!$C:$C,Movimientos!$A:$A,$B15,Movimientos!$D:$D,CONCATENATE("&lt;",AL$3),Movimientos!$C:$C,"&lt;0")</f>
        <v>0</v>
      </c>
      <c r="AM15" s="5">
        <f ca="1">SUMIFS(Movimientos!$C:$C,Movimientos!$A:$A,$B15,Movimientos!$D:$D,CONCATENATE("&lt;=",AM$3),Movimientos!$C:$C,"&gt;0")+SUMIFS(Movimientos!$C:$C,Movimientos!$A:$A,$B15,Movimientos!$D:$D,CONCATENATE("&lt;",AM$3),Movimientos!$C:$C,"&lt;0")</f>
        <v>0</v>
      </c>
      <c r="AN15" s="5">
        <f ca="1">SUMIFS(Movimientos!$C:$C,Movimientos!$A:$A,$B15,Movimientos!$D:$D,CONCATENATE("&lt;=",AN$3),Movimientos!$C:$C,"&gt;0")+SUMIFS(Movimientos!$C:$C,Movimientos!$A:$A,$B15,Movimientos!$D:$D,CONCATENATE("&lt;",AN$3),Movimientos!$C:$C,"&lt;0")</f>
        <v>0</v>
      </c>
      <c r="AO15" s="5">
        <f ca="1">SUMIFS(Movimientos!$C:$C,Movimientos!$A:$A,$B15,Movimientos!$D:$D,CONCATENATE("&lt;=",AO$3),Movimientos!$C:$C,"&gt;0")+SUMIFS(Movimientos!$C:$C,Movimientos!$A:$A,$B15,Movimientos!$D:$D,CONCATENATE("&lt;",AO$3),Movimientos!$C:$C,"&lt;0")</f>
        <v>0</v>
      </c>
      <c r="AP15" s="5">
        <f ca="1">SUMIFS(Movimientos!$C:$C,Movimientos!$A:$A,$B15,Movimientos!$D:$D,CONCATENATE("&lt;=",AP$3),Movimientos!$C:$C,"&gt;0")+SUMIFS(Movimientos!$C:$C,Movimientos!$A:$A,$B15,Movimientos!$D:$D,CONCATENATE("&lt;",AP$3),Movimientos!$C:$C,"&lt;0")</f>
        <v>0</v>
      </c>
      <c r="AQ15" s="5">
        <f ca="1">SUMIFS(Movimientos!$C:$C,Movimientos!$A:$A,$B15,Movimientos!$D:$D,CONCATENATE("&lt;=",AQ$3),Movimientos!$C:$C,"&gt;0")+SUMIFS(Movimientos!$C:$C,Movimientos!$A:$A,$B15,Movimientos!$D:$D,CONCATENATE("&lt;",AQ$3),Movimientos!$C:$C,"&lt;0")</f>
        <v>0</v>
      </c>
      <c r="AR15" s="5">
        <f ca="1">SUMIFS(Movimientos!$C:$C,Movimientos!$A:$A,$B15,Movimientos!$D:$D,CONCATENATE("&lt;=",AR$3),Movimientos!$C:$C,"&gt;0")+SUMIFS(Movimientos!$C:$C,Movimientos!$A:$A,$B15,Movimientos!$D:$D,CONCATENATE("&lt;",AR$3),Movimientos!$C:$C,"&lt;0")</f>
        <v>0</v>
      </c>
      <c r="AS15" s="5">
        <f ca="1">SUMIFS(Movimientos!$C:$C,Movimientos!$A:$A,$B15,Movimientos!$D:$D,CONCATENATE("&lt;=",AS$3),Movimientos!$C:$C,"&gt;0")+SUMIFS(Movimientos!$C:$C,Movimientos!$A:$A,$B15,Movimientos!$D:$D,CONCATENATE("&lt;",AS$3),Movimientos!$C:$C,"&lt;0")</f>
        <v>0</v>
      </c>
      <c r="AT15" s="5">
        <f ca="1">SUMIFS(Movimientos!$C:$C,Movimientos!$A:$A,$B15,Movimientos!$D:$D,CONCATENATE("&lt;=",AT$3),Movimientos!$C:$C,"&gt;0")+SUMIFS(Movimientos!$C:$C,Movimientos!$A:$A,$B15,Movimientos!$D:$D,CONCATENATE("&lt;",AT$3),Movimientos!$C:$C,"&lt;0")</f>
        <v>0</v>
      </c>
      <c r="AU15" s="5">
        <f ca="1">SUMIFS(Movimientos!$C:$C,Movimientos!$A:$A,$B15,Movimientos!$D:$D,CONCATENATE("&lt;=",AU$3),Movimientos!$C:$C,"&gt;0")+SUMIFS(Movimientos!$C:$C,Movimientos!$A:$A,$B15,Movimientos!$D:$D,CONCATENATE("&lt;",AU$3),Movimientos!$C:$C,"&lt;0")</f>
        <v>0</v>
      </c>
      <c r="AV15" s="5">
        <f ca="1">SUMIFS(Movimientos!$C:$C,Movimientos!$A:$A,$B15,Movimientos!$D:$D,CONCATENATE("&lt;=",AV$3),Movimientos!$C:$C,"&gt;0")+SUMIFS(Movimientos!$C:$C,Movimientos!$A:$A,$B15,Movimientos!$D:$D,CONCATENATE("&lt;",AV$3),Movimientos!$C:$C,"&lt;0")</f>
        <v>0</v>
      </c>
      <c r="AW15" s="5">
        <f ca="1">SUMIFS(Movimientos!$C:$C,Movimientos!$A:$A,$B15,Movimientos!$D:$D,CONCATENATE("&lt;=",AW$3),Movimientos!$C:$C,"&gt;0")+SUMIFS(Movimientos!$C:$C,Movimientos!$A:$A,$B15,Movimientos!$D:$D,CONCATENATE("&lt;",AW$3),Movimientos!$C:$C,"&lt;0")</f>
        <v>0</v>
      </c>
      <c r="AX15" s="5">
        <f ca="1">SUMIFS(Movimientos!$C:$C,Movimientos!$A:$A,$B15,Movimientos!$D:$D,CONCATENATE("&lt;=",AX$3),Movimientos!$C:$C,"&gt;0")+SUMIFS(Movimientos!$C:$C,Movimientos!$A:$A,$B15,Movimientos!$D:$D,CONCATENATE("&lt;",AX$3),Movimientos!$C:$C,"&lt;0")</f>
        <v>0</v>
      </c>
      <c r="AY15" s="5">
        <f ca="1">SUMIFS(Movimientos!$C:$C,Movimientos!$A:$A,$B15,Movimientos!$D:$D,CONCATENATE("&lt;=",AY$3),Movimientos!$C:$C,"&gt;0")+SUMIFS(Movimientos!$C:$C,Movimientos!$A:$A,$B15,Movimientos!$D:$D,CONCATENATE("&lt;",AY$3),Movimientos!$C:$C,"&lt;0")</f>
        <v>0</v>
      </c>
      <c r="AZ15" s="5">
        <f ca="1">SUMIFS(Movimientos!$C:$C,Movimientos!$A:$A,$B15,Movimientos!$D:$D,CONCATENATE("&lt;=",AZ$3),Movimientos!$C:$C,"&gt;0")+SUMIFS(Movimientos!$C:$C,Movimientos!$A:$A,$B15,Movimientos!$D:$D,CONCATENATE("&lt;",AZ$3),Movimientos!$C:$C,"&lt;0")</f>
        <v>0</v>
      </c>
      <c r="BA15" s="5">
        <f ca="1">SUMIFS(Movimientos!$C:$C,Movimientos!$A:$A,$B15,Movimientos!$D:$D,CONCATENATE("&lt;=",BA$3),Movimientos!$C:$C,"&gt;0")+SUMIFS(Movimientos!$C:$C,Movimientos!$A:$A,$B15,Movimientos!$D:$D,CONCATENATE("&lt;",BA$3),Movimientos!$C:$C,"&lt;0")</f>
        <v>0</v>
      </c>
      <c r="BB15" s="5">
        <f ca="1">SUMIFS(Movimientos!$C:$C,Movimientos!$A:$A,$B15,Movimientos!$D:$D,CONCATENATE("&lt;=",BB$3),Movimientos!$C:$C,"&gt;0")+SUMIFS(Movimientos!$C:$C,Movimientos!$A:$A,$B15,Movimientos!$D:$D,CONCATENATE("&lt;",BB$3),Movimientos!$C:$C,"&lt;0")</f>
        <v>0</v>
      </c>
      <c r="BC15" s="5">
        <f ca="1">SUMIFS(Movimientos!$C:$C,Movimientos!$A:$A,$B15,Movimientos!$D:$D,CONCATENATE("&lt;=",BC$3),Movimientos!$C:$C,"&gt;0")+SUMIFS(Movimientos!$C:$C,Movimientos!$A:$A,$B15,Movimientos!$D:$D,CONCATENATE("&lt;",BC$3),Movimientos!$C:$C,"&lt;0")</f>
        <v>0</v>
      </c>
      <c r="BD15" s="5">
        <f ca="1">SUMIFS(Movimientos!$C:$C,Movimientos!$A:$A,$B15,Movimientos!$D:$D,CONCATENATE("&lt;=",BD$3),Movimientos!$C:$C,"&gt;0")+SUMIFS(Movimientos!$C:$C,Movimientos!$A:$A,$B15,Movimientos!$D:$D,CONCATENATE("&lt;",BD$3),Movimientos!$C:$C,"&lt;0")</f>
        <v>0</v>
      </c>
      <c r="BE15" s="5">
        <f ca="1">SUMIFS(Movimientos!$C:$C,Movimientos!$A:$A,$B15,Movimientos!$D:$D,CONCATENATE("&lt;=",BE$3),Movimientos!$C:$C,"&gt;0")+SUMIFS(Movimientos!$C:$C,Movimientos!$A:$A,$B15,Movimientos!$D:$D,CONCATENATE("&lt;",BE$3),Movimientos!$C:$C,"&lt;0")</f>
        <v>0</v>
      </c>
      <c r="BF15" s="5">
        <f ca="1">SUMIFS(Movimientos!$C:$C,Movimientos!$A:$A,$B15,Movimientos!$D:$D,CONCATENATE("&lt;=",BF$3),Movimientos!$C:$C,"&gt;0")+SUMIFS(Movimientos!$C:$C,Movimientos!$A:$A,$B15,Movimientos!$D:$D,CONCATENATE("&lt;",BF$3),Movimientos!$C:$C,"&lt;0")</f>
        <v>0</v>
      </c>
      <c r="BG15" s="5">
        <f ca="1">SUMIFS(Movimientos!$C:$C,Movimientos!$A:$A,$B15,Movimientos!$D:$D,CONCATENATE("&lt;=",BG$3),Movimientos!$C:$C,"&gt;0")+SUMIFS(Movimientos!$C:$C,Movimientos!$A:$A,$B15,Movimientos!$D:$D,CONCATENATE("&lt;",BG$3),Movimientos!$C:$C,"&lt;0")</f>
        <v>0</v>
      </c>
      <c r="BH15" s="5">
        <f ca="1">SUMIFS(Movimientos!$C:$C,Movimientos!$A:$A,$B15,Movimientos!$D:$D,CONCATENATE("&lt;=",BH$3),Movimientos!$C:$C,"&gt;0")+SUMIFS(Movimientos!$C:$C,Movimientos!$A:$A,$B15,Movimientos!$D:$D,CONCATENATE("&lt;",BH$3),Movimientos!$C:$C,"&lt;0")</f>
        <v>0</v>
      </c>
      <c r="BI15" s="5">
        <f ca="1">SUMIFS(Movimientos!$C:$C,Movimientos!$A:$A,$B15,Movimientos!$D:$D,CONCATENATE("&lt;=",BI$3),Movimientos!$C:$C,"&gt;0")+SUMIFS(Movimientos!$C:$C,Movimientos!$A:$A,$B15,Movimientos!$D:$D,CONCATENATE("&lt;",BI$3),Movimientos!$C:$C,"&lt;0")</f>
        <v>0</v>
      </c>
      <c r="BJ15" s="5">
        <f ca="1">SUMIFS(Movimientos!$C:$C,Movimientos!$A:$A,$B15,Movimientos!$D:$D,CONCATENATE("&lt;=",BJ$3),Movimientos!$C:$C,"&gt;0")+SUMIFS(Movimientos!$C:$C,Movimientos!$A:$A,$B15,Movimientos!$D:$D,CONCATENATE("&lt;",BJ$3),Movimientos!$C:$C,"&lt;0")</f>
        <v>0</v>
      </c>
      <c r="BK15" s="5">
        <f ca="1">SUMIFS(Movimientos!$C:$C,Movimientos!$A:$A,$B15,Movimientos!$D:$D,CONCATENATE("&lt;=",BK$3),Movimientos!$C:$C,"&gt;0")+SUMIFS(Movimientos!$C:$C,Movimientos!$A:$A,$B15,Movimientos!$D:$D,CONCATENATE("&lt;",BK$3),Movimientos!$C:$C,"&lt;0")</f>
        <v>0</v>
      </c>
      <c r="BL15" s="5">
        <f ca="1">SUMIFS(Movimientos!$C:$C,Movimientos!$A:$A,$B15,Movimientos!$D:$D,CONCATENATE("&lt;=",BL$3),Movimientos!$C:$C,"&gt;0")+SUMIFS(Movimientos!$C:$C,Movimientos!$A:$A,$B15,Movimientos!$D:$D,CONCATENATE("&lt;",BL$3),Movimientos!$C:$C,"&lt;0")</f>
        <v>0</v>
      </c>
      <c r="BM15" s="5">
        <f ca="1">SUMIFS(Movimientos!$C:$C,Movimientos!$A:$A,$B15,Movimientos!$D:$D,CONCATENATE("&lt;=",BM$3),Movimientos!$C:$C,"&gt;0")+SUMIFS(Movimientos!$C:$C,Movimientos!$A:$A,$B15,Movimientos!$D:$D,CONCATENATE("&lt;",BM$3),Movimientos!$C:$C,"&lt;0")</f>
        <v>0</v>
      </c>
      <c r="BN15" s="5">
        <f ca="1">SUMIFS(Movimientos!$C:$C,Movimientos!$A:$A,$B15,Movimientos!$D:$D,CONCATENATE("&lt;=",BN$3),Movimientos!$C:$C,"&gt;0")+SUMIFS(Movimientos!$C:$C,Movimientos!$A:$A,$B15,Movimientos!$D:$D,CONCATENATE("&lt;",BN$3),Movimientos!$C:$C,"&lt;0")</f>
        <v>0</v>
      </c>
      <c r="BO15" s="5">
        <f ca="1">SUMIFS(Movimientos!$C:$C,Movimientos!$A:$A,$B15,Movimientos!$D:$D,CONCATENATE("&lt;=",BO$3),Movimientos!$C:$C,"&gt;0")+SUMIFS(Movimientos!$C:$C,Movimientos!$A:$A,$B15,Movimientos!$D:$D,CONCATENATE("&lt;",BO$3),Movimientos!$C:$C,"&lt;0")</f>
        <v>0</v>
      </c>
      <c r="BP15" s="5">
        <f ca="1">SUMIFS(Movimientos!$C:$C,Movimientos!$A:$A,$B15,Movimientos!$D:$D,CONCATENATE("&lt;=",BP$3),Movimientos!$C:$C,"&gt;0")+SUMIFS(Movimientos!$C:$C,Movimientos!$A:$A,$B15,Movimientos!$D:$D,CONCATENATE("&lt;",BP$3),Movimientos!$C:$C,"&lt;0")</f>
        <v>0</v>
      </c>
      <c r="BQ15" s="5">
        <f ca="1">SUMIFS(Movimientos!$C:$C,Movimientos!$A:$A,$B15,Movimientos!$D:$D,CONCATENATE("&lt;=",BQ$3),Movimientos!$C:$C,"&gt;0")+SUMIFS(Movimientos!$C:$C,Movimientos!$A:$A,$B15,Movimientos!$D:$D,CONCATENATE("&lt;",BQ$3),Movimientos!$C:$C,"&lt;0")</f>
        <v>0</v>
      </c>
      <c r="BR15" s="5">
        <f ca="1">SUMIFS(Movimientos!$C:$C,Movimientos!$A:$A,$B15,Movimientos!$D:$D,CONCATENATE("&lt;=",BR$3),Movimientos!$C:$C,"&gt;0")+SUMIFS(Movimientos!$C:$C,Movimientos!$A:$A,$B15,Movimientos!$D:$D,CONCATENATE("&lt;",BR$3),Movimientos!$C:$C,"&lt;0")</f>
        <v>0</v>
      </c>
      <c r="BS15" s="5">
        <f ca="1">SUMIFS(Movimientos!$C:$C,Movimientos!$A:$A,$B15,Movimientos!$D:$D,CONCATENATE("&lt;=",BS$3),Movimientos!$C:$C,"&gt;0")+SUMIFS(Movimientos!$C:$C,Movimientos!$A:$A,$B15,Movimientos!$D:$D,CONCATENATE("&lt;",BS$3),Movimientos!$C:$C,"&lt;0")</f>
        <v>0</v>
      </c>
      <c r="BT15" s="5">
        <f ca="1">SUMIFS(Movimientos!$C:$C,Movimientos!$A:$A,$B15,Movimientos!$D:$D,CONCATENATE("&lt;=",BT$3),Movimientos!$C:$C,"&gt;0")+SUMIFS(Movimientos!$C:$C,Movimientos!$A:$A,$B15,Movimientos!$D:$D,CONCATENATE("&lt;",BT$3),Movimientos!$C:$C,"&lt;0")</f>
        <v>0</v>
      </c>
      <c r="BU15" s="5">
        <f ca="1">SUMIFS(Movimientos!$C:$C,Movimientos!$A:$A,$B15,Movimientos!$D:$D,CONCATENATE("&lt;=",BU$3),Movimientos!$C:$C,"&gt;0")+SUMIFS(Movimientos!$C:$C,Movimientos!$A:$A,$B15,Movimientos!$D:$D,CONCATENATE("&lt;",BU$3),Movimientos!$C:$C,"&lt;0")</f>
        <v>0</v>
      </c>
      <c r="BV15" s="5">
        <f ca="1">SUMIFS(Movimientos!$C:$C,Movimientos!$A:$A,$B15,Movimientos!$D:$D,CONCATENATE("&lt;=",BV$3),Movimientos!$C:$C,"&gt;0")+SUMIFS(Movimientos!$C:$C,Movimientos!$A:$A,$B15,Movimientos!$D:$D,CONCATENATE("&lt;",BV$3),Movimientos!$C:$C,"&lt;0")</f>
        <v>0</v>
      </c>
      <c r="BW15" s="5">
        <f ca="1">SUMIFS(Movimientos!$C:$C,Movimientos!$A:$A,$B15,Movimientos!$D:$D,CONCATENATE("&lt;=",BW$3),Movimientos!$C:$C,"&gt;0")+SUMIFS(Movimientos!$C:$C,Movimientos!$A:$A,$B15,Movimientos!$D:$D,CONCATENATE("&lt;",BW$3),Movimientos!$C:$C,"&lt;0")</f>
        <v>0</v>
      </c>
      <c r="BX15" s="5">
        <f ca="1">SUMIFS(Movimientos!$C:$C,Movimientos!$A:$A,$B15,Movimientos!$D:$D,CONCATENATE("&lt;=",BX$3),Movimientos!$C:$C,"&gt;0")+SUMIFS(Movimientos!$C:$C,Movimientos!$A:$A,$B15,Movimientos!$D:$D,CONCATENATE("&lt;",BX$3),Movimientos!$C:$C,"&lt;0")</f>
        <v>0</v>
      </c>
      <c r="BY15" s="5">
        <f ca="1">SUMIFS(Movimientos!$C:$C,Movimientos!$A:$A,$B15,Movimientos!$D:$D,CONCATENATE("&lt;=",BY$3),Movimientos!$C:$C,"&gt;0")+SUMIFS(Movimientos!$C:$C,Movimientos!$A:$A,$B15,Movimientos!$D:$D,CONCATENATE("&lt;",BY$3),Movimientos!$C:$C,"&lt;0")</f>
        <v>0</v>
      </c>
      <c r="BZ15" s="5">
        <f ca="1">SUMIFS(Movimientos!$C:$C,Movimientos!$A:$A,$B15,Movimientos!$D:$D,CONCATENATE("&lt;=",BZ$3),Movimientos!$C:$C,"&gt;0")+SUMIFS(Movimientos!$C:$C,Movimientos!$A:$A,$B15,Movimientos!$D:$D,CONCATENATE("&lt;",BZ$3),Movimientos!$C:$C,"&lt;0")</f>
        <v>0</v>
      </c>
      <c r="CA15" s="5">
        <f ca="1">SUMIFS(Movimientos!$C:$C,Movimientos!$A:$A,$B15,Movimientos!$D:$D,CONCATENATE("&lt;=",CA$3),Movimientos!$C:$C,"&gt;0")+SUMIFS(Movimientos!$C:$C,Movimientos!$A:$A,$B15,Movimientos!$D:$D,CONCATENATE("&lt;",CA$3),Movimientos!$C:$C,"&lt;0")</f>
        <v>0</v>
      </c>
      <c r="CB15" s="5">
        <f ca="1">SUMIFS(Movimientos!$C:$C,Movimientos!$A:$A,$B15,Movimientos!$D:$D,CONCATENATE("&lt;=",CB$3),Movimientos!$C:$C,"&gt;0")+SUMIFS(Movimientos!$C:$C,Movimientos!$A:$A,$B15,Movimientos!$D:$D,CONCATENATE("&lt;",CB$3),Movimientos!$C:$C,"&lt;0")</f>
        <v>0</v>
      </c>
      <c r="CC15" s="5">
        <f ca="1">SUMIFS(Movimientos!$C:$C,Movimientos!$A:$A,$B15,Movimientos!$D:$D,CONCATENATE("&lt;=",CC$3),Movimientos!$C:$C,"&gt;0")+SUMIFS(Movimientos!$C:$C,Movimientos!$A:$A,$B15,Movimientos!$D:$D,CONCATENATE("&lt;",CC$3),Movimientos!$C:$C,"&lt;0")</f>
        <v>0</v>
      </c>
      <c r="CD15" s="5">
        <f ca="1">SUMIFS(Movimientos!$C:$C,Movimientos!$A:$A,$B15,Movimientos!$D:$D,CONCATENATE("&lt;=",CD$3),Movimientos!$C:$C,"&gt;0")+SUMIFS(Movimientos!$C:$C,Movimientos!$A:$A,$B15,Movimientos!$D:$D,CONCATENATE("&lt;",CD$3),Movimientos!$C:$C,"&lt;0")</f>
        <v>0</v>
      </c>
      <c r="CE15" s="5">
        <f ca="1">SUMIFS(Movimientos!$C:$C,Movimientos!$A:$A,$B15,Movimientos!$D:$D,CONCATENATE("&lt;=",CE$3),Movimientos!$C:$C,"&gt;0")+SUMIFS(Movimientos!$C:$C,Movimientos!$A:$A,$B15,Movimientos!$D:$D,CONCATENATE("&lt;",CE$3),Movimientos!$C:$C,"&lt;0")</f>
        <v>0</v>
      </c>
      <c r="CF15" s="5">
        <f ca="1">SUMIFS(Movimientos!$C:$C,Movimientos!$A:$A,$B15,Movimientos!$D:$D,CONCATENATE("&lt;=",CF$3),Movimientos!$C:$C,"&gt;0")+SUMIFS(Movimientos!$C:$C,Movimientos!$A:$A,$B15,Movimientos!$D:$D,CONCATENATE("&lt;",CF$3),Movimientos!$C:$C,"&lt;0")</f>
        <v>0</v>
      </c>
      <c r="CG15" s="5">
        <f ca="1">SUMIFS(Movimientos!$C:$C,Movimientos!$A:$A,$B15,Movimientos!$D:$D,CONCATENATE("&lt;=",CG$3),Movimientos!$C:$C,"&gt;0")+SUMIFS(Movimientos!$C:$C,Movimientos!$A:$A,$B15,Movimientos!$D:$D,CONCATENATE("&lt;",CG$3),Movimientos!$C:$C,"&lt;0")</f>
        <v>0</v>
      </c>
      <c r="CH15" s="5">
        <f ca="1">SUMIFS(Movimientos!$C:$C,Movimientos!$A:$A,$B15,Movimientos!$D:$D,CONCATENATE("&lt;=",CH$3),Movimientos!$C:$C,"&gt;0")+SUMIFS(Movimientos!$C:$C,Movimientos!$A:$A,$B15,Movimientos!$D:$D,CONCATENATE("&lt;",CH$3),Movimientos!$C:$C,"&lt;0")</f>
        <v>0</v>
      </c>
      <c r="CI15" s="5">
        <f ca="1">SUMIFS(Movimientos!$C:$C,Movimientos!$A:$A,$B15,Movimientos!$D:$D,CONCATENATE("&lt;=",CI$3),Movimientos!$C:$C,"&gt;0")+SUMIFS(Movimientos!$C:$C,Movimientos!$A:$A,$B15,Movimientos!$D:$D,CONCATENATE("&lt;",CI$3),Movimientos!$C:$C,"&lt;0")</f>
        <v>0</v>
      </c>
      <c r="CJ15" s="5">
        <f ca="1">SUMIFS(Movimientos!$C:$C,Movimientos!$A:$A,$B15,Movimientos!$D:$D,CONCATENATE("&lt;=",CJ$3),Movimientos!$C:$C,"&gt;0")+SUMIFS(Movimientos!$C:$C,Movimientos!$A:$A,$B15,Movimientos!$D:$D,CONCATENATE("&lt;",CJ$3),Movimientos!$C:$C,"&lt;0")</f>
        <v>0</v>
      </c>
      <c r="CK15" s="5">
        <f ca="1">SUMIFS(Movimientos!$C:$C,Movimientos!$A:$A,$B15,Movimientos!$D:$D,CONCATENATE("&lt;=",CK$3),Movimientos!$C:$C,"&gt;0")+SUMIFS(Movimientos!$C:$C,Movimientos!$A:$A,$B15,Movimientos!$D:$D,CONCATENATE("&lt;",CK$3),Movimientos!$C:$C,"&lt;0")</f>
        <v>0</v>
      </c>
      <c r="CL15" s="5">
        <f ca="1">SUMIFS(Movimientos!$C:$C,Movimientos!$A:$A,$B15,Movimientos!$D:$D,CONCATENATE("&lt;=",CL$3),Movimientos!$C:$C,"&gt;0")+SUMIFS(Movimientos!$C:$C,Movimientos!$A:$A,$B15,Movimientos!$D:$D,CONCATENATE("&lt;",CL$3),Movimientos!$C:$C,"&lt;0")</f>
        <v>0</v>
      </c>
      <c r="CM15" s="5">
        <f ca="1">SUMIFS(Movimientos!$C:$C,Movimientos!$A:$A,$B15,Movimientos!$D:$D,CONCATENATE("&lt;=",CM$3),Movimientos!$C:$C,"&gt;0")+SUMIFS(Movimientos!$C:$C,Movimientos!$A:$A,$B15,Movimientos!$D:$D,CONCATENATE("&lt;",CM$3),Movimientos!$C:$C,"&lt;0")</f>
        <v>0</v>
      </c>
      <c r="CN15" s="5">
        <f ca="1">SUMIFS(Movimientos!$C:$C,Movimientos!$A:$A,$B15,Movimientos!$D:$D,CONCATENATE("&lt;=",CN$3),Movimientos!$C:$C,"&gt;0")+SUMIFS(Movimientos!$C:$C,Movimientos!$A:$A,$B15,Movimientos!$D:$D,CONCATENATE("&lt;",CN$3),Movimientos!$C:$C,"&lt;0")</f>
        <v>0</v>
      </c>
      <c r="CO15" s="5">
        <f ca="1">SUMIFS(Movimientos!$C:$C,Movimientos!$A:$A,$B15,Movimientos!$D:$D,CONCATENATE("&lt;=",CO$3),Movimientos!$C:$C,"&gt;0")+SUMIFS(Movimientos!$C:$C,Movimientos!$A:$A,$B15,Movimientos!$D:$D,CONCATENATE("&lt;",CO$3),Movimientos!$C:$C,"&lt;0")</f>
        <v>0</v>
      </c>
      <c r="CP15" s="5">
        <f ca="1">SUMIFS(Movimientos!$C:$C,Movimientos!$A:$A,$B15,Movimientos!$D:$D,CONCATENATE("&lt;=",CP$3),Movimientos!$C:$C,"&gt;0")+SUMIFS(Movimientos!$C:$C,Movimientos!$A:$A,$B15,Movimientos!$D:$D,CONCATENATE("&lt;",CP$3),Movimientos!$C:$C,"&lt;0")</f>
        <v>0</v>
      </c>
      <c r="CQ15" s="5">
        <f ca="1">SUMIFS(Movimientos!$C:$C,Movimientos!$A:$A,$B15,Movimientos!$D:$D,CONCATENATE("&lt;=",CQ$3),Movimientos!$C:$C,"&gt;0")+SUMIFS(Movimientos!$C:$C,Movimientos!$A:$A,$B15,Movimientos!$D:$D,CONCATENATE("&lt;",CQ$3),Movimientos!$C:$C,"&lt;0")</f>
        <v>0</v>
      </c>
      <c r="CR15" s="5">
        <f ca="1">SUMIFS(Movimientos!$C:$C,Movimientos!$A:$A,$B15,Movimientos!$D:$D,CONCATENATE("&lt;=",CR$3),Movimientos!$C:$C,"&gt;0")+SUMIFS(Movimientos!$C:$C,Movimientos!$A:$A,$B15,Movimientos!$D:$D,CONCATENATE("&lt;",CR$3),Movimientos!$C:$C,"&lt;0")</f>
        <v>0</v>
      </c>
      <c r="CS15" s="5">
        <f ca="1">SUMIFS(Movimientos!$C:$C,Movimientos!$A:$A,$B15,Movimientos!$D:$D,CONCATENATE("&lt;=",CS$3),Movimientos!$C:$C,"&gt;0")+SUMIFS(Movimientos!$C:$C,Movimientos!$A:$A,$B15,Movimientos!$D:$D,CONCATENATE("&lt;",CS$3),Movimientos!$C:$C,"&lt;0")</f>
        <v>0</v>
      </c>
      <c r="CT15" s="5">
        <f ca="1">SUMIFS(Movimientos!$C:$C,Movimientos!$A:$A,$B15,Movimientos!$D:$D,CONCATENATE("&lt;=",CT$3),Movimientos!$C:$C,"&gt;0")+SUMIFS(Movimientos!$C:$C,Movimientos!$A:$A,$B15,Movimientos!$D:$D,CONCATENATE("&lt;",CT$3),Movimientos!$C:$C,"&lt;0")</f>
        <v>0</v>
      </c>
      <c r="CU15" s="5">
        <f ca="1">SUMIFS(Movimientos!$C:$C,Movimientos!$A:$A,$B15,Movimientos!$D:$D,CONCATENATE("&lt;=",CU$3),Movimientos!$C:$C,"&gt;0")+SUMIFS(Movimientos!$C:$C,Movimientos!$A:$A,$B15,Movimientos!$D:$D,CONCATENATE("&lt;",CU$3),Movimientos!$C:$C,"&lt;0")</f>
        <v>0</v>
      </c>
      <c r="CV15" s="5">
        <f ca="1">SUMIFS(Movimientos!$C:$C,Movimientos!$A:$A,$B15,Movimientos!$D:$D,CONCATENATE("&lt;=",CV$3),Movimientos!$C:$C,"&gt;0")+SUMIFS(Movimientos!$C:$C,Movimientos!$A:$A,$B15,Movimientos!$D:$D,CONCATENATE("&lt;",CV$3),Movimientos!$C:$C,"&lt;0")</f>
        <v>0</v>
      </c>
      <c r="CW15" s="5">
        <f ca="1">SUMIFS(Movimientos!$C:$C,Movimientos!$A:$A,$B15,Movimientos!$D:$D,CONCATENATE("&lt;=",CW$3),Movimientos!$C:$C,"&gt;0")+SUMIFS(Movimientos!$C:$C,Movimientos!$A:$A,$B15,Movimientos!$D:$D,CONCATENATE("&lt;",CW$3),Movimientos!$C:$C,"&lt;0")</f>
        <v>0</v>
      </c>
      <c r="CX15" s="5">
        <f ca="1">SUMIFS(Movimientos!$C:$C,Movimientos!$A:$A,$B15,Movimientos!$D:$D,CONCATENATE("&lt;=",CX$3),Movimientos!$C:$C,"&gt;0")+SUMIFS(Movimientos!$C:$C,Movimientos!$A:$A,$B15,Movimientos!$D:$D,CONCATENATE("&lt;",CX$3),Movimientos!$C:$C,"&lt;0")</f>
        <v>0</v>
      </c>
      <c r="CY15" s="5">
        <f ca="1">SUMIFS(Movimientos!$C:$C,Movimientos!$A:$A,$B15,Movimientos!$D:$D,CONCATENATE("&lt;=",CY$3),Movimientos!$C:$C,"&gt;0")+SUMIFS(Movimientos!$C:$C,Movimientos!$A:$A,$B15,Movimientos!$D:$D,CONCATENATE("&lt;",CY$3),Movimientos!$C:$C,"&lt;0")</f>
        <v>0</v>
      </c>
      <c r="CZ15" s="5">
        <f ca="1">SUMIFS(Movimientos!$C:$C,Movimientos!$A:$A,$B15,Movimientos!$D:$D,CONCATENATE("&lt;=",CZ$3),Movimientos!$C:$C,"&gt;0")+SUMIFS(Movimientos!$C:$C,Movimientos!$A:$A,$B15,Movimientos!$D:$D,CONCATENATE("&lt;",CZ$3),Movimientos!$C:$C,"&lt;0")</f>
        <v>0</v>
      </c>
      <c r="DA15" s="5">
        <f ca="1">SUMIFS(Movimientos!$C:$C,Movimientos!$A:$A,$B15,Movimientos!$D:$D,CONCATENATE("&lt;=",DA$3),Movimientos!$C:$C,"&gt;0")+SUMIFS(Movimientos!$C:$C,Movimientos!$A:$A,$B15,Movimientos!$D:$D,CONCATENATE("&lt;",DA$3),Movimientos!$C:$C,"&lt;0")</f>
        <v>0</v>
      </c>
      <c r="DB15" s="5">
        <f ca="1">SUMIFS(Movimientos!$C:$C,Movimientos!$A:$A,$B15,Movimientos!$D:$D,CONCATENATE("&lt;=",DB$3),Movimientos!$C:$C,"&gt;0")+SUMIFS(Movimientos!$C:$C,Movimientos!$A:$A,$B15,Movimientos!$D:$D,CONCATENATE("&lt;",DB$3),Movimientos!$C:$C,"&lt;0")</f>
        <v>0</v>
      </c>
      <c r="DC15" s="5">
        <f ca="1">SUMIFS(Movimientos!$C:$C,Movimientos!$A:$A,$B15,Movimientos!$D:$D,CONCATENATE("&lt;=",DC$3),Movimientos!$C:$C,"&gt;0")+SUMIFS(Movimientos!$C:$C,Movimientos!$A:$A,$B15,Movimientos!$D:$D,CONCATENATE("&lt;",DC$3),Movimientos!$C:$C,"&lt;0")</f>
        <v>0</v>
      </c>
      <c r="DD15" s="5">
        <f ca="1">SUMIFS(Movimientos!$C:$C,Movimientos!$A:$A,$B15,Movimientos!$D:$D,CONCATENATE("&lt;=",DD$3),Movimientos!$C:$C,"&gt;0")+SUMIFS(Movimientos!$C:$C,Movimientos!$A:$A,$B15,Movimientos!$D:$D,CONCATENATE("&lt;",DD$3),Movimientos!$C:$C,"&lt;0")</f>
        <v>0</v>
      </c>
      <c r="DE15" s="5">
        <f ca="1">SUMIFS(Movimientos!$C:$C,Movimientos!$A:$A,$B15,Movimientos!$D:$D,CONCATENATE("&lt;=",DE$3),Movimientos!$C:$C,"&gt;0")+SUMIFS(Movimientos!$C:$C,Movimientos!$A:$A,$B15,Movimientos!$D:$D,CONCATENATE("&lt;",DE$3),Movimientos!$C:$C,"&lt;0")</f>
        <v>0</v>
      </c>
      <c r="DF15" s="5">
        <f ca="1">SUMIFS(Movimientos!$C:$C,Movimientos!$A:$A,$B15,Movimientos!$D:$D,CONCATENATE("&lt;=",DF$3),Movimientos!$C:$C,"&gt;0")+SUMIFS(Movimientos!$C:$C,Movimientos!$A:$A,$B15,Movimientos!$D:$D,CONCATENATE("&lt;",DF$3),Movimientos!$C:$C,"&lt;0")</f>
        <v>0</v>
      </c>
      <c r="DG15" s="5">
        <f ca="1">SUMIFS(Movimientos!$C:$C,Movimientos!$A:$A,$B15,Movimientos!$D:$D,CONCATENATE("&lt;=",DG$3),Movimientos!$C:$C,"&gt;0")+SUMIFS(Movimientos!$C:$C,Movimientos!$A:$A,$B15,Movimientos!$D:$D,CONCATENATE("&lt;",DG$3),Movimientos!$C:$C,"&lt;0")</f>
        <v>0</v>
      </c>
      <c r="DH15" s="5">
        <f ca="1">SUMIFS(Movimientos!$C:$C,Movimientos!$A:$A,$B15,Movimientos!$D:$D,CONCATENATE("&lt;=",DH$3),Movimientos!$C:$C,"&gt;0")+SUMIFS(Movimientos!$C:$C,Movimientos!$A:$A,$B15,Movimientos!$D:$D,CONCATENATE("&lt;",DH$3),Movimientos!$C:$C,"&lt;0")</f>
        <v>0</v>
      </c>
      <c r="DI15" s="5">
        <f ca="1">SUMIFS(Movimientos!$C:$C,Movimientos!$A:$A,$B15,Movimientos!$D:$D,CONCATENATE("&lt;=",DI$3),Movimientos!$C:$C,"&gt;0")+SUMIFS(Movimientos!$C:$C,Movimientos!$A:$A,$B15,Movimientos!$D:$D,CONCATENATE("&lt;",DI$3),Movimientos!$C:$C,"&lt;0")</f>
        <v>0</v>
      </c>
      <c r="DJ15" s="5">
        <f ca="1">SUMIFS(Movimientos!$C:$C,Movimientos!$A:$A,$B15,Movimientos!$D:$D,CONCATENATE("&lt;=",DJ$3),Movimientos!$C:$C,"&gt;0")+SUMIFS(Movimientos!$C:$C,Movimientos!$A:$A,$B15,Movimientos!$D:$D,CONCATENATE("&lt;",DJ$3),Movimientos!$C:$C,"&lt;0")</f>
        <v>0</v>
      </c>
      <c r="DK15" s="5">
        <f ca="1">SUMIFS(Movimientos!$C:$C,Movimientos!$A:$A,$B15,Movimientos!$D:$D,CONCATENATE("&lt;=",DK$3),Movimientos!$C:$C,"&gt;0")+SUMIFS(Movimientos!$C:$C,Movimientos!$A:$A,$B15,Movimientos!$D:$D,CONCATENATE("&lt;",DK$3),Movimientos!$C:$C,"&lt;0")</f>
        <v>0</v>
      </c>
      <c r="DL15" s="5">
        <f ca="1">SUMIFS(Movimientos!$C:$C,Movimientos!$A:$A,$B15,Movimientos!$D:$D,CONCATENATE("&lt;=",DL$3),Movimientos!$C:$C,"&gt;0")+SUMIFS(Movimientos!$C:$C,Movimientos!$A:$A,$B15,Movimientos!$D:$D,CONCATENATE("&lt;",DL$3),Movimientos!$C:$C,"&lt;0")</f>
        <v>0</v>
      </c>
      <c r="DM15" s="5">
        <f ca="1">SUMIFS(Movimientos!$C:$C,Movimientos!$A:$A,$B15,Movimientos!$D:$D,CONCATENATE("&lt;=",DM$3),Movimientos!$C:$C,"&gt;0")+SUMIFS(Movimientos!$C:$C,Movimientos!$A:$A,$B15,Movimientos!$D:$D,CONCATENATE("&lt;",DM$3),Movimientos!$C:$C,"&lt;0")</f>
        <v>0</v>
      </c>
      <c r="DN15" s="5">
        <f ca="1">SUMIFS(Movimientos!$C:$C,Movimientos!$A:$A,$B15,Movimientos!$D:$D,CONCATENATE("&lt;=",DN$3),Movimientos!$C:$C,"&gt;0")+SUMIFS(Movimientos!$C:$C,Movimientos!$A:$A,$B15,Movimientos!$D:$D,CONCATENATE("&lt;",DN$3),Movimientos!$C:$C,"&lt;0")</f>
        <v>0</v>
      </c>
      <c r="DO15" s="5">
        <f ca="1">SUMIFS(Movimientos!$C:$C,Movimientos!$A:$A,$B15,Movimientos!$D:$D,CONCATENATE("&lt;=",DO$3),Movimientos!$C:$C,"&gt;0")+SUMIFS(Movimientos!$C:$C,Movimientos!$A:$A,$B15,Movimientos!$D:$D,CONCATENATE("&lt;",DO$3),Movimientos!$C:$C,"&lt;0")</f>
        <v>0</v>
      </c>
      <c r="DP15" s="5">
        <f ca="1">SUMIFS(Movimientos!$C:$C,Movimientos!$A:$A,$B15,Movimientos!$D:$D,CONCATENATE("&lt;=",DP$3),Movimientos!$C:$C,"&gt;0")+SUMIFS(Movimientos!$C:$C,Movimientos!$A:$A,$B15,Movimientos!$D:$D,CONCATENATE("&lt;",DP$3),Movimientos!$C:$C,"&lt;0")</f>
        <v>0</v>
      </c>
      <c r="DQ15" s="5">
        <f ca="1">SUMIFS(Movimientos!$C:$C,Movimientos!$A:$A,$B15,Movimientos!$D:$D,CONCATENATE("&lt;=",DQ$3),Movimientos!$C:$C,"&gt;0")+SUMIFS(Movimientos!$C:$C,Movimientos!$A:$A,$B15,Movimientos!$D:$D,CONCATENATE("&lt;",DQ$3),Movimientos!$C:$C,"&lt;0")</f>
        <v>0</v>
      </c>
      <c r="DR15" s="5">
        <f ca="1">SUMIFS(Movimientos!$C:$C,Movimientos!$A:$A,$B15,Movimientos!$D:$D,CONCATENATE("&lt;=",DR$3),Movimientos!$C:$C,"&gt;0")+SUMIFS(Movimientos!$C:$C,Movimientos!$A:$A,$B15,Movimientos!$D:$D,CONCATENATE("&lt;",DR$3),Movimientos!$C:$C,"&lt;0")</f>
        <v>0</v>
      </c>
      <c r="DS15" s="5">
        <f ca="1">SUMIFS(Movimientos!$C:$C,Movimientos!$A:$A,$B15,Movimientos!$D:$D,CONCATENATE("&lt;=",DS$3),Movimientos!$C:$C,"&gt;0")+SUMIFS(Movimientos!$C:$C,Movimientos!$A:$A,$B15,Movimientos!$D:$D,CONCATENATE("&lt;",DS$3),Movimientos!$C:$C,"&lt;0")</f>
        <v>0</v>
      </c>
      <c r="DT15" s="5">
        <f ca="1">SUMIFS(Movimientos!$C:$C,Movimientos!$A:$A,$B15,Movimientos!$D:$D,CONCATENATE("&lt;=",DT$3),Movimientos!$C:$C,"&gt;0")+SUMIFS(Movimientos!$C:$C,Movimientos!$A:$A,$B15,Movimientos!$D:$D,CONCATENATE("&lt;",DT$3),Movimientos!$C:$C,"&lt;0")</f>
        <v>0</v>
      </c>
      <c r="DU15" s="5">
        <f ca="1">SUMIFS(Movimientos!$C:$C,Movimientos!$A:$A,$B15,Movimientos!$D:$D,CONCATENATE("&lt;=",DU$3),Movimientos!$C:$C,"&gt;0")+SUMIFS(Movimientos!$C:$C,Movimientos!$A:$A,$B15,Movimientos!$D:$D,CONCATENATE("&lt;",DU$3),Movimientos!$C:$C,"&lt;0")</f>
        <v>0</v>
      </c>
      <c r="DV15" s="5">
        <f ca="1">SUMIFS(Movimientos!$C:$C,Movimientos!$A:$A,$B15,Movimientos!$D:$D,CONCATENATE("&lt;=",DV$3),Movimientos!$C:$C,"&gt;0")+SUMIFS(Movimientos!$C:$C,Movimientos!$A:$A,$B15,Movimientos!$D:$D,CONCATENATE("&lt;",DV$3),Movimientos!$C:$C,"&lt;0")</f>
        <v>0</v>
      </c>
      <c r="DW15" s="5">
        <f ca="1">SUMIFS(Movimientos!$C:$C,Movimientos!$A:$A,$B15,Movimientos!$D:$D,CONCATENATE("&lt;=",DW$3),Movimientos!$C:$C,"&gt;0")+SUMIFS(Movimientos!$C:$C,Movimientos!$A:$A,$B15,Movimientos!$D:$D,CONCATENATE("&lt;",DW$3),Movimientos!$C:$C,"&lt;0")</f>
        <v>0</v>
      </c>
      <c r="DX15" s="5">
        <f ca="1">SUMIFS(Movimientos!$C:$C,Movimientos!$A:$A,$B15,Movimientos!$D:$D,CONCATENATE("&lt;=",DX$3),Movimientos!$C:$C,"&gt;0")+SUMIFS(Movimientos!$C:$C,Movimientos!$A:$A,$B15,Movimientos!$D:$D,CONCATENATE("&lt;",DX$3),Movimientos!$C:$C,"&lt;0")</f>
        <v>0</v>
      </c>
      <c r="DY15" s="5">
        <f ca="1">SUMIFS(Movimientos!$C:$C,Movimientos!$A:$A,$B15,Movimientos!$D:$D,CONCATENATE("&lt;=",DY$3),Movimientos!$C:$C,"&gt;0")+SUMIFS(Movimientos!$C:$C,Movimientos!$A:$A,$B15,Movimientos!$D:$D,CONCATENATE("&lt;",DY$3),Movimientos!$C:$C,"&lt;0")</f>
        <v>0</v>
      </c>
      <c r="DZ15" s="5">
        <f ca="1">SUMIFS(Movimientos!$C:$C,Movimientos!$A:$A,$B15,Movimientos!$D:$D,CONCATENATE("&lt;=",DZ$3),Movimientos!$C:$C,"&gt;0")+SUMIFS(Movimientos!$C:$C,Movimientos!$A:$A,$B15,Movimientos!$D:$D,CONCATENATE("&lt;",DZ$3),Movimientos!$C:$C,"&lt;0")</f>
        <v>0</v>
      </c>
      <c r="EA15" s="5">
        <f ca="1">SUMIFS(Movimientos!$C:$C,Movimientos!$A:$A,$B15,Movimientos!$D:$D,CONCATENATE("&lt;=",EA$3),Movimientos!$C:$C,"&gt;0")+SUMIFS(Movimientos!$C:$C,Movimientos!$A:$A,$B15,Movimientos!$D:$D,CONCATENATE("&lt;",EA$3),Movimientos!$C:$C,"&lt;0")</f>
        <v>0</v>
      </c>
      <c r="EB15" s="5">
        <f ca="1">SUMIFS(Movimientos!$C:$C,Movimientos!$A:$A,$B15,Movimientos!$D:$D,CONCATENATE("&lt;=",EB$3),Movimientos!$C:$C,"&gt;0")+SUMIFS(Movimientos!$C:$C,Movimientos!$A:$A,$B15,Movimientos!$D:$D,CONCATENATE("&lt;",EB$3),Movimientos!$C:$C,"&lt;0")</f>
        <v>0</v>
      </c>
      <c r="EC15" s="5">
        <f ca="1">SUMIFS(Movimientos!$C:$C,Movimientos!$A:$A,$B15,Movimientos!$D:$D,CONCATENATE("&lt;=",EC$3),Movimientos!$C:$C,"&gt;0")+SUMIFS(Movimientos!$C:$C,Movimientos!$A:$A,$B15,Movimientos!$D:$D,CONCATENATE("&lt;",EC$3),Movimientos!$C:$C,"&lt;0")</f>
        <v>0</v>
      </c>
      <c r="ED15" s="5">
        <f ca="1">SUMIFS(Movimientos!$C:$C,Movimientos!$A:$A,$B15,Movimientos!$D:$D,CONCATENATE("&lt;=",ED$3),Movimientos!$C:$C,"&gt;0")+SUMIFS(Movimientos!$C:$C,Movimientos!$A:$A,$B15,Movimientos!$D:$D,CONCATENATE("&lt;",ED$3),Movimientos!$C:$C,"&lt;0")</f>
        <v>0</v>
      </c>
      <c r="EE15" s="5">
        <f ca="1">SUMIFS(Movimientos!$C:$C,Movimientos!$A:$A,$B15,Movimientos!$D:$D,CONCATENATE("&lt;=",EE$3),Movimientos!$C:$C,"&gt;0")+SUMIFS(Movimientos!$C:$C,Movimientos!$A:$A,$B15,Movimientos!$D:$D,CONCATENATE("&lt;",EE$3),Movimientos!$C:$C,"&lt;0")</f>
        <v>0</v>
      </c>
      <c r="EF15" s="5">
        <f ca="1">SUMIFS(Movimientos!$C:$C,Movimientos!$A:$A,$B15,Movimientos!$D:$D,CONCATENATE("&lt;=",EF$3),Movimientos!$C:$C,"&gt;0")+SUMIFS(Movimientos!$C:$C,Movimientos!$A:$A,$B15,Movimientos!$D:$D,CONCATENATE("&lt;",EF$3),Movimientos!$C:$C,"&lt;0")</f>
        <v>0</v>
      </c>
      <c r="EG15" s="5">
        <f ca="1">SUMIFS(Movimientos!$C:$C,Movimientos!$A:$A,$B15,Movimientos!$D:$D,CONCATENATE("&lt;=",EG$3),Movimientos!$C:$C,"&gt;0")+SUMIFS(Movimientos!$C:$C,Movimientos!$A:$A,$B15,Movimientos!$D:$D,CONCATENATE("&lt;",EG$3),Movimientos!$C:$C,"&lt;0")</f>
        <v>0</v>
      </c>
      <c r="EH15" s="5">
        <f ca="1">SUMIFS(Movimientos!$C:$C,Movimientos!$A:$A,$B15,Movimientos!$D:$D,CONCATENATE("&lt;=",EH$3),Movimientos!$C:$C,"&gt;0")+SUMIFS(Movimientos!$C:$C,Movimientos!$A:$A,$B15,Movimientos!$D:$D,CONCATENATE("&lt;",EH$3),Movimientos!$C:$C,"&lt;0")</f>
        <v>0</v>
      </c>
      <c r="EI15" s="5">
        <f ca="1">SUMIFS(Movimientos!$C:$C,Movimientos!$A:$A,$B15,Movimientos!$D:$D,CONCATENATE("&lt;=",EI$3),Movimientos!$C:$C,"&gt;0")+SUMIFS(Movimientos!$C:$C,Movimientos!$A:$A,$B15,Movimientos!$D:$D,CONCATENATE("&lt;",EI$3),Movimientos!$C:$C,"&lt;0")</f>
        <v>0</v>
      </c>
      <c r="EJ15" s="5">
        <f ca="1">SUMIFS(Movimientos!$C:$C,Movimientos!$A:$A,$B15,Movimientos!$D:$D,CONCATENATE("&lt;=",EJ$3),Movimientos!$C:$C,"&gt;0")+SUMIFS(Movimientos!$C:$C,Movimientos!$A:$A,$B15,Movimientos!$D:$D,CONCATENATE("&lt;",EJ$3),Movimientos!$C:$C,"&lt;0")</f>
        <v>0</v>
      </c>
      <c r="EK15" s="5">
        <f ca="1">SUMIFS(Movimientos!$C:$C,Movimientos!$A:$A,$B15,Movimientos!$D:$D,CONCATENATE("&lt;=",EK$3),Movimientos!$C:$C,"&gt;0")+SUMIFS(Movimientos!$C:$C,Movimientos!$A:$A,$B15,Movimientos!$D:$D,CONCATENATE("&lt;",EK$3),Movimientos!$C:$C,"&lt;0")</f>
        <v>0</v>
      </c>
      <c r="EL15" s="5">
        <f ca="1">SUMIFS(Movimientos!$C:$C,Movimientos!$A:$A,$B15,Movimientos!$D:$D,CONCATENATE("&lt;=",EL$3),Movimientos!$C:$C,"&gt;0")+SUMIFS(Movimientos!$C:$C,Movimientos!$A:$A,$B15,Movimientos!$D:$D,CONCATENATE("&lt;",EL$3),Movimientos!$C:$C,"&lt;0")</f>
        <v>0</v>
      </c>
      <c r="EM15" s="5">
        <f ca="1">SUMIFS(Movimientos!$C:$C,Movimientos!$A:$A,$B15,Movimientos!$D:$D,CONCATENATE("&lt;=",EM$3),Movimientos!$C:$C,"&gt;0")+SUMIFS(Movimientos!$C:$C,Movimientos!$A:$A,$B15,Movimientos!$D:$D,CONCATENATE("&lt;",EM$3),Movimientos!$C:$C,"&lt;0")</f>
        <v>0</v>
      </c>
      <c r="EN15" s="5">
        <f ca="1">SUMIFS(Movimientos!$C:$C,Movimientos!$A:$A,$B15,Movimientos!$D:$D,CONCATENATE("&lt;=",EN$3),Movimientos!$C:$C,"&gt;0")+SUMIFS(Movimientos!$C:$C,Movimientos!$A:$A,$B15,Movimientos!$D:$D,CONCATENATE("&lt;",EN$3),Movimientos!$C:$C,"&lt;0")</f>
        <v>0</v>
      </c>
      <c r="EO15" s="5">
        <f ca="1">SUMIFS(Movimientos!$C:$C,Movimientos!$A:$A,$B15,Movimientos!$D:$D,CONCATENATE("&lt;=",EO$3),Movimientos!$C:$C,"&gt;0")+SUMIFS(Movimientos!$C:$C,Movimientos!$A:$A,$B15,Movimientos!$D:$D,CONCATENATE("&lt;",EO$3),Movimientos!$C:$C,"&lt;0")</f>
        <v>0</v>
      </c>
      <c r="EP15" s="5">
        <f ca="1">SUMIFS(Movimientos!$C:$C,Movimientos!$A:$A,$B15,Movimientos!$D:$D,CONCATENATE("&lt;=",EP$3),Movimientos!$C:$C,"&gt;0")+SUMIFS(Movimientos!$C:$C,Movimientos!$A:$A,$B15,Movimientos!$D:$D,CONCATENATE("&lt;",EP$3),Movimientos!$C:$C,"&lt;0")</f>
        <v>0</v>
      </c>
      <c r="EQ15" s="5">
        <f ca="1">SUMIFS(Movimientos!$C:$C,Movimientos!$A:$A,$B15,Movimientos!$D:$D,CONCATENATE("&lt;=",EQ$3),Movimientos!$C:$C,"&gt;0")+SUMIFS(Movimientos!$C:$C,Movimientos!$A:$A,$B15,Movimientos!$D:$D,CONCATENATE("&lt;",EQ$3),Movimientos!$C:$C,"&lt;0")</f>
        <v>0</v>
      </c>
      <c r="ER15" s="5">
        <f ca="1">SUMIFS(Movimientos!$C:$C,Movimientos!$A:$A,$B15,Movimientos!$D:$D,CONCATENATE("&lt;=",ER$3),Movimientos!$C:$C,"&gt;0")+SUMIFS(Movimientos!$C:$C,Movimientos!$A:$A,$B15,Movimientos!$D:$D,CONCATENATE("&lt;",ER$3),Movimientos!$C:$C,"&lt;0")</f>
        <v>0</v>
      </c>
      <c r="ES15" s="5">
        <f ca="1">SUMIFS(Movimientos!$C:$C,Movimientos!$A:$A,$B15,Movimientos!$D:$D,CONCATENATE("&lt;=",ES$3),Movimientos!$C:$C,"&gt;0")+SUMIFS(Movimientos!$C:$C,Movimientos!$A:$A,$B15,Movimientos!$D:$D,CONCATENATE("&lt;",ES$3),Movimientos!$C:$C,"&lt;0")</f>
        <v>0</v>
      </c>
      <c r="ET15" s="5">
        <f ca="1">SUMIFS(Movimientos!$C:$C,Movimientos!$A:$A,$B15,Movimientos!$D:$D,CONCATENATE("&lt;=",ET$3),Movimientos!$C:$C,"&gt;0")+SUMIFS(Movimientos!$C:$C,Movimientos!$A:$A,$B15,Movimientos!$D:$D,CONCATENATE("&lt;",ET$3),Movimientos!$C:$C,"&lt;0")</f>
        <v>0</v>
      </c>
      <c r="EU15" s="5">
        <f ca="1">SUMIFS(Movimientos!$C:$C,Movimientos!$A:$A,$B15,Movimientos!$D:$D,CONCATENATE("&lt;=",EU$3),Movimientos!$C:$C,"&gt;0")+SUMIFS(Movimientos!$C:$C,Movimientos!$A:$A,$B15,Movimientos!$D:$D,CONCATENATE("&lt;",EU$3),Movimientos!$C:$C,"&lt;0")</f>
        <v>0</v>
      </c>
      <c r="EV15" s="5">
        <f ca="1">SUMIFS(Movimientos!$C:$C,Movimientos!$A:$A,$B15,Movimientos!$D:$D,CONCATENATE("&lt;=",EV$3),Movimientos!$C:$C,"&gt;0")+SUMIFS(Movimientos!$C:$C,Movimientos!$A:$A,$B15,Movimientos!$D:$D,CONCATENATE("&lt;",EV$3),Movimientos!$C:$C,"&lt;0")</f>
        <v>0</v>
      </c>
      <c r="EW15" s="5">
        <f ca="1">SUMIFS(Movimientos!$C:$C,Movimientos!$A:$A,$B15,Movimientos!$D:$D,CONCATENATE("&lt;=",EW$3),Movimientos!$C:$C,"&gt;0")+SUMIFS(Movimientos!$C:$C,Movimientos!$A:$A,$B15,Movimientos!$D:$D,CONCATENATE("&lt;",EW$3),Movimientos!$C:$C,"&lt;0")</f>
        <v>0</v>
      </c>
      <c r="EX15" s="5">
        <f ca="1">SUMIFS(Movimientos!$C:$C,Movimientos!$A:$A,$B15,Movimientos!$D:$D,CONCATENATE("&lt;=",EX$3),Movimientos!$C:$C,"&gt;0")+SUMIFS(Movimientos!$C:$C,Movimientos!$A:$A,$B15,Movimientos!$D:$D,CONCATENATE("&lt;",EX$3),Movimientos!$C:$C,"&lt;0")</f>
        <v>0</v>
      </c>
      <c r="EY15" s="5">
        <f ca="1">SUMIFS(Movimientos!$C:$C,Movimientos!$A:$A,$B15,Movimientos!$D:$D,CONCATENATE("&lt;=",EY$3),Movimientos!$C:$C,"&gt;0")+SUMIFS(Movimientos!$C:$C,Movimientos!$A:$A,$B15,Movimientos!$D:$D,CONCATENATE("&lt;",EY$3),Movimientos!$C:$C,"&lt;0")</f>
        <v>0</v>
      </c>
      <c r="EZ15" s="5">
        <f ca="1">SUMIFS(Movimientos!$C:$C,Movimientos!$A:$A,$B15,Movimientos!$D:$D,CONCATENATE("&lt;=",EZ$3),Movimientos!$C:$C,"&gt;0")+SUMIFS(Movimientos!$C:$C,Movimientos!$A:$A,$B15,Movimientos!$D:$D,CONCATENATE("&lt;",EZ$3),Movimientos!$C:$C,"&lt;0")</f>
        <v>0</v>
      </c>
      <c r="FA15" s="5">
        <f ca="1">SUMIFS(Movimientos!$C:$C,Movimientos!$A:$A,$B15,Movimientos!$D:$D,CONCATENATE("&lt;=",FA$3),Movimientos!$C:$C,"&gt;0")+SUMIFS(Movimientos!$C:$C,Movimientos!$A:$A,$B15,Movimientos!$D:$D,CONCATENATE("&lt;",FA$3),Movimientos!$C:$C,"&lt;0")</f>
        <v>0</v>
      </c>
      <c r="FB15" s="5">
        <f ca="1">SUMIFS(Movimientos!$C:$C,Movimientos!$A:$A,$B15,Movimientos!$D:$D,CONCATENATE("&lt;=",FB$3),Movimientos!$C:$C,"&gt;0")+SUMIFS(Movimientos!$C:$C,Movimientos!$A:$A,$B15,Movimientos!$D:$D,CONCATENATE("&lt;",FB$3),Movimientos!$C:$C,"&lt;0")</f>
        <v>0</v>
      </c>
      <c r="FC15" s="5">
        <f ca="1">SUMIFS(Movimientos!$C:$C,Movimientos!$A:$A,$B15,Movimientos!$D:$D,CONCATENATE("&lt;=",FC$3),Movimientos!$C:$C,"&gt;0")+SUMIFS(Movimientos!$C:$C,Movimientos!$A:$A,$B15,Movimientos!$D:$D,CONCATENATE("&lt;",FC$3),Movimientos!$C:$C,"&lt;0")</f>
        <v>0</v>
      </c>
      <c r="FD15" s="5">
        <f ca="1">SUMIFS(Movimientos!$C:$C,Movimientos!$A:$A,$B15,Movimientos!$D:$D,CONCATENATE("&lt;=",FD$3),Movimientos!$C:$C,"&gt;0")+SUMIFS(Movimientos!$C:$C,Movimientos!$A:$A,$B15,Movimientos!$D:$D,CONCATENATE("&lt;",FD$3),Movimientos!$C:$C,"&lt;0")</f>
        <v>0</v>
      </c>
      <c r="FE15" s="5">
        <f ca="1">SUMIFS(Movimientos!$C:$C,Movimientos!$A:$A,$B15,Movimientos!$D:$D,CONCATENATE("&lt;=",FE$3),Movimientos!$C:$C,"&gt;0")+SUMIFS(Movimientos!$C:$C,Movimientos!$A:$A,$B15,Movimientos!$D:$D,CONCATENATE("&lt;",FE$3),Movimientos!$C:$C,"&lt;0")</f>
        <v>0</v>
      </c>
      <c r="FF15" s="5">
        <f ca="1">SUMIFS(Movimientos!$C:$C,Movimientos!$A:$A,$B15,Movimientos!$D:$D,CONCATENATE("&lt;=",FF$3),Movimientos!$C:$C,"&gt;0")+SUMIFS(Movimientos!$C:$C,Movimientos!$A:$A,$B15,Movimientos!$D:$D,CONCATENATE("&lt;",FF$3),Movimientos!$C:$C,"&lt;0")</f>
        <v>0</v>
      </c>
      <c r="FG15" s="5">
        <f ca="1">SUMIFS(Movimientos!$C:$C,Movimientos!$A:$A,$B15,Movimientos!$D:$D,CONCATENATE("&lt;=",FG$3),Movimientos!$C:$C,"&gt;0")+SUMIFS(Movimientos!$C:$C,Movimientos!$A:$A,$B15,Movimientos!$D:$D,CONCATENATE("&lt;",FG$3),Movimientos!$C:$C,"&lt;0")</f>
        <v>0</v>
      </c>
      <c r="FH15" s="5">
        <f ca="1">SUMIFS(Movimientos!$C:$C,Movimientos!$A:$A,$B15,Movimientos!$D:$D,CONCATENATE("&lt;=",FH$3),Movimientos!$C:$C,"&gt;0")+SUMIFS(Movimientos!$C:$C,Movimientos!$A:$A,$B15,Movimientos!$D:$D,CONCATENATE("&lt;",FH$3),Movimientos!$C:$C,"&lt;0")</f>
        <v>0</v>
      </c>
      <c r="FI15" s="5">
        <f ca="1">SUMIFS(Movimientos!$C:$C,Movimientos!$A:$A,$B15,Movimientos!$D:$D,CONCATENATE("&lt;=",FI$3),Movimientos!$C:$C,"&gt;0")+SUMIFS(Movimientos!$C:$C,Movimientos!$A:$A,$B15,Movimientos!$D:$D,CONCATENATE("&lt;",FI$3),Movimientos!$C:$C,"&lt;0")</f>
        <v>0</v>
      </c>
      <c r="FJ15" s="5">
        <f ca="1">SUMIFS(Movimientos!$C:$C,Movimientos!$A:$A,$B15,Movimientos!$D:$D,CONCATENATE("&lt;=",FJ$3),Movimientos!$C:$C,"&gt;0")+SUMIFS(Movimientos!$C:$C,Movimientos!$A:$A,$B15,Movimientos!$D:$D,CONCATENATE("&lt;",FJ$3),Movimientos!$C:$C,"&lt;0")</f>
        <v>0</v>
      </c>
      <c r="FK15" s="5">
        <f ca="1">SUMIFS(Movimientos!$C:$C,Movimientos!$A:$A,$B15,Movimientos!$D:$D,CONCATENATE("&lt;=",FK$3),Movimientos!$C:$C,"&gt;0")+SUMIFS(Movimientos!$C:$C,Movimientos!$A:$A,$B15,Movimientos!$D:$D,CONCATENATE("&lt;",FK$3),Movimientos!$C:$C,"&lt;0")</f>
        <v>0</v>
      </c>
      <c r="FL15" s="5">
        <f ca="1">SUMIFS(Movimientos!$C:$C,Movimientos!$A:$A,$B15,Movimientos!$D:$D,CONCATENATE("&lt;=",FL$3),Movimientos!$C:$C,"&gt;0")+SUMIFS(Movimientos!$C:$C,Movimientos!$A:$A,$B15,Movimientos!$D:$D,CONCATENATE("&lt;",FL$3),Movimientos!$C:$C,"&lt;0")</f>
        <v>0</v>
      </c>
      <c r="FM15" s="5">
        <f ca="1">SUMIFS(Movimientos!$C:$C,Movimientos!$A:$A,$B15,Movimientos!$D:$D,CONCATENATE("&lt;=",FM$3),Movimientos!$C:$C,"&gt;0")+SUMIFS(Movimientos!$C:$C,Movimientos!$A:$A,$B15,Movimientos!$D:$D,CONCATENATE("&lt;",FM$3),Movimientos!$C:$C,"&lt;0")</f>
        <v>0</v>
      </c>
      <c r="FN15" s="5">
        <f ca="1">SUMIFS(Movimientos!$C:$C,Movimientos!$A:$A,$B15,Movimientos!$D:$D,CONCATENATE("&lt;=",FN$3),Movimientos!$C:$C,"&gt;0")+SUMIFS(Movimientos!$C:$C,Movimientos!$A:$A,$B15,Movimientos!$D:$D,CONCATENATE("&lt;",FN$3),Movimientos!$C:$C,"&lt;0")</f>
        <v>0</v>
      </c>
      <c r="FO15" s="5">
        <f ca="1">SUMIFS(Movimientos!$C:$C,Movimientos!$A:$A,$B15,Movimientos!$D:$D,CONCATENATE("&lt;=",FO$3),Movimientos!$C:$C,"&gt;0")+SUMIFS(Movimientos!$C:$C,Movimientos!$A:$A,$B15,Movimientos!$D:$D,CONCATENATE("&lt;",FO$3),Movimientos!$C:$C,"&lt;0")</f>
        <v>0</v>
      </c>
      <c r="FP15" s="5">
        <f ca="1">SUMIFS(Movimientos!$C:$C,Movimientos!$A:$A,$B15,Movimientos!$D:$D,CONCATENATE("&lt;=",FP$3),Movimientos!$C:$C,"&gt;0")+SUMIFS(Movimientos!$C:$C,Movimientos!$A:$A,$B15,Movimientos!$D:$D,CONCATENATE("&lt;",FP$3),Movimientos!$C:$C,"&lt;0")</f>
        <v>0</v>
      </c>
      <c r="FQ15" s="5">
        <f ca="1">SUMIFS(Movimientos!$C:$C,Movimientos!$A:$A,$B15,Movimientos!$D:$D,CONCATENATE("&lt;=",FQ$3),Movimientos!$C:$C,"&gt;0")+SUMIFS(Movimientos!$C:$C,Movimientos!$A:$A,$B15,Movimientos!$D:$D,CONCATENATE("&lt;",FQ$3),Movimientos!$C:$C,"&lt;0")</f>
        <v>0</v>
      </c>
      <c r="FR15" s="5">
        <f ca="1">SUMIFS(Movimientos!$C:$C,Movimientos!$A:$A,$B15,Movimientos!$D:$D,CONCATENATE("&lt;=",FR$3),Movimientos!$C:$C,"&gt;0")+SUMIFS(Movimientos!$C:$C,Movimientos!$A:$A,$B15,Movimientos!$D:$D,CONCATENATE("&lt;",FR$3),Movimientos!$C:$C,"&lt;0")</f>
        <v>0</v>
      </c>
      <c r="FS15" s="5">
        <f ca="1">SUMIFS(Movimientos!$C:$C,Movimientos!$A:$A,$B15,Movimientos!$D:$D,CONCATENATE("&lt;=",FS$3),Movimientos!$C:$C,"&gt;0")+SUMIFS(Movimientos!$C:$C,Movimientos!$A:$A,$B15,Movimientos!$D:$D,CONCATENATE("&lt;",FS$3),Movimientos!$C:$C,"&lt;0")</f>
        <v>0</v>
      </c>
      <c r="FT15" s="5">
        <f ca="1">SUMIFS(Movimientos!$C:$C,Movimientos!$A:$A,$B15,Movimientos!$D:$D,CONCATENATE("&lt;=",FT$3),Movimientos!$C:$C,"&gt;0")+SUMIFS(Movimientos!$C:$C,Movimientos!$A:$A,$B15,Movimientos!$D:$D,CONCATENATE("&lt;",FT$3),Movimientos!$C:$C,"&lt;0")</f>
        <v>0</v>
      </c>
      <c r="FU15" s="5">
        <f ca="1">SUMIFS(Movimientos!$C:$C,Movimientos!$A:$A,$B15,Movimientos!$D:$D,CONCATENATE("&lt;=",FU$3),Movimientos!$C:$C,"&gt;0")+SUMIFS(Movimientos!$C:$C,Movimientos!$A:$A,$B15,Movimientos!$D:$D,CONCATENATE("&lt;",FU$3),Movimientos!$C:$C,"&lt;0")</f>
        <v>0</v>
      </c>
      <c r="FV15" s="5">
        <f ca="1">SUMIFS(Movimientos!$C:$C,Movimientos!$A:$A,$B15,Movimientos!$D:$D,CONCATENATE("&lt;=",FV$3),Movimientos!$C:$C,"&gt;0")+SUMIFS(Movimientos!$C:$C,Movimientos!$A:$A,$B15,Movimientos!$D:$D,CONCATENATE("&lt;",FV$3),Movimientos!$C:$C,"&lt;0")</f>
        <v>0</v>
      </c>
      <c r="FW15" s="5">
        <f ca="1">SUMIFS(Movimientos!$C:$C,Movimientos!$A:$A,$B15,Movimientos!$D:$D,CONCATENATE("&lt;=",FW$3),Movimientos!$C:$C,"&gt;0")+SUMIFS(Movimientos!$C:$C,Movimientos!$A:$A,$B15,Movimientos!$D:$D,CONCATENATE("&lt;",FW$3),Movimientos!$C:$C,"&lt;0")</f>
        <v>0</v>
      </c>
      <c r="FX15" s="5">
        <f ca="1">SUMIFS(Movimientos!$C:$C,Movimientos!$A:$A,$B15,Movimientos!$D:$D,CONCATENATE("&lt;=",FX$3),Movimientos!$C:$C,"&gt;0")+SUMIFS(Movimientos!$C:$C,Movimientos!$A:$A,$B15,Movimientos!$D:$D,CONCATENATE("&lt;",FX$3),Movimientos!$C:$C,"&lt;0")</f>
        <v>0</v>
      </c>
      <c r="FY15" s="5">
        <f ca="1">SUMIFS(Movimientos!$C:$C,Movimientos!$A:$A,$B15,Movimientos!$D:$D,CONCATENATE("&lt;=",FY$3),Movimientos!$C:$C,"&gt;0")+SUMIFS(Movimientos!$C:$C,Movimientos!$A:$A,$B15,Movimientos!$D:$D,CONCATENATE("&lt;",FY$3),Movimientos!$C:$C,"&lt;0")</f>
        <v>0</v>
      </c>
      <c r="FZ15" s="5">
        <f ca="1">SUMIFS(Movimientos!$C:$C,Movimientos!$A:$A,$B15,Movimientos!$D:$D,CONCATENATE("&lt;=",FZ$3),Movimientos!$C:$C,"&gt;0")+SUMIFS(Movimientos!$C:$C,Movimientos!$A:$A,$B15,Movimientos!$D:$D,CONCATENATE("&lt;",FZ$3),Movimientos!$C:$C,"&lt;0")</f>
        <v>0</v>
      </c>
      <c r="GA15" s="5">
        <f ca="1">SUMIFS(Movimientos!$C:$C,Movimientos!$A:$A,$B15,Movimientos!$D:$D,CONCATENATE("&lt;=",GA$3),Movimientos!$C:$C,"&gt;0")+SUMIFS(Movimientos!$C:$C,Movimientos!$A:$A,$B15,Movimientos!$D:$D,CONCATENATE("&lt;",GA$3),Movimientos!$C:$C,"&lt;0")</f>
        <v>0</v>
      </c>
      <c r="GB15" s="5">
        <f ca="1">SUMIFS(Movimientos!$C:$C,Movimientos!$A:$A,$B15,Movimientos!$D:$D,CONCATENATE("&lt;=",GB$3),Movimientos!$C:$C,"&gt;0")+SUMIFS(Movimientos!$C:$C,Movimientos!$A:$A,$B15,Movimientos!$D:$D,CONCATENATE("&lt;",GB$3),Movimientos!$C:$C,"&lt;0")</f>
        <v>0</v>
      </c>
      <c r="GC15" s="5">
        <f ca="1">SUMIFS(Movimientos!$C:$C,Movimientos!$A:$A,$B15,Movimientos!$D:$D,CONCATENATE("&lt;=",GC$3),Movimientos!$C:$C,"&gt;0")+SUMIFS(Movimientos!$C:$C,Movimientos!$A:$A,$B15,Movimientos!$D:$D,CONCATENATE("&lt;",GC$3),Movimientos!$C:$C,"&lt;0")</f>
        <v>0</v>
      </c>
      <c r="GD15" s="5">
        <f ca="1">SUMIFS(Movimientos!$C:$C,Movimientos!$A:$A,$B15,Movimientos!$D:$D,CONCATENATE("&lt;=",GD$3),Movimientos!$C:$C,"&gt;0")+SUMIFS(Movimientos!$C:$C,Movimientos!$A:$A,$B15,Movimientos!$D:$D,CONCATENATE("&lt;",GD$3),Movimientos!$C:$C,"&lt;0")</f>
        <v>0</v>
      </c>
      <c r="GE15" s="5">
        <f ca="1">SUMIFS(Movimientos!$C:$C,Movimientos!$A:$A,$B15,Movimientos!$D:$D,CONCATENATE("&lt;=",GE$3),Movimientos!$C:$C,"&gt;0")+SUMIFS(Movimientos!$C:$C,Movimientos!$A:$A,$B15,Movimientos!$D:$D,CONCATENATE("&lt;",GE$3),Movimientos!$C:$C,"&lt;0")</f>
        <v>0</v>
      </c>
      <c r="GF15" s="5">
        <f ca="1">SUMIFS(Movimientos!$C:$C,Movimientos!$A:$A,$B15,Movimientos!$D:$D,CONCATENATE("&lt;=",GF$3),Movimientos!$C:$C,"&gt;0")+SUMIFS(Movimientos!$C:$C,Movimientos!$A:$A,$B15,Movimientos!$D:$D,CONCATENATE("&lt;",GF$3),Movimientos!$C:$C,"&lt;0")</f>
        <v>0</v>
      </c>
      <c r="GG15" s="5">
        <f ca="1">SUMIFS(Movimientos!$C:$C,Movimientos!$A:$A,$B15,Movimientos!$D:$D,CONCATENATE("&lt;=",GG$3),Movimientos!$C:$C,"&gt;0")+SUMIFS(Movimientos!$C:$C,Movimientos!$A:$A,$B15,Movimientos!$D:$D,CONCATENATE("&lt;",GG$3),Movimientos!$C:$C,"&lt;0")</f>
        <v>0</v>
      </c>
      <c r="GH15" s="5">
        <f ca="1">SUMIFS(Movimientos!$C:$C,Movimientos!$A:$A,$B15,Movimientos!$D:$D,CONCATENATE("&lt;=",GH$3),Movimientos!$C:$C,"&gt;0")+SUMIFS(Movimientos!$C:$C,Movimientos!$A:$A,$B15,Movimientos!$D:$D,CONCATENATE("&lt;",GH$3),Movimientos!$C:$C,"&lt;0")</f>
        <v>0</v>
      </c>
      <c r="GI15" s="5">
        <f ca="1">SUMIFS(Movimientos!$C:$C,Movimientos!$A:$A,$B15,Movimientos!$D:$D,CONCATENATE("&lt;=",GI$3),Movimientos!$C:$C,"&gt;0")+SUMIFS(Movimientos!$C:$C,Movimientos!$A:$A,$B15,Movimientos!$D:$D,CONCATENATE("&lt;",GI$3),Movimientos!$C:$C,"&lt;0")</f>
        <v>0</v>
      </c>
      <c r="GJ15" s="5">
        <f ca="1">SUMIFS(Movimientos!$C:$C,Movimientos!$A:$A,$B15,Movimientos!$D:$D,CONCATENATE("&lt;=",GJ$3),Movimientos!$C:$C,"&gt;0")+SUMIFS(Movimientos!$C:$C,Movimientos!$A:$A,$B15,Movimientos!$D:$D,CONCATENATE("&lt;",GJ$3),Movimientos!$C:$C,"&lt;0")</f>
        <v>0</v>
      </c>
      <c r="GK15" s="5">
        <f ca="1">SUMIFS(Movimientos!$C:$C,Movimientos!$A:$A,$B15,Movimientos!$D:$D,CONCATENATE("&lt;=",GK$3),Movimientos!$C:$C,"&gt;0")+SUMIFS(Movimientos!$C:$C,Movimientos!$A:$A,$B15,Movimientos!$D:$D,CONCATENATE("&lt;",GK$3),Movimientos!$C:$C,"&lt;0")</f>
        <v>0</v>
      </c>
      <c r="GL15" s="5">
        <f ca="1">SUMIFS(Movimientos!$C:$C,Movimientos!$A:$A,$B15,Movimientos!$D:$D,CONCATENATE("&lt;=",GL$3),Movimientos!$C:$C,"&gt;0")+SUMIFS(Movimientos!$C:$C,Movimientos!$A:$A,$B15,Movimientos!$D:$D,CONCATENATE("&lt;",GL$3),Movimientos!$C:$C,"&lt;0")</f>
        <v>0</v>
      </c>
      <c r="GM15" s="5">
        <f ca="1">SUMIFS(Movimientos!$C:$C,Movimientos!$A:$A,$B15,Movimientos!$D:$D,CONCATENATE("&lt;=",GM$3),Movimientos!$C:$C,"&gt;0")+SUMIFS(Movimientos!$C:$C,Movimientos!$A:$A,$B15,Movimientos!$D:$D,CONCATENATE("&lt;",GM$3),Movimientos!$C:$C,"&lt;0")</f>
        <v>0</v>
      </c>
      <c r="GN15" s="5">
        <f ca="1">SUMIFS(Movimientos!$C:$C,Movimientos!$A:$A,$B15,Movimientos!$D:$D,CONCATENATE("&lt;=",GN$3),Movimientos!$C:$C,"&gt;0")+SUMIFS(Movimientos!$C:$C,Movimientos!$A:$A,$B15,Movimientos!$D:$D,CONCATENATE("&lt;",GN$3),Movimientos!$C:$C,"&lt;0")</f>
        <v>0</v>
      </c>
      <c r="GO15" s="5">
        <f ca="1">SUMIFS(Movimientos!$C:$C,Movimientos!$A:$A,$B15,Movimientos!$D:$D,CONCATENATE("&lt;=",GO$3),Movimientos!$C:$C,"&gt;0")+SUMIFS(Movimientos!$C:$C,Movimientos!$A:$A,$B15,Movimientos!$D:$D,CONCATENATE("&lt;",GO$3),Movimientos!$C:$C,"&lt;0")</f>
        <v>0</v>
      </c>
      <c r="GP15" s="5">
        <f ca="1">SUMIFS(Movimientos!$C:$C,Movimientos!$A:$A,$B15,Movimientos!$D:$D,CONCATENATE("&lt;=",GP$3),Movimientos!$C:$C,"&gt;0")+SUMIFS(Movimientos!$C:$C,Movimientos!$A:$A,$B15,Movimientos!$D:$D,CONCATENATE("&lt;",GP$3),Movimientos!$C:$C,"&lt;0")</f>
        <v>0</v>
      </c>
      <c r="GQ15" s="5">
        <f ca="1">SUMIFS(Movimientos!$C:$C,Movimientos!$A:$A,$B15,Movimientos!$D:$D,CONCATENATE("&lt;=",GQ$3),Movimientos!$C:$C,"&gt;0")+SUMIFS(Movimientos!$C:$C,Movimientos!$A:$A,$B15,Movimientos!$D:$D,CONCATENATE("&lt;",GQ$3),Movimientos!$C:$C,"&lt;0")</f>
        <v>0</v>
      </c>
      <c r="GR15" s="5">
        <f ca="1">SUMIFS(Movimientos!$C:$C,Movimientos!$A:$A,$B15,Movimientos!$D:$D,CONCATENATE("&lt;=",GR$3),Movimientos!$C:$C,"&gt;0")+SUMIFS(Movimientos!$C:$C,Movimientos!$A:$A,$B15,Movimientos!$D:$D,CONCATENATE("&lt;",GR$3),Movimientos!$C:$C,"&lt;0")</f>
        <v>0</v>
      </c>
      <c r="GS15" s="5">
        <f ca="1">SUMIFS(Movimientos!$C:$C,Movimientos!$A:$A,$B15,Movimientos!$D:$D,CONCATENATE("&lt;=",GS$3),Movimientos!$C:$C,"&gt;0")+SUMIFS(Movimientos!$C:$C,Movimientos!$A:$A,$B15,Movimientos!$D:$D,CONCATENATE("&lt;",GS$3),Movimientos!$C:$C,"&lt;0")</f>
        <v>0</v>
      </c>
      <c r="GT15" s="5">
        <f ca="1">SUMIFS(Movimientos!$C:$C,Movimientos!$A:$A,$B15,Movimientos!$D:$D,CONCATENATE("&lt;=",GT$3),Movimientos!$C:$C,"&gt;0")+SUMIFS(Movimientos!$C:$C,Movimientos!$A:$A,$B15,Movimientos!$D:$D,CONCATENATE("&lt;",GT$3),Movimientos!$C:$C,"&lt;0")</f>
        <v>0</v>
      </c>
      <c r="GU15" s="5">
        <f ca="1">SUMIFS(Movimientos!$C:$C,Movimientos!$A:$A,$B15,Movimientos!$D:$D,CONCATENATE("&lt;=",GU$3),Movimientos!$C:$C,"&gt;0")+SUMIFS(Movimientos!$C:$C,Movimientos!$A:$A,$B15,Movimientos!$D:$D,CONCATENATE("&lt;",GU$3),Movimientos!$C:$C,"&lt;0")</f>
        <v>0</v>
      </c>
      <c r="GV15" s="5">
        <f ca="1">SUMIFS(Movimientos!$C:$C,Movimientos!$A:$A,$B15,Movimientos!$D:$D,CONCATENATE("&lt;=",GV$3),Movimientos!$C:$C,"&gt;0")+SUMIFS(Movimientos!$C:$C,Movimientos!$A:$A,$B15,Movimientos!$D:$D,CONCATENATE("&lt;",GV$3),Movimientos!$C:$C,"&lt;0")</f>
        <v>0</v>
      </c>
      <c r="GW15" s="5">
        <f ca="1">SUMIFS(Movimientos!$C:$C,Movimientos!$A:$A,$B15,Movimientos!$D:$D,CONCATENATE("&lt;=",GW$3),Movimientos!$C:$C,"&gt;0")+SUMIFS(Movimientos!$C:$C,Movimientos!$A:$A,$B15,Movimientos!$D:$D,CONCATENATE("&lt;",GW$3),Movimientos!$C:$C,"&lt;0")</f>
        <v>0</v>
      </c>
      <c r="GX15" s="5">
        <f ca="1">SUMIFS(Movimientos!$C:$C,Movimientos!$A:$A,$B15,Movimientos!$D:$D,CONCATENATE("&lt;=",GX$3),Movimientos!$C:$C,"&gt;0")+SUMIFS(Movimientos!$C:$C,Movimientos!$A:$A,$B15,Movimientos!$D:$D,CONCATENATE("&lt;",GX$3),Movimientos!$C:$C,"&lt;0")</f>
        <v>0</v>
      </c>
      <c r="GY15" s="5">
        <f ca="1">SUMIFS(Movimientos!$C:$C,Movimientos!$A:$A,$B15,Movimientos!$D:$D,CONCATENATE("&lt;=",GY$3),Movimientos!$C:$C,"&gt;0")+SUMIFS(Movimientos!$C:$C,Movimientos!$A:$A,$B15,Movimientos!$D:$D,CONCATENATE("&lt;",GY$3),Movimientos!$C:$C,"&lt;0")</f>
        <v>0</v>
      </c>
      <c r="GZ15" s="5">
        <f ca="1">SUMIFS(Movimientos!$C:$C,Movimientos!$A:$A,$B15,Movimientos!$D:$D,CONCATENATE("&lt;=",GZ$3),Movimientos!$C:$C,"&gt;0")+SUMIFS(Movimientos!$C:$C,Movimientos!$A:$A,$B15,Movimientos!$D:$D,CONCATENATE("&lt;",GZ$3),Movimientos!$C:$C,"&lt;0")</f>
        <v>0</v>
      </c>
      <c r="HA15" s="5">
        <f ca="1">SUMIFS(Movimientos!$C:$C,Movimientos!$A:$A,$B15,Movimientos!$D:$D,CONCATENATE("&lt;=",HA$3),Movimientos!$C:$C,"&gt;0")+SUMIFS(Movimientos!$C:$C,Movimientos!$A:$A,$B15,Movimientos!$D:$D,CONCATENATE("&lt;",HA$3),Movimientos!$C:$C,"&lt;0")</f>
        <v>0</v>
      </c>
      <c r="HB15" s="5">
        <f ca="1">SUMIFS(Movimientos!$C:$C,Movimientos!$A:$A,$B15,Movimientos!$D:$D,CONCATENATE("&lt;=",HB$3),Movimientos!$C:$C,"&gt;0")+SUMIFS(Movimientos!$C:$C,Movimientos!$A:$A,$B15,Movimientos!$D:$D,CONCATENATE("&lt;",HB$3),Movimientos!$C:$C,"&lt;0")</f>
        <v>0</v>
      </c>
      <c r="HC15" s="5">
        <f ca="1">SUMIFS(Movimientos!$C:$C,Movimientos!$A:$A,$B15,Movimientos!$D:$D,CONCATENATE("&lt;=",HC$3),Movimientos!$C:$C,"&gt;0")+SUMIFS(Movimientos!$C:$C,Movimientos!$A:$A,$B15,Movimientos!$D:$D,CONCATENATE("&lt;",HC$3),Movimientos!$C:$C,"&lt;0")</f>
        <v>0</v>
      </c>
      <c r="HD15" s="5">
        <f ca="1">SUMIFS(Movimientos!$C:$C,Movimientos!$A:$A,$B15,Movimientos!$D:$D,CONCATENATE("&lt;=",HD$3),Movimientos!$C:$C,"&gt;0")+SUMIFS(Movimientos!$C:$C,Movimientos!$A:$A,$B15,Movimientos!$D:$D,CONCATENATE("&lt;",HD$3),Movimientos!$C:$C,"&lt;0")</f>
        <v>0</v>
      </c>
      <c r="HE15" s="5">
        <f ca="1">SUMIFS(Movimientos!$C:$C,Movimientos!$A:$A,$B15,Movimientos!$D:$D,CONCATENATE("&lt;=",HE$3),Movimientos!$C:$C,"&gt;0")+SUMIFS(Movimientos!$C:$C,Movimientos!$A:$A,$B15,Movimientos!$D:$D,CONCATENATE("&lt;",HE$3),Movimientos!$C:$C,"&lt;0")</f>
        <v>0</v>
      </c>
      <c r="HF15" s="5">
        <f ca="1">SUMIFS(Movimientos!$C:$C,Movimientos!$A:$A,$B15,Movimientos!$D:$D,CONCATENATE("&lt;=",HF$3),Movimientos!$C:$C,"&gt;0")+SUMIFS(Movimientos!$C:$C,Movimientos!$A:$A,$B15,Movimientos!$D:$D,CONCATENATE("&lt;",HF$3),Movimientos!$C:$C,"&lt;0")</f>
        <v>0</v>
      </c>
      <c r="HG15" s="5">
        <f ca="1">SUMIFS(Movimientos!$C:$C,Movimientos!$A:$A,$B15,Movimientos!$D:$D,CONCATENATE("&lt;=",HG$3),Movimientos!$C:$C,"&gt;0")+SUMIFS(Movimientos!$C:$C,Movimientos!$A:$A,$B15,Movimientos!$D:$D,CONCATENATE("&lt;",HG$3),Movimientos!$C:$C,"&lt;0")</f>
        <v>0</v>
      </c>
      <c r="HH15" s="5">
        <f ca="1">SUMIFS(Movimientos!$C:$C,Movimientos!$A:$A,$B15,Movimientos!$D:$D,CONCATENATE("&lt;=",HH$3),Movimientos!$C:$C,"&gt;0")+SUMIFS(Movimientos!$C:$C,Movimientos!$A:$A,$B15,Movimientos!$D:$D,CONCATENATE("&lt;",HH$3),Movimientos!$C:$C,"&lt;0")</f>
        <v>0</v>
      </c>
      <c r="HI15" s="5">
        <f ca="1">SUMIFS(Movimientos!$C:$C,Movimientos!$A:$A,$B15,Movimientos!$D:$D,CONCATENATE("&lt;=",HI$3),Movimientos!$C:$C,"&gt;0")+SUMIFS(Movimientos!$C:$C,Movimientos!$A:$A,$B15,Movimientos!$D:$D,CONCATENATE("&lt;",HI$3),Movimientos!$C:$C,"&lt;0")</f>
        <v>0</v>
      </c>
      <c r="HJ15" s="5">
        <f ca="1">SUMIFS(Movimientos!$C:$C,Movimientos!$A:$A,$B15,Movimientos!$D:$D,CONCATENATE("&lt;=",HJ$3),Movimientos!$C:$C,"&gt;0")+SUMIFS(Movimientos!$C:$C,Movimientos!$A:$A,$B15,Movimientos!$D:$D,CONCATENATE("&lt;",HJ$3),Movimientos!$C:$C,"&lt;0")</f>
        <v>0</v>
      </c>
      <c r="HK15" s="5">
        <f ca="1">SUMIFS(Movimientos!$C:$C,Movimientos!$A:$A,$B15,Movimientos!$D:$D,CONCATENATE("&lt;=",HK$3),Movimientos!$C:$C,"&gt;0")+SUMIFS(Movimientos!$C:$C,Movimientos!$A:$A,$B15,Movimientos!$D:$D,CONCATENATE("&lt;",HK$3),Movimientos!$C:$C,"&lt;0")</f>
        <v>0</v>
      </c>
      <c r="HL15" s="5">
        <f ca="1">SUMIFS(Movimientos!$C:$C,Movimientos!$A:$A,$B15,Movimientos!$D:$D,CONCATENATE("&lt;=",HL$3),Movimientos!$C:$C,"&gt;0")+SUMIFS(Movimientos!$C:$C,Movimientos!$A:$A,$B15,Movimientos!$D:$D,CONCATENATE("&lt;",HL$3),Movimientos!$C:$C,"&lt;0")</f>
        <v>0</v>
      </c>
      <c r="HM15" s="5">
        <f ca="1">SUMIFS(Movimientos!$C:$C,Movimientos!$A:$A,$B15,Movimientos!$D:$D,CONCATENATE("&lt;=",HM$3),Movimientos!$C:$C,"&gt;0")+SUMIFS(Movimientos!$C:$C,Movimientos!$A:$A,$B15,Movimientos!$D:$D,CONCATENATE("&lt;",HM$3),Movimientos!$C:$C,"&lt;0")</f>
        <v>0</v>
      </c>
      <c r="HN15" s="5">
        <f ca="1">SUMIFS(Movimientos!$C:$C,Movimientos!$A:$A,$B15,Movimientos!$D:$D,CONCATENATE("&lt;=",HN$3),Movimientos!$C:$C,"&gt;0")+SUMIFS(Movimientos!$C:$C,Movimientos!$A:$A,$B15,Movimientos!$D:$D,CONCATENATE("&lt;",HN$3),Movimientos!$C:$C,"&lt;0")</f>
        <v>0</v>
      </c>
      <c r="HO15" s="5">
        <f ca="1">SUMIFS(Movimientos!$C:$C,Movimientos!$A:$A,$B15,Movimientos!$D:$D,CONCATENATE("&lt;=",HO$3),Movimientos!$C:$C,"&gt;0")+SUMIFS(Movimientos!$C:$C,Movimientos!$A:$A,$B15,Movimientos!$D:$D,CONCATENATE("&lt;",HO$3),Movimientos!$C:$C,"&lt;0")</f>
        <v>0</v>
      </c>
      <c r="HP15" s="5">
        <f ca="1">SUMIFS(Movimientos!$C:$C,Movimientos!$A:$A,$B15,Movimientos!$D:$D,CONCATENATE("&lt;=",HP$3),Movimientos!$C:$C,"&gt;0")+SUMIFS(Movimientos!$C:$C,Movimientos!$A:$A,$B15,Movimientos!$D:$D,CONCATENATE("&lt;",HP$3),Movimientos!$C:$C,"&lt;0")</f>
        <v>0</v>
      </c>
      <c r="HQ15" s="5">
        <f ca="1">SUMIFS(Movimientos!$C:$C,Movimientos!$A:$A,$B15,Movimientos!$D:$D,CONCATENATE("&lt;=",HQ$3),Movimientos!$C:$C,"&gt;0")+SUMIFS(Movimientos!$C:$C,Movimientos!$A:$A,$B15,Movimientos!$D:$D,CONCATENATE("&lt;",HQ$3),Movimientos!$C:$C,"&lt;0")</f>
        <v>0</v>
      </c>
      <c r="HR15" s="5">
        <f ca="1">SUMIFS(Movimientos!$C:$C,Movimientos!$A:$A,$B15,Movimientos!$D:$D,CONCATENATE("&lt;=",HR$3),Movimientos!$C:$C,"&gt;0")+SUMIFS(Movimientos!$C:$C,Movimientos!$A:$A,$B15,Movimientos!$D:$D,CONCATENATE("&lt;",HR$3),Movimientos!$C:$C,"&lt;0")</f>
        <v>0</v>
      </c>
      <c r="HS15" s="5">
        <f ca="1">SUMIFS(Movimientos!$C:$C,Movimientos!$A:$A,$B15,Movimientos!$D:$D,CONCATENATE("&lt;=",HS$3),Movimientos!$C:$C,"&gt;0")+SUMIFS(Movimientos!$C:$C,Movimientos!$A:$A,$B15,Movimientos!$D:$D,CONCATENATE("&lt;",HS$3),Movimientos!$C:$C,"&lt;0")</f>
        <v>0</v>
      </c>
      <c r="HT15" s="5">
        <f ca="1">SUMIFS(Movimientos!$C:$C,Movimientos!$A:$A,$B15,Movimientos!$D:$D,CONCATENATE("&lt;=",HT$3),Movimientos!$C:$C,"&gt;0")+SUMIFS(Movimientos!$C:$C,Movimientos!$A:$A,$B15,Movimientos!$D:$D,CONCATENATE("&lt;",HT$3),Movimientos!$C:$C,"&lt;0")</f>
        <v>0</v>
      </c>
      <c r="HU15" s="5">
        <f ca="1">SUMIFS(Movimientos!$C:$C,Movimientos!$A:$A,$B15,Movimientos!$D:$D,CONCATENATE("&lt;=",HU$3),Movimientos!$C:$C,"&gt;0")+SUMIFS(Movimientos!$C:$C,Movimientos!$A:$A,$B15,Movimientos!$D:$D,CONCATENATE("&lt;",HU$3),Movimientos!$C:$C,"&lt;0")</f>
        <v>0</v>
      </c>
      <c r="HV15" s="5">
        <f ca="1">SUMIFS(Movimientos!$C:$C,Movimientos!$A:$A,$B15,Movimientos!$D:$D,CONCATENATE("&lt;=",HV$3),Movimientos!$C:$C,"&gt;0")+SUMIFS(Movimientos!$C:$C,Movimientos!$A:$A,$B15,Movimientos!$D:$D,CONCATENATE("&lt;",HV$3),Movimientos!$C:$C,"&lt;0")</f>
        <v>0</v>
      </c>
      <c r="HW15" s="5">
        <f ca="1">SUMIFS(Movimientos!$C:$C,Movimientos!$A:$A,$B15,Movimientos!$D:$D,CONCATENATE("&lt;=",HW$3),Movimientos!$C:$C,"&gt;0")+SUMIFS(Movimientos!$C:$C,Movimientos!$A:$A,$B15,Movimientos!$D:$D,CONCATENATE("&lt;",HW$3),Movimientos!$C:$C,"&lt;0")</f>
        <v>0</v>
      </c>
      <c r="HX15" s="5">
        <f ca="1">SUMIFS(Movimientos!$C:$C,Movimientos!$A:$A,$B15,Movimientos!$D:$D,CONCATENATE("&lt;=",HX$3),Movimientos!$C:$C,"&gt;0")+SUMIFS(Movimientos!$C:$C,Movimientos!$A:$A,$B15,Movimientos!$D:$D,CONCATENATE("&lt;",HX$3),Movimientos!$C:$C,"&lt;0")</f>
        <v>0</v>
      </c>
      <c r="HY15" s="5">
        <f ca="1">SUMIFS(Movimientos!$C:$C,Movimientos!$A:$A,$B15,Movimientos!$D:$D,CONCATENATE("&lt;=",HY$3),Movimientos!$C:$C,"&gt;0")+SUMIFS(Movimientos!$C:$C,Movimientos!$A:$A,$B15,Movimientos!$D:$D,CONCATENATE("&lt;",HY$3),Movimientos!$C:$C,"&lt;0")</f>
        <v>0</v>
      </c>
      <c r="HZ15" s="5">
        <f ca="1">SUMIFS(Movimientos!$C:$C,Movimientos!$A:$A,$B15,Movimientos!$D:$D,CONCATENATE("&lt;=",HZ$3),Movimientos!$C:$C,"&gt;0")+SUMIFS(Movimientos!$C:$C,Movimientos!$A:$A,$B15,Movimientos!$D:$D,CONCATENATE("&lt;",HZ$3),Movimientos!$C:$C,"&lt;0")</f>
        <v>0</v>
      </c>
      <c r="IA15" s="5">
        <f ca="1">SUMIFS(Movimientos!$C:$C,Movimientos!$A:$A,$B15,Movimientos!$D:$D,CONCATENATE("&lt;=",IA$3),Movimientos!$C:$C,"&gt;0")+SUMIFS(Movimientos!$C:$C,Movimientos!$A:$A,$B15,Movimientos!$D:$D,CONCATENATE("&lt;",IA$3),Movimientos!$C:$C,"&lt;0")</f>
        <v>0</v>
      </c>
      <c r="IB15" s="5">
        <f ca="1">SUMIFS(Movimientos!$C:$C,Movimientos!$A:$A,$B15,Movimientos!$D:$D,CONCATENATE("&lt;=",IB$3),Movimientos!$C:$C,"&gt;0")+SUMIFS(Movimientos!$C:$C,Movimientos!$A:$A,$B15,Movimientos!$D:$D,CONCATENATE("&lt;",IB$3),Movimientos!$C:$C,"&lt;0")</f>
        <v>0</v>
      </c>
      <c r="IC15" s="5">
        <f ca="1">SUMIFS(Movimientos!$C:$C,Movimientos!$A:$A,$B15,Movimientos!$D:$D,CONCATENATE("&lt;=",IC$3),Movimientos!$C:$C,"&gt;0")+SUMIFS(Movimientos!$C:$C,Movimientos!$A:$A,$B15,Movimientos!$D:$D,CONCATENATE("&lt;",IC$3),Movimientos!$C:$C,"&lt;0")</f>
        <v>0</v>
      </c>
      <c r="ID15" s="5">
        <f ca="1">SUMIFS(Movimientos!$C:$C,Movimientos!$A:$A,$B15,Movimientos!$D:$D,CONCATENATE("&lt;=",ID$3),Movimientos!$C:$C,"&gt;0")+SUMIFS(Movimientos!$C:$C,Movimientos!$A:$A,$B15,Movimientos!$D:$D,CONCATENATE("&lt;",ID$3),Movimientos!$C:$C,"&lt;0")</f>
        <v>0</v>
      </c>
      <c r="IE15" s="5">
        <f ca="1">SUMIFS(Movimientos!$C:$C,Movimientos!$A:$A,$B15,Movimientos!$D:$D,CONCATENATE("&lt;=",IE$3),Movimientos!$C:$C,"&gt;0")+SUMIFS(Movimientos!$C:$C,Movimientos!$A:$A,$B15,Movimientos!$D:$D,CONCATENATE("&lt;",IE$3),Movimientos!$C:$C,"&lt;0")</f>
        <v>0</v>
      </c>
      <c r="IF15" s="5">
        <f ca="1">SUMIFS(Movimientos!$C:$C,Movimientos!$A:$A,$B15,Movimientos!$D:$D,CONCATENATE("&lt;=",IF$3),Movimientos!$C:$C,"&gt;0")+SUMIFS(Movimientos!$C:$C,Movimientos!$A:$A,$B15,Movimientos!$D:$D,CONCATENATE("&lt;",IF$3),Movimientos!$C:$C,"&lt;0")</f>
        <v>0</v>
      </c>
      <c r="IG15" s="5">
        <f ca="1">SUMIFS(Movimientos!$C:$C,Movimientos!$A:$A,$B15,Movimientos!$D:$D,CONCATENATE("&lt;=",IG$3),Movimientos!$C:$C,"&gt;0")+SUMIFS(Movimientos!$C:$C,Movimientos!$A:$A,$B15,Movimientos!$D:$D,CONCATENATE("&lt;",IG$3),Movimientos!$C:$C,"&lt;0")</f>
        <v>0</v>
      </c>
      <c r="IH15" s="5">
        <f ca="1">SUMIFS(Movimientos!$C:$C,Movimientos!$A:$A,$B15,Movimientos!$D:$D,CONCATENATE("&lt;=",IH$3),Movimientos!$C:$C,"&gt;0")+SUMIFS(Movimientos!$C:$C,Movimientos!$A:$A,$B15,Movimientos!$D:$D,CONCATENATE("&lt;",IH$3),Movimientos!$C:$C,"&lt;0")</f>
        <v>0</v>
      </c>
      <c r="II15" s="5">
        <f ca="1">SUMIFS(Movimientos!$C:$C,Movimientos!$A:$A,$B15,Movimientos!$D:$D,CONCATENATE("&lt;=",II$3),Movimientos!$C:$C,"&gt;0")+SUMIFS(Movimientos!$C:$C,Movimientos!$A:$A,$B15,Movimientos!$D:$D,CONCATENATE("&lt;",II$3),Movimientos!$C:$C,"&lt;0")</f>
        <v>0</v>
      </c>
      <c r="IJ15" s="5">
        <f ca="1">SUMIFS(Movimientos!$C:$C,Movimientos!$A:$A,$B15,Movimientos!$D:$D,CONCATENATE("&lt;=",IJ$3),Movimientos!$C:$C,"&gt;0")+SUMIFS(Movimientos!$C:$C,Movimientos!$A:$A,$B15,Movimientos!$D:$D,CONCATENATE("&lt;",IJ$3),Movimientos!$C:$C,"&lt;0")</f>
        <v>0</v>
      </c>
      <c r="IK15" s="5">
        <f ca="1">SUMIFS(Movimientos!$C:$C,Movimientos!$A:$A,$B15,Movimientos!$D:$D,CONCATENATE("&lt;=",IK$3),Movimientos!$C:$C,"&gt;0")+SUMIFS(Movimientos!$C:$C,Movimientos!$A:$A,$B15,Movimientos!$D:$D,CONCATENATE("&lt;",IK$3),Movimientos!$C:$C,"&lt;0")</f>
        <v>0</v>
      </c>
      <c r="IL15" s="5">
        <f ca="1">SUMIFS(Movimientos!$C:$C,Movimientos!$A:$A,$B15,Movimientos!$D:$D,CONCATENATE("&lt;=",IL$3),Movimientos!$C:$C,"&gt;0")+SUMIFS(Movimientos!$C:$C,Movimientos!$A:$A,$B15,Movimientos!$D:$D,CONCATENATE("&lt;",IL$3),Movimientos!$C:$C,"&lt;0")</f>
        <v>0</v>
      </c>
      <c r="IM15" s="5">
        <f ca="1">SUMIFS(Movimientos!$C:$C,Movimientos!$A:$A,$B15,Movimientos!$D:$D,CONCATENATE("&lt;=",IM$3),Movimientos!$C:$C,"&gt;0")+SUMIFS(Movimientos!$C:$C,Movimientos!$A:$A,$B15,Movimientos!$D:$D,CONCATENATE("&lt;",IM$3),Movimientos!$C:$C,"&lt;0")</f>
        <v>0</v>
      </c>
      <c r="IN15" s="5">
        <f ca="1">SUMIFS(Movimientos!$C:$C,Movimientos!$A:$A,$B15,Movimientos!$D:$D,CONCATENATE("&lt;=",IN$3),Movimientos!$C:$C,"&gt;0")+SUMIFS(Movimientos!$C:$C,Movimientos!$A:$A,$B15,Movimientos!$D:$D,CONCATENATE("&lt;",IN$3),Movimientos!$C:$C,"&lt;0")</f>
        <v>0</v>
      </c>
      <c r="IO15" s="5">
        <f ca="1">SUMIFS(Movimientos!$C:$C,Movimientos!$A:$A,$B15,Movimientos!$D:$D,CONCATENATE("&lt;=",IO$3),Movimientos!$C:$C,"&gt;0")+SUMIFS(Movimientos!$C:$C,Movimientos!$A:$A,$B15,Movimientos!$D:$D,CONCATENATE("&lt;",IO$3),Movimientos!$C:$C,"&lt;0")</f>
        <v>0</v>
      </c>
      <c r="IP15" s="5">
        <f ca="1">SUMIFS(Movimientos!$C:$C,Movimientos!$A:$A,$B15,Movimientos!$D:$D,CONCATENATE("&lt;=",IP$3),Movimientos!$C:$C,"&gt;0")+SUMIFS(Movimientos!$C:$C,Movimientos!$A:$A,$B15,Movimientos!$D:$D,CONCATENATE("&lt;",IP$3),Movimientos!$C:$C,"&lt;0")</f>
        <v>0</v>
      </c>
      <c r="IQ15" s="5">
        <f ca="1">SUMIFS(Movimientos!$C:$C,Movimientos!$A:$A,$B15,Movimientos!$D:$D,CONCATENATE("&lt;=",IQ$3),Movimientos!$C:$C,"&gt;0")+SUMIFS(Movimientos!$C:$C,Movimientos!$A:$A,$B15,Movimientos!$D:$D,CONCATENATE("&lt;",IQ$3),Movimientos!$C:$C,"&lt;0")</f>
        <v>0</v>
      </c>
      <c r="IR15" s="5">
        <f ca="1">SUMIFS(Movimientos!$C:$C,Movimientos!$A:$A,$B15,Movimientos!$D:$D,CONCATENATE("&lt;=",IR$3),Movimientos!$C:$C,"&gt;0")+SUMIFS(Movimientos!$C:$C,Movimientos!$A:$A,$B15,Movimientos!$D:$D,CONCATENATE("&lt;",IR$3),Movimientos!$C:$C,"&lt;0")</f>
        <v>0</v>
      </c>
      <c r="IS15" s="5">
        <f ca="1">SUMIFS(Movimientos!$C:$C,Movimientos!$A:$A,$B15,Movimientos!$D:$D,CONCATENATE("&lt;=",IS$3),Movimientos!$C:$C,"&gt;0")+SUMIFS(Movimientos!$C:$C,Movimientos!$A:$A,$B15,Movimientos!$D:$D,CONCATENATE("&lt;",IS$3),Movimientos!$C:$C,"&lt;0")</f>
        <v>0</v>
      </c>
      <c r="IT15" s="5">
        <f ca="1">SUMIFS(Movimientos!$C:$C,Movimientos!$A:$A,$B15,Movimientos!$D:$D,CONCATENATE("&lt;=",IT$3),Movimientos!$C:$C,"&gt;0")+SUMIFS(Movimientos!$C:$C,Movimientos!$A:$A,$B15,Movimientos!$D:$D,CONCATENATE("&lt;",IT$3),Movimientos!$C:$C,"&lt;0")</f>
        <v>0</v>
      </c>
      <c r="IU15" s="5">
        <f ca="1">SUMIFS(Movimientos!$C:$C,Movimientos!$A:$A,$B15,Movimientos!$D:$D,CONCATENATE("&lt;=",IU$3),Movimientos!$C:$C,"&gt;0")+SUMIFS(Movimientos!$C:$C,Movimientos!$A:$A,$B15,Movimientos!$D:$D,CONCATENATE("&lt;",IU$3),Movimientos!$C:$C,"&lt;0")</f>
        <v>0</v>
      </c>
      <c r="IV15" s="5">
        <f ca="1">SUMIFS(Movimientos!$C:$C,Movimientos!$A:$A,$B15,Movimientos!$D:$D,CONCATENATE("&lt;=",IV$3),Movimientos!$C:$C,"&gt;0")+SUMIFS(Movimientos!$C:$C,Movimientos!$A:$A,$B15,Movimientos!$D:$D,CONCATENATE("&lt;",IV$3),Movimientos!$C:$C,"&lt;0")</f>
        <v>0</v>
      </c>
      <c r="IW15" s="5">
        <f ca="1">SUMIFS(Movimientos!$C:$C,Movimientos!$A:$A,$B15,Movimientos!$D:$D,CONCATENATE("&lt;=",IW$3),Movimientos!$C:$C,"&gt;0")+SUMIFS(Movimientos!$C:$C,Movimientos!$A:$A,$B15,Movimientos!$D:$D,CONCATENATE("&lt;",IW$3),Movimientos!$C:$C,"&lt;0")</f>
        <v>0</v>
      </c>
      <c r="IX15" s="5">
        <f ca="1">SUMIFS(Movimientos!$C:$C,Movimientos!$A:$A,$B15,Movimientos!$D:$D,CONCATENATE("&lt;=",IX$3),Movimientos!$C:$C,"&gt;0")+SUMIFS(Movimientos!$C:$C,Movimientos!$A:$A,$B15,Movimientos!$D:$D,CONCATENATE("&lt;",IX$3),Movimientos!$C:$C,"&lt;0")</f>
        <v>0</v>
      </c>
      <c r="IY15" s="5">
        <f ca="1">SUMIFS(Movimientos!$C:$C,Movimientos!$A:$A,$B15,Movimientos!$D:$D,CONCATENATE("&lt;=",IY$3),Movimientos!$C:$C,"&gt;0")+SUMIFS(Movimientos!$C:$C,Movimientos!$A:$A,$B15,Movimientos!$D:$D,CONCATENATE("&lt;",IY$3),Movimientos!$C:$C,"&lt;0")</f>
        <v>0</v>
      </c>
      <c r="IZ15" s="5">
        <f ca="1">SUMIFS(Movimientos!$C:$C,Movimientos!$A:$A,$B15,Movimientos!$D:$D,CONCATENATE("&lt;=",IZ$3),Movimientos!$C:$C,"&gt;0")+SUMIFS(Movimientos!$C:$C,Movimientos!$A:$A,$B15,Movimientos!$D:$D,CONCATENATE("&lt;",IZ$3),Movimientos!$C:$C,"&lt;0")</f>
        <v>0</v>
      </c>
      <c r="JA15" s="5">
        <f ca="1">SUMIFS(Movimientos!$C:$C,Movimientos!$A:$A,$B15,Movimientos!$D:$D,CONCATENATE("&lt;=",JA$3),Movimientos!$C:$C,"&gt;0")+SUMIFS(Movimientos!$C:$C,Movimientos!$A:$A,$B15,Movimientos!$D:$D,CONCATENATE("&lt;",JA$3),Movimientos!$C:$C,"&lt;0")</f>
        <v>0</v>
      </c>
      <c r="JB15" s="5">
        <f ca="1">SUMIFS(Movimientos!$C:$C,Movimientos!$A:$A,$B15,Movimientos!$D:$D,CONCATENATE("&lt;=",JB$3),Movimientos!$C:$C,"&gt;0")+SUMIFS(Movimientos!$C:$C,Movimientos!$A:$A,$B15,Movimientos!$D:$D,CONCATENATE("&lt;",JB$3),Movimientos!$C:$C,"&lt;0")</f>
        <v>0</v>
      </c>
      <c r="JC15" s="5">
        <f ca="1">SUMIFS(Movimientos!$C:$C,Movimientos!$A:$A,$B15,Movimientos!$D:$D,CONCATENATE("&lt;=",JC$3),Movimientos!$C:$C,"&gt;0")+SUMIFS(Movimientos!$C:$C,Movimientos!$A:$A,$B15,Movimientos!$D:$D,CONCATENATE("&lt;",JC$3),Movimientos!$C:$C,"&lt;0")</f>
        <v>0</v>
      </c>
      <c r="JD15" s="5">
        <f ca="1">SUMIFS(Movimientos!$C:$C,Movimientos!$A:$A,$B15,Movimientos!$D:$D,CONCATENATE("&lt;=",JD$3),Movimientos!$C:$C,"&gt;0")+SUMIFS(Movimientos!$C:$C,Movimientos!$A:$A,$B15,Movimientos!$D:$D,CONCATENATE("&lt;",JD$3),Movimientos!$C:$C,"&lt;0")</f>
        <v>0</v>
      </c>
      <c r="JE15" s="5">
        <f ca="1">SUMIFS(Movimientos!$C:$C,Movimientos!$A:$A,$B15,Movimientos!$D:$D,CONCATENATE("&lt;=",JE$3),Movimientos!$C:$C,"&gt;0")+SUMIFS(Movimientos!$C:$C,Movimientos!$A:$A,$B15,Movimientos!$D:$D,CONCATENATE("&lt;",JE$3),Movimientos!$C:$C,"&lt;0")</f>
        <v>0</v>
      </c>
      <c r="JF15" s="5">
        <f ca="1">SUMIFS(Movimientos!$C:$C,Movimientos!$A:$A,$B15,Movimientos!$D:$D,CONCATENATE("&lt;=",JF$3),Movimientos!$C:$C,"&gt;0")+SUMIFS(Movimientos!$C:$C,Movimientos!$A:$A,$B15,Movimientos!$D:$D,CONCATENATE("&lt;",JF$3),Movimientos!$C:$C,"&lt;0")</f>
        <v>0</v>
      </c>
      <c r="JG15" s="5">
        <f ca="1">SUMIFS(Movimientos!$C:$C,Movimientos!$A:$A,$B15,Movimientos!$D:$D,CONCATENATE("&lt;=",JG$3),Movimientos!$C:$C,"&gt;0")+SUMIFS(Movimientos!$C:$C,Movimientos!$A:$A,$B15,Movimientos!$D:$D,CONCATENATE("&lt;",JG$3),Movimientos!$C:$C,"&lt;0")</f>
        <v>0</v>
      </c>
      <c r="JH15" s="5">
        <f ca="1">SUMIFS(Movimientos!$C:$C,Movimientos!$A:$A,$B15,Movimientos!$D:$D,CONCATENATE("&lt;=",JH$3),Movimientos!$C:$C,"&gt;0")+SUMIFS(Movimientos!$C:$C,Movimientos!$A:$A,$B15,Movimientos!$D:$D,CONCATENATE("&lt;",JH$3),Movimientos!$C:$C,"&lt;0")</f>
        <v>0</v>
      </c>
      <c r="JI15" s="5">
        <f ca="1">SUMIFS(Movimientos!$C:$C,Movimientos!$A:$A,$B15,Movimientos!$D:$D,CONCATENATE("&lt;=",JI$3),Movimientos!$C:$C,"&gt;0")+SUMIFS(Movimientos!$C:$C,Movimientos!$A:$A,$B15,Movimientos!$D:$D,CONCATENATE("&lt;",JI$3),Movimientos!$C:$C,"&lt;0")</f>
        <v>0</v>
      </c>
      <c r="JJ15" s="5">
        <f ca="1">SUMIFS(Movimientos!$C:$C,Movimientos!$A:$A,$B15,Movimientos!$D:$D,CONCATENATE("&lt;=",JJ$3),Movimientos!$C:$C,"&gt;0")+SUMIFS(Movimientos!$C:$C,Movimientos!$A:$A,$B15,Movimientos!$D:$D,CONCATENATE("&lt;",JJ$3),Movimientos!$C:$C,"&lt;0")</f>
        <v>0</v>
      </c>
      <c r="JK15" s="5">
        <f ca="1">SUMIFS(Movimientos!$C:$C,Movimientos!$A:$A,$B15,Movimientos!$D:$D,CONCATENATE("&lt;=",JK$3),Movimientos!$C:$C,"&gt;0")+SUMIFS(Movimientos!$C:$C,Movimientos!$A:$A,$B15,Movimientos!$D:$D,CONCATENATE("&lt;",JK$3),Movimientos!$C:$C,"&lt;0")</f>
        <v>0</v>
      </c>
      <c r="JL15" s="5">
        <f ca="1">SUMIFS(Movimientos!$C:$C,Movimientos!$A:$A,$B15,Movimientos!$D:$D,CONCATENATE("&lt;=",JL$3),Movimientos!$C:$C,"&gt;0")+SUMIFS(Movimientos!$C:$C,Movimientos!$A:$A,$B15,Movimientos!$D:$D,CONCATENATE("&lt;",JL$3),Movimientos!$C:$C,"&lt;0")</f>
        <v>0</v>
      </c>
      <c r="JM15" s="5">
        <f ca="1">SUMIFS(Movimientos!$C:$C,Movimientos!$A:$A,$B15,Movimientos!$D:$D,CONCATENATE("&lt;=",JM$3),Movimientos!$C:$C,"&gt;0")+SUMIFS(Movimientos!$C:$C,Movimientos!$A:$A,$B15,Movimientos!$D:$D,CONCATENATE("&lt;",JM$3),Movimientos!$C:$C,"&lt;0")</f>
        <v>0</v>
      </c>
      <c r="JN15" s="5">
        <f ca="1">SUMIFS(Movimientos!$C:$C,Movimientos!$A:$A,$B15,Movimientos!$D:$D,CONCATENATE("&lt;=",JN$3),Movimientos!$C:$C,"&gt;0")+SUMIFS(Movimientos!$C:$C,Movimientos!$A:$A,$B15,Movimientos!$D:$D,CONCATENATE("&lt;",JN$3),Movimientos!$C:$C,"&lt;0")</f>
        <v>0</v>
      </c>
      <c r="JO15" s="5">
        <f ca="1">SUMIFS(Movimientos!$C:$C,Movimientos!$A:$A,$B15,Movimientos!$D:$D,CONCATENATE("&lt;=",JO$3),Movimientos!$C:$C,"&gt;0")+SUMIFS(Movimientos!$C:$C,Movimientos!$A:$A,$B15,Movimientos!$D:$D,CONCATENATE("&lt;",JO$3),Movimientos!$C:$C,"&lt;0")</f>
        <v>0</v>
      </c>
      <c r="JP15" s="5">
        <f ca="1">SUMIFS(Movimientos!$C:$C,Movimientos!$A:$A,$B15,Movimientos!$D:$D,CONCATENATE("&lt;=",JP$3),Movimientos!$C:$C,"&gt;0")+SUMIFS(Movimientos!$C:$C,Movimientos!$A:$A,$B15,Movimientos!$D:$D,CONCATENATE("&lt;",JP$3),Movimientos!$C:$C,"&lt;0")</f>
        <v>0</v>
      </c>
      <c r="JQ15" s="5">
        <f ca="1">SUMIFS(Movimientos!$C:$C,Movimientos!$A:$A,$B15,Movimientos!$D:$D,CONCATENATE("&lt;=",JQ$3),Movimientos!$C:$C,"&gt;0")+SUMIFS(Movimientos!$C:$C,Movimientos!$A:$A,$B15,Movimientos!$D:$D,CONCATENATE("&lt;",JQ$3),Movimientos!$C:$C,"&lt;0")</f>
        <v>0</v>
      </c>
      <c r="JR15" s="5">
        <f ca="1">SUMIFS(Movimientos!$C:$C,Movimientos!$A:$A,$B15,Movimientos!$D:$D,CONCATENATE("&lt;=",JR$3),Movimientos!$C:$C,"&gt;0")+SUMIFS(Movimientos!$C:$C,Movimientos!$A:$A,$B15,Movimientos!$D:$D,CONCATENATE("&lt;",JR$3),Movimientos!$C:$C,"&lt;0")</f>
        <v>0</v>
      </c>
      <c r="JS15" s="5">
        <f ca="1">SUMIFS(Movimientos!$C:$C,Movimientos!$A:$A,$B15,Movimientos!$D:$D,CONCATENATE("&lt;=",JS$3),Movimientos!$C:$C,"&gt;0")+SUMIFS(Movimientos!$C:$C,Movimientos!$A:$A,$B15,Movimientos!$D:$D,CONCATENATE("&lt;",JS$3),Movimientos!$C:$C,"&lt;0")</f>
        <v>0</v>
      </c>
      <c r="JT15" s="5">
        <f ca="1">SUMIFS(Movimientos!$C:$C,Movimientos!$A:$A,$B15,Movimientos!$D:$D,CONCATENATE("&lt;=",JT$3),Movimientos!$C:$C,"&gt;0")+SUMIFS(Movimientos!$C:$C,Movimientos!$A:$A,$B15,Movimientos!$D:$D,CONCATENATE("&lt;",JT$3),Movimientos!$C:$C,"&lt;0")</f>
        <v>0</v>
      </c>
      <c r="JU15" s="5">
        <f ca="1">SUMIFS(Movimientos!$C:$C,Movimientos!$A:$A,$B15,Movimientos!$D:$D,CONCATENATE("&lt;=",JU$3),Movimientos!$C:$C,"&gt;0")+SUMIFS(Movimientos!$C:$C,Movimientos!$A:$A,$B15,Movimientos!$D:$D,CONCATENATE("&lt;",JU$3),Movimientos!$C:$C,"&lt;0")</f>
        <v>0</v>
      </c>
      <c r="JV15" s="5">
        <f ca="1">SUMIFS(Movimientos!$C:$C,Movimientos!$A:$A,$B15,Movimientos!$D:$D,CONCATENATE("&lt;=",JV$3),Movimientos!$C:$C,"&gt;0")+SUMIFS(Movimientos!$C:$C,Movimientos!$A:$A,$B15,Movimientos!$D:$D,CONCATENATE("&lt;",JV$3),Movimientos!$C:$C,"&lt;0")</f>
        <v>0</v>
      </c>
      <c r="JW15" s="5">
        <f ca="1">SUMIFS(Movimientos!$C:$C,Movimientos!$A:$A,$B15,Movimientos!$D:$D,CONCATENATE("&lt;=",JW$3),Movimientos!$C:$C,"&gt;0")+SUMIFS(Movimientos!$C:$C,Movimientos!$A:$A,$B15,Movimientos!$D:$D,CONCATENATE("&lt;",JW$3),Movimientos!$C:$C,"&lt;0")</f>
        <v>0</v>
      </c>
      <c r="JX15" s="5">
        <f ca="1">SUMIFS(Movimientos!$C:$C,Movimientos!$A:$A,$B15,Movimientos!$D:$D,CONCATENATE("&lt;=",JX$3),Movimientos!$C:$C,"&gt;0")+SUMIFS(Movimientos!$C:$C,Movimientos!$A:$A,$B15,Movimientos!$D:$D,CONCATENATE("&lt;",JX$3),Movimientos!$C:$C,"&lt;0")</f>
        <v>0</v>
      </c>
      <c r="JY15" s="5">
        <f ca="1">SUMIFS(Movimientos!$C:$C,Movimientos!$A:$A,$B15,Movimientos!$D:$D,CONCATENATE("&lt;=",JY$3),Movimientos!$C:$C,"&gt;0")+SUMIFS(Movimientos!$C:$C,Movimientos!$A:$A,$B15,Movimientos!$D:$D,CONCATENATE("&lt;",JY$3),Movimientos!$C:$C,"&lt;0")</f>
        <v>0</v>
      </c>
      <c r="JZ15" s="5">
        <f ca="1">SUMIFS(Movimientos!$C:$C,Movimientos!$A:$A,$B15,Movimientos!$D:$D,CONCATENATE("&lt;=",JZ$3),Movimientos!$C:$C,"&gt;0")+SUMIFS(Movimientos!$C:$C,Movimientos!$A:$A,$B15,Movimientos!$D:$D,CONCATENATE("&lt;",JZ$3),Movimientos!$C:$C,"&lt;0")</f>
        <v>0</v>
      </c>
      <c r="KA15" s="5">
        <f ca="1">SUMIFS(Movimientos!$C:$C,Movimientos!$A:$A,$B15,Movimientos!$D:$D,CONCATENATE("&lt;=",KA$3),Movimientos!$C:$C,"&gt;0")+SUMIFS(Movimientos!$C:$C,Movimientos!$A:$A,$B15,Movimientos!$D:$D,CONCATENATE("&lt;",KA$3),Movimientos!$C:$C,"&lt;0")</f>
        <v>0</v>
      </c>
      <c r="KB15" s="5">
        <f ca="1">SUMIFS(Movimientos!$C:$C,Movimientos!$A:$A,$B15,Movimientos!$D:$D,CONCATENATE("&lt;=",KB$3),Movimientos!$C:$C,"&gt;0")+SUMIFS(Movimientos!$C:$C,Movimientos!$A:$A,$B15,Movimientos!$D:$D,CONCATENATE("&lt;",KB$3),Movimientos!$C:$C,"&lt;0")</f>
        <v>0</v>
      </c>
      <c r="KC15" s="5">
        <f ca="1">SUMIFS(Movimientos!$C:$C,Movimientos!$A:$A,$B15,Movimientos!$D:$D,CONCATENATE("&lt;=",KC$3),Movimientos!$C:$C,"&gt;0")+SUMIFS(Movimientos!$C:$C,Movimientos!$A:$A,$B15,Movimientos!$D:$D,CONCATENATE("&lt;",KC$3),Movimientos!$C:$C,"&lt;0")</f>
        <v>0</v>
      </c>
      <c r="KD15" s="5">
        <f ca="1">SUMIFS(Movimientos!$C:$C,Movimientos!$A:$A,$B15,Movimientos!$D:$D,CONCATENATE("&lt;=",KD$3),Movimientos!$C:$C,"&gt;0")+SUMIFS(Movimientos!$C:$C,Movimientos!$A:$A,$B15,Movimientos!$D:$D,CONCATENATE("&lt;",KD$3),Movimientos!$C:$C,"&lt;0")</f>
        <v>0</v>
      </c>
      <c r="KE15" s="5">
        <f ca="1">SUMIFS(Movimientos!$C:$C,Movimientos!$A:$A,$B15,Movimientos!$D:$D,CONCATENATE("&lt;=",KE$3),Movimientos!$C:$C,"&gt;0")+SUMIFS(Movimientos!$C:$C,Movimientos!$A:$A,$B15,Movimientos!$D:$D,CONCATENATE("&lt;",KE$3),Movimientos!$C:$C,"&lt;0")</f>
        <v>0</v>
      </c>
      <c r="KF15" s="5">
        <f ca="1">SUMIFS(Movimientos!$C:$C,Movimientos!$A:$A,$B15,Movimientos!$D:$D,CONCATENATE("&lt;=",KF$3),Movimientos!$C:$C,"&gt;0")+SUMIFS(Movimientos!$C:$C,Movimientos!$A:$A,$B15,Movimientos!$D:$D,CONCATENATE("&lt;",KF$3),Movimientos!$C:$C,"&lt;0")</f>
        <v>0</v>
      </c>
      <c r="KG15" s="5">
        <f ca="1">SUMIFS(Movimientos!$C:$C,Movimientos!$A:$A,$B15,Movimientos!$D:$D,CONCATENATE("&lt;=",KG$3),Movimientos!$C:$C,"&gt;0")+SUMIFS(Movimientos!$C:$C,Movimientos!$A:$A,$B15,Movimientos!$D:$D,CONCATENATE("&lt;",KG$3),Movimientos!$C:$C,"&lt;0")</f>
        <v>0</v>
      </c>
      <c r="KH15" s="5">
        <f ca="1">SUMIFS(Movimientos!$C:$C,Movimientos!$A:$A,$B15,Movimientos!$D:$D,CONCATENATE("&lt;=",KH$3),Movimientos!$C:$C,"&gt;0")+SUMIFS(Movimientos!$C:$C,Movimientos!$A:$A,$B15,Movimientos!$D:$D,CONCATENATE("&lt;",KH$3),Movimientos!$C:$C,"&lt;0")</f>
        <v>0</v>
      </c>
      <c r="KI15" s="5">
        <f ca="1">SUMIFS(Movimientos!$C:$C,Movimientos!$A:$A,$B15,Movimientos!$D:$D,CONCATENATE("&lt;=",KI$3),Movimientos!$C:$C,"&gt;0")+SUMIFS(Movimientos!$C:$C,Movimientos!$A:$A,$B15,Movimientos!$D:$D,CONCATENATE("&lt;",KI$3),Movimientos!$C:$C,"&lt;0")</f>
        <v>0</v>
      </c>
      <c r="KJ15" s="5">
        <f ca="1">SUMIFS(Movimientos!$C:$C,Movimientos!$A:$A,$B15,Movimientos!$D:$D,CONCATENATE("&lt;=",KJ$3),Movimientos!$C:$C,"&gt;0")+SUMIFS(Movimientos!$C:$C,Movimientos!$A:$A,$B15,Movimientos!$D:$D,CONCATENATE("&lt;",KJ$3),Movimientos!$C:$C,"&lt;0")</f>
        <v>0</v>
      </c>
      <c r="KK15" s="5">
        <f ca="1">SUMIFS(Movimientos!$C:$C,Movimientos!$A:$A,$B15,Movimientos!$D:$D,CONCATENATE("&lt;=",KK$3),Movimientos!$C:$C,"&gt;0")+SUMIFS(Movimientos!$C:$C,Movimientos!$A:$A,$B15,Movimientos!$D:$D,CONCATENATE("&lt;",KK$3),Movimientos!$C:$C,"&lt;0")</f>
        <v>0</v>
      </c>
      <c r="KL15" s="5">
        <f ca="1">SUMIFS(Movimientos!$C:$C,Movimientos!$A:$A,$B15,Movimientos!$D:$D,CONCATENATE("&lt;=",KL$3),Movimientos!$C:$C,"&gt;0")+SUMIFS(Movimientos!$C:$C,Movimientos!$A:$A,$B15,Movimientos!$D:$D,CONCATENATE("&lt;",KL$3),Movimientos!$C:$C,"&lt;0")</f>
        <v>0</v>
      </c>
      <c r="KM15" s="5">
        <f ca="1">SUMIFS(Movimientos!$C:$C,Movimientos!$A:$A,$B15,Movimientos!$D:$D,CONCATENATE("&lt;=",KM$3),Movimientos!$C:$C,"&gt;0")+SUMIFS(Movimientos!$C:$C,Movimientos!$A:$A,$B15,Movimientos!$D:$D,CONCATENATE("&lt;",KM$3),Movimientos!$C:$C,"&lt;0")</f>
        <v>0</v>
      </c>
      <c r="KN15" s="5">
        <f ca="1">SUMIFS(Movimientos!$C:$C,Movimientos!$A:$A,$B15,Movimientos!$D:$D,CONCATENATE("&lt;=",KN$3),Movimientos!$C:$C,"&gt;0")+SUMIFS(Movimientos!$C:$C,Movimientos!$A:$A,$B15,Movimientos!$D:$D,CONCATENATE("&lt;",KN$3),Movimientos!$C:$C,"&lt;0")</f>
        <v>0</v>
      </c>
      <c r="KO15" s="5">
        <f ca="1">SUMIFS(Movimientos!$C:$C,Movimientos!$A:$A,$B15,Movimientos!$D:$D,CONCATENATE("&lt;=",KO$3),Movimientos!$C:$C,"&gt;0")+SUMIFS(Movimientos!$C:$C,Movimientos!$A:$A,$B15,Movimientos!$D:$D,CONCATENATE("&lt;",KO$3),Movimientos!$C:$C,"&lt;0")</f>
        <v>0</v>
      </c>
      <c r="KP15" s="5">
        <f ca="1">SUMIFS(Movimientos!$C:$C,Movimientos!$A:$A,$B15,Movimientos!$D:$D,CONCATENATE("&lt;=",KP$3),Movimientos!$C:$C,"&gt;0")+SUMIFS(Movimientos!$C:$C,Movimientos!$A:$A,$B15,Movimientos!$D:$D,CONCATENATE("&lt;",KP$3),Movimientos!$C:$C,"&lt;0")</f>
        <v>0</v>
      </c>
      <c r="KQ15" s="5">
        <f ca="1">SUMIFS(Movimientos!$C:$C,Movimientos!$A:$A,$B15,Movimientos!$D:$D,CONCATENATE("&lt;=",KQ$3),Movimientos!$C:$C,"&gt;0")+SUMIFS(Movimientos!$C:$C,Movimientos!$A:$A,$B15,Movimientos!$D:$D,CONCATENATE("&lt;",KQ$3),Movimientos!$C:$C,"&lt;0")</f>
        <v>0</v>
      </c>
      <c r="KR15" s="5">
        <f ca="1">SUMIFS(Movimientos!$C:$C,Movimientos!$A:$A,$B15,Movimientos!$D:$D,CONCATENATE("&lt;=",KR$3),Movimientos!$C:$C,"&gt;0")+SUMIFS(Movimientos!$C:$C,Movimientos!$A:$A,$B15,Movimientos!$D:$D,CONCATENATE("&lt;",KR$3),Movimientos!$C:$C,"&lt;0")</f>
        <v>0</v>
      </c>
      <c r="KS15" s="5">
        <f ca="1">SUMIFS(Movimientos!$C:$C,Movimientos!$A:$A,$B15,Movimientos!$D:$D,CONCATENATE("&lt;=",KS$3),Movimientos!$C:$C,"&gt;0")+SUMIFS(Movimientos!$C:$C,Movimientos!$A:$A,$B15,Movimientos!$D:$D,CONCATENATE("&lt;",KS$3),Movimientos!$C:$C,"&lt;0")</f>
        <v>0</v>
      </c>
      <c r="KT15" s="5">
        <f ca="1">SUMIFS(Movimientos!$C:$C,Movimientos!$A:$A,$B15,Movimientos!$D:$D,CONCATENATE("&lt;=",KT$3),Movimientos!$C:$C,"&gt;0")+SUMIFS(Movimientos!$C:$C,Movimientos!$A:$A,$B15,Movimientos!$D:$D,CONCATENATE("&lt;",KT$3),Movimientos!$C:$C,"&lt;0")</f>
        <v>0</v>
      </c>
      <c r="KU15" s="5">
        <f ca="1">SUMIFS(Movimientos!$C:$C,Movimientos!$A:$A,$B15,Movimientos!$D:$D,CONCATENATE("&lt;=",KU$3),Movimientos!$C:$C,"&gt;0")+SUMIFS(Movimientos!$C:$C,Movimientos!$A:$A,$B15,Movimientos!$D:$D,CONCATENATE("&lt;",KU$3),Movimientos!$C:$C,"&lt;0")</f>
        <v>0</v>
      </c>
      <c r="KV15" s="5">
        <f ca="1">SUMIFS(Movimientos!$C:$C,Movimientos!$A:$A,$B15,Movimientos!$D:$D,CONCATENATE("&lt;=",KV$3),Movimientos!$C:$C,"&gt;0")+SUMIFS(Movimientos!$C:$C,Movimientos!$A:$A,$B15,Movimientos!$D:$D,CONCATENATE("&lt;",KV$3),Movimientos!$C:$C,"&lt;0")</f>
        <v>0</v>
      </c>
      <c r="KW15" s="5">
        <f ca="1">SUMIFS(Movimientos!$C:$C,Movimientos!$A:$A,$B15,Movimientos!$D:$D,CONCATENATE("&lt;=",KW$3),Movimientos!$C:$C,"&gt;0")+SUMIFS(Movimientos!$C:$C,Movimientos!$A:$A,$B15,Movimientos!$D:$D,CONCATENATE("&lt;",KW$3),Movimientos!$C:$C,"&lt;0")</f>
        <v>0</v>
      </c>
      <c r="KX15" s="5">
        <f ca="1">SUMIFS(Movimientos!$C:$C,Movimientos!$A:$A,$B15,Movimientos!$D:$D,CONCATENATE("&lt;=",KX$3),Movimientos!$C:$C,"&gt;0")+SUMIFS(Movimientos!$C:$C,Movimientos!$A:$A,$B15,Movimientos!$D:$D,CONCATENATE("&lt;",KX$3),Movimientos!$C:$C,"&lt;0")</f>
        <v>0</v>
      </c>
      <c r="KY15" s="5">
        <f ca="1">SUMIFS(Movimientos!$C:$C,Movimientos!$A:$A,$B15,Movimientos!$D:$D,CONCATENATE("&lt;=",KY$3),Movimientos!$C:$C,"&gt;0")+SUMIFS(Movimientos!$C:$C,Movimientos!$A:$A,$B15,Movimientos!$D:$D,CONCATENATE("&lt;",KY$3),Movimientos!$C:$C,"&lt;0")</f>
        <v>0</v>
      </c>
      <c r="KZ15" s="5">
        <f ca="1">SUMIFS(Movimientos!$C:$C,Movimientos!$A:$A,$B15,Movimientos!$D:$D,CONCATENATE("&lt;=",KZ$3),Movimientos!$C:$C,"&gt;0")+SUMIFS(Movimientos!$C:$C,Movimientos!$A:$A,$B15,Movimientos!$D:$D,CONCATENATE("&lt;",KZ$3),Movimientos!$C:$C,"&lt;0")</f>
        <v>0</v>
      </c>
      <c r="LA15" s="5">
        <f ca="1">SUMIFS(Movimientos!$C:$C,Movimientos!$A:$A,$B15,Movimientos!$D:$D,CONCATENATE("&lt;=",LA$3),Movimientos!$C:$C,"&gt;0")+SUMIFS(Movimientos!$C:$C,Movimientos!$A:$A,$B15,Movimientos!$D:$D,CONCATENATE("&lt;",LA$3),Movimientos!$C:$C,"&lt;0")</f>
        <v>0</v>
      </c>
      <c r="LB15" s="5">
        <f ca="1">SUMIFS(Movimientos!$C:$C,Movimientos!$A:$A,$B15,Movimientos!$D:$D,CONCATENATE("&lt;=",LB$3),Movimientos!$C:$C,"&gt;0")+SUMIFS(Movimientos!$C:$C,Movimientos!$A:$A,$B15,Movimientos!$D:$D,CONCATENATE("&lt;",LB$3),Movimientos!$C:$C,"&lt;0")</f>
        <v>0</v>
      </c>
      <c r="LC15" s="5">
        <f ca="1">SUMIFS(Movimientos!$C:$C,Movimientos!$A:$A,$B15,Movimientos!$D:$D,CONCATENATE("&lt;=",LC$3),Movimientos!$C:$C,"&gt;0")+SUMIFS(Movimientos!$C:$C,Movimientos!$A:$A,$B15,Movimientos!$D:$D,CONCATENATE("&lt;",LC$3),Movimientos!$C:$C,"&lt;0")</f>
        <v>0</v>
      </c>
      <c r="LD15" s="5">
        <f ca="1">SUMIFS(Movimientos!$C:$C,Movimientos!$A:$A,$B15,Movimientos!$D:$D,CONCATENATE("&lt;=",LD$3),Movimientos!$C:$C,"&gt;0")+SUMIFS(Movimientos!$C:$C,Movimientos!$A:$A,$B15,Movimientos!$D:$D,CONCATENATE("&lt;",LD$3),Movimientos!$C:$C,"&lt;0")</f>
        <v>0</v>
      </c>
      <c r="LE15" s="5">
        <f ca="1">SUMIFS(Movimientos!$C:$C,Movimientos!$A:$A,$B15,Movimientos!$D:$D,CONCATENATE("&lt;=",LE$3),Movimientos!$C:$C,"&gt;0")+SUMIFS(Movimientos!$C:$C,Movimientos!$A:$A,$B15,Movimientos!$D:$D,CONCATENATE("&lt;",LE$3),Movimientos!$C:$C,"&lt;0")</f>
        <v>0</v>
      </c>
      <c r="LF15" s="5">
        <f ca="1">SUMIFS(Movimientos!$C:$C,Movimientos!$A:$A,$B15,Movimientos!$D:$D,CONCATENATE("&lt;=",LF$3),Movimientos!$C:$C,"&gt;0")+SUMIFS(Movimientos!$C:$C,Movimientos!$A:$A,$B15,Movimientos!$D:$D,CONCATENATE("&lt;",LF$3),Movimientos!$C:$C,"&lt;0")</f>
        <v>0</v>
      </c>
      <c r="LG15" s="5">
        <f ca="1">SUMIFS(Movimientos!$C:$C,Movimientos!$A:$A,$B15,Movimientos!$D:$D,CONCATENATE("&lt;=",LG$3),Movimientos!$C:$C,"&gt;0")+SUMIFS(Movimientos!$C:$C,Movimientos!$A:$A,$B15,Movimientos!$D:$D,CONCATENATE("&lt;",LG$3),Movimientos!$C:$C,"&lt;0")</f>
        <v>0</v>
      </c>
      <c r="LH15" s="5">
        <f ca="1">SUMIFS(Movimientos!$C:$C,Movimientos!$A:$A,$B15,Movimientos!$D:$D,CONCATENATE("&lt;=",LH$3),Movimientos!$C:$C,"&gt;0")+SUMIFS(Movimientos!$C:$C,Movimientos!$A:$A,$B15,Movimientos!$D:$D,CONCATENATE("&lt;",LH$3),Movimientos!$C:$C,"&lt;0")</f>
        <v>0</v>
      </c>
      <c r="LI15" s="5">
        <f ca="1">SUMIFS(Movimientos!$C:$C,Movimientos!$A:$A,$B15,Movimientos!$D:$D,CONCATENATE("&lt;=",LI$3),Movimientos!$C:$C,"&gt;0")+SUMIFS(Movimientos!$C:$C,Movimientos!$A:$A,$B15,Movimientos!$D:$D,CONCATENATE("&lt;",LI$3),Movimientos!$C:$C,"&lt;0")</f>
        <v>0</v>
      </c>
      <c r="LJ15" s="5">
        <f ca="1">SUMIFS(Movimientos!$C:$C,Movimientos!$A:$A,$B15,Movimientos!$D:$D,CONCATENATE("&lt;=",LJ$3),Movimientos!$C:$C,"&gt;0")+SUMIFS(Movimientos!$C:$C,Movimientos!$A:$A,$B15,Movimientos!$D:$D,CONCATENATE("&lt;",LJ$3),Movimientos!$C:$C,"&lt;0")</f>
        <v>0</v>
      </c>
      <c r="LK15" s="5">
        <f ca="1">SUMIFS(Movimientos!$C:$C,Movimientos!$A:$A,$B15,Movimientos!$D:$D,CONCATENATE("&lt;=",LK$3),Movimientos!$C:$C,"&gt;0")+SUMIFS(Movimientos!$C:$C,Movimientos!$A:$A,$B15,Movimientos!$D:$D,CONCATENATE("&lt;",LK$3),Movimientos!$C:$C,"&lt;0")</f>
        <v>0</v>
      </c>
      <c r="LL15" s="5">
        <f ca="1">SUMIFS(Movimientos!$C:$C,Movimientos!$A:$A,$B15,Movimientos!$D:$D,CONCATENATE("&lt;=",LL$3),Movimientos!$C:$C,"&gt;0")+SUMIFS(Movimientos!$C:$C,Movimientos!$A:$A,$B15,Movimientos!$D:$D,CONCATENATE("&lt;",LL$3),Movimientos!$C:$C,"&lt;0")</f>
        <v>0</v>
      </c>
      <c r="LM15" s="5">
        <f ca="1">SUMIFS(Movimientos!$C:$C,Movimientos!$A:$A,$B15,Movimientos!$D:$D,CONCATENATE("&lt;=",LM$3),Movimientos!$C:$C,"&gt;0")+SUMIFS(Movimientos!$C:$C,Movimientos!$A:$A,$B15,Movimientos!$D:$D,CONCATENATE("&lt;",LM$3),Movimientos!$C:$C,"&lt;0")</f>
        <v>0</v>
      </c>
      <c r="LN15" s="5">
        <f ca="1">SUMIFS(Movimientos!$C:$C,Movimientos!$A:$A,$B15,Movimientos!$D:$D,CONCATENATE("&lt;=",LN$3),Movimientos!$C:$C,"&gt;0")+SUMIFS(Movimientos!$C:$C,Movimientos!$A:$A,$B15,Movimientos!$D:$D,CONCATENATE("&lt;",LN$3),Movimientos!$C:$C,"&lt;0")</f>
        <v>0</v>
      </c>
      <c r="LO15" s="5">
        <f ca="1">SUMIFS(Movimientos!$C:$C,Movimientos!$A:$A,$B15,Movimientos!$D:$D,CONCATENATE("&lt;=",LO$3),Movimientos!$C:$C,"&gt;0")+SUMIFS(Movimientos!$C:$C,Movimientos!$A:$A,$B15,Movimientos!$D:$D,CONCATENATE("&lt;",LO$3),Movimientos!$C:$C,"&lt;0")</f>
        <v>0</v>
      </c>
      <c r="LP15" s="5">
        <f ca="1">SUMIFS(Movimientos!$C:$C,Movimientos!$A:$A,$B15,Movimientos!$D:$D,CONCATENATE("&lt;=",LP$3),Movimientos!$C:$C,"&gt;0")+SUMIFS(Movimientos!$C:$C,Movimientos!$A:$A,$B15,Movimientos!$D:$D,CONCATENATE("&lt;",LP$3),Movimientos!$C:$C,"&lt;0")</f>
        <v>0</v>
      </c>
      <c r="LQ15" s="5">
        <f ca="1">SUMIFS(Movimientos!$C:$C,Movimientos!$A:$A,$B15,Movimientos!$D:$D,CONCATENATE("&lt;=",LQ$3),Movimientos!$C:$C,"&gt;0")+SUMIFS(Movimientos!$C:$C,Movimientos!$A:$A,$B15,Movimientos!$D:$D,CONCATENATE("&lt;",LQ$3),Movimientos!$C:$C,"&lt;0")</f>
        <v>0</v>
      </c>
      <c r="LR15" s="5">
        <f ca="1">SUMIFS(Movimientos!$C:$C,Movimientos!$A:$A,$B15,Movimientos!$D:$D,CONCATENATE("&lt;=",LR$3),Movimientos!$C:$C,"&gt;0")+SUMIFS(Movimientos!$C:$C,Movimientos!$A:$A,$B15,Movimientos!$D:$D,CONCATENATE("&lt;",LR$3),Movimientos!$C:$C,"&lt;0")</f>
        <v>0</v>
      </c>
      <c r="LS15" s="5">
        <f ca="1">SUMIFS(Movimientos!$C:$C,Movimientos!$A:$A,$B15,Movimientos!$D:$D,CONCATENATE("&lt;=",LS$3),Movimientos!$C:$C,"&gt;0")+SUMIFS(Movimientos!$C:$C,Movimientos!$A:$A,$B15,Movimientos!$D:$D,CONCATENATE("&lt;",LS$3),Movimientos!$C:$C,"&lt;0")</f>
        <v>0</v>
      </c>
      <c r="LT15" s="5">
        <f ca="1">SUMIFS(Movimientos!$C:$C,Movimientos!$A:$A,$B15,Movimientos!$D:$D,CONCATENATE("&lt;=",LT$3),Movimientos!$C:$C,"&gt;0")+SUMIFS(Movimientos!$C:$C,Movimientos!$A:$A,$B15,Movimientos!$D:$D,CONCATENATE("&lt;",LT$3),Movimientos!$C:$C,"&lt;0")</f>
        <v>0</v>
      </c>
      <c r="LU15" s="5">
        <f ca="1">SUMIFS(Movimientos!$C:$C,Movimientos!$A:$A,$B15,Movimientos!$D:$D,CONCATENATE("&lt;=",LU$3),Movimientos!$C:$C,"&gt;0")+SUMIFS(Movimientos!$C:$C,Movimientos!$A:$A,$B15,Movimientos!$D:$D,CONCATENATE("&lt;",LU$3),Movimientos!$C:$C,"&lt;0")</f>
        <v>0</v>
      </c>
      <c r="LV15" s="5">
        <f ca="1">SUMIFS(Movimientos!$C:$C,Movimientos!$A:$A,$B15,Movimientos!$D:$D,CONCATENATE("&lt;=",LV$3),Movimientos!$C:$C,"&gt;0")+SUMIFS(Movimientos!$C:$C,Movimientos!$A:$A,$B15,Movimientos!$D:$D,CONCATENATE("&lt;",LV$3),Movimientos!$C:$C,"&lt;0")</f>
        <v>0</v>
      </c>
      <c r="LW15" s="5">
        <f ca="1">SUMIFS(Movimientos!$C:$C,Movimientos!$A:$A,$B15,Movimientos!$D:$D,CONCATENATE("&lt;=",LW$3),Movimientos!$C:$C,"&gt;0")+SUMIFS(Movimientos!$C:$C,Movimientos!$A:$A,$B15,Movimientos!$D:$D,CONCATENATE("&lt;",LW$3),Movimientos!$C:$C,"&lt;0")</f>
        <v>0</v>
      </c>
      <c r="LX15" s="5">
        <f ca="1">SUMIFS(Movimientos!$C:$C,Movimientos!$A:$A,$B15,Movimientos!$D:$D,CONCATENATE("&lt;=",LX$3),Movimientos!$C:$C,"&gt;0")+SUMIFS(Movimientos!$C:$C,Movimientos!$A:$A,$B15,Movimientos!$D:$D,CONCATENATE("&lt;",LX$3),Movimientos!$C:$C,"&lt;0")</f>
        <v>0</v>
      </c>
      <c r="LY15" s="5">
        <f ca="1">SUMIFS(Movimientos!$C:$C,Movimientos!$A:$A,$B15,Movimientos!$D:$D,CONCATENATE("&lt;=",LY$3),Movimientos!$C:$C,"&gt;0")+SUMIFS(Movimientos!$C:$C,Movimientos!$A:$A,$B15,Movimientos!$D:$D,CONCATENATE("&lt;",LY$3),Movimientos!$C:$C,"&lt;0")</f>
        <v>0</v>
      </c>
      <c r="LZ15" s="5">
        <f ca="1">SUMIFS(Movimientos!$C:$C,Movimientos!$A:$A,$B15,Movimientos!$D:$D,CONCATENATE("&lt;=",LZ$3),Movimientos!$C:$C,"&gt;0")+SUMIFS(Movimientos!$C:$C,Movimientos!$A:$A,$B15,Movimientos!$D:$D,CONCATENATE("&lt;",LZ$3),Movimientos!$C:$C,"&lt;0")</f>
        <v>0</v>
      </c>
      <c r="MA15" s="5">
        <f ca="1">SUMIFS(Movimientos!$C:$C,Movimientos!$A:$A,$B15,Movimientos!$D:$D,CONCATENATE("&lt;=",MA$3),Movimientos!$C:$C,"&gt;0")+SUMIFS(Movimientos!$C:$C,Movimientos!$A:$A,$B15,Movimientos!$D:$D,CONCATENATE("&lt;",MA$3),Movimientos!$C:$C,"&lt;0")</f>
        <v>0</v>
      </c>
      <c r="MB15" s="5">
        <f ca="1">SUMIFS(Movimientos!$C:$C,Movimientos!$A:$A,$B15,Movimientos!$D:$D,CONCATENATE("&lt;=",MB$3),Movimientos!$C:$C,"&gt;0")+SUMIFS(Movimientos!$C:$C,Movimientos!$A:$A,$B15,Movimientos!$D:$D,CONCATENATE("&lt;",MB$3),Movimientos!$C:$C,"&lt;0")</f>
        <v>0</v>
      </c>
      <c r="MC15" s="5">
        <f ca="1">SUMIFS(Movimientos!$C:$C,Movimientos!$A:$A,$B15,Movimientos!$D:$D,CONCATENATE("&lt;=",MC$3),Movimientos!$C:$C,"&gt;0")+SUMIFS(Movimientos!$C:$C,Movimientos!$A:$A,$B15,Movimientos!$D:$D,CONCATENATE("&lt;",MC$3),Movimientos!$C:$C,"&lt;0")</f>
        <v>0</v>
      </c>
      <c r="MD15" s="5">
        <f ca="1">SUMIFS(Movimientos!$C:$C,Movimientos!$A:$A,$B15,Movimientos!$D:$D,CONCATENATE("&lt;=",MD$3),Movimientos!$C:$C,"&gt;0")+SUMIFS(Movimientos!$C:$C,Movimientos!$A:$A,$B15,Movimientos!$D:$D,CONCATENATE("&lt;",MD$3),Movimientos!$C:$C,"&lt;0")</f>
        <v>0</v>
      </c>
      <c r="ME15" s="5">
        <f ca="1">SUMIFS(Movimientos!$C:$C,Movimientos!$A:$A,$B15,Movimientos!$D:$D,CONCATENATE("&lt;=",ME$3),Movimientos!$C:$C,"&gt;0")+SUMIFS(Movimientos!$C:$C,Movimientos!$A:$A,$B15,Movimientos!$D:$D,CONCATENATE("&lt;",ME$3),Movimientos!$C:$C,"&lt;0")</f>
        <v>0</v>
      </c>
      <c r="MF15" s="5">
        <f ca="1">SUMIFS(Movimientos!$C:$C,Movimientos!$A:$A,$B15,Movimientos!$D:$D,CONCATENATE("&lt;=",MF$3),Movimientos!$C:$C,"&gt;0")+SUMIFS(Movimientos!$C:$C,Movimientos!$A:$A,$B15,Movimientos!$D:$D,CONCATENATE("&lt;",MF$3),Movimientos!$C:$C,"&lt;0")</f>
        <v>0</v>
      </c>
      <c r="MG15" s="5">
        <f ca="1">SUMIFS(Movimientos!$C:$C,Movimientos!$A:$A,$B15,Movimientos!$D:$D,CONCATENATE("&lt;=",MG$3),Movimientos!$C:$C,"&gt;0")+SUMIFS(Movimientos!$C:$C,Movimientos!$A:$A,$B15,Movimientos!$D:$D,CONCATENATE("&lt;",MG$3),Movimientos!$C:$C,"&lt;0")</f>
        <v>0</v>
      </c>
      <c r="MH15" s="5">
        <f ca="1">SUMIFS(Movimientos!$C:$C,Movimientos!$A:$A,$B15,Movimientos!$D:$D,CONCATENATE("&lt;=",MH$3),Movimientos!$C:$C,"&gt;0")+SUMIFS(Movimientos!$C:$C,Movimientos!$A:$A,$B15,Movimientos!$D:$D,CONCATENATE("&lt;",MH$3),Movimientos!$C:$C,"&lt;0")</f>
        <v>0</v>
      </c>
      <c r="MI15" s="5">
        <f ca="1">SUMIFS(Movimientos!$C:$C,Movimientos!$A:$A,$B15,Movimientos!$D:$D,CONCATENATE("&lt;=",MI$3),Movimientos!$C:$C,"&gt;0")+SUMIFS(Movimientos!$C:$C,Movimientos!$A:$A,$B15,Movimientos!$D:$D,CONCATENATE("&lt;",MI$3),Movimientos!$C:$C,"&lt;0")</f>
        <v>0</v>
      </c>
      <c r="MJ15" s="5">
        <f ca="1">SUMIFS(Movimientos!$C:$C,Movimientos!$A:$A,$B15,Movimientos!$D:$D,CONCATENATE("&lt;=",MJ$3),Movimientos!$C:$C,"&gt;0")+SUMIFS(Movimientos!$C:$C,Movimientos!$A:$A,$B15,Movimientos!$D:$D,CONCATENATE("&lt;",MJ$3),Movimientos!$C:$C,"&lt;0")</f>
        <v>0</v>
      </c>
      <c r="MK15" s="5">
        <f ca="1">SUMIFS(Movimientos!$C:$C,Movimientos!$A:$A,$B15,Movimientos!$D:$D,CONCATENATE("&lt;=",MK$3),Movimientos!$C:$C,"&gt;0")+SUMIFS(Movimientos!$C:$C,Movimientos!$A:$A,$B15,Movimientos!$D:$D,CONCATENATE("&lt;",MK$3),Movimientos!$C:$C,"&lt;0")</f>
        <v>0</v>
      </c>
      <c r="ML15" s="5">
        <f ca="1">SUMIFS(Movimientos!$C:$C,Movimientos!$A:$A,$B15,Movimientos!$D:$D,CONCATENATE("&lt;=",ML$3),Movimientos!$C:$C,"&gt;0")+SUMIFS(Movimientos!$C:$C,Movimientos!$A:$A,$B15,Movimientos!$D:$D,CONCATENATE("&lt;",ML$3),Movimientos!$C:$C,"&lt;0")</f>
        <v>0</v>
      </c>
      <c r="MM15" s="5">
        <f ca="1">SUMIFS(Movimientos!$C:$C,Movimientos!$A:$A,$B15,Movimientos!$D:$D,CONCATENATE("&lt;=",MM$3),Movimientos!$C:$C,"&gt;0")+SUMIFS(Movimientos!$C:$C,Movimientos!$A:$A,$B15,Movimientos!$D:$D,CONCATENATE("&lt;",MM$3),Movimientos!$C:$C,"&lt;0")</f>
        <v>0</v>
      </c>
      <c r="MN15" s="5">
        <f ca="1">SUMIFS(Movimientos!$C:$C,Movimientos!$A:$A,$B15,Movimientos!$D:$D,CONCATENATE("&lt;=",MN$3),Movimientos!$C:$C,"&gt;0")+SUMIFS(Movimientos!$C:$C,Movimientos!$A:$A,$B15,Movimientos!$D:$D,CONCATENATE("&lt;",MN$3),Movimientos!$C:$C,"&lt;0")</f>
        <v>0</v>
      </c>
      <c r="MO15" s="5">
        <f ca="1">SUMIFS(Movimientos!$C:$C,Movimientos!$A:$A,$B15,Movimientos!$D:$D,CONCATENATE("&lt;=",MO$3),Movimientos!$C:$C,"&gt;0")+SUMIFS(Movimientos!$C:$C,Movimientos!$A:$A,$B15,Movimientos!$D:$D,CONCATENATE("&lt;",MO$3),Movimientos!$C:$C,"&lt;0")</f>
        <v>0</v>
      </c>
      <c r="MP15" s="5">
        <f ca="1">SUMIFS(Movimientos!$C:$C,Movimientos!$A:$A,$B15,Movimientos!$D:$D,CONCATENATE("&lt;=",MP$3),Movimientos!$C:$C,"&gt;0")+SUMIFS(Movimientos!$C:$C,Movimientos!$A:$A,$B15,Movimientos!$D:$D,CONCATENATE("&lt;",MP$3),Movimientos!$C:$C,"&lt;0")</f>
        <v>0</v>
      </c>
      <c r="MQ15" s="5">
        <f ca="1">SUMIFS(Movimientos!$C:$C,Movimientos!$A:$A,$B15,Movimientos!$D:$D,CONCATENATE("&lt;=",MQ$3),Movimientos!$C:$C,"&gt;0")+SUMIFS(Movimientos!$C:$C,Movimientos!$A:$A,$B15,Movimientos!$D:$D,CONCATENATE("&lt;",MQ$3),Movimientos!$C:$C,"&lt;0")</f>
        <v>0</v>
      </c>
      <c r="MR15" s="5">
        <f ca="1">SUMIFS(Movimientos!$C:$C,Movimientos!$A:$A,$B15,Movimientos!$D:$D,CONCATENATE("&lt;=",MR$3),Movimientos!$C:$C,"&gt;0")+SUMIFS(Movimientos!$C:$C,Movimientos!$A:$A,$B15,Movimientos!$D:$D,CONCATENATE("&lt;",MR$3),Movimientos!$C:$C,"&lt;0")</f>
        <v>0</v>
      </c>
      <c r="MS15" s="5">
        <f ca="1">SUMIFS(Movimientos!$C:$C,Movimientos!$A:$A,$B15,Movimientos!$D:$D,CONCATENATE("&lt;=",MS$3),Movimientos!$C:$C,"&gt;0")+SUMIFS(Movimientos!$C:$C,Movimientos!$A:$A,$B15,Movimientos!$D:$D,CONCATENATE("&lt;",MS$3),Movimientos!$C:$C,"&lt;0")</f>
        <v>0</v>
      </c>
      <c r="MT15" s="5">
        <f ca="1">SUMIFS(Movimientos!$C:$C,Movimientos!$A:$A,$B15,Movimientos!$D:$D,CONCATENATE("&lt;=",MT$3),Movimientos!$C:$C,"&gt;0")+SUMIFS(Movimientos!$C:$C,Movimientos!$A:$A,$B15,Movimientos!$D:$D,CONCATENATE("&lt;",MT$3),Movimientos!$C:$C,"&lt;0")</f>
        <v>0</v>
      </c>
      <c r="MU15" s="5">
        <f ca="1">SUMIFS(Movimientos!$C:$C,Movimientos!$A:$A,$B15,Movimientos!$D:$D,CONCATENATE("&lt;=",MU$3),Movimientos!$C:$C,"&gt;0")+SUMIFS(Movimientos!$C:$C,Movimientos!$A:$A,$B15,Movimientos!$D:$D,CONCATENATE("&lt;",MU$3),Movimientos!$C:$C,"&lt;0")</f>
        <v>0</v>
      </c>
      <c r="MV15" s="5">
        <f ca="1">SUMIFS(Movimientos!$C:$C,Movimientos!$A:$A,$B15,Movimientos!$D:$D,CONCATENATE("&lt;=",MV$3),Movimientos!$C:$C,"&gt;0")+SUMIFS(Movimientos!$C:$C,Movimientos!$A:$A,$B15,Movimientos!$D:$D,CONCATENATE("&lt;",MV$3),Movimientos!$C:$C,"&lt;0")</f>
        <v>0</v>
      </c>
      <c r="MW15" s="5">
        <f ca="1">SUMIFS(Movimientos!$C:$C,Movimientos!$A:$A,$B15,Movimientos!$D:$D,CONCATENATE("&lt;=",MW$3),Movimientos!$C:$C,"&gt;0")+SUMIFS(Movimientos!$C:$C,Movimientos!$A:$A,$B15,Movimientos!$D:$D,CONCATENATE("&lt;",MW$3),Movimientos!$C:$C,"&lt;0")</f>
        <v>0</v>
      </c>
      <c r="MX15" s="5">
        <f ca="1">SUMIFS(Movimientos!$C:$C,Movimientos!$A:$A,$B15,Movimientos!$D:$D,CONCATENATE("&lt;=",MX$3),Movimientos!$C:$C,"&gt;0")+SUMIFS(Movimientos!$C:$C,Movimientos!$A:$A,$B15,Movimientos!$D:$D,CONCATENATE("&lt;",MX$3),Movimientos!$C:$C,"&lt;0")</f>
        <v>0</v>
      </c>
      <c r="MY15" s="5">
        <f ca="1">SUMIFS(Movimientos!$C:$C,Movimientos!$A:$A,$B15,Movimientos!$D:$D,CONCATENATE("&lt;=",MY$3),Movimientos!$C:$C,"&gt;0")+SUMIFS(Movimientos!$C:$C,Movimientos!$A:$A,$B15,Movimientos!$D:$D,CONCATENATE("&lt;",MY$3),Movimientos!$C:$C,"&lt;0")</f>
        <v>0</v>
      </c>
      <c r="MZ15" s="5">
        <f ca="1">SUMIFS(Movimientos!$C:$C,Movimientos!$A:$A,$B15,Movimientos!$D:$D,CONCATENATE("&lt;=",MZ$3),Movimientos!$C:$C,"&gt;0")+SUMIFS(Movimientos!$C:$C,Movimientos!$A:$A,$B15,Movimientos!$D:$D,CONCATENATE("&lt;",MZ$3),Movimientos!$C:$C,"&lt;0")</f>
        <v>0</v>
      </c>
      <c r="NA15" s="5">
        <f ca="1">SUMIFS(Movimientos!$C:$C,Movimientos!$A:$A,$B15,Movimientos!$D:$D,CONCATENATE("&lt;=",NA$3),Movimientos!$C:$C,"&gt;0")+SUMIFS(Movimientos!$C:$C,Movimientos!$A:$A,$B15,Movimientos!$D:$D,CONCATENATE("&lt;",NA$3),Movimientos!$C:$C,"&lt;0")</f>
        <v>0</v>
      </c>
      <c r="NB15" s="5">
        <f ca="1">SUMIFS(Movimientos!$C:$C,Movimientos!$A:$A,$B15,Movimientos!$D:$D,CONCATENATE("&lt;=",NB$3),Movimientos!$C:$C,"&gt;0")+SUMIFS(Movimientos!$C:$C,Movimientos!$A:$A,$B15,Movimientos!$D:$D,CONCATENATE("&lt;",NB$3),Movimientos!$C:$C,"&lt;0")</f>
        <v>0</v>
      </c>
      <c r="NC15" s="5">
        <f ca="1">SUMIFS(Movimientos!$C:$C,Movimientos!$A:$A,$B15,Movimientos!$D:$D,CONCATENATE("&lt;=",NC$3),Movimientos!$C:$C,"&gt;0")+SUMIFS(Movimientos!$C:$C,Movimientos!$A:$A,$B15,Movimientos!$D:$D,CONCATENATE("&lt;",NC$3),Movimientos!$C:$C,"&lt;0")</f>
        <v>0</v>
      </c>
      <c r="ND15" s="5">
        <f ca="1">SUMIFS(Movimientos!$C:$C,Movimientos!$A:$A,$B15,Movimientos!$D:$D,CONCATENATE("&lt;=",ND$3),Movimientos!$C:$C,"&gt;0")+SUMIFS(Movimientos!$C:$C,Movimientos!$A:$A,$B15,Movimientos!$D:$D,CONCATENATE("&lt;",ND$3),Movimientos!$C:$C,"&lt;0")</f>
        <v>0</v>
      </c>
      <c r="NE15" s="5">
        <f ca="1">SUMIFS(Movimientos!$C:$C,Movimientos!$A:$A,$B15,Movimientos!$D:$D,CONCATENATE("&lt;=",NE$3),Movimientos!$C:$C,"&gt;0")+SUMIFS(Movimientos!$C:$C,Movimientos!$A:$A,$B15,Movimientos!$D:$D,CONCATENATE("&lt;",NE$3),Movimientos!$C:$C,"&lt;0")</f>
        <v>0</v>
      </c>
      <c r="NF15" s="5">
        <f ca="1">SUMIFS(Movimientos!$C:$C,Movimientos!$A:$A,$B15,Movimientos!$D:$D,CONCATENATE("&lt;=",NF$3),Movimientos!$C:$C,"&gt;0")+SUMIFS(Movimientos!$C:$C,Movimientos!$A:$A,$B15,Movimientos!$D:$D,CONCATENATE("&lt;",NF$3),Movimientos!$C:$C,"&lt;0")</f>
        <v>0</v>
      </c>
      <c r="NG15" s="5">
        <f ca="1">SUMIFS(Movimientos!$C:$C,Movimientos!$A:$A,$B15,Movimientos!$D:$D,CONCATENATE("&lt;=",NG$3),Movimientos!$C:$C,"&gt;0")+SUMIFS(Movimientos!$C:$C,Movimientos!$A:$A,$B15,Movimientos!$D:$D,CONCATENATE("&lt;",NG$3),Movimientos!$C:$C,"&lt;0")</f>
        <v>0</v>
      </c>
      <c r="NH15" s="5">
        <f ca="1">SUMIFS(Movimientos!$C:$C,Movimientos!$A:$A,$B15,Movimientos!$D:$D,CONCATENATE("&lt;=",NH$3),Movimientos!$C:$C,"&gt;0")+SUMIFS(Movimientos!$C:$C,Movimientos!$A:$A,$B15,Movimientos!$D:$D,CONCATENATE("&lt;",NH$3),Movimientos!$C:$C,"&lt;0")</f>
        <v>0</v>
      </c>
      <c r="NI15" s="5">
        <f ca="1">SUMIFS(Movimientos!$C:$C,Movimientos!$A:$A,$B15,Movimientos!$D:$D,CONCATENATE("&lt;=",NI$3),Movimientos!$C:$C,"&gt;0")+SUMIFS(Movimientos!$C:$C,Movimientos!$A:$A,$B15,Movimientos!$D:$D,CONCATENATE("&lt;",NI$3),Movimientos!$C:$C,"&lt;0")</f>
        <v>0</v>
      </c>
      <c r="NJ15" s="5">
        <f ca="1">SUMIFS(Movimientos!$C:$C,Movimientos!$A:$A,$B15,Movimientos!$D:$D,CONCATENATE("&lt;=",NJ$3),Movimientos!$C:$C,"&gt;0")+SUMIFS(Movimientos!$C:$C,Movimientos!$A:$A,$B15,Movimientos!$D:$D,CONCATENATE("&lt;",NJ$3),Movimientos!$C:$C,"&lt;0")</f>
        <v>0</v>
      </c>
      <c r="NK15" s="5">
        <f ca="1">SUMIFS(Movimientos!$C:$C,Movimientos!$A:$A,$B15,Movimientos!$D:$D,CONCATENATE("&lt;=",NK$3),Movimientos!$C:$C,"&gt;0")+SUMIFS(Movimientos!$C:$C,Movimientos!$A:$A,$B15,Movimientos!$D:$D,CONCATENATE("&lt;",NK$3),Movimientos!$C:$C,"&lt;0")</f>
        <v>0</v>
      </c>
      <c r="NL15" s="5">
        <f ca="1">SUMIFS(Movimientos!$C:$C,Movimientos!$A:$A,$B15,Movimientos!$D:$D,CONCATENATE("&lt;=",NL$3),Movimientos!$C:$C,"&gt;0")+SUMIFS(Movimientos!$C:$C,Movimientos!$A:$A,$B15,Movimientos!$D:$D,CONCATENATE("&lt;",NL$3),Movimientos!$C:$C,"&lt;0")</f>
        <v>0</v>
      </c>
      <c r="NM15" s="5">
        <f ca="1">SUMIFS(Movimientos!$C:$C,Movimientos!$A:$A,$B15,Movimientos!$D:$D,CONCATENATE("&lt;=",NM$3),Movimientos!$C:$C,"&gt;0")+SUMIFS(Movimientos!$C:$C,Movimientos!$A:$A,$B15,Movimientos!$D:$D,CONCATENATE("&lt;",NM$3),Movimientos!$C:$C,"&lt;0")</f>
        <v>0</v>
      </c>
      <c r="NN15" s="5">
        <f ca="1">SUMIFS(Movimientos!$C:$C,Movimientos!$A:$A,$B15,Movimientos!$D:$D,CONCATENATE("&lt;=",NN$3),Movimientos!$C:$C,"&gt;0")+SUMIFS(Movimientos!$C:$C,Movimientos!$A:$A,$B15,Movimientos!$D:$D,CONCATENATE("&lt;",NN$3),Movimientos!$C:$C,"&lt;0")</f>
        <v>0</v>
      </c>
      <c r="NO15" s="5">
        <f ca="1">SUMIFS(Movimientos!$C:$C,Movimientos!$A:$A,$B15,Movimientos!$D:$D,CONCATENATE("&lt;=",NO$3),Movimientos!$C:$C,"&gt;0")+SUMIFS(Movimientos!$C:$C,Movimientos!$A:$A,$B15,Movimientos!$D:$D,CONCATENATE("&lt;",NO$3),Movimientos!$C:$C,"&lt;0")</f>
        <v>0</v>
      </c>
      <c r="NP15" s="5">
        <f ca="1">SUMIFS(Movimientos!$C:$C,Movimientos!$A:$A,$B15,Movimientos!$D:$D,CONCATENATE("&lt;=",NP$3),Movimientos!$C:$C,"&gt;0")+SUMIFS(Movimientos!$C:$C,Movimientos!$A:$A,$B15,Movimientos!$D:$D,CONCATENATE("&lt;",NP$3),Movimientos!$C:$C,"&lt;0")</f>
        <v>0</v>
      </c>
      <c r="NQ15" s="5">
        <f ca="1">SUMIFS(Movimientos!$C:$C,Movimientos!$A:$A,$B15,Movimientos!$D:$D,CONCATENATE("&lt;=",NQ$3),Movimientos!$C:$C,"&gt;0")+SUMIFS(Movimientos!$C:$C,Movimientos!$A:$A,$B15,Movimientos!$D:$D,CONCATENATE("&lt;",NQ$3),Movimientos!$C:$C,"&lt;0")</f>
        <v>0</v>
      </c>
      <c r="NR15" s="5">
        <f ca="1">SUMIFS(Movimientos!$C:$C,Movimientos!$A:$A,$B15,Movimientos!$D:$D,CONCATENATE("&lt;=",NR$3),Movimientos!$C:$C,"&gt;0")+SUMIFS(Movimientos!$C:$C,Movimientos!$A:$A,$B15,Movimientos!$D:$D,CONCATENATE("&lt;",NR$3),Movimientos!$C:$C,"&lt;0")</f>
        <v>0</v>
      </c>
      <c r="NS15" s="5">
        <f ca="1">SUMIFS(Movimientos!$C:$C,Movimientos!$A:$A,$B15,Movimientos!$D:$D,CONCATENATE("&lt;=",NS$3),Movimientos!$C:$C,"&gt;0")+SUMIFS(Movimientos!$C:$C,Movimientos!$A:$A,$B15,Movimientos!$D:$D,CONCATENATE("&lt;",NS$3),Movimientos!$C:$C,"&lt;0")</f>
        <v>0</v>
      </c>
      <c r="NT15" s="5">
        <f ca="1">SUMIFS(Movimientos!$C:$C,Movimientos!$A:$A,$B15,Movimientos!$D:$D,CONCATENATE("&lt;=",NT$3),Movimientos!$C:$C,"&gt;0")+SUMIFS(Movimientos!$C:$C,Movimientos!$A:$A,$B15,Movimientos!$D:$D,CONCATENATE("&lt;",NT$3),Movimientos!$C:$C,"&lt;0")</f>
        <v>0</v>
      </c>
      <c r="NU15" s="5">
        <f ca="1">SUMIFS(Movimientos!$C:$C,Movimientos!$A:$A,$B15,Movimientos!$D:$D,CONCATENATE("&lt;=",NU$3),Movimientos!$C:$C,"&gt;0")+SUMIFS(Movimientos!$C:$C,Movimientos!$A:$A,$B15,Movimientos!$D:$D,CONCATENATE("&lt;",NU$3),Movimientos!$C:$C,"&lt;0")</f>
        <v>0</v>
      </c>
      <c r="NV15" s="5">
        <f ca="1">SUMIFS(Movimientos!$C:$C,Movimientos!$A:$A,$B15,Movimientos!$D:$D,CONCATENATE("&lt;=",NV$3),Movimientos!$C:$C,"&gt;0")+SUMIFS(Movimientos!$C:$C,Movimientos!$A:$A,$B15,Movimientos!$D:$D,CONCATENATE("&lt;",NV$3),Movimientos!$C:$C,"&lt;0")</f>
        <v>0</v>
      </c>
      <c r="NW15" s="5">
        <f ca="1">SUMIFS(Movimientos!$C:$C,Movimientos!$A:$A,$B15,Movimientos!$D:$D,CONCATENATE("&lt;=",NW$3),Movimientos!$C:$C,"&gt;0")+SUMIFS(Movimientos!$C:$C,Movimientos!$A:$A,$B15,Movimientos!$D:$D,CONCATENATE("&lt;",NW$3),Movimientos!$C:$C,"&lt;0")</f>
        <v>0</v>
      </c>
      <c r="NX15" s="5">
        <f ca="1">SUMIFS(Movimientos!$C:$C,Movimientos!$A:$A,$B15,Movimientos!$D:$D,CONCATENATE("&lt;=",NX$3),Movimientos!$C:$C,"&gt;0")+SUMIFS(Movimientos!$C:$C,Movimientos!$A:$A,$B15,Movimientos!$D:$D,CONCATENATE("&lt;",NX$3),Movimientos!$C:$C,"&lt;0")</f>
        <v>0</v>
      </c>
      <c r="NY15" s="5">
        <f ca="1">SUMIFS(Movimientos!$C:$C,Movimientos!$A:$A,$B15,Movimientos!$D:$D,CONCATENATE("&lt;=",NY$3),Movimientos!$C:$C,"&gt;0")+SUMIFS(Movimientos!$C:$C,Movimientos!$A:$A,$B15,Movimientos!$D:$D,CONCATENATE("&lt;",NY$3),Movimientos!$C:$C,"&lt;0")</f>
        <v>0</v>
      </c>
      <c r="NZ15" s="5">
        <f ca="1">SUMIFS(Movimientos!$C:$C,Movimientos!$A:$A,$B15,Movimientos!$D:$D,CONCATENATE("&lt;=",NZ$3),Movimientos!$C:$C,"&gt;0")+SUMIFS(Movimientos!$C:$C,Movimientos!$A:$A,$B15,Movimientos!$D:$D,CONCATENATE("&lt;",NZ$3),Movimientos!$C:$C,"&lt;0")</f>
        <v>0</v>
      </c>
      <c r="OA15" s="5">
        <f ca="1">SUMIFS(Movimientos!$C:$C,Movimientos!$A:$A,$B15,Movimientos!$D:$D,CONCATENATE("&lt;=",OA$3),Movimientos!$C:$C,"&gt;0")+SUMIFS(Movimientos!$C:$C,Movimientos!$A:$A,$B15,Movimientos!$D:$D,CONCATENATE("&lt;",OA$3),Movimientos!$C:$C,"&lt;0")</f>
        <v>0</v>
      </c>
      <c r="OB15" s="5">
        <f ca="1">SUMIFS(Movimientos!$C:$C,Movimientos!$A:$A,$B15,Movimientos!$D:$D,CONCATENATE("&lt;=",OB$3),Movimientos!$C:$C,"&gt;0")+SUMIFS(Movimientos!$C:$C,Movimientos!$A:$A,$B15,Movimientos!$D:$D,CONCATENATE("&lt;",OB$3),Movimientos!$C:$C,"&lt;0")</f>
        <v>0</v>
      </c>
      <c r="OC15" s="5">
        <f ca="1">SUMIFS(Movimientos!$C:$C,Movimientos!$A:$A,$B15,Movimientos!$D:$D,CONCATENATE("&lt;=",OC$3),Movimientos!$C:$C,"&gt;0")+SUMIFS(Movimientos!$C:$C,Movimientos!$A:$A,$B15,Movimientos!$D:$D,CONCATENATE("&lt;",OC$3),Movimientos!$C:$C,"&lt;0")</f>
        <v>0</v>
      </c>
      <c r="OD15" s="5">
        <f ca="1">SUMIFS(Movimientos!$C:$C,Movimientos!$A:$A,$B15,Movimientos!$D:$D,CONCATENATE("&lt;=",OD$3),Movimientos!$C:$C,"&gt;0")+SUMIFS(Movimientos!$C:$C,Movimientos!$A:$A,$B15,Movimientos!$D:$D,CONCATENATE("&lt;",OD$3),Movimientos!$C:$C,"&lt;0")</f>
        <v>0</v>
      </c>
      <c r="OE15" s="5">
        <f ca="1">SUMIFS(Movimientos!$C:$C,Movimientos!$A:$A,$B15,Movimientos!$D:$D,CONCATENATE("&lt;=",OE$3),Movimientos!$C:$C,"&gt;0")+SUMIFS(Movimientos!$C:$C,Movimientos!$A:$A,$B15,Movimientos!$D:$D,CONCATENATE("&lt;",OE$3),Movimientos!$C:$C,"&lt;0")</f>
        <v>0</v>
      </c>
      <c r="OF15" s="5">
        <f ca="1">SUMIFS(Movimientos!$C:$C,Movimientos!$A:$A,$B15,Movimientos!$D:$D,CONCATENATE("&lt;=",OF$3),Movimientos!$C:$C,"&gt;0")+SUMIFS(Movimientos!$C:$C,Movimientos!$A:$A,$B15,Movimientos!$D:$D,CONCATENATE("&lt;",OF$3),Movimientos!$C:$C,"&lt;0")</f>
        <v>0</v>
      </c>
      <c r="OG15" s="5">
        <f ca="1">SUMIFS(Movimientos!$C:$C,Movimientos!$A:$A,$B15,Movimientos!$D:$D,CONCATENATE("&lt;=",OG$3),Movimientos!$C:$C,"&gt;0")+SUMIFS(Movimientos!$C:$C,Movimientos!$A:$A,$B15,Movimientos!$D:$D,CONCATENATE("&lt;",OG$3),Movimientos!$C:$C,"&lt;0")</f>
        <v>0</v>
      </c>
      <c r="OH15" s="5">
        <f ca="1">SUMIFS(Movimientos!$C:$C,Movimientos!$A:$A,$B15,Movimientos!$D:$D,CONCATENATE("&lt;=",OH$3),Movimientos!$C:$C,"&gt;0")+SUMIFS(Movimientos!$C:$C,Movimientos!$A:$A,$B15,Movimientos!$D:$D,CONCATENATE("&lt;",OH$3),Movimientos!$C:$C,"&lt;0")</f>
        <v>0</v>
      </c>
      <c r="OI15" s="5">
        <f ca="1">SUMIFS(Movimientos!$C:$C,Movimientos!$A:$A,$B15,Movimientos!$D:$D,CONCATENATE("&lt;=",OI$3),Movimientos!$C:$C,"&gt;0")+SUMIFS(Movimientos!$C:$C,Movimientos!$A:$A,$B15,Movimientos!$D:$D,CONCATENATE("&lt;",OI$3),Movimientos!$C:$C,"&lt;0")</f>
        <v>0</v>
      </c>
      <c r="OJ15" s="5">
        <f ca="1">SUMIFS(Movimientos!$C:$C,Movimientos!$A:$A,$B15,Movimientos!$D:$D,CONCATENATE("&lt;=",OJ$3),Movimientos!$C:$C,"&gt;0")+SUMIFS(Movimientos!$C:$C,Movimientos!$A:$A,$B15,Movimientos!$D:$D,CONCATENATE("&lt;",OJ$3),Movimientos!$C:$C,"&lt;0")</f>
        <v>0</v>
      </c>
      <c r="OK15" s="5">
        <f ca="1">SUMIFS(Movimientos!$C:$C,Movimientos!$A:$A,$B15,Movimientos!$D:$D,CONCATENATE("&lt;=",OK$3),Movimientos!$C:$C,"&gt;0")+SUMIFS(Movimientos!$C:$C,Movimientos!$A:$A,$B15,Movimientos!$D:$D,CONCATENATE("&lt;",OK$3),Movimientos!$C:$C,"&lt;0")</f>
        <v>0</v>
      </c>
      <c r="OL15" s="5">
        <f ca="1">SUMIFS(Movimientos!$C:$C,Movimientos!$A:$A,$B15,Movimientos!$D:$D,CONCATENATE("&lt;=",OL$3),Movimientos!$C:$C,"&gt;0")+SUMIFS(Movimientos!$C:$C,Movimientos!$A:$A,$B15,Movimientos!$D:$D,CONCATENATE("&lt;",OL$3),Movimientos!$C:$C,"&lt;0")</f>
        <v>0</v>
      </c>
      <c r="OM15" s="5">
        <f ca="1">SUMIFS(Movimientos!$C:$C,Movimientos!$A:$A,$B15,Movimientos!$D:$D,CONCATENATE("&lt;=",OM$3),Movimientos!$C:$C,"&gt;0")+SUMIFS(Movimientos!$C:$C,Movimientos!$A:$A,$B15,Movimientos!$D:$D,CONCATENATE("&lt;",OM$3),Movimientos!$C:$C,"&lt;0")</f>
        <v>0</v>
      </c>
      <c r="ON15" s="5">
        <f ca="1">SUMIFS(Movimientos!$C:$C,Movimientos!$A:$A,$B15,Movimientos!$D:$D,CONCATENATE("&lt;=",ON$3),Movimientos!$C:$C,"&gt;0")+SUMIFS(Movimientos!$C:$C,Movimientos!$A:$A,$B15,Movimientos!$D:$D,CONCATENATE("&lt;",ON$3),Movimientos!$C:$C,"&lt;0")</f>
        <v>0</v>
      </c>
      <c r="OO15" s="5">
        <f ca="1">SUMIFS(Movimientos!$C:$C,Movimientos!$A:$A,$B15,Movimientos!$D:$D,CONCATENATE("&lt;=",OO$3),Movimientos!$C:$C,"&gt;0")+SUMIFS(Movimientos!$C:$C,Movimientos!$A:$A,$B15,Movimientos!$D:$D,CONCATENATE("&lt;",OO$3),Movimientos!$C:$C,"&lt;0")</f>
        <v>0</v>
      </c>
      <c r="OP15" s="5">
        <f ca="1">SUMIFS(Movimientos!$C:$C,Movimientos!$A:$A,$B15,Movimientos!$D:$D,CONCATENATE("&lt;=",OP$3),Movimientos!$C:$C,"&gt;0")+SUMIFS(Movimientos!$C:$C,Movimientos!$A:$A,$B15,Movimientos!$D:$D,CONCATENATE("&lt;",OP$3),Movimientos!$C:$C,"&lt;0")</f>
        <v>0</v>
      </c>
      <c r="OQ15" s="5">
        <f ca="1">SUMIFS(Movimientos!$C:$C,Movimientos!$A:$A,$B15,Movimientos!$D:$D,CONCATENATE("&lt;=",OQ$3),Movimientos!$C:$C,"&gt;0")+SUMIFS(Movimientos!$C:$C,Movimientos!$A:$A,$B15,Movimientos!$D:$D,CONCATENATE("&lt;",OQ$3),Movimientos!$C:$C,"&lt;0")</f>
        <v>0</v>
      </c>
      <c r="OR15" s="5">
        <f ca="1">SUMIFS(Movimientos!$C:$C,Movimientos!$A:$A,$B15,Movimientos!$D:$D,CONCATENATE("&lt;=",OR$3),Movimientos!$C:$C,"&gt;0")+SUMIFS(Movimientos!$C:$C,Movimientos!$A:$A,$B15,Movimientos!$D:$D,CONCATENATE("&lt;",OR$3),Movimientos!$C:$C,"&lt;0")</f>
        <v>0</v>
      </c>
      <c r="OS15" s="5">
        <f ca="1">SUMIFS(Movimientos!$C:$C,Movimientos!$A:$A,$B15,Movimientos!$D:$D,CONCATENATE("&lt;=",OS$3),Movimientos!$C:$C,"&gt;0")+SUMIFS(Movimientos!$C:$C,Movimientos!$A:$A,$B15,Movimientos!$D:$D,CONCATENATE("&lt;",OS$3),Movimientos!$C:$C,"&lt;0")</f>
        <v>0</v>
      </c>
      <c r="OT15" s="5">
        <f ca="1">SUMIFS(Movimientos!$C:$C,Movimientos!$A:$A,$B15,Movimientos!$D:$D,CONCATENATE("&lt;=",OT$3),Movimientos!$C:$C,"&gt;0")+SUMIFS(Movimientos!$C:$C,Movimientos!$A:$A,$B15,Movimientos!$D:$D,CONCATENATE("&lt;",OT$3),Movimientos!$C:$C,"&lt;0")</f>
        <v>0</v>
      </c>
      <c r="OU15" s="5">
        <f ca="1">SUMIFS(Movimientos!$C:$C,Movimientos!$A:$A,$B15,Movimientos!$D:$D,CONCATENATE("&lt;=",OU$3),Movimientos!$C:$C,"&gt;0")+SUMIFS(Movimientos!$C:$C,Movimientos!$A:$A,$B15,Movimientos!$D:$D,CONCATENATE("&lt;",OU$3),Movimientos!$C:$C,"&lt;0")</f>
        <v>0</v>
      </c>
      <c r="OV15" s="5">
        <f ca="1">SUMIFS(Movimientos!$C:$C,Movimientos!$A:$A,$B15,Movimientos!$D:$D,CONCATENATE("&lt;=",OV$3),Movimientos!$C:$C,"&gt;0")+SUMIFS(Movimientos!$C:$C,Movimientos!$A:$A,$B15,Movimientos!$D:$D,CONCATENATE("&lt;",OV$3),Movimientos!$C:$C,"&lt;0")</f>
        <v>0</v>
      </c>
      <c r="OW15" s="5">
        <f ca="1">SUMIFS(Movimientos!$C:$C,Movimientos!$A:$A,$B15,Movimientos!$D:$D,CONCATENATE("&lt;=",OW$3),Movimientos!$C:$C,"&gt;0")+SUMIFS(Movimientos!$C:$C,Movimientos!$A:$A,$B15,Movimientos!$D:$D,CONCATENATE("&lt;",OW$3),Movimientos!$C:$C,"&lt;0")</f>
        <v>0</v>
      </c>
      <c r="OX15" s="5">
        <f ca="1">SUMIFS(Movimientos!$C:$C,Movimientos!$A:$A,$B15,Movimientos!$D:$D,CONCATENATE("&lt;=",OX$3),Movimientos!$C:$C,"&gt;0")+SUMIFS(Movimientos!$C:$C,Movimientos!$A:$A,$B15,Movimientos!$D:$D,CONCATENATE("&lt;",OX$3),Movimientos!$C:$C,"&lt;0")</f>
        <v>0</v>
      </c>
      <c r="OY15" s="5">
        <f ca="1">SUMIFS(Movimientos!$C:$C,Movimientos!$A:$A,$B15,Movimientos!$D:$D,CONCATENATE("&lt;=",OY$3),Movimientos!$C:$C,"&gt;0")+SUMIFS(Movimientos!$C:$C,Movimientos!$A:$A,$B15,Movimientos!$D:$D,CONCATENATE("&lt;",OY$3),Movimientos!$C:$C,"&lt;0")</f>
        <v>0</v>
      </c>
      <c r="OZ15" s="5">
        <f ca="1">SUMIFS(Movimientos!$C:$C,Movimientos!$A:$A,$B15,Movimientos!$D:$D,CONCATENATE("&lt;=",OZ$3),Movimientos!$C:$C,"&gt;0")+SUMIFS(Movimientos!$C:$C,Movimientos!$A:$A,$B15,Movimientos!$D:$D,CONCATENATE("&lt;",OZ$3),Movimientos!$C:$C,"&lt;0")</f>
        <v>0</v>
      </c>
      <c r="PA15" s="5">
        <f ca="1">SUMIFS(Movimientos!$C:$C,Movimientos!$A:$A,$B15,Movimientos!$D:$D,CONCATENATE("&lt;=",PA$3),Movimientos!$C:$C,"&gt;0")+SUMIFS(Movimientos!$C:$C,Movimientos!$A:$A,$B15,Movimientos!$D:$D,CONCATENATE("&lt;",PA$3),Movimientos!$C:$C,"&lt;0")</f>
        <v>0</v>
      </c>
      <c r="PB15" s="5">
        <f ca="1">SUMIFS(Movimientos!$C:$C,Movimientos!$A:$A,$B15,Movimientos!$D:$D,CONCATENATE("&lt;=",PB$3),Movimientos!$C:$C,"&gt;0")+SUMIFS(Movimientos!$C:$C,Movimientos!$A:$A,$B15,Movimientos!$D:$D,CONCATENATE("&lt;",PB$3),Movimientos!$C:$C,"&lt;0")</f>
        <v>0</v>
      </c>
      <c r="PC15" s="5">
        <f ca="1">SUMIFS(Movimientos!$C:$C,Movimientos!$A:$A,$B15,Movimientos!$D:$D,CONCATENATE("&lt;=",PC$3),Movimientos!$C:$C,"&gt;0")+SUMIFS(Movimientos!$C:$C,Movimientos!$A:$A,$B15,Movimientos!$D:$D,CONCATENATE("&lt;",PC$3),Movimientos!$C:$C,"&lt;0")</f>
        <v>0</v>
      </c>
      <c r="PD15" s="5">
        <f ca="1">SUMIFS(Movimientos!$C:$C,Movimientos!$A:$A,$B15,Movimientos!$D:$D,CONCATENATE("&lt;=",PD$3),Movimientos!$C:$C,"&gt;0")+SUMIFS(Movimientos!$C:$C,Movimientos!$A:$A,$B15,Movimientos!$D:$D,CONCATENATE("&lt;",PD$3),Movimientos!$C:$C,"&lt;0")</f>
        <v>0</v>
      </c>
      <c r="PE15" s="5">
        <f ca="1">SUMIFS(Movimientos!$C:$C,Movimientos!$A:$A,$B15,Movimientos!$D:$D,CONCATENATE("&lt;=",PE$3),Movimientos!$C:$C,"&gt;0")+SUMIFS(Movimientos!$C:$C,Movimientos!$A:$A,$B15,Movimientos!$D:$D,CONCATENATE("&lt;",PE$3),Movimientos!$C:$C,"&lt;0")</f>
        <v>0</v>
      </c>
      <c r="PF15" s="5">
        <f ca="1">SUMIFS(Movimientos!$C:$C,Movimientos!$A:$A,$B15,Movimientos!$D:$D,CONCATENATE("&lt;=",PF$3),Movimientos!$C:$C,"&gt;0")+SUMIFS(Movimientos!$C:$C,Movimientos!$A:$A,$B15,Movimientos!$D:$D,CONCATENATE("&lt;",PF$3),Movimientos!$C:$C,"&lt;0")</f>
        <v>0</v>
      </c>
      <c r="PG15" s="5">
        <f ca="1">SUMIFS(Movimientos!$C:$C,Movimientos!$A:$A,$B15,Movimientos!$D:$D,CONCATENATE("&lt;=",PG$3),Movimientos!$C:$C,"&gt;0")+SUMIFS(Movimientos!$C:$C,Movimientos!$A:$A,$B15,Movimientos!$D:$D,CONCATENATE("&lt;",PG$3),Movimientos!$C:$C,"&lt;0")</f>
        <v>0</v>
      </c>
      <c r="PH15" s="5">
        <f ca="1">SUMIFS(Movimientos!$C:$C,Movimientos!$A:$A,$B15,Movimientos!$D:$D,CONCATENATE("&lt;=",PH$3),Movimientos!$C:$C,"&gt;0")+SUMIFS(Movimientos!$C:$C,Movimientos!$A:$A,$B15,Movimientos!$D:$D,CONCATENATE("&lt;",PH$3),Movimientos!$C:$C,"&lt;0")</f>
        <v>0</v>
      </c>
      <c r="PI15" s="5">
        <f ca="1">SUMIFS(Movimientos!$C:$C,Movimientos!$A:$A,$B15,Movimientos!$D:$D,CONCATENATE("&lt;=",PI$3),Movimientos!$C:$C,"&gt;0")+SUMIFS(Movimientos!$C:$C,Movimientos!$A:$A,$B15,Movimientos!$D:$D,CONCATENATE("&lt;",PI$3),Movimientos!$C:$C,"&lt;0")</f>
        <v>0</v>
      </c>
      <c r="PJ15" s="5">
        <f ca="1">SUMIFS(Movimientos!$C:$C,Movimientos!$A:$A,$B15,Movimientos!$D:$D,CONCATENATE("&lt;=",PJ$3),Movimientos!$C:$C,"&gt;0")+SUMIFS(Movimientos!$C:$C,Movimientos!$A:$A,$B15,Movimientos!$D:$D,CONCATENATE("&lt;",PJ$3),Movimientos!$C:$C,"&lt;0")</f>
        <v>0</v>
      </c>
      <c r="PK15" s="5">
        <f ca="1">SUMIFS(Movimientos!$C:$C,Movimientos!$A:$A,$B15,Movimientos!$D:$D,CONCATENATE("&lt;=",PK$3),Movimientos!$C:$C,"&gt;0")+SUMIFS(Movimientos!$C:$C,Movimientos!$A:$A,$B15,Movimientos!$D:$D,CONCATENATE("&lt;",PK$3),Movimientos!$C:$C,"&lt;0")</f>
        <v>0</v>
      </c>
      <c r="PL15" s="5">
        <f ca="1">SUMIFS(Movimientos!$C:$C,Movimientos!$A:$A,$B15,Movimientos!$D:$D,CONCATENATE("&lt;=",PL$3),Movimientos!$C:$C,"&gt;0")+SUMIFS(Movimientos!$C:$C,Movimientos!$A:$A,$B15,Movimientos!$D:$D,CONCATENATE("&lt;",PL$3),Movimientos!$C:$C,"&lt;0")</f>
        <v>0</v>
      </c>
      <c r="PM15" s="5">
        <f ca="1">SUMIFS(Movimientos!$C:$C,Movimientos!$A:$A,$B15,Movimientos!$D:$D,CONCATENATE("&lt;=",PM$3),Movimientos!$C:$C,"&gt;0")+SUMIFS(Movimientos!$C:$C,Movimientos!$A:$A,$B15,Movimientos!$D:$D,CONCATENATE("&lt;",PM$3),Movimientos!$C:$C,"&lt;0")</f>
        <v>0</v>
      </c>
      <c r="PN15" s="5">
        <f ca="1">SUMIFS(Movimientos!$C:$C,Movimientos!$A:$A,$B15,Movimientos!$D:$D,CONCATENATE("&lt;=",PN$3),Movimientos!$C:$C,"&gt;0")+SUMIFS(Movimientos!$C:$C,Movimientos!$A:$A,$B15,Movimientos!$D:$D,CONCATENATE("&lt;",PN$3),Movimientos!$C:$C,"&lt;0")</f>
        <v>0</v>
      </c>
      <c r="PO15" s="5">
        <f ca="1">SUMIFS(Movimientos!$C:$C,Movimientos!$A:$A,$B15,Movimientos!$D:$D,CONCATENATE("&lt;=",PO$3),Movimientos!$C:$C,"&gt;0")+SUMIFS(Movimientos!$C:$C,Movimientos!$A:$A,$B15,Movimientos!$D:$D,CONCATENATE("&lt;",PO$3),Movimientos!$C:$C,"&lt;0")</f>
        <v>0</v>
      </c>
      <c r="PP15" s="5">
        <f ca="1">SUMIFS(Movimientos!$C:$C,Movimientos!$A:$A,$B15,Movimientos!$D:$D,CONCATENATE("&lt;=",PP$3),Movimientos!$C:$C,"&gt;0")+SUMIFS(Movimientos!$C:$C,Movimientos!$A:$A,$B15,Movimientos!$D:$D,CONCATENATE("&lt;",PP$3),Movimientos!$C:$C,"&lt;0")</f>
        <v>0</v>
      </c>
      <c r="PQ15" s="5">
        <f ca="1">SUMIFS(Movimientos!$C:$C,Movimientos!$A:$A,$B15,Movimientos!$D:$D,CONCATENATE("&lt;=",PQ$3),Movimientos!$C:$C,"&gt;0")+SUMIFS(Movimientos!$C:$C,Movimientos!$A:$A,$B15,Movimientos!$D:$D,CONCATENATE("&lt;",PQ$3),Movimientos!$C:$C,"&lt;0")</f>
        <v>0</v>
      </c>
      <c r="PR15" s="5">
        <f ca="1">SUMIFS(Movimientos!$C:$C,Movimientos!$A:$A,$B15,Movimientos!$D:$D,CONCATENATE("&lt;=",PR$3),Movimientos!$C:$C,"&gt;0")+SUMIFS(Movimientos!$C:$C,Movimientos!$A:$A,$B15,Movimientos!$D:$D,CONCATENATE("&lt;",PR$3),Movimientos!$C:$C,"&lt;0")</f>
        <v>0</v>
      </c>
      <c r="PS15" s="5">
        <f ca="1">SUMIFS(Movimientos!$C:$C,Movimientos!$A:$A,$B15,Movimientos!$D:$D,CONCATENATE("&lt;=",PS$3),Movimientos!$C:$C,"&gt;0")+SUMIFS(Movimientos!$C:$C,Movimientos!$A:$A,$B15,Movimientos!$D:$D,CONCATENATE("&lt;",PS$3),Movimientos!$C:$C,"&lt;0")</f>
        <v>0</v>
      </c>
      <c r="PT15" s="5">
        <f ca="1">SUMIFS(Movimientos!$C:$C,Movimientos!$A:$A,$B15,Movimientos!$D:$D,CONCATENATE("&lt;=",PT$3),Movimientos!$C:$C,"&gt;0")+SUMIFS(Movimientos!$C:$C,Movimientos!$A:$A,$B15,Movimientos!$D:$D,CONCATENATE("&lt;",PT$3),Movimientos!$C:$C,"&lt;0")</f>
        <v>0</v>
      </c>
      <c r="PU15" s="5">
        <f ca="1">SUMIFS(Movimientos!$C:$C,Movimientos!$A:$A,$B15,Movimientos!$D:$D,CONCATENATE("&lt;=",PU$3),Movimientos!$C:$C,"&gt;0")+SUMIFS(Movimientos!$C:$C,Movimientos!$A:$A,$B15,Movimientos!$D:$D,CONCATENATE("&lt;",PU$3),Movimientos!$C:$C,"&lt;0")</f>
        <v>0</v>
      </c>
      <c r="PV15" s="5">
        <f ca="1">SUMIFS(Movimientos!$C:$C,Movimientos!$A:$A,$B15,Movimientos!$D:$D,CONCATENATE("&lt;=",PV$3),Movimientos!$C:$C,"&gt;0")+SUMIFS(Movimientos!$C:$C,Movimientos!$A:$A,$B15,Movimientos!$D:$D,CONCATENATE("&lt;",PV$3),Movimientos!$C:$C,"&lt;0")</f>
        <v>0</v>
      </c>
      <c r="PW15" s="5">
        <f ca="1">SUMIFS(Movimientos!$C:$C,Movimientos!$A:$A,$B15,Movimientos!$D:$D,CONCATENATE("&lt;=",PW$3),Movimientos!$C:$C,"&gt;0")+SUMIFS(Movimientos!$C:$C,Movimientos!$A:$A,$B15,Movimientos!$D:$D,CONCATENATE("&lt;",PW$3),Movimientos!$C:$C,"&lt;0")</f>
        <v>0</v>
      </c>
      <c r="PX15" s="5">
        <f ca="1">SUMIFS(Movimientos!$C:$C,Movimientos!$A:$A,$B15,Movimientos!$D:$D,CONCATENATE("&lt;=",PX$3),Movimientos!$C:$C,"&gt;0")+SUMIFS(Movimientos!$C:$C,Movimientos!$A:$A,$B15,Movimientos!$D:$D,CONCATENATE("&lt;",PX$3),Movimientos!$C:$C,"&lt;0")</f>
        <v>0</v>
      </c>
      <c r="PY15" s="5">
        <f ca="1">SUMIFS(Movimientos!$C:$C,Movimientos!$A:$A,$B15,Movimientos!$D:$D,CONCATENATE("&lt;=",PY$3),Movimientos!$C:$C,"&gt;0")+SUMIFS(Movimientos!$C:$C,Movimientos!$A:$A,$B15,Movimientos!$D:$D,CONCATENATE("&lt;",PY$3),Movimientos!$C:$C,"&lt;0")</f>
        <v>0</v>
      </c>
      <c r="PZ15" s="5">
        <f ca="1">SUMIFS(Movimientos!$C:$C,Movimientos!$A:$A,$B15,Movimientos!$D:$D,CONCATENATE("&lt;=",PZ$3),Movimientos!$C:$C,"&gt;0")+SUMIFS(Movimientos!$C:$C,Movimientos!$A:$A,$B15,Movimientos!$D:$D,CONCATENATE("&lt;",PZ$3),Movimientos!$C:$C,"&lt;0")</f>
        <v>0</v>
      </c>
      <c r="QA15" s="5">
        <f ca="1">SUMIFS(Movimientos!$C:$C,Movimientos!$A:$A,$B15,Movimientos!$D:$D,CONCATENATE("&lt;=",QA$3),Movimientos!$C:$C,"&gt;0")+SUMIFS(Movimientos!$C:$C,Movimientos!$A:$A,$B15,Movimientos!$D:$D,CONCATENATE("&lt;",QA$3),Movimientos!$C:$C,"&lt;0")</f>
        <v>0</v>
      </c>
      <c r="QB15" s="5">
        <f ca="1">SUMIFS(Movimientos!$C:$C,Movimientos!$A:$A,$B15,Movimientos!$D:$D,CONCATENATE("&lt;=",QB$3),Movimientos!$C:$C,"&gt;0")+SUMIFS(Movimientos!$C:$C,Movimientos!$A:$A,$B15,Movimientos!$D:$D,CONCATENATE("&lt;",QB$3),Movimientos!$C:$C,"&lt;0")</f>
        <v>0</v>
      </c>
      <c r="QC15" s="5">
        <f ca="1">SUMIFS(Movimientos!$C:$C,Movimientos!$A:$A,$B15,Movimientos!$D:$D,CONCATENATE("&lt;=",QC$3),Movimientos!$C:$C,"&gt;0")+SUMIFS(Movimientos!$C:$C,Movimientos!$A:$A,$B15,Movimientos!$D:$D,CONCATENATE("&lt;",QC$3),Movimientos!$C:$C,"&lt;0")</f>
        <v>0</v>
      </c>
      <c r="QD15" s="5">
        <f ca="1">SUMIFS(Movimientos!$C:$C,Movimientos!$A:$A,$B15,Movimientos!$D:$D,CONCATENATE("&lt;=",QD$3),Movimientos!$C:$C,"&gt;0")+SUMIFS(Movimientos!$C:$C,Movimientos!$A:$A,$B15,Movimientos!$D:$D,CONCATENATE("&lt;",QD$3),Movimientos!$C:$C,"&lt;0")</f>
        <v>0</v>
      </c>
      <c r="QE15" s="5">
        <f ca="1">SUMIFS(Movimientos!$C:$C,Movimientos!$A:$A,$B15,Movimientos!$D:$D,CONCATENATE("&lt;=",QE$3),Movimientos!$C:$C,"&gt;0")+SUMIFS(Movimientos!$C:$C,Movimientos!$A:$A,$B15,Movimientos!$D:$D,CONCATENATE("&lt;",QE$3),Movimientos!$C:$C,"&lt;0")</f>
        <v>0</v>
      </c>
      <c r="QF15" s="5">
        <f ca="1">SUMIFS(Movimientos!$C:$C,Movimientos!$A:$A,$B15,Movimientos!$D:$D,CONCATENATE("&lt;=",QF$3),Movimientos!$C:$C,"&gt;0")+SUMIFS(Movimientos!$C:$C,Movimientos!$A:$A,$B15,Movimientos!$D:$D,CONCATENATE("&lt;",QF$3),Movimientos!$C:$C,"&lt;0")</f>
        <v>0</v>
      </c>
      <c r="QG15" s="5">
        <f ca="1">SUMIFS(Movimientos!$C:$C,Movimientos!$A:$A,$B15,Movimientos!$D:$D,CONCATENATE("&lt;=",QG$3),Movimientos!$C:$C,"&gt;0")+SUMIFS(Movimientos!$C:$C,Movimientos!$A:$A,$B15,Movimientos!$D:$D,CONCATENATE("&lt;",QG$3),Movimientos!$C:$C,"&lt;0")</f>
        <v>0</v>
      </c>
      <c r="QH15" s="5">
        <f ca="1">SUMIFS(Movimientos!$C:$C,Movimientos!$A:$A,$B15,Movimientos!$D:$D,CONCATENATE("&lt;=",QH$3),Movimientos!$C:$C,"&gt;0")+SUMIFS(Movimientos!$C:$C,Movimientos!$A:$A,$B15,Movimientos!$D:$D,CONCATENATE("&lt;",QH$3),Movimientos!$C:$C,"&lt;0")</f>
        <v>0</v>
      </c>
      <c r="QI15" s="5">
        <f ca="1">SUMIFS(Movimientos!$C:$C,Movimientos!$A:$A,$B15,Movimientos!$D:$D,CONCATENATE("&lt;=",QI$3),Movimientos!$C:$C,"&gt;0")+SUMIFS(Movimientos!$C:$C,Movimientos!$A:$A,$B15,Movimientos!$D:$D,CONCATENATE("&lt;",QI$3),Movimientos!$C:$C,"&lt;0")</f>
        <v>0</v>
      </c>
      <c r="QJ15" s="5">
        <f ca="1">SUMIFS(Movimientos!$C:$C,Movimientos!$A:$A,$B15,Movimientos!$D:$D,CONCATENATE("&lt;=",QJ$3),Movimientos!$C:$C,"&gt;0")+SUMIFS(Movimientos!$C:$C,Movimientos!$A:$A,$B15,Movimientos!$D:$D,CONCATENATE("&lt;",QJ$3),Movimientos!$C:$C,"&lt;0")</f>
        <v>0</v>
      </c>
      <c r="QK15" s="5">
        <f ca="1">SUMIFS(Movimientos!$C:$C,Movimientos!$A:$A,$B15,Movimientos!$D:$D,CONCATENATE("&lt;=",QK$3),Movimientos!$C:$C,"&gt;0")+SUMIFS(Movimientos!$C:$C,Movimientos!$A:$A,$B15,Movimientos!$D:$D,CONCATENATE("&lt;",QK$3),Movimientos!$C:$C,"&lt;0")</f>
        <v>0</v>
      </c>
      <c r="QL15" s="5">
        <f ca="1">SUMIFS(Movimientos!$C:$C,Movimientos!$A:$A,$B15,Movimientos!$D:$D,CONCATENATE("&lt;=",QL$3),Movimientos!$C:$C,"&gt;0")+SUMIFS(Movimientos!$C:$C,Movimientos!$A:$A,$B15,Movimientos!$D:$D,CONCATENATE("&lt;",QL$3),Movimientos!$C:$C,"&lt;0")</f>
        <v>0</v>
      </c>
      <c r="QM15" s="5">
        <f ca="1">SUMIFS(Movimientos!$C:$C,Movimientos!$A:$A,$B15,Movimientos!$D:$D,CONCATENATE("&lt;=",QM$3),Movimientos!$C:$C,"&gt;0")+SUMIFS(Movimientos!$C:$C,Movimientos!$A:$A,$B15,Movimientos!$D:$D,CONCATENATE("&lt;",QM$3),Movimientos!$C:$C,"&lt;0")</f>
        <v>0</v>
      </c>
      <c r="QN15" s="5">
        <f ca="1">SUMIFS(Movimientos!$C:$C,Movimientos!$A:$A,$B15,Movimientos!$D:$D,CONCATENATE("&lt;=",QN$3),Movimientos!$C:$C,"&gt;0")+SUMIFS(Movimientos!$C:$C,Movimientos!$A:$A,$B15,Movimientos!$D:$D,CONCATENATE("&lt;",QN$3),Movimientos!$C:$C,"&lt;0")</f>
        <v>0</v>
      </c>
      <c r="QO15" s="5">
        <f ca="1">SUMIFS(Movimientos!$C:$C,Movimientos!$A:$A,$B15,Movimientos!$D:$D,CONCATENATE("&lt;=",QO$3),Movimientos!$C:$C,"&gt;0")+SUMIFS(Movimientos!$C:$C,Movimientos!$A:$A,$B15,Movimientos!$D:$D,CONCATENATE("&lt;",QO$3),Movimientos!$C:$C,"&lt;0")</f>
        <v>0</v>
      </c>
      <c r="QP15" s="5">
        <f ca="1">SUMIFS(Movimientos!$C:$C,Movimientos!$A:$A,$B15,Movimientos!$D:$D,CONCATENATE("&lt;=",QP$3),Movimientos!$C:$C,"&gt;0")+SUMIFS(Movimientos!$C:$C,Movimientos!$A:$A,$B15,Movimientos!$D:$D,CONCATENATE("&lt;",QP$3),Movimientos!$C:$C,"&lt;0")</f>
        <v>0</v>
      </c>
      <c r="QQ15" s="5">
        <f ca="1">SUMIFS(Movimientos!$C:$C,Movimientos!$A:$A,$B15,Movimientos!$D:$D,CONCATENATE("&lt;=",QQ$3),Movimientos!$C:$C,"&gt;0")+SUMIFS(Movimientos!$C:$C,Movimientos!$A:$A,$B15,Movimientos!$D:$D,CONCATENATE("&lt;",QQ$3),Movimientos!$C:$C,"&lt;0")</f>
        <v>0</v>
      </c>
      <c r="QR15" s="5">
        <f ca="1">SUMIFS(Movimientos!$C:$C,Movimientos!$A:$A,$B15,Movimientos!$D:$D,CONCATENATE("&lt;=",QR$3),Movimientos!$C:$C,"&gt;0")+SUMIFS(Movimientos!$C:$C,Movimientos!$A:$A,$B15,Movimientos!$D:$D,CONCATENATE("&lt;",QR$3),Movimientos!$C:$C,"&lt;0")</f>
        <v>0</v>
      </c>
      <c r="QS15" s="5">
        <f ca="1">SUMIFS(Movimientos!$C:$C,Movimientos!$A:$A,$B15,Movimientos!$D:$D,CONCATENATE("&lt;=",QS$3),Movimientos!$C:$C,"&gt;0")+SUMIFS(Movimientos!$C:$C,Movimientos!$A:$A,$B15,Movimientos!$D:$D,CONCATENATE("&lt;",QS$3),Movimientos!$C:$C,"&lt;0")</f>
        <v>0</v>
      </c>
      <c r="QT15" s="5">
        <f ca="1">SUMIFS(Movimientos!$C:$C,Movimientos!$A:$A,$B15,Movimientos!$D:$D,CONCATENATE("&lt;=",QT$3),Movimientos!$C:$C,"&gt;0")+SUMIFS(Movimientos!$C:$C,Movimientos!$A:$A,$B15,Movimientos!$D:$D,CONCATENATE("&lt;",QT$3),Movimientos!$C:$C,"&lt;0")</f>
        <v>0</v>
      </c>
      <c r="QU15" s="5">
        <f ca="1">SUMIFS(Movimientos!$C:$C,Movimientos!$A:$A,$B15,Movimientos!$D:$D,CONCATENATE("&lt;=",QU$3),Movimientos!$C:$C,"&gt;0")+SUMIFS(Movimientos!$C:$C,Movimientos!$A:$A,$B15,Movimientos!$D:$D,CONCATENATE("&lt;",QU$3),Movimientos!$C:$C,"&lt;0")</f>
        <v>0</v>
      </c>
      <c r="QV15" s="5">
        <f ca="1">SUMIFS(Movimientos!$C:$C,Movimientos!$A:$A,$B15,Movimientos!$D:$D,CONCATENATE("&lt;=",QV$3),Movimientos!$C:$C,"&gt;0")+SUMIFS(Movimientos!$C:$C,Movimientos!$A:$A,$B15,Movimientos!$D:$D,CONCATENATE("&lt;",QV$3),Movimientos!$C:$C,"&lt;0")</f>
        <v>0</v>
      </c>
      <c r="QW15" s="5">
        <f ca="1">SUMIFS(Movimientos!$C:$C,Movimientos!$A:$A,$B15,Movimientos!$D:$D,CONCATENATE("&lt;=",QW$3),Movimientos!$C:$C,"&gt;0")+SUMIFS(Movimientos!$C:$C,Movimientos!$A:$A,$B15,Movimientos!$D:$D,CONCATENATE("&lt;",QW$3),Movimientos!$C:$C,"&lt;0")</f>
        <v>0</v>
      </c>
      <c r="QX15" s="5">
        <f ca="1">SUMIFS(Movimientos!$C:$C,Movimientos!$A:$A,$B15,Movimientos!$D:$D,CONCATENATE("&lt;=",QX$3),Movimientos!$C:$C,"&gt;0")+SUMIFS(Movimientos!$C:$C,Movimientos!$A:$A,$B15,Movimientos!$D:$D,CONCATENATE("&lt;",QX$3),Movimientos!$C:$C,"&lt;0")</f>
        <v>0</v>
      </c>
      <c r="QY15" s="5">
        <f ca="1">SUMIFS(Movimientos!$C:$C,Movimientos!$A:$A,$B15,Movimientos!$D:$D,CONCATENATE("&lt;=",QY$3),Movimientos!$C:$C,"&gt;0")+SUMIFS(Movimientos!$C:$C,Movimientos!$A:$A,$B15,Movimientos!$D:$D,CONCATENATE("&lt;",QY$3),Movimientos!$C:$C,"&lt;0")</f>
        <v>0</v>
      </c>
      <c r="QZ15" s="5">
        <f ca="1">SUMIFS(Movimientos!$C:$C,Movimientos!$A:$A,$B15,Movimientos!$D:$D,CONCATENATE("&lt;=",QZ$3),Movimientos!$C:$C,"&gt;0")+SUMIFS(Movimientos!$C:$C,Movimientos!$A:$A,$B15,Movimientos!$D:$D,CONCATENATE("&lt;",QZ$3),Movimientos!$C:$C,"&lt;0")</f>
        <v>0</v>
      </c>
      <c r="RA15" s="5">
        <f ca="1">SUMIFS(Movimientos!$C:$C,Movimientos!$A:$A,$B15,Movimientos!$D:$D,CONCATENATE("&lt;=",RA$3),Movimientos!$C:$C,"&gt;0")+SUMIFS(Movimientos!$C:$C,Movimientos!$A:$A,$B15,Movimientos!$D:$D,CONCATENATE("&lt;",RA$3),Movimientos!$C:$C,"&lt;0")</f>
        <v>0</v>
      </c>
      <c r="RB15" s="5">
        <f ca="1">SUMIFS(Movimientos!$C:$C,Movimientos!$A:$A,$B15,Movimientos!$D:$D,CONCATENATE("&lt;=",RB$3),Movimientos!$C:$C,"&gt;0")+SUMIFS(Movimientos!$C:$C,Movimientos!$A:$A,$B15,Movimientos!$D:$D,CONCATENATE("&lt;",RB$3),Movimientos!$C:$C,"&lt;0")</f>
        <v>0</v>
      </c>
      <c r="RC15" s="5">
        <f ca="1">SUMIFS(Movimientos!$C:$C,Movimientos!$A:$A,$B15,Movimientos!$D:$D,CONCATENATE("&lt;=",RC$3),Movimientos!$C:$C,"&gt;0")+SUMIFS(Movimientos!$C:$C,Movimientos!$A:$A,$B15,Movimientos!$D:$D,CONCATENATE("&lt;",RC$3),Movimientos!$C:$C,"&lt;0")</f>
        <v>0</v>
      </c>
      <c r="RD15" s="5">
        <f ca="1">SUMIFS(Movimientos!$C:$C,Movimientos!$A:$A,$B15,Movimientos!$D:$D,CONCATENATE("&lt;=",RD$3),Movimientos!$C:$C,"&gt;0")+SUMIFS(Movimientos!$C:$C,Movimientos!$A:$A,$B15,Movimientos!$D:$D,CONCATENATE("&lt;",RD$3),Movimientos!$C:$C,"&lt;0")</f>
        <v>0</v>
      </c>
      <c r="RE15" s="5">
        <f ca="1">SUMIFS(Movimientos!$C:$C,Movimientos!$A:$A,$B15,Movimientos!$D:$D,CONCATENATE("&lt;=",RE$3),Movimientos!$C:$C,"&gt;0")+SUMIFS(Movimientos!$C:$C,Movimientos!$A:$A,$B15,Movimientos!$D:$D,CONCATENATE("&lt;",RE$3),Movimientos!$C:$C,"&lt;0")</f>
        <v>0</v>
      </c>
      <c r="RF15" s="5">
        <f ca="1">SUMIFS(Movimientos!$C:$C,Movimientos!$A:$A,$B15,Movimientos!$D:$D,CONCATENATE("&lt;=",RF$3),Movimientos!$C:$C,"&gt;0")+SUMIFS(Movimientos!$C:$C,Movimientos!$A:$A,$B15,Movimientos!$D:$D,CONCATENATE("&lt;",RF$3),Movimientos!$C:$C,"&lt;0")</f>
        <v>0</v>
      </c>
      <c r="RG15" s="5">
        <f ca="1">SUMIFS(Movimientos!$C:$C,Movimientos!$A:$A,$B15,Movimientos!$D:$D,CONCATENATE("&lt;=",RG$3),Movimientos!$C:$C,"&gt;0")+SUMIFS(Movimientos!$C:$C,Movimientos!$A:$A,$B15,Movimientos!$D:$D,CONCATENATE("&lt;",RG$3),Movimientos!$C:$C,"&lt;0")</f>
        <v>0</v>
      </c>
      <c r="RH15" s="5">
        <f ca="1">SUMIFS(Movimientos!$C:$C,Movimientos!$A:$A,$B15,Movimientos!$D:$D,CONCATENATE("&lt;=",RH$3),Movimientos!$C:$C,"&gt;0")+SUMIFS(Movimientos!$C:$C,Movimientos!$A:$A,$B15,Movimientos!$D:$D,CONCATENATE("&lt;",RH$3),Movimientos!$C:$C,"&lt;0")</f>
        <v>0</v>
      </c>
      <c r="RI15" s="5">
        <f ca="1">SUMIFS(Movimientos!$C:$C,Movimientos!$A:$A,$B15,Movimientos!$D:$D,CONCATENATE("&lt;=",RI$3),Movimientos!$C:$C,"&gt;0")+SUMIFS(Movimientos!$C:$C,Movimientos!$A:$A,$B15,Movimientos!$D:$D,CONCATENATE("&lt;",RI$3),Movimientos!$C:$C,"&lt;0")</f>
        <v>0</v>
      </c>
      <c r="RJ15" s="5">
        <f ca="1">SUMIFS(Movimientos!$C:$C,Movimientos!$A:$A,$B15,Movimientos!$D:$D,CONCATENATE("&lt;=",RJ$3),Movimientos!$C:$C,"&gt;0")+SUMIFS(Movimientos!$C:$C,Movimientos!$A:$A,$B15,Movimientos!$D:$D,CONCATENATE("&lt;",RJ$3),Movimientos!$C:$C,"&lt;0")</f>
        <v>0</v>
      </c>
      <c r="RK15" s="5">
        <f ca="1">SUMIFS(Movimientos!$C:$C,Movimientos!$A:$A,$B15,Movimientos!$D:$D,CONCATENATE("&lt;=",RK$3),Movimientos!$C:$C,"&gt;0")+SUMIFS(Movimientos!$C:$C,Movimientos!$A:$A,$B15,Movimientos!$D:$D,CONCATENATE("&lt;",RK$3),Movimientos!$C:$C,"&lt;0")</f>
        <v>0</v>
      </c>
      <c r="RL15" s="5">
        <f ca="1">SUMIFS(Movimientos!$C:$C,Movimientos!$A:$A,$B15,Movimientos!$D:$D,CONCATENATE("&lt;=",RL$3),Movimientos!$C:$C,"&gt;0")+SUMIFS(Movimientos!$C:$C,Movimientos!$A:$A,$B15,Movimientos!$D:$D,CONCATENATE("&lt;",RL$3),Movimientos!$C:$C,"&lt;0")</f>
        <v>0</v>
      </c>
      <c r="RM15" s="5">
        <f ca="1">SUMIFS(Movimientos!$C:$C,Movimientos!$A:$A,$B15,Movimientos!$D:$D,CONCATENATE("&lt;=",RM$3),Movimientos!$C:$C,"&gt;0")+SUMIFS(Movimientos!$C:$C,Movimientos!$A:$A,$B15,Movimientos!$D:$D,CONCATENATE("&lt;",RM$3),Movimientos!$C:$C,"&lt;0")</f>
        <v>0</v>
      </c>
      <c r="RN15" s="5">
        <f ca="1">SUMIFS(Movimientos!$C:$C,Movimientos!$A:$A,$B15,Movimientos!$D:$D,CONCATENATE("&lt;=",RN$3),Movimientos!$C:$C,"&gt;0")+SUMIFS(Movimientos!$C:$C,Movimientos!$A:$A,$B15,Movimientos!$D:$D,CONCATENATE("&lt;",RN$3),Movimientos!$C:$C,"&lt;0")</f>
        <v>0</v>
      </c>
      <c r="RO15" s="5">
        <f ca="1">SUMIFS(Movimientos!$C:$C,Movimientos!$A:$A,$B15,Movimientos!$D:$D,CONCATENATE("&lt;=",RO$3),Movimientos!$C:$C,"&gt;0")+SUMIFS(Movimientos!$C:$C,Movimientos!$A:$A,$B15,Movimientos!$D:$D,CONCATENATE("&lt;",RO$3),Movimientos!$C:$C,"&lt;0")</f>
        <v>0</v>
      </c>
      <c r="RP15" s="5">
        <f ca="1">SUMIFS(Movimientos!$C:$C,Movimientos!$A:$A,$B15,Movimientos!$D:$D,CONCATENATE("&lt;=",RP$3),Movimientos!$C:$C,"&gt;0")+SUMIFS(Movimientos!$C:$C,Movimientos!$A:$A,$B15,Movimientos!$D:$D,CONCATENATE("&lt;",RP$3),Movimientos!$C:$C,"&lt;0")</f>
        <v>0</v>
      </c>
      <c r="RQ15" s="5">
        <f ca="1">SUMIFS(Movimientos!$C:$C,Movimientos!$A:$A,$B15,Movimientos!$D:$D,CONCATENATE("&lt;=",RQ$3),Movimientos!$C:$C,"&gt;0")+SUMIFS(Movimientos!$C:$C,Movimientos!$A:$A,$B15,Movimientos!$D:$D,CONCATENATE("&lt;",RQ$3),Movimientos!$C:$C,"&lt;0")</f>
        <v>0</v>
      </c>
      <c r="RR15" s="5">
        <f ca="1">SUMIFS(Movimientos!$C:$C,Movimientos!$A:$A,$B15,Movimientos!$D:$D,CONCATENATE("&lt;=",RR$3),Movimientos!$C:$C,"&gt;0")+SUMIFS(Movimientos!$C:$C,Movimientos!$A:$A,$B15,Movimientos!$D:$D,CONCATENATE("&lt;",RR$3),Movimientos!$C:$C,"&lt;0")</f>
        <v>0</v>
      </c>
      <c r="RS15" s="5">
        <f ca="1">SUMIFS(Movimientos!$C:$C,Movimientos!$A:$A,$B15,Movimientos!$D:$D,CONCATENATE("&lt;=",RS$3),Movimientos!$C:$C,"&gt;0")+SUMIFS(Movimientos!$C:$C,Movimientos!$A:$A,$B15,Movimientos!$D:$D,CONCATENATE("&lt;",RS$3),Movimientos!$C:$C,"&lt;0")</f>
        <v>0</v>
      </c>
      <c r="RT15" s="5">
        <f ca="1">SUMIFS(Movimientos!$C:$C,Movimientos!$A:$A,$B15,Movimientos!$D:$D,CONCATENATE("&lt;=",RT$3),Movimientos!$C:$C,"&gt;0")+SUMIFS(Movimientos!$C:$C,Movimientos!$A:$A,$B15,Movimientos!$D:$D,CONCATENATE("&lt;",RT$3),Movimientos!$C:$C,"&lt;0")</f>
        <v>0</v>
      </c>
      <c r="RU15" s="5">
        <f ca="1">SUMIFS(Movimientos!$C:$C,Movimientos!$A:$A,$B15,Movimientos!$D:$D,CONCATENATE("&lt;=",RU$3),Movimientos!$C:$C,"&gt;0")+SUMIFS(Movimientos!$C:$C,Movimientos!$A:$A,$B15,Movimientos!$D:$D,CONCATENATE("&lt;",RU$3),Movimientos!$C:$C,"&lt;0")</f>
        <v>0</v>
      </c>
      <c r="RV15" s="5">
        <f ca="1">SUMIFS(Movimientos!$C:$C,Movimientos!$A:$A,$B15,Movimientos!$D:$D,CONCATENATE("&lt;=",RV$3),Movimientos!$C:$C,"&gt;0")+SUMIFS(Movimientos!$C:$C,Movimientos!$A:$A,$B15,Movimientos!$D:$D,CONCATENATE("&lt;",RV$3),Movimientos!$C:$C,"&lt;0")</f>
        <v>0</v>
      </c>
      <c r="RW15" s="5">
        <f ca="1">SUMIFS(Movimientos!$C:$C,Movimientos!$A:$A,$B15,Movimientos!$D:$D,CONCATENATE("&lt;=",RW$3),Movimientos!$C:$C,"&gt;0")+SUMIFS(Movimientos!$C:$C,Movimientos!$A:$A,$B15,Movimientos!$D:$D,CONCATENATE("&lt;",RW$3),Movimientos!$C:$C,"&lt;0")</f>
        <v>0</v>
      </c>
      <c r="RX15" s="5">
        <f ca="1">SUMIFS(Movimientos!$C:$C,Movimientos!$A:$A,$B15,Movimientos!$D:$D,CONCATENATE("&lt;=",RX$3),Movimientos!$C:$C,"&gt;0")+SUMIFS(Movimientos!$C:$C,Movimientos!$A:$A,$B15,Movimientos!$D:$D,CONCATENATE("&lt;",RX$3),Movimientos!$C:$C,"&lt;0")</f>
        <v>0</v>
      </c>
      <c r="RY15" s="5">
        <f ca="1">SUMIFS(Movimientos!$C:$C,Movimientos!$A:$A,$B15,Movimientos!$D:$D,CONCATENATE("&lt;=",RY$3),Movimientos!$C:$C,"&gt;0")+SUMIFS(Movimientos!$C:$C,Movimientos!$A:$A,$B15,Movimientos!$D:$D,CONCATENATE("&lt;",RY$3),Movimientos!$C:$C,"&lt;0")</f>
        <v>0</v>
      </c>
      <c r="RZ15" s="5">
        <f ca="1">SUMIFS(Movimientos!$C:$C,Movimientos!$A:$A,$B15,Movimientos!$D:$D,CONCATENATE("&lt;=",RZ$3),Movimientos!$C:$C,"&gt;0")+SUMIFS(Movimientos!$C:$C,Movimientos!$A:$A,$B15,Movimientos!$D:$D,CONCATENATE("&lt;",RZ$3),Movimientos!$C:$C,"&lt;0")</f>
        <v>0</v>
      </c>
      <c r="SA15" s="5">
        <f ca="1">SUMIFS(Movimientos!$C:$C,Movimientos!$A:$A,$B15,Movimientos!$D:$D,CONCATENATE("&lt;=",SA$3),Movimientos!$C:$C,"&gt;0")+SUMIFS(Movimientos!$C:$C,Movimientos!$A:$A,$B15,Movimientos!$D:$D,CONCATENATE("&lt;",SA$3),Movimientos!$C:$C,"&lt;0")</f>
        <v>0</v>
      </c>
      <c r="SB15" s="5">
        <f ca="1">SUMIFS(Movimientos!$C:$C,Movimientos!$A:$A,$B15,Movimientos!$D:$D,CONCATENATE("&lt;=",SB$3),Movimientos!$C:$C,"&gt;0")+SUMIFS(Movimientos!$C:$C,Movimientos!$A:$A,$B15,Movimientos!$D:$D,CONCATENATE("&lt;",SB$3),Movimientos!$C:$C,"&lt;0")</f>
        <v>0</v>
      </c>
      <c r="SC15" s="5">
        <f ca="1">SUMIFS(Movimientos!$C:$C,Movimientos!$A:$A,$B15,Movimientos!$D:$D,CONCATENATE("&lt;=",SC$3),Movimientos!$C:$C,"&gt;0")+SUMIFS(Movimientos!$C:$C,Movimientos!$A:$A,$B15,Movimientos!$D:$D,CONCATENATE("&lt;",SC$3),Movimientos!$C:$C,"&lt;0")</f>
        <v>0</v>
      </c>
      <c r="SD15" s="5">
        <f ca="1">SUMIFS(Movimientos!$C:$C,Movimientos!$A:$A,$B15,Movimientos!$D:$D,CONCATENATE("&lt;=",SD$3),Movimientos!$C:$C,"&gt;0")+SUMIFS(Movimientos!$C:$C,Movimientos!$A:$A,$B15,Movimientos!$D:$D,CONCATENATE("&lt;",SD$3),Movimientos!$C:$C,"&lt;0")</f>
        <v>0</v>
      </c>
      <c r="SE15" s="5">
        <f ca="1">SUMIFS(Movimientos!$C:$C,Movimientos!$A:$A,$B15,Movimientos!$D:$D,CONCATENATE("&lt;=",SE$3),Movimientos!$C:$C,"&gt;0")+SUMIFS(Movimientos!$C:$C,Movimientos!$A:$A,$B15,Movimientos!$D:$D,CONCATENATE("&lt;",SE$3),Movimientos!$C:$C,"&lt;0")</f>
        <v>0</v>
      </c>
      <c r="SF15" s="5">
        <f ca="1">SUMIFS(Movimientos!$C:$C,Movimientos!$A:$A,$B15,Movimientos!$D:$D,CONCATENATE("&lt;=",SF$3),Movimientos!$C:$C,"&gt;0")+SUMIFS(Movimientos!$C:$C,Movimientos!$A:$A,$B15,Movimientos!$D:$D,CONCATENATE("&lt;",SF$3),Movimientos!$C:$C,"&lt;0")</f>
        <v>0</v>
      </c>
      <c r="SG15" s="5">
        <f ca="1">SUMIFS(Movimientos!$C:$C,Movimientos!$A:$A,$B15,Movimientos!$D:$D,CONCATENATE("&lt;=",SG$3),Movimientos!$C:$C,"&gt;0")+SUMIFS(Movimientos!$C:$C,Movimientos!$A:$A,$B15,Movimientos!$D:$D,CONCATENATE("&lt;",SG$3),Movimientos!$C:$C,"&lt;0")</f>
        <v>0</v>
      </c>
      <c r="SH15" s="5">
        <f ca="1">SUMIFS(Movimientos!$C:$C,Movimientos!$A:$A,$B15,Movimientos!$D:$D,CONCATENATE("&lt;=",SH$3),Movimientos!$C:$C,"&gt;0")+SUMIFS(Movimientos!$C:$C,Movimientos!$A:$A,$B15,Movimientos!$D:$D,CONCATENATE("&lt;",SH$3),Movimientos!$C:$C,"&lt;0")</f>
        <v>0</v>
      </c>
      <c r="SI15" s="5">
        <f ca="1">SUMIFS(Movimientos!$C:$C,Movimientos!$A:$A,$B15,Movimientos!$D:$D,CONCATENATE("&lt;=",SI$3),Movimientos!$C:$C,"&gt;0")+SUMIFS(Movimientos!$C:$C,Movimientos!$A:$A,$B15,Movimientos!$D:$D,CONCATENATE("&lt;",SI$3),Movimientos!$C:$C,"&lt;0")</f>
        <v>0</v>
      </c>
      <c r="SJ15" s="5">
        <f ca="1">SUMIFS(Movimientos!$C:$C,Movimientos!$A:$A,$B15,Movimientos!$D:$D,CONCATENATE("&lt;=",SJ$3),Movimientos!$C:$C,"&gt;0")+SUMIFS(Movimientos!$C:$C,Movimientos!$A:$A,$B15,Movimientos!$D:$D,CONCATENATE("&lt;",SJ$3),Movimientos!$C:$C,"&lt;0")</f>
        <v>0</v>
      </c>
      <c r="SK15" s="5">
        <f ca="1">SUMIFS(Movimientos!$C:$C,Movimientos!$A:$A,$B15,Movimientos!$D:$D,CONCATENATE("&lt;=",SK$3),Movimientos!$C:$C,"&gt;0")+SUMIFS(Movimientos!$C:$C,Movimientos!$A:$A,$B15,Movimientos!$D:$D,CONCATENATE("&lt;",SK$3),Movimientos!$C:$C,"&lt;0")</f>
        <v>0</v>
      </c>
      <c r="SL15" s="5">
        <f ca="1">SUMIFS(Movimientos!$C:$C,Movimientos!$A:$A,$B15,Movimientos!$D:$D,CONCATENATE("&lt;=",SL$3),Movimientos!$C:$C,"&gt;0")+SUMIFS(Movimientos!$C:$C,Movimientos!$A:$A,$B15,Movimientos!$D:$D,CONCATENATE("&lt;",SL$3),Movimientos!$C:$C,"&lt;0")</f>
        <v>0</v>
      </c>
      <c r="SM15" s="5">
        <f ca="1">SUMIFS(Movimientos!$C:$C,Movimientos!$A:$A,$B15,Movimientos!$D:$D,CONCATENATE("&lt;=",SM$3),Movimientos!$C:$C,"&gt;0")+SUMIFS(Movimientos!$C:$C,Movimientos!$A:$A,$B15,Movimientos!$D:$D,CONCATENATE("&lt;",SM$3),Movimientos!$C:$C,"&lt;0")</f>
        <v>0</v>
      </c>
      <c r="SN15" s="5">
        <f ca="1">SUMIFS(Movimientos!$C:$C,Movimientos!$A:$A,$B15,Movimientos!$D:$D,CONCATENATE("&lt;=",SN$3),Movimientos!$C:$C,"&gt;0")+SUMIFS(Movimientos!$C:$C,Movimientos!$A:$A,$B15,Movimientos!$D:$D,CONCATENATE("&lt;",SN$3),Movimientos!$C:$C,"&lt;0")</f>
        <v>0</v>
      </c>
      <c r="SO15" s="5">
        <f ca="1">SUMIFS(Movimientos!$C:$C,Movimientos!$A:$A,$B15,Movimientos!$D:$D,CONCATENATE("&lt;=",SO$3),Movimientos!$C:$C,"&gt;0")+SUMIFS(Movimientos!$C:$C,Movimientos!$A:$A,$B15,Movimientos!$D:$D,CONCATENATE("&lt;",SO$3),Movimientos!$C:$C,"&lt;0")</f>
        <v>0</v>
      </c>
      <c r="SP15" s="5">
        <f ca="1">SUMIFS(Movimientos!$C:$C,Movimientos!$A:$A,$B15,Movimientos!$D:$D,CONCATENATE("&lt;=",SP$3),Movimientos!$C:$C,"&gt;0")+SUMIFS(Movimientos!$C:$C,Movimientos!$A:$A,$B15,Movimientos!$D:$D,CONCATENATE("&lt;",SP$3),Movimientos!$C:$C,"&lt;0")</f>
        <v>0</v>
      </c>
      <c r="SQ15" s="5">
        <f ca="1">SUMIFS(Movimientos!$C:$C,Movimientos!$A:$A,$B15,Movimientos!$D:$D,CONCATENATE("&lt;=",SQ$3),Movimientos!$C:$C,"&gt;0")+SUMIFS(Movimientos!$C:$C,Movimientos!$A:$A,$B15,Movimientos!$D:$D,CONCATENATE("&lt;",SQ$3),Movimientos!$C:$C,"&lt;0")</f>
        <v>0</v>
      </c>
      <c r="SR15" s="5">
        <f ca="1">SUMIFS(Movimientos!$C:$C,Movimientos!$A:$A,$B15,Movimientos!$D:$D,CONCATENATE("&lt;=",SR$3),Movimientos!$C:$C,"&gt;0")+SUMIFS(Movimientos!$C:$C,Movimientos!$A:$A,$B15,Movimientos!$D:$D,CONCATENATE("&lt;",SR$3),Movimientos!$C:$C,"&lt;0")</f>
        <v>0</v>
      </c>
      <c r="SS15" s="5">
        <f ca="1">SUMIFS(Movimientos!$C:$C,Movimientos!$A:$A,$B15,Movimientos!$D:$D,CONCATENATE("&lt;=",SS$3),Movimientos!$C:$C,"&gt;0")+SUMIFS(Movimientos!$C:$C,Movimientos!$A:$A,$B15,Movimientos!$D:$D,CONCATENATE("&lt;",SS$3),Movimientos!$C:$C,"&lt;0")</f>
        <v>0</v>
      </c>
      <c r="ST15" s="5">
        <f ca="1">SUMIFS(Movimientos!$C:$C,Movimientos!$A:$A,$B15,Movimientos!$D:$D,CONCATENATE("&lt;=",ST$3),Movimientos!$C:$C,"&gt;0")+SUMIFS(Movimientos!$C:$C,Movimientos!$A:$A,$B15,Movimientos!$D:$D,CONCATENATE("&lt;",ST$3),Movimientos!$C:$C,"&lt;0")</f>
        <v>0</v>
      </c>
      <c r="SU15" s="5">
        <f ca="1">SUMIFS(Movimientos!$C:$C,Movimientos!$A:$A,$B15,Movimientos!$D:$D,CONCATENATE("&lt;=",SU$3),Movimientos!$C:$C,"&gt;0")+SUMIFS(Movimientos!$C:$C,Movimientos!$A:$A,$B15,Movimientos!$D:$D,CONCATENATE("&lt;",SU$3),Movimientos!$C:$C,"&lt;0")</f>
        <v>0</v>
      </c>
      <c r="SV15" s="5">
        <f ca="1">SUMIFS(Movimientos!$C:$C,Movimientos!$A:$A,$B15,Movimientos!$D:$D,CONCATENATE("&lt;=",SV$3),Movimientos!$C:$C,"&gt;0")+SUMIFS(Movimientos!$C:$C,Movimientos!$A:$A,$B15,Movimientos!$D:$D,CONCATENATE("&lt;",SV$3),Movimientos!$C:$C,"&lt;0")</f>
        <v>0</v>
      </c>
      <c r="SW15" s="5">
        <f ca="1">SUMIFS(Movimientos!$C:$C,Movimientos!$A:$A,$B15,Movimientos!$D:$D,CONCATENATE("&lt;=",SW$3),Movimientos!$C:$C,"&gt;0")+SUMIFS(Movimientos!$C:$C,Movimientos!$A:$A,$B15,Movimientos!$D:$D,CONCATENATE("&lt;",SW$3),Movimientos!$C:$C,"&lt;0")</f>
        <v>0</v>
      </c>
      <c r="SX15" s="5">
        <f ca="1">SUMIFS(Movimientos!$C:$C,Movimientos!$A:$A,$B15,Movimientos!$D:$D,CONCATENATE("&lt;=",SX$3),Movimientos!$C:$C,"&gt;0")+SUMIFS(Movimientos!$C:$C,Movimientos!$A:$A,$B15,Movimientos!$D:$D,CONCATENATE("&lt;",SX$3),Movimientos!$C:$C,"&lt;0")</f>
        <v>0</v>
      </c>
      <c r="SY15" s="5">
        <f ca="1">SUMIFS(Movimientos!$C:$C,Movimientos!$A:$A,$B15,Movimientos!$D:$D,CONCATENATE("&lt;=",SY$3),Movimientos!$C:$C,"&gt;0")+SUMIFS(Movimientos!$C:$C,Movimientos!$A:$A,$B15,Movimientos!$D:$D,CONCATENATE("&lt;",SY$3),Movimientos!$C:$C,"&lt;0")</f>
        <v>0</v>
      </c>
      <c r="SZ15" s="5">
        <f ca="1">SUMIFS(Movimientos!$C:$C,Movimientos!$A:$A,$B15,Movimientos!$D:$D,CONCATENATE("&lt;=",SZ$3),Movimientos!$C:$C,"&gt;0")+SUMIFS(Movimientos!$C:$C,Movimientos!$A:$A,$B15,Movimientos!$D:$D,CONCATENATE("&lt;",SZ$3),Movimientos!$C:$C,"&lt;0")</f>
        <v>0</v>
      </c>
      <c r="TA15" s="5">
        <f ca="1">SUMIFS(Movimientos!$C:$C,Movimientos!$A:$A,$B15,Movimientos!$D:$D,CONCATENATE("&lt;=",TA$3),Movimientos!$C:$C,"&gt;0")+SUMIFS(Movimientos!$C:$C,Movimientos!$A:$A,$B15,Movimientos!$D:$D,CONCATENATE("&lt;",TA$3),Movimientos!$C:$C,"&lt;0")</f>
        <v>0</v>
      </c>
      <c r="TB15" s="5">
        <f ca="1">SUMIFS(Movimientos!$C:$C,Movimientos!$A:$A,$B15,Movimientos!$D:$D,CONCATENATE("&lt;=",TB$3),Movimientos!$C:$C,"&gt;0")+SUMIFS(Movimientos!$C:$C,Movimientos!$A:$A,$B15,Movimientos!$D:$D,CONCATENATE("&lt;",TB$3),Movimientos!$C:$C,"&lt;0")</f>
        <v>0</v>
      </c>
      <c r="TC15" s="5">
        <f ca="1">SUMIFS(Movimientos!$C:$C,Movimientos!$A:$A,$B15,Movimientos!$D:$D,CONCATENATE("&lt;=",TC$3),Movimientos!$C:$C,"&gt;0")+SUMIFS(Movimientos!$C:$C,Movimientos!$A:$A,$B15,Movimientos!$D:$D,CONCATENATE("&lt;",TC$3),Movimientos!$C:$C,"&lt;0")</f>
        <v>0</v>
      </c>
      <c r="TD15" s="5">
        <f ca="1">SUMIFS(Movimientos!$C:$C,Movimientos!$A:$A,$B15,Movimientos!$D:$D,CONCATENATE("&lt;=",TD$3),Movimientos!$C:$C,"&gt;0")+SUMIFS(Movimientos!$C:$C,Movimientos!$A:$A,$B15,Movimientos!$D:$D,CONCATENATE("&lt;",TD$3),Movimientos!$C:$C,"&lt;0")</f>
        <v>0</v>
      </c>
      <c r="TE15" s="5">
        <f ca="1">SUMIFS(Movimientos!$C:$C,Movimientos!$A:$A,$B15,Movimientos!$D:$D,CONCATENATE("&lt;=",TE$3),Movimientos!$C:$C,"&gt;0")+SUMIFS(Movimientos!$C:$C,Movimientos!$A:$A,$B15,Movimientos!$D:$D,CONCATENATE("&lt;",TE$3),Movimientos!$C:$C,"&lt;0")</f>
        <v>0</v>
      </c>
      <c r="TF15" s="5">
        <f ca="1">SUMIFS(Movimientos!$C:$C,Movimientos!$A:$A,$B15,Movimientos!$D:$D,CONCATENATE("&lt;=",TF$3),Movimientos!$C:$C,"&gt;0")+SUMIFS(Movimientos!$C:$C,Movimientos!$A:$A,$B15,Movimientos!$D:$D,CONCATENATE("&lt;",TF$3),Movimientos!$C:$C,"&lt;0")</f>
        <v>0</v>
      </c>
    </row>
    <row r="16" spans="1:526">
      <c r="A16" s="31" t="s">
        <v>48</v>
      </c>
      <c r="B16" s="4">
        <f>Cartera!B16</f>
        <v>0</v>
      </c>
      <c r="C16" s="4">
        <f>Cartera!C16</f>
        <v>0</v>
      </c>
      <c r="D16" s="5">
        <f ca="1">SUMIFS(Movimientos!$C:$C,Movimientos!$A:$A,$B16,Movimientos!$D:$D,CONCATENATE("&lt;=",D$3),Movimientos!$C:$C,"&gt;0")+SUMIFS(Movimientos!$C:$C,Movimientos!$A:$A,$B16,Movimientos!$D:$D,CONCATENATE("&lt;",D$3),Movimientos!$C:$C,"&lt;0")</f>
        <v>0</v>
      </c>
      <c r="E16" s="5">
        <f ca="1">SUMIFS(Movimientos!$C:$C,Movimientos!$A:$A,$B16,Movimientos!$D:$D,CONCATENATE("&lt;=",E$3),Movimientos!$C:$C,"&gt;0")+SUMIFS(Movimientos!$C:$C,Movimientos!$A:$A,$B16,Movimientos!$D:$D,CONCATENATE("&lt;",E$3),Movimientos!$C:$C,"&lt;0")</f>
        <v>0</v>
      </c>
      <c r="F16" s="5">
        <f ca="1">SUMIFS(Movimientos!$C:$C,Movimientos!$A:$A,$B16,Movimientos!$D:$D,CONCATENATE("&lt;=",F$3),Movimientos!$C:$C,"&gt;0")+SUMIFS(Movimientos!$C:$C,Movimientos!$A:$A,$B16,Movimientos!$D:$D,CONCATENATE("&lt;",F$3),Movimientos!$C:$C,"&lt;0")</f>
        <v>0</v>
      </c>
      <c r="G16" s="5">
        <f ca="1">SUMIFS(Movimientos!$C:$C,Movimientos!$A:$A,$B16,Movimientos!$D:$D,CONCATENATE("&lt;=",G$3),Movimientos!$C:$C,"&gt;0")+SUMIFS(Movimientos!$C:$C,Movimientos!$A:$A,$B16,Movimientos!$D:$D,CONCATENATE("&lt;",G$3),Movimientos!$C:$C,"&lt;0")</f>
        <v>0</v>
      </c>
      <c r="H16" s="5">
        <f ca="1">SUMIFS(Movimientos!$C:$C,Movimientos!$A:$A,$B16,Movimientos!$D:$D,CONCATENATE("&lt;=",H$3),Movimientos!$C:$C,"&gt;0")+SUMIFS(Movimientos!$C:$C,Movimientos!$A:$A,$B16,Movimientos!$D:$D,CONCATENATE("&lt;",H$3),Movimientos!$C:$C,"&lt;0")</f>
        <v>0</v>
      </c>
      <c r="I16" s="5">
        <f ca="1">SUMIFS(Movimientos!$C:$C,Movimientos!$A:$A,$B16,Movimientos!$D:$D,CONCATENATE("&lt;=",I$3),Movimientos!$C:$C,"&gt;0")+SUMIFS(Movimientos!$C:$C,Movimientos!$A:$A,$B16,Movimientos!$D:$D,CONCATENATE("&lt;",I$3),Movimientos!$C:$C,"&lt;0")</f>
        <v>0</v>
      </c>
      <c r="J16" s="5">
        <f ca="1">SUMIFS(Movimientos!$C:$C,Movimientos!$A:$A,$B16,Movimientos!$D:$D,CONCATENATE("&lt;=",J$3),Movimientos!$C:$C,"&gt;0")+SUMIFS(Movimientos!$C:$C,Movimientos!$A:$A,$B16,Movimientos!$D:$D,CONCATENATE("&lt;",J$3),Movimientos!$C:$C,"&lt;0")</f>
        <v>0</v>
      </c>
      <c r="K16" s="5">
        <f ca="1">SUMIFS(Movimientos!$C:$C,Movimientos!$A:$A,$B16,Movimientos!$D:$D,CONCATENATE("&lt;=",K$3),Movimientos!$C:$C,"&gt;0")+SUMIFS(Movimientos!$C:$C,Movimientos!$A:$A,$B16,Movimientos!$D:$D,CONCATENATE("&lt;",K$3),Movimientos!$C:$C,"&lt;0")</f>
        <v>0</v>
      </c>
      <c r="L16" s="5">
        <f ca="1">SUMIFS(Movimientos!$C:$C,Movimientos!$A:$A,$B16,Movimientos!$D:$D,CONCATENATE("&lt;=",L$3),Movimientos!$C:$C,"&gt;0")+SUMIFS(Movimientos!$C:$C,Movimientos!$A:$A,$B16,Movimientos!$D:$D,CONCATENATE("&lt;",L$3),Movimientos!$C:$C,"&lt;0")</f>
        <v>0</v>
      </c>
      <c r="M16" s="5">
        <f ca="1">SUMIFS(Movimientos!$C:$C,Movimientos!$A:$A,$B16,Movimientos!$D:$D,CONCATENATE("&lt;=",M$3),Movimientos!$C:$C,"&gt;0")+SUMIFS(Movimientos!$C:$C,Movimientos!$A:$A,$B16,Movimientos!$D:$D,CONCATENATE("&lt;",M$3),Movimientos!$C:$C,"&lt;0")</f>
        <v>0</v>
      </c>
      <c r="N16" s="5">
        <f ca="1">SUMIFS(Movimientos!$C:$C,Movimientos!$A:$A,$B16,Movimientos!$D:$D,CONCATENATE("&lt;=",N$3),Movimientos!$C:$C,"&gt;0")+SUMIFS(Movimientos!$C:$C,Movimientos!$A:$A,$B16,Movimientos!$D:$D,CONCATENATE("&lt;",N$3),Movimientos!$C:$C,"&lt;0")</f>
        <v>0</v>
      </c>
      <c r="O16" s="5">
        <f ca="1">SUMIFS(Movimientos!$C:$C,Movimientos!$A:$A,$B16,Movimientos!$D:$D,CONCATENATE("&lt;=",O$3),Movimientos!$C:$C,"&gt;0")+SUMIFS(Movimientos!$C:$C,Movimientos!$A:$A,$B16,Movimientos!$D:$D,CONCATENATE("&lt;",O$3),Movimientos!$C:$C,"&lt;0")</f>
        <v>0</v>
      </c>
      <c r="P16" s="5">
        <f ca="1">SUMIFS(Movimientos!$C:$C,Movimientos!$A:$A,$B16,Movimientos!$D:$D,CONCATENATE("&lt;=",P$3),Movimientos!$C:$C,"&gt;0")+SUMIFS(Movimientos!$C:$C,Movimientos!$A:$A,$B16,Movimientos!$D:$D,CONCATENATE("&lt;",P$3),Movimientos!$C:$C,"&lt;0")</f>
        <v>0</v>
      </c>
      <c r="Q16" s="5">
        <f ca="1">SUMIFS(Movimientos!$C:$C,Movimientos!$A:$A,$B16,Movimientos!$D:$D,CONCATENATE("&lt;=",Q$3),Movimientos!$C:$C,"&gt;0")+SUMIFS(Movimientos!$C:$C,Movimientos!$A:$A,$B16,Movimientos!$D:$D,CONCATENATE("&lt;",Q$3),Movimientos!$C:$C,"&lt;0")</f>
        <v>0</v>
      </c>
      <c r="R16" s="5">
        <f ca="1">SUMIFS(Movimientos!$C:$C,Movimientos!$A:$A,$B16,Movimientos!$D:$D,CONCATENATE("&lt;=",R$3),Movimientos!$C:$C,"&gt;0")+SUMIFS(Movimientos!$C:$C,Movimientos!$A:$A,$B16,Movimientos!$D:$D,CONCATENATE("&lt;",R$3),Movimientos!$C:$C,"&lt;0")</f>
        <v>0</v>
      </c>
      <c r="S16" s="5">
        <f ca="1">SUMIFS(Movimientos!$C:$C,Movimientos!$A:$A,$B16,Movimientos!$D:$D,CONCATENATE("&lt;=",S$3),Movimientos!$C:$C,"&gt;0")+SUMIFS(Movimientos!$C:$C,Movimientos!$A:$A,$B16,Movimientos!$D:$D,CONCATENATE("&lt;",S$3),Movimientos!$C:$C,"&lt;0")</f>
        <v>0</v>
      </c>
      <c r="T16" s="5">
        <f ca="1">SUMIFS(Movimientos!$C:$C,Movimientos!$A:$A,$B16,Movimientos!$D:$D,CONCATENATE("&lt;=",T$3),Movimientos!$C:$C,"&gt;0")+SUMIFS(Movimientos!$C:$C,Movimientos!$A:$A,$B16,Movimientos!$D:$D,CONCATENATE("&lt;",T$3),Movimientos!$C:$C,"&lt;0")</f>
        <v>0</v>
      </c>
      <c r="U16" s="5">
        <f ca="1">SUMIFS(Movimientos!$C:$C,Movimientos!$A:$A,$B16,Movimientos!$D:$D,CONCATENATE("&lt;=",U$3),Movimientos!$C:$C,"&gt;0")+SUMIFS(Movimientos!$C:$C,Movimientos!$A:$A,$B16,Movimientos!$D:$D,CONCATENATE("&lt;",U$3),Movimientos!$C:$C,"&lt;0")</f>
        <v>0</v>
      </c>
      <c r="V16" s="5">
        <f ca="1">SUMIFS(Movimientos!$C:$C,Movimientos!$A:$A,$B16,Movimientos!$D:$D,CONCATENATE("&lt;=",V$3),Movimientos!$C:$C,"&gt;0")+SUMIFS(Movimientos!$C:$C,Movimientos!$A:$A,$B16,Movimientos!$D:$D,CONCATENATE("&lt;",V$3),Movimientos!$C:$C,"&lt;0")</f>
        <v>0</v>
      </c>
      <c r="W16" s="5">
        <f ca="1">SUMIFS(Movimientos!$C:$C,Movimientos!$A:$A,$B16,Movimientos!$D:$D,CONCATENATE("&lt;=",W$3),Movimientos!$C:$C,"&gt;0")+SUMIFS(Movimientos!$C:$C,Movimientos!$A:$A,$B16,Movimientos!$D:$D,CONCATENATE("&lt;",W$3),Movimientos!$C:$C,"&lt;0")</f>
        <v>0</v>
      </c>
      <c r="X16" s="5">
        <f ca="1">SUMIFS(Movimientos!$C:$C,Movimientos!$A:$A,$B16,Movimientos!$D:$D,CONCATENATE("&lt;=",X$3),Movimientos!$C:$C,"&gt;0")+SUMIFS(Movimientos!$C:$C,Movimientos!$A:$A,$B16,Movimientos!$D:$D,CONCATENATE("&lt;",X$3),Movimientos!$C:$C,"&lt;0")</f>
        <v>0</v>
      </c>
      <c r="Y16" s="5">
        <f ca="1">SUMIFS(Movimientos!$C:$C,Movimientos!$A:$A,$B16,Movimientos!$D:$D,CONCATENATE("&lt;=",Y$3),Movimientos!$C:$C,"&gt;0")+SUMIFS(Movimientos!$C:$C,Movimientos!$A:$A,$B16,Movimientos!$D:$D,CONCATENATE("&lt;",Y$3),Movimientos!$C:$C,"&lt;0")</f>
        <v>0</v>
      </c>
      <c r="Z16" s="5">
        <f ca="1">SUMIFS(Movimientos!$C:$C,Movimientos!$A:$A,$B16,Movimientos!$D:$D,CONCATENATE("&lt;=",Z$3),Movimientos!$C:$C,"&gt;0")+SUMIFS(Movimientos!$C:$C,Movimientos!$A:$A,$B16,Movimientos!$D:$D,CONCATENATE("&lt;",Z$3),Movimientos!$C:$C,"&lt;0")</f>
        <v>0</v>
      </c>
      <c r="AA16" s="5">
        <f ca="1">SUMIFS(Movimientos!$C:$C,Movimientos!$A:$A,$B16,Movimientos!$D:$D,CONCATENATE("&lt;=",AA$3),Movimientos!$C:$C,"&gt;0")+SUMIFS(Movimientos!$C:$C,Movimientos!$A:$A,$B16,Movimientos!$D:$D,CONCATENATE("&lt;",AA$3),Movimientos!$C:$C,"&lt;0")</f>
        <v>0</v>
      </c>
      <c r="AB16" s="5">
        <f ca="1">SUMIFS(Movimientos!$C:$C,Movimientos!$A:$A,$B16,Movimientos!$D:$D,CONCATENATE("&lt;=",AB$3),Movimientos!$C:$C,"&gt;0")+SUMIFS(Movimientos!$C:$C,Movimientos!$A:$A,$B16,Movimientos!$D:$D,CONCATENATE("&lt;",AB$3),Movimientos!$C:$C,"&lt;0")</f>
        <v>0</v>
      </c>
      <c r="AC16" s="5">
        <f ca="1">SUMIFS(Movimientos!$C:$C,Movimientos!$A:$A,$B16,Movimientos!$D:$D,CONCATENATE("&lt;=",AC$3),Movimientos!$C:$C,"&gt;0")+SUMIFS(Movimientos!$C:$C,Movimientos!$A:$A,$B16,Movimientos!$D:$D,CONCATENATE("&lt;",AC$3),Movimientos!$C:$C,"&lt;0")</f>
        <v>0</v>
      </c>
      <c r="AD16" s="5">
        <f ca="1">SUMIFS(Movimientos!$C:$C,Movimientos!$A:$A,$B16,Movimientos!$D:$D,CONCATENATE("&lt;=",AD$3),Movimientos!$C:$C,"&gt;0")+SUMIFS(Movimientos!$C:$C,Movimientos!$A:$A,$B16,Movimientos!$D:$D,CONCATENATE("&lt;",AD$3),Movimientos!$C:$C,"&lt;0")</f>
        <v>0</v>
      </c>
      <c r="AE16" s="5">
        <f ca="1">SUMIFS(Movimientos!$C:$C,Movimientos!$A:$A,$B16,Movimientos!$D:$D,CONCATENATE("&lt;=",AE$3),Movimientos!$C:$C,"&gt;0")+SUMIFS(Movimientos!$C:$C,Movimientos!$A:$A,$B16,Movimientos!$D:$D,CONCATENATE("&lt;",AE$3),Movimientos!$C:$C,"&lt;0")</f>
        <v>0</v>
      </c>
      <c r="AF16" s="5">
        <f ca="1">SUMIFS(Movimientos!$C:$C,Movimientos!$A:$A,$B16,Movimientos!$D:$D,CONCATENATE("&lt;=",AF$3),Movimientos!$C:$C,"&gt;0")+SUMIFS(Movimientos!$C:$C,Movimientos!$A:$A,$B16,Movimientos!$D:$D,CONCATENATE("&lt;",AF$3),Movimientos!$C:$C,"&lt;0")</f>
        <v>0</v>
      </c>
      <c r="AG16" s="5">
        <f ca="1">SUMIFS(Movimientos!$C:$C,Movimientos!$A:$A,$B16,Movimientos!$D:$D,CONCATENATE("&lt;=",AG$3),Movimientos!$C:$C,"&gt;0")+SUMIFS(Movimientos!$C:$C,Movimientos!$A:$A,$B16,Movimientos!$D:$D,CONCATENATE("&lt;",AG$3),Movimientos!$C:$C,"&lt;0")</f>
        <v>0</v>
      </c>
      <c r="AH16" s="5">
        <f ca="1">SUMIFS(Movimientos!$C:$C,Movimientos!$A:$A,$B16,Movimientos!$D:$D,CONCATENATE("&lt;=",AH$3),Movimientos!$C:$C,"&gt;0")+SUMIFS(Movimientos!$C:$C,Movimientos!$A:$A,$B16,Movimientos!$D:$D,CONCATENATE("&lt;",AH$3),Movimientos!$C:$C,"&lt;0")</f>
        <v>0</v>
      </c>
      <c r="AI16" s="5">
        <f ca="1">SUMIFS(Movimientos!$C:$C,Movimientos!$A:$A,$B16,Movimientos!$D:$D,CONCATENATE("&lt;=",AI$3),Movimientos!$C:$C,"&gt;0")+SUMIFS(Movimientos!$C:$C,Movimientos!$A:$A,$B16,Movimientos!$D:$D,CONCATENATE("&lt;",AI$3),Movimientos!$C:$C,"&lt;0")</f>
        <v>0</v>
      </c>
      <c r="AJ16" s="5">
        <f ca="1">SUMIFS(Movimientos!$C:$C,Movimientos!$A:$A,$B16,Movimientos!$D:$D,CONCATENATE("&lt;=",AJ$3),Movimientos!$C:$C,"&gt;0")+SUMIFS(Movimientos!$C:$C,Movimientos!$A:$A,$B16,Movimientos!$D:$D,CONCATENATE("&lt;",AJ$3),Movimientos!$C:$C,"&lt;0")</f>
        <v>0</v>
      </c>
      <c r="AK16" s="5">
        <f ca="1">SUMIFS(Movimientos!$C:$C,Movimientos!$A:$A,$B16,Movimientos!$D:$D,CONCATENATE("&lt;=",AK$3),Movimientos!$C:$C,"&gt;0")+SUMIFS(Movimientos!$C:$C,Movimientos!$A:$A,$B16,Movimientos!$D:$D,CONCATENATE("&lt;",AK$3),Movimientos!$C:$C,"&lt;0")</f>
        <v>0</v>
      </c>
      <c r="AL16" s="5">
        <f ca="1">SUMIFS(Movimientos!$C:$C,Movimientos!$A:$A,$B16,Movimientos!$D:$D,CONCATENATE("&lt;=",AL$3),Movimientos!$C:$C,"&gt;0")+SUMIFS(Movimientos!$C:$C,Movimientos!$A:$A,$B16,Movimientos!$D:$D,CONCATENATE("&lt;",AL$3),Movimientos!$C:$C,"&lt;0")</f>
        <v>0</v>
      </c>
      <c r="AM16" s="5">
        <f ca="1">SUMIFS(Movimientos!$C:$C,Movimientos!$A:$A,$B16,Movimientos!$D:$D,CONCATENATE("&lt;=",AM$3),Movimientos!$C:$C,"&gt;0")+SUMIFS(Movimientos!$C:$C,Movimientos!$A:$A,$B16,Movimientos!$D:$D,CONCATENATE("&lt;",AM$3),Movimientos!$C:$C,"&lt;0")</f>
        <v>0</v>
      </c>
      <c r="AN16" s="5">
        <f ca="1">SUMIFS(Movimientos!$C:$C,Movimientos!$A:$A,$B16,Movimientos!$D:$D,CONCATENATE("&lt;=",AN$3),Movimientos!$C:$C,"&gt;0")+SUMIFS(Movimientos!$C:$C,Movimientos!$A:$A,$B16,Movimientos!$D:$D,CONCATENATE("&lt;",AN$3),Movimientos!$C:$C,"&lt;0")</f>
        <v>0</v>
      </c>
      <c r="AO16" s="5">
        <f ca="1">SUMIFS(Movimientos!$C:$C,Movimientos!$A:$A,$B16,Movimientos!$D:$D,CONCATENATE("&lt;=",AO$3),Movimientos!$C:$C,"&gt;0")+SUMIFS(Movimientos!$C:$C,Movimientos!$A:$A,$B16,Movimientos!$D:$D,CONCATENATE("&lt;",AO$3),Movimientos!$C:$C,"&lt;0")</f>
        <v>0</v>
      </c>
      <c r="AP16" s="5">
        <f ca="1">SUMIFS(Movimientos!$C:$C,Movimientos!$A:$A,$B16,Movimientos!$D:$D,CONCATENATE("&lt;=",AP$3),Movimientos!$C:$C,"&gt;0")+SUMIFS(Movimientos!$C:$C,Movimientos!$A:$A,$B16,Movimientos!$D:$D,CONCATENATE("&lt;",AP$3),Movimientos!$C:$C,"&lt;0")</f>
        <v>0</v>
      </c>
      <c r="AQ16" s="5">
        <f ca="1">SUMIFS(Movimientos!$C:$C,Movimientos!$A:$A,$B16,Movimientos!$D:$D,CONCATENATE("&lt;=",AQ$3),Movimientos!$C:$C,"&gt;0")+SUMIFS(Movimientos!$C:$C,Movimientos!$A:$A,$B16,Movimientos!$D:$D,CONCATENATE("&lt;",AQ$3),Movimientos!$C:$C,"&lt;0")</f>
        <v>0</v>
      </c>
      <c r="AR16" s="5">
        <f ca="1">SUMIFS(Movimientos!$C:$C,Movimientos!$A:$A,$B16,Movimientos!$D:$D,CONCATENATE("&lt;=",AR$3),Movimientos!$C:$C,"&gt;0")+SUMIFS(Movimientos!$C:$C,Movimientos!$A:$A,$B16,Movimientos!$D:$D,CONCATENATE("&lt;",AR$3),Movimientos!$C:$C,"&lt;0")</f>
        <v>0</v>
      </c>
      <c r="AS16" s="5">
        <f ca="1">SUMIFS(Movimientos!$C:$C,Movimientos!$A:$A,$B16,Movimientos!$D:$D,CONCATENATE("&lt;=",AS$3),Movimientos!$C:$C,"&gt;0")+SUMIFS(Movimientos!$C:$C,Movimientos!$A:$A,$B16,Movimientos!$D:$D,CONCATENATE("&lt;",AS$3),Movimientos!$C:$C,"&lt;0")</f>
        <v>0</v>
      </c>
      <c r="AT16" s="5">
        <f ca="1">SUMIFS(Movimientos!$C:$C,Movimientos!$A:$A,$B16,Movimientos!$D:$D,CONCATENATE("&lt;=",AT$3),Movimientos!$C:$C,"&gt;0")+SUMIFS(Movimientos!$C:$C,Movimientos!$A:$A,$B16,Movimientos!$D:$D,CONCATENATE("&lt;",AT$3),Movimientos!$C:$C,"&lt;0")</f>
        <v>0</v>
      </c>
      <c r="AU16" s="5">
        <f ca="1">SUMIFS(Movimientos!$C:$C,Movimientos!$A:$A,$B16,Movimientos!$D:$D,CONCATENATE("&lt;=",AU$3),Movimientos!$C:$C,"&gt;0")+SUMIFS(Movimientos!$C:$C,Movimientos!$A:$A,$B16,Movimientos!$D:$D,CONCATENATE("&lt;",AU$3),Movimientos!$C:$C,"&lt;0")</f>
        <v>0</v>
      </c>
      <c r="AV16" s="5">
        <f ca="1">SUMIFS(Movimientos!$C:$C,Movimientos!$A:$A,$B16,Movimientos!$D:$D,CONCATENATE("&lt;=",AV$3),Movimientos!$C:$C,"&gt;0")+SUMIFS(Movimientos!$C:$C,Movimientos!$A:$A,$B16,Movimientos!$D:$D,CONCATENATE("&lt;",AV$3),Movimientos!$C:$C,"&lt;0")</f>
        <v>0</v>
      </c>
      <c r="AW16" s="5">
        <f ca="1">SUMIFS(Movimientos!$C:$C,Movimientos!$A:$A,$B16,Movimientos!$D:$D,CONCATENATE("&lt;=",AW$3),Movimientos!$C:$C,"&gt;0")+SUMIFS(Movimientos!$C:$C,Movimientos!$A:$A,$B16,Movimientos!$D:$D,CONCATENATE("&lt;",AW$3),Movimientos!$C:$C,"&lt;0")</f>
        <v>0</v>
      </c>
      <c r="AX16" s="5">
        <f ca="1">SUMIFS(Movimientos!$C:$C,Movimientos!$A:$A,$B16,Movimientos!$D:$D,CONCATENATE("&lt;=",AX$3),Movimientos!$C:$C,"&gt;0")+SUMIFS(Movimientos!$C:$C,Movimientos!$A:$A,$B16,Movimientos!$D:$D,CONCATENATE("&lt;",AX$3),Movimientos!$C:$C,"&lt;0")</f>
        <v>0</v>
      </c>
      <c r="AY16" s="5">
        <f ca="1">SUMIFS(Movimientos!$C:$C,Movimientos!$A:$A,$B16,Movimientos!$D:$D,CONCATENATE("&lt;=",AY$3),Movimientos!$C:$C,"&gt;0")+SUMIFS(Movimientos!$C:$C,Movimientos!$A:$A,$B16,Movimientos!$D:$D,CONCATENATE("&lt;",AY$3),Movimientos!$C:$C,"&lt;0")</f>
        <v>0</v>
      </c>
      <c r="AZ16" s="5">
        <f ca="1">SUMIFS(Movimientos!$C:$C,Movimientos!$A:$A,$B16,Movimientos!$D:$D,CONCATENATE("&lt;=",AZ$3),Movimientos!$C:$C,"&gt;0")+SUMIFS(Movimientos!$C:$C,Movimientos!$A:$A,$B16,Movimientos!$D:$D,CONCATENATE("&lt;",AZ$3),Movimientos!$C:$C,"&lt;0")</f>
        <v>0</v>
      </c>
      <c r="BA16" s="5">
        <f ca="1">SUMIFS(Movimientos!$C:$C,Movimientos!$A:$A,$B16,Movimientos!$D:$D,CONCATENATE("&lt;=",BA$3),Movimientos!$C:$C,"&gt;0")+SUMIFS(Movimientos!$C:$C,Movimientos!$A:$A,$B16,Movimientos!$D:$D,CONCATENATE("&lt;",BA$3),Movimientos!$C:$C,"&lt;0")</f>
        <v>0</v>
      </c>
      <c r="BB16" s="5">
        <f ca="1">SUMIFS(Movimientos!$C:$C,Movimientos!$A:$A,$B16,Movimientos!$D:$D,CONCATENATE("&lt;=",BB$3),Movimientos!$C:$C,"&gt;0")+SUMIFS(Movimientos!$C:$C,Movimientos!$A:$A,$B16,Movimientos!$D:$D,CONCATENATE("&lt;",BB$3),Movimientos!$C:$C,"&lt;0")</f>
        <v>0</v>
      </c>
      <c r="BC16" s="5">
        <f ca="1">SUMIFS(Movimientos!$C:$C,Movimientos!$A:$A,$B16,Movimientos!$D:$D,CONCATENATE("&lt;=",BC$3),Movimientos!$C:$C,"&gt;0")+SUMIFS(Movimientos!$C:$C,Movimientos!$A:$A,$B16,Movimientos!$D:$D,CONCATENATE("&lt;",BC$3),Movimientos!$C:$C,"&lt;0")</f>
        <v>0</v>
      </c>
      <c r="BD16" s="5">
        <f ca="1">SUMIFS(Movimientos!$C:$C,Movimientos!$A:$A,$B16,Movimientos!$D:$D,CONCATENATE("&lt;=",BD$3),Movimientos!$C:$C,"&gt;0")+SUMIFS(Movimientos!$C:$C,Movimientos!$A:$A,$B16,Movimientos!$D:$D,CONCATENATE("&lt;",BD$3),Movimientos!$C:$C,"&lt;0")</f>
        <v>0</v>
      </c>
      <c r="BE16" s="5">
        <f ca="1">SUMIFS(Movimientos!$C:$C,Movimientos!$A:$A,$B16,Movimientos!$D:$D,CONCATENATE("&lt;=",BE$3),Movimientos!$C:$C,"&gt;0")+SUMIFS(Movimientos!$C:$C,Movimientos!$A:$A,$B16,Movimientos!$D:$D,CONCATENATE("&lt;",BE$3),Movimientos!$C:$C,"&lt;0")</f>
        <v>0</v>
      </c>
      <c r="BF16" s="5">
        <f ca="1">SUMIFS(Movimientos!$C:$C,Movimientos!$A:$A,$B16,Movimientos!$D:$D,CONCATENATE("&lt;=",BF$3),Movimientos!$C:$C,"&gt;0")+SUMIFS(Movimientos!$C:$C,Movimientos!$A:$A,$B16,Movimientos!$D:$D,CONCATENATE("&lt;",BF$3),Movimientos!$C:$C,"&lt;0")</f>
        <v>0</v>
      </c>
      <c r="BG16" s="5">
        <f ca="1">SUMIFS(Movimientos!$C:$C,Movimientos!$A:$A,$B16,Movimientos!$D:$D,CONCATENATE("&lt;=",BG$3),Movimientos!$C:$C,"&gt;0")+SUMIFS(Movimientos!$C:$C,Movimientos!$A:$A,$B16,Movimientos!$D:$D,CONCATENATE("&lt;",BG$3),Movimientos!$C:$C,"&lt;0")</f>
        <v>0</v>
      </c>
      <c r="BH16" s="5">
        <f ca="1">SUMIFS(Movimientos!$C:$C,Movimientos!$A:$A,$B16,Movimientos!$D:$D,CONCATENATE("&lt;=",BH$3),Movimientos!$C:$C,"&gt;0")+SUMIFS(Movimientos!$C:$C,Movimientos!$A:$A,$B16,Movimientos!$D:$D,CONCATENATE("&lt;",BH$3),Movimientos!$C:$C,"&lt;0")</f>
        <v>0</v>
      </c>
      <c r="BI16" s="5">
        <f ca="1">SUMIFS(Movimientos!$C:$C,Movimientos!$A:$A,$B16,Movimientos!$D:$D,CONCATENATE("&lt;=",BI$3),Movimientos!$C:$C,"&gt;0")+SUMIFS(Movimientos!$C:$C,Movimientos!$A:$A,$B16,Movimientos!$D:$D,CONCATENATE("&lt;",BI$3),Movimientos!$C:$C,"&lt;0")</f>
        <v>0</v>
      </c>
      <c r="BJ16" s="5">
        <f ca="1">SUMIFS(Movimientos!$C:$C,Movimientos!$A:$A,$B16,Movimientos!$D:$D,CONCATENATE("&lt;=",BJ$3),Movimientos!$C:$C,"&gt;0")+SUMIFS(Movimientos!$C:$C,Movimientos!$A:$A,$B16,Movimientos!$D:$D,CONCATENATE("&lt;",BJ$3),Movimientos!$C:$C,"&lt;0")</f>
        <v>0</v>
      </c>
      <c r="BK16" s="5">
        <f ca="1">SUMIFS(Movimientos!$C:$C,Movimientos!$A:$A,$B16,Movimientos!$D:$D,CONCATENATE("&lt;=",BK$3),Movimientos!$C:$C,"&gt;0")+SUMIFS(Movimientos!$C:$C,Movimientos!$A:$A,$B16,Movimientos!$D:$D,CONCATENATE("&lt;",BK$3),Movimientos!$C:$C,"&lt;0")</f>
        <v>0</v>
      </c>
      <c r="BL16" s="5">
        <f ca="1">SUMIFS(Movimientos!$C:$C,Movimientos!$A:$A,$B16,Movimientos!$D:$D,CONCATENATE("&lt;=",BL$3),Movimientos!$C:$C,"&gt;0")+SUMIFS(Movimientos!$C:$C,Movimientos!$A:$A,$B16,Movimientos!$D:$D,CONCATENATE("&lt;",BL$3),Movimientos!$C:$C,"&lt;0")</f>
        <v>0</v>
      </c>
      <c r="BM16" s="5">
        <f ca="1">SUMIFS(Movimientos!$C:$C,Movimientos!$A:$A,$B16,Movimientos!$D:$D,CONCATENATE("&lt;=",BM$3),Movimientos!$C:$C,"&gt;0")+SUMIFS(Movimientos!$C:$C,Movimientos!$A:$A,$B16,Movimientos!$D:$D,CONCATENATE("&lt;",BM$3),Movimientos!$C:$C,"&lt;0")</f>
        <v>0</v>
      </c>
      <c r="BN16" s="5">
        <f ca="1">SUMIFS(Movimientos!$C:$C,Movimientos!$A:$A,$B16,Movimientos!$D:$D,CONCATENATE("&lt;=",BN$3),Movimientos!$C:$C,"&gt;0")+SUMIFS(Movimientos!$C:$C,Movimientos!$A:$A,$B16,Movimientos!$D:$D,CONCATENATE("&lt;",BN$3),Movimientos!$C:$C,"&lt;0")</f>
        <v>0</v>
      </c>
      <c r="BO16" s="5">
        <f ca="1">SUMIFS(Movimientos!$C:$C,Movimientos!$A:$A,$B16,Movimientos!$D:$D,CONCATENATE("&lt;=",BO$3),Movimientos!$C:$C,"&gt;0")+SUMIFS(Movimientos!$C:$C,Movimientos!$A:$A,$B16,Movimientos!$D:$D,CONCATENATE("&lt;",BO$3),Movimientos!$C:$C,"&lt;0")</f>
        <v>0</v>
      </c>
      <c r="BP16" s="5">
        <f ca="1">SUMIFS(Movimientos!$C:$C,Movimientos!$A:$A,$B16,Movimientos!$D:$D,CONCATENATE("&lt;=",BP$3),Movimientos!$C:$C,"&gt;0")+SUMIFS(Movimientos!$C:$C,Movimientos!$A:$A,$B16,Movimientos!$D:$D,CONCATENATE("&lt;",BP$3),Movimientos!$C:$C,"&lt;0")</f>
        <v>0</v>
      </c>
      <c r="BQ16" s="5">
        <f ca="1">SUMIFS(Movimientos!$C:$C,Movimientos!$A:$A,$B16,Movimientos!$D:$D,CONCATENATE("&lt;=",BQ$3),Movimientos!$C:$C,"&gt;0")+SUMIFS(Movimientos!$C:$C,Movimientos!$A:$A,$B16,Movimientos!$D:$D,CONCATENATE("&lt;",BQ$3),Movimientos!$C:$C,"&lt;0")</f>
        <v>0</v>
      </c>
      <c r="BR16" s="5">
        <f ca="1">SUMIFS(Movimientos!$C:$C,Movimientos!$A:$A,$B16,Movimientos!$D:$D,CONCATENATE("&lt;=",BR$3),Movimientos!$C:$C,"&gt;0")+SUMIFS(Movimientos!$C:$C,Movimientos!$A:$A,$B16,Movimientos!$D:$D,CONCATENATE("&lt;",BR$3),Movimientos!$C:$C,"&lt;0")</f>
        <v>0</v>
      </c>
      <c r="BS16" s="5">
        <f ca="1">SUMIFS(Movimientos!$C:$C,Movimientos!$A:$A,$B16,Movimientos!$D:$D,CONCATENATE("&lt;=",BS$3),Movimientos!$C:$C,"&gt;0")+SUMIFS(Movimientos!$C:$C,Movimientos!$A:$A,$B16,Movimientos!$D:$D,CONCATENATE("&lt;",BS$3),Movimientos!$C:$C,"&lt;0")</f>
        <v>0</v>
      </c>
      <c r="BT16" s="5">
        <f ca="1">SUMIFS(Movimientos!$C:$C,Movimientos!$A:$A,$B16,Movimientos!$D:$D,CONCATENATE("&lt;=",BT$3),Movimientos!$C:$C,"&gt;0")+SUMIFS(Movimientos!$C:$C,Movimientos!$A:$A,$B16,Movimientos!$D:$D,CONCATENATE("&lt;",BT$3),Movimientos!$C:$C,"&lt;0")</f>
        <v>0</v>
      </c>
      <c r="BU16" s="5">
        <f ca="1">SUMIFS(Movimientos!$C:$C,Movimientos!$A:$A,$B16,Movimientos!$D:$D,CONCATENATE("&lt;=",BU$3),Movimientos!$C:$C,"&gt;0")+SUMIFS(Movimientos!$C:$C,Movimientos!$A:$A,$B16,Movimientos!$D:$D,CONCATENATE("&lt;",BU$3),Movimientos!$C:$C,"&lt;0")</f>
        <v>0</v>
      </c>
      <c r="BV16" s="5">
        <f ca="1">SUMIFS(Movimientos!$C:$C,Movimientos!$A:$A,$B16,Movimientos!$D:$D,CONCATENATE("&lt;=",BV$3),Movimientos!$C:$C,"&gt;0")+SUMIFS(Movimientos!$C:$C,Movimientos!$A:$A,$B16,Movimientos!$D:$D,CONCATENATE("&lt;",BV$3),Movimientos!$C:$C,"&lt;0")</f>
        <v>0</v>
      </c>
      <c r="BW16" s="5">
        <f ca="1">SUMIFS(Movimientos!$C:$C,Movimientos!$A:$A,$B16,Movimientos!$D:$D,CONCATENATE("&lt;=",BW$3),Movimientos!$C:$C,"&gt;0")+SUMIFS(Movimientos!$C:$C,Movimientos!$A:$A,$B16,Movimientos!$D:$D,CONCATENATE("&lt;",BW$3),Movimientos!$C:$C,"&lt;0")</f>
        <v>0</v>
      </c>
      <c r="BX16" s="5">
        <f ca="1">SUMIFS(Movimientos!$C:$C,Movimientos!$A:$A,$B16,Movimientos!$D:$D,CONCATENATE("&lt;=",BX$3),Movimientos!$C:$C,"&gt;0")+SUMIFS(Movimientos!$C:$C,Movimientos!$A:$A,$B16,Movimientos!$D:$D,CONCATENATE("&lt;",BX$3),Movimientos!$C:$C,"&lt;0")</f>
        <v>0</v>
      </c>
      <c r="BY16" s="5">
        <f ca="1">SUMIFS(Movimientos!$C:$C,Movimientos!$A:$A,$B16,Movimientos!$D:$D,CONCATENATE("&lt;=",BY$3),Movimientos!$C:$C,"&gt;0")+SUMIFS(Movimientos!$C:$C,Movimientos!$A:$A,$B16,Movimientos!$D:$D,CONCATENATE("&lt;",BY$3),Movimientos!$C:$C,"&lt;0")</f>
        <v>0</v>
      </c>
      <c r="BZ16" s="5">
        <f ca="1">SUMIFS(Movimientos!$C:$C,Movimientos!$A:$A,$B16,Movimientos!$D:$D,CONCATENATE("&lt;=",BZ$3),Movimientos!$C:$C,"&gt;0")+SUMIFS(Movimientos!$C:$C,Movimientos!$A:$A,$B16,Movimientos!$D:$D,CONCATENATE("&lt;",BZ$3),Movimientos!$C:$C,"&lt;0")</f>
        <v>0</v>
      </c>
      <c r="CA16" s="5">
        <f ca="1">SUMIFS(Movimientos!$C:$C,Movimientos!$A:$A,$B16,Movimientos!$D:$D,CONCATENATE("&lt;=",CA$3),Movimientos!$C:$C,"&gt;0")+SUMIFS(Movimientos!$C:$C,Movimientos!$A:$A,$B16,Movimientos!$D:$D,CONCATENATE("&lt;",CA$3),Movimientos!$C:$C,"&lt;0")</f>
        <v>0</v>
      </c>
      <c r="CB16" s="5">
        <f ca="1">SUMIFS(Movimientos!$C:$C,Movimientos!$A:$A,$B16,Movimientos!$D:$D,CONCATENATE("&lt;=",CB$3),Movimientos!$C:$C,"&gt;0")+SUMIFS(Movimientos!$C:$C,Movimientos!$A:$A,$B16,Movimientos!$D:$D,CONCATENATE("&lt;",CB$3),Movimientos!$C:$C,"&lt;0")</f>
        <v>0</v>
      </c>
      <c r="CC16" s="5">
        <f ca="1">SUMIFS(Movimientos!$C:$C,Movimientos!$A:$A,$B16,Movimientos!$D:$D,CONCATENATE("&lt;=",CC$3),Movimientos!$C:$C,"&gt;0")+SUMIFS(Movimientos!$C:$C,Movimientos!$A:$A,$B16,Movimientos!$D:$D,CONCATENATE("&lt;",CC$3),Movimientos!$C:$C,"&lt;0")</f>
        <v>0</v>
      </c>
      <c r="CD16" s="5">
        <f ca="1">SUMIFS(Movimientos!$C:$C,Movimientos!$A:$A,$B16,Movimientos!$D:$D,CONCATENATE("&lt;=",CD$3),Movimientos!$C:$C,"&gt;0")+SUMIFS(Movimientos!$C:$C,Movimientos!$A:$A,$B16,Movimientos!$D:$D,CONCATENATE("&lt;",CD$3),Movimientos!$C:$C,"&lt;0")</f>
        <v>0</v>
      </c>
      <c r="CE16" s="5">
        <f ca="1">SUMIFS(Movimientos!$C:$C,Movimientos!$A:$A,$B16,Movimientos!$D:$D,CONCATENATE("&lt;=",CE$3),Movimientos!$C:$C,"&gt;0")+SUMIFS(Movimientos!$C:$C,Movimientos!$A:$A,$B16,Movimientos!$D:$D,CONCATENATE("&lt;",CE$3),Movimientos!$C:$C,"&lt;0")</f>
        <v>0</v>
      </c>
      <c r="CF16" s="5">
        <f ca="1">SUMIFS(Movimientos!$C:$C,Movimientos!$A:$A,$B16,Movimientos!$D:$D,CONCATENATE("&lt;=",CF$3),Movimientos!$C:$C,"&gt;0")+SUMIFS(Movimientos!$C:$C,Movimientos!$A:$A,$B16,Movimientos!$D:$D,CONCATENATE("&lt;",CF$3),Movimientos!$C:$C,"&lt;0")</f>
        <v>0</v>
      </c>
      <c r="CG16" s="5">
        <f ca="1">SUMIFS(Movimientos!$C:$C,Movimientos!$A:$A,$B16,Movimientos!$D:$D,CONCATENATE("&lt;=",CG$3),Movimientos!$C:$C,"&gt;0")+SUMIFS(Movimientos!$C:$C,Movimientos!$A:$A,$B16,Movimientos!$D:$D,CONCATENATE("&lt;",CG$3),Movimientos!$C:$C,"&lt;0")</f>
        <v>0</v>
      </c>
      <c r="CH16" s="5">
        <f ca="1">SUMIFS(Movimientos!$C:$C,Movimientos!$A:$A,$B16,Movimientos!$D:$D,CONCATENATE("&lt;=",CH$3),Movimientos!$C:$C,"&gt;0")+SUMIFS(Movimientos!$C:$C,Movimientos!$A:$A,$B16,Movimientos!$D:$D,CONCATENATE("&lt;",CH$3),Movimientos!$C:$C,"&lt;0")</f>
        <v>0</v>
      </c>
      <c r="CI16" s="5">
        <f ca="1">SUMIFS(Movimientos!$C:$C,Movimientos!$A:$A,$B16,Movimientos!$D:$D,CONCATENATE("&lt;=",CI$3),Movimientos!$C:$C,"&gt;0")+SUMIFS(Movimientos!$C:$C,Movimientos!$A:$A,$B16,Movimientos!$D:$D,CONCATENATE("&lt;",CI$3),Movimientos!$C:$C,"&lt;0")</f>
        <v>0</v>
      </c>
      <c r="CJ16" s="5">
        <f ca="1">SUMIFS(Movimientos!$C:$C,Movimientos!$A:$A,$B16,Movimientos!$D:$D,CONCATENATE("&lt;=",CJ$3),Movimientos!$C:$C,"&gt;0")+SUMIFS(Movimientos!$C:$C,Movimientos!$A:$A,$B16,Movimientos!$D:$D,CONCATENATE("&lt;",CJ$3),Movimientos!$C:$C,"&lt;0")</f>
        <v>0</v>
      </c>
      <c r="CK16" s="5">
        <f ca="1">SUMIFS(Movimientos!$C:$C,Movimientos!$A:$A,$B16,Movimientos!$D:$D,CONCATENATE("&lt;=",CK$3),Movimientos!$C:$C,"&gt;0")+SUMIFS(Movimientos!$C:$C,Movimientos!$A:$A,$B16,Movimientos!$D:$D,CONCATENATE("&lt;",CK$3),Movimientos!$C:$C,"&lt;0")</f>
        <v>0</v>
      </c>
      <c r="CL16" s="5">
        <f ca="1">SUMIFS(Movimientos!$C:$C,Movimientos!$A:$A,$B16,Movimientos!$D:$D,CONCATENATE("&lt;=",CL$3),Movimientos!$C:$C,"&gt;0")+SUMIFS(Movimientos!$C:$C,Movimientos!$A:$A,$B16,Movimientos!$D:$D,CONCATENATE("&lt;",CL$3),Movimientos!$C:$C,"&lt;0")</f>
        <v>0</v>
      </c>
      <c r="CM16" s="5">
        <f ca="1">SUMIFS(Movimientos!$C:$C,Movimientos!$A:$A,$B16,Movimientos!$D:$D,CONCATENATE("&lt;=",CM$3),Movimientos!$C:$C,"&gt;0")+SUMIFS(Movimientos!$C:$C,Movimientos!$A:$A,$B16,Movimientos!$D:$D,CONCATENATE("&lt;",CM$3),Movimientos!$C:$C,"&lt;0")</f>
        <v>0</v>
      </c>
      <c r="CN16" s="5">
        <f ca="1">SUMIFS(Movimientos!$C:$C,Movimientos!$A:$A,$B16,Movimientos!$D:$D,CONCATENATE("&lt;=",CN$3),Movimientos!$C:$C,"&gt;0")+SUMIFS(Movimientos!$C:$C,Movimientos!$A:$A,$B16,Movimientos!$D:$D,CONCATENATE("&lt;",CN$3),Movimientos!$C:$C,"&lt;0")</f>
        <v>0</v>
      </c>
      <c r="CO16" s="5">
        <f ca="1">SUMIFS(Movimientos!$C:$C,Movimientos!$A:$A,$B16,Movimientos!$D:$D,CONCATENATE("&lt;=",CO$3),Movimientos!$C:$C,"&gt;0")+SUMIFS(Movimientos!$C:$C,Movimientos!$A:$A,$B16,Movimientos!$D:$D,CONCATENATE("&lt;",CO$3),Movimientos!$C:$C,"&lt;0")</f>
        <v>0</v>
      </c>
      <c r="CP16" s="5">
        <f ca="1">SUMIFS(Movimientos!$C:$C,Movimientos!$A:$A,$B16,Movimientos!$D:$D,CONCATENATE("&lt;=",CP$3),Movimientos!$C:$C,"&gt;0")+SUMIFS(Movimientos!$C:$C,Movimientos!$A:$A,$B16,Movimientos!$D:$D,CONCATENATE("&lt;",CP$3),Movimientos!$C:$C,"&lt;0")</f>
        <v>0</v>
      </c>
      <c r="CQ16" s="5">
        <f ca="1">SUMIFS(Movimientos!$C:$C,Movimientos!$A:$A,$B16,Movimientos!$D:$D,CONCATENATE("&lt;=",CQ$3),Movimientos!$C:$C,"&gt;0")+SUMIFS(Movimientos!$C:$C,Movimientos!$A:$A,$B16,Movimientos!$D:$D,CONCATENATE("&lt;",CQ$3),Movimientos!$C:$C,"&lt;0")</f>
        <v>0</v>
      </c>
      <c r="CR16" s="5">
        <f ca="1">SUMIFS(Movimientos!$C:$C,Movimientos!$A:$A,$B16,Movimientos!$D:$D,CONCATENATE("&lt;=",CR$3),Movimientos!$C:$C,"&gt;0")+SUMIFS(Movimientos!$C:$C,Movimientos!$A:$A,$B16,Movimientos!$D:$D,CONCATENATE("&lt;",CR$3),Movimientos!$C:$C,"&lt;0")</f>
        <v>0</v>
      </c>
      <c r="CS16" s="5">
        <f ca="1">SUMIFS(Movimientos!$C:$C,Movimientos!$A:$A,$B16,Movimientos!$D:$D,CONCATENATE("&lt;=",CS$3),Movimientos!$C:$C,"&gt;0")+SUMIFS(Movimientos!$C:$C,Movimientos!$A:$A,$B16,Movimientos!$D:$D,CONCATENATE("&lt;",CS$3),Movimientos!$C:$C,"&lt;0")</f>
        <v>0</v>
      </c>
      <c r="CT16" s="5">
        <f ca="1">SUMIFS(Movimientos!$C:$C,Movimientos!$A:$A,$B16,Movimientos!$D:$D,CONCATENATE("&lt;=",CT$3),Movimientos!$C:$C,"&gt;0")+SUMIFS(Movimientos!$C:$C,Movimientos!$A:$A,$B16,Movimientos!$D:$D,CONCATENATE("&lt;",CT$3),Movimientos!$C:$C,"&lt;0")</f>
        <v>0</v>
      </c>
      <c r="CU16" s="5">
        <f ca="1">SUMIFS(Movimientos!$C:$C,Movimientos!$A:$A,$B16,Movimientos!$D:$D,CONCATENATE("&lt;=",CU$3),Movimientos!$C:$C,"&gt;0")+SUMIFS(Movimientos!$C:$C,Movimientos!$A:$A,$B16,Movimientos!$D:$D,CONCATENATE("&lt;",CU$3),Movimientos!$C:$C,"&lt;0")</f>
        <v>0</v>
      </c>
      <c r="CV16" s="5">
        <f ca="1">SUMIFS(Movimientos!$C:$C,Movimientos!$A:$A,$B16,Movimientos!$D:$D,CONCATENATE("&lt;=",CV$3),Movimientos!$C:$C,"&gt;0")+SUMIFS(Movimientos!$C:$C,Movimientos!$A:$A,$B16,Movimientos!$D:$D,CONCATENATE("&lt;",CV$3),Movimientos!$C:$C,"&lt;0")</f>
        <v>0</v>
      </c>
      <c r="CW16" s="5">
        <f ca="1">SUMIFS(Movimientos!$C:$C,Movimientos!$A:$A,$B16,Movimientos!$D:$D,CONCATENATE("&lt;=",CW$3),Movimientos!$C:$C,"&gt;0")+SUMIFS(Movimientos!$C:$C,Movimientos!$A:$A,$B16,Movimientos!$D:$D,CONCATENATE("&lt;",CW$3),Movimientos!$C:$C,"&lt;0")</f>
        <v>0</v>
      </c>
      <c r="CX16" s="5">
        <f ca="1">SUMIFS(Movimientos!$C:$C,Movimientos!$A:$A,$B16,Movimientos!$D:$D,CONCATENATE("&lt;=",CX$3),Movimientos!$C:$C,"&gt;0")+SUMIFS(Movimientos!$C:$C,Movimientos!$A:$A,$B16,Movimientos!$D:$D,CONCATENATE("&lt;",CX$3),Movimientos!$C:$C,"&lt;0")</f>
        <v>0</v>
      </c>
      <c r="CY16" s="5">
        <f ca="1">SUMIFS(Movimientos!$C:$C,Movimientos!$A:$A,$B16,Movimientos!$D:$D,CONCATENATE("&lt;=",CY$3),Movimientos!$C:$C,"&gt;0")+SUMIFS(Movimientos!$C:$C,Movimientos!$A:$A,$B16,Movimientos!$D:$D,CONCATENATE("&lt;",CY$3),Movimientos!$C:$C,"&lt;0")</f>
        <v>0</v>
      </c>
      <c r="CZ16" s="5">
        <f ca="1">SUMIFS(Movimientos!$C:$C,Movimientos!$A:$A,$B16,Movimientos!$D:$D,CONCATENATE("&lt;=",CZ$3),Movimientos!$C:$C,"&gt;0")+SUMIFS(Movimientos!$C:$C,Movimientos!$A:$A,$B16,Movimientos!$D:$D,CONCATENATE("&lt;",CZ$3),Movimientos!$C:$C,"&lt;0")</f>
        <v>0</v>
      </c>
      <c r="DA16" s="5">
        <f ca="1">SUMIFS(Movimientos!$C:$C,Movimientos!$A:$A,$B16,Movimientos!$D:$D,CONCATENATE("&lt;=",DA$3),Movimientos!$C:$C,"&gt;0")+SUMIFS(Movimientos!$C:$C,Movimientos!$A:$A,$B16,Movimientos!$D:$D,CONCATENATE("&lt;",DA$3),Movimientos!$C:$C,"&lt;0")</f>
        <v>0</v>
      </c>
      <c r="DB16" s="5">
        <f ca="1">SUMIFS(Movimientos!$C:$C,Movimientos!$A:$A,$B16,Movimientos!$D:$D,CONCATENATE("&lt;=",DB$3),Movimientos!$C:$C,"&gt;0")+SUMIFS(Movimientos!$C:$C,Movimientos!$A:$A,$B16,Movimientos!$D:$D,CONCATENATE("&lt;",DB$3),Movimientos!$C:$C,"&lt;0")</f>
        <v>0</v>
      </c>
      <c r="DC16" s="5">
        <f ca="1">SUMIFS(Movimientos!$C:$C,Movimientos!$A:$A,$B16,Movimientos!$D:$D,CONCATENATE("&lt;=",DC$3),Movimientos!$C:$C,"&gt;0")+SUMIFS(Movimientos!$C:$C,Movimientos!$A:$A,$B16,Movimientos!$D:$D,CONCATENATE("&lt;",DC$3),Movimientos!$C:$C,"&lt;0")</f>
        <v>0</v>
      </c>
      <c r="DD16" s="5">
        <f ca="1">SUMIFS(Movimientos!$C:$C,Movimientos!$A:$A,$B16,Movimientos!$D:$D,CONCATENATE("&lt;=",DD$3),Movimientos!$C:$C,"&gt;0")+SUMIFS(Movimientos!$C:$C,Movimientos!$A:$A,$B16,Movimientos!$D:$D,CONCATENATE("&lt;",DD$3),Movimientos!$C:$C,"&lt;0")</f>
        <v>0</v>
      </c>
      <c r="DE16" s="5">
        <f ca="1">SUMIFS(Movimientos!$C:$C,Movimientos!$A:$A,$B16,Movimientos!$D:$D,CONCATENATE("&lt;=",DE$3),Movimientos!$C:$C,"&gt;0")+SUMIFS(Movimientos!$C:$C,Movimientos!$A:$A,$B16,Movimientos!$D:$D,CONCATENATE("&lt;",DE$3),Movimientos!$C:$C,"&lt;0")</f>
        <v>0</v>
      </c>
      <c r="DF16" s="5">
        <f ca="1">SUMIFS(Movimientos!$C:$C,Movimientos!$A:$A,$B16,Movimientos!$D:$D,CONCATENATE("&lt;=",DF$3),Movimientos!$C:$C,"&gt;0")+SUMIFS(Movimientos!$C:$C,Movimientos!$A:$A,$B16,Movimientos!$D:$D,CONCATENATE("&lt;",DF$3),Movimientos!$C:$C,"&lt;0")</f>
        <v>0</v>
      </c>
      <c r="DG16" s="5">
        <f ca="1">SUMIFS(Movimientos!$C:$C,Movimientos!$A:$A,$B16,Movimientos!$D:$D,CONCATENATE("&lt;=",DG$3),Movimientos!$C:$C,"&gt;0")+SUMIFS(Movimientos!$C:$C,Movimientos!$A:$A,$B16,Movimientos!$D:$D,CONCATENATE("&lt;",DG$3),Movimientos!$C:$C,"&lt;0")</f>
        <v>0</v>
      </c>
      <c r="DH16" s="5">
        <f ca="1">SUMIFS(Movimientos!$C:$C,Movimientos!$A:$A,$B16,Movimientos!$D:$D,CONCATENATE("&lt;=",DH$3),Movimientos!$C:$C,"&gt;0")+SUMIFS(Movimientos!$C:$C,Movimientos!$A:$A,$B16,Movimientos!$D:$D,CONCATENATE("&lt;",DH$3),Movimientos!$C:$C,"&lt;0")</f>
        <v>0</v>
      </c>
      <c r="DI16" s="5">
        <f ca="1">SUMIFS(Movimientos!$C:$C,Movimientos!$A:$A,$B16,Movimientos!$D:$D,CONCATENATE("&lt;=",DI$3),Movimientos!$C:$C,"&gt;0")+SUMIFS(Movimientos!$C:$C,Movimientos!$A:$A,$B16,Movimientos!$D:$D,CONCATENATE("&lt;",DI$3),Movimientos!$C:$C,"&lt;0")</f>
        <v>0</v>
      </c>
      <c r="DJ16" s="5">
        <f ca="1">SUMIFS(Movimientos!$C:$C,Movimientos!$A:$A,$B16,Movimientos!$D:$D,CONCATENATE("&lt;=",DJ$3),Movimientos!$C:$C,"&gt;0")+SUMIFS(Movimientos!$C:$C,Movimientos!$A:$A,$B16,Movimientos!$D:$D,CONCATENATE("&lt;",DJ$3),Movimientos!$C:$C,"&lt;0")</f>
        <v>0</v>
      </c>
      <c r="DK16" s="5">
        <f ca="1">SUMIFS(Movimientos!$C:$C,Movimientos!$A:$A,$B16,Movimientos!$D:$D,CONCATENATE("&lt;=",DK$3),Movimientos!$C:$C,"&gt;0")+SUMIFS(Movimientos!$C:$C,Movimientos!$A:$A,$B16,Movimientos!$D:$D,CONCATENATE("&lt;",DK$3),Movimientos!$C:$C,"&lt;0")</f>
        <v>0</v>
      </c>
      <c r="DL16" s="5">
        <f ca="1">SUMIFS(Movimientos!$C:$C,Movimientos!$A:$A,$B16,Movimientos!$D:$D,CONCATENATE("&lt;=",DL$3),Movimientos!$C:$C,"&gt;0")+SUMIFS(Movimientos!$C:$C,Movimientos!$A:$A,$B16,Movimientos!$D:$D,CONCATENATE("&lt;",DL$3),Movimientos!$C:$C,"&lt;0")</f>
        <v>0</v>
      </c>
      <c r="DM16" s="5">
        <f ca="1">SUMIFS(Movimientos!$C:$C,Movimientos!$A:$A,$B16,Movimientos!$D:$D,CONCATENATE("&lt;=",DM$3),Movimientos!$C:$C,"&gt;0")+SUMIFS(Movimientos!$C:$C,Movimientos!$A:$A,$B16,Movimientos!$D:$D,CONCATENATE("&lt;",DM$3),Movimientos!$C:$C,"&lt;0")</f>
        <v>0</v>
      </c>
      <c r="DN16" s="5">
        <f ca="1">SUMIFS(Movimientos!$C:$C,Movimientos!$A:$A,$B16,Movimientos!$D:$D,CONCATENATE("&lt;=",DN$3),Movimientos!$C:$C,"&gt;0")+SUMIFS(Movimientos!$C:$C,Movimientos!$A:$A,$B16,Movimientos!$D:$D,CONCATENATE("&lt;",DN$3),Movimientos!$C:$C,"&lt;0")</f>
        <v>0</v>
      </c>
      <c r="DO16" s="5">
        <f ca="1">SUMIFS(Movimientos!$C:$C,Movimientos!$A:$A,$B16,Movimientos!$D:$D,CONCATENATE("&lt;=",DO$3),Movimientos!$C:$C,"&gt;0")+SUMIFS(Movimientos!$C:$C,Movimientos!$A:$A,$B16,Movimientos!$D:$D,CONCATENATE("&lt;",DO$3),Movimientos!$C:$C,"&lt;0")</f>
        <v>0</v>
      </c>
      <c r="DP16" s="5">
        <f ca="1">SUMIFS(Movimientos!$C:$C,Movimientos!$A:$A,$B16,Movimientos!$D:$D,CONCATENATE("&lt;=",DP$3),Movimientos!$C:$C,"&gt;0")+SUMIFS(Movimientos!$C:$C,Movimientos!$A:$A,$B16,Movimientos!$D:$D,CONCATENATE("&lt;",DP$3),Movimientos!$C:$C,"&lt;0")</f>
        <v>0</v>
      </c>
      <c r="DQ16" s="5">
        <f ca="1">SUMIFS(Movimientos!$C:$C,Movimientos!$A:$A,$B16,Movimientos!$D:$D,CONCATENATE("&lt;=",DQ$3),Movimientos!$C:$C,"&gt;0")+SUMIFS(Movimientos!$C:$C,Movimientos!$A:$A,$B16,Movimientos!$D:$D,CONCATENATE("&lt;",DQ$3),Movimientos!$C:$C,"&lt;0")</f>
        <v>0</v>
      </c>
      <c r="DR16" s="5">
        <f ca="1">SUMIFS(Movimientos!$C:$C,Movimientos!$A:$A,$B16,Movimientos!$D:$D,CONCATENATE("&lt;=",DR$3),Movimientos!$C:$C,"&gt;0")+SUMIFS(Movimientos!$C:$C,Movimientos!$A:$A,$B16,Movimientos!$D:$D,CONCATENATE("&lt;",DR$3),Movimientos!$C:$C,"&lt;0")</f>
        <v>0</v>
      </c>
      <c r="DS16" s="5">
        <f ca="1">SUMIFS(Movimientos!$C:$C,Movimientos!$A:$A,$B16,Movimientos!$D:$D,CONCATENATE("&lt;=",DS$3),Movimientos!$C:$C,"&gt;0")+SUMIFS(Movimientos!$C:$C,Movimientos!$A:$A,$B16,Movimientos!$D:$D,CONCATENATE("&lt;",DS$3),Movimientos!$C:$C,"&lt;0")</f>
        <v>0</v>
      </c>
      <c r="DT16" s="5">
        <f ca="1">SUMIFS(Movimientos!$C:$C,Movimientos!$A:$A,$B16,Movimientos!$D:$D,CONCATENATE("&lt;=",DT$3),Movimientos!$C:$C,"&gt;0")+SUMIFS(Movimientos!$C:$C,Movimientos!$A:$A,$B16,Movimientos!$D:$D,CONCATENATE("&lt;",DT$3),Movimientos!$C:$C,"&lt;0")</f>
        <v>0</v>
      </c>
      <c r="DU16" s="5">
        <f ca="1">SUMIFS(Movimientos!$C:$C,Movimientos!$A:$A,$B16,Movimientos!$D:$D,CONCATENATE("&lt;=",DU$3),Movimientos!$C:$C,"&gt;0")+SUMIFS(Movimientos!$C:$C,Movimientos!$A:$A,$B16,Movimientos!$D:$D,CONCATENATE("&lt;",DU$3),Movimientos!$C:$C,"&lt;0")</f>
        <v>0</v>
      </c>
      <c r="DV16" s="5">
        <f ca="1">SUMIFS(Movimientos!$C:$C,Movimientos!$A:$A,$B16,Movimientos!$D:$D,CONCATENATE("&lt;=",DV$3),Movimientos!$C:$C,"&gt;0")+SUMIFS(Movimientos!$C:$C,Movimientos!$A:$A,$B16,Movimientos!$D:$D,CONCATENATE("&lt;",DV$3),Movimientos!$C:$C,"&lt;0")</f>
        <v>0</v>
      </c>
      <c r="DW16" s="5">
        <f ca="1">SUMIFS(Movimientos!$C:$C,Movimientos!$A:$A,$B16,Movimientos!$D:$D,CONCATENATE("&lt;=",DW$3),Movimientos!$C:$C,"&gt;0")+SUMIFS(Movimientos!$C:$C,Movimientos!$A:$A,$B16,Movimientos!$D:$D,CONCATENATE("&lt;",DW$3),Movimientos!$C:$C,"&lt;0")</f>
        <v>0</v>
      </c>
      <c r="DX16" s="5">
        <f ca="1">SUMIFS(Movimientos!$C:$C,Movimientos!$A:$A,$B16,Movimientos!$D:$D,CONCATENATE("&lt;=",DX$3),Movimientos!$C:$C,"&gt;0")+SUMIFS(Movimientos!$C:$C,Movimientos!$A:$A,$B16,Movimientos!$D:$D,CONCATENATE("&lt;",DX$3),Movimientos!$C:$C,"&lt;0")</f>
        <v>0</v>
      </c>
      <c r="DY16" s="5">
        <f ca="1">SUMIFS(Movimientos!$C:$C,Movimientos!$A:$A,$B16,Movimientos!$D:$D,CONCATENATE("&lt;=",DY$3),Movimientos!$C:$C,"&gt;0")+SUMIFS(Movimientos!$C:$C,Movimientos!$A:$A,$B16,Movimientos!$D:$D,CONCATENATE("&lt;",DY$3),Movimientos!$C:$C,"&lt;0")</f>
        <v>0</v>
      </c>
      <c r="DZ16" s="5">
        <f ca="1">SUMIFS(Movimientos!$C:$C,Movimientos!$A:$A,$B16,Movimientos!$D:$D,CONCATENATE("&lt;=",DZ$3),Movimientos!$C:$C,"&gt;0")+SUMIFS(Movimientos!$C:$C,Movimientos!$A:$A,$B16,Movimientos!$D:$D,CONCATENATE("&lt;",DZ$3),Movimientos!$C:$C,"&lt;0")</f>
        <v>0</v>
      </c>
      <c r="EA16" s="5">
        <f ca="1">SUMIFS(Movimientos!$C:$C,Movimientos!$A:$A,$B16,Movimientos!$D:$D,CONCATENATE("&lt;=",EA$3),Movimientos!$C:$C,"&gt;0")+SUMIFS(Movimientos!$C:$C,Movimientos!$A:$A,$B16,Movimientos!$D:$D,CONCATENATE("&lt;",EA$3),Movimientos!$C:$C,"&lt;0")</f>
        <v>0</v>
      </c>
      <c r="EB16" s="5">
        <f ca="1">SUMIFS(Movimientos!$C:$C,Movimientos!$A:$A,$B16,Movimientos!$D:$D,CONCATENATE("&lt;=",EB$3),Movimientos!$C:$C,"&gt;0")+SUMIFS(Movimientos!$C:$C,Movimientos!$A:$A,$B16,Movimientos!$D:$D,CONCATENATE("&lt;",EB$3),Movimientos!$C:$C,"&lt;0")</f>
        <v>0</v>
      </c>
      <c r="EC16" s="5">
        <f ca="1">SUMIFS(Movimientos!$C:$C,Movimientos!$A:$A,$B16,Movimientos!$D:$D,CONCATENATE("&lt;=",EC$3),Movimientos!$C:$C,"&gt;0")+SUMIFS(Movimientos!$C:$C,Movimientos!$A:$A,$B16,Movimientos!$D:$D,CONCATENATE("&lt;",EC$3),Movimientos!$C:$C,"&lt;0")</f>
        <v>0</v>
      </c>
      <c r="ED16" s="5">
        <f ca="1">SUMIFS(Movimientos!$C:$C,Movimientos!$A:$A,$B16,Movimientos!$D:$D,CONCATENATE("&lt;=",ED$3),Movimientos!$C:$C,"&gt;0")+SUMIFS(Movimientos!$C:$C,Movimientos!$A:$A,$B16,Movimientos!$D:$D,CONCATENATE("&lt;",ED$3),Movimientos!$C:$C,"&lt;0")</f>
        <v>0</v>
      </c>
      <c r="EE16" s="5">
        <f ca="1">SUMIFS(Movimientos!$C:$C,Movimientos!$A:$A,$B16,Movimientos!$D:$D,CONCATENATE("&lt;=",EE$3),Movimientos!$C:$C,"&gt;0")+SUMIFS(Movimientos!$C:$C,Movimientos!$A:$A,$B16,Movimientos!$D:$D,CONCATENATE("&lt;",EE$3),Movimientos!$C:$C,"&lt;0")</f>
        <v>0</v>
      </c>
      <c r="EF16" s="5">
        <f ca="1">SUMIFS(Movimientos!$C:$C,Movimientos!$A:$A,$B16,Movimientos!$D:$D,CONCATENATE("&lt;=",EF$3),Movimientos!$C:$C,"&gt;0")+SUMIFS(Movimientos!$C:$C,Movimientos!$A:$A,$B16,Movimientos!$D:$D,CONCATENATE("&lt;",EF$3),Movimientos!$C:$C,"&lt;0")</f>
        <v>0</v>
      </c>
      <c r="EG16" s="5">
        <f ca="1">SUMIFS(Movimientos!$C:$C,Movimientos!$A:$A,$B16,Movimientos!$D:$D,CONCATENATE("&lt;=",EG$3),Movimientos!$C:$C,"&gt;0")+SUMIFS(Movimientos!$C:$C,Movimientos!$A:$A,$B16,Movimientos!$D:$D,CONCATENATE("&lt;",EG$3),Movimientos!$C:$C,"&lt;0")</f>
        <v>0</v>
      </c>
      <c r="EH16" s="5">
        <f ca="1">SUMIFS(Movimientos!$C:$C,Movimientos!$A:$A,$B16,Movimientos!$D:$D,CONCATENATE("&lt;=",EH$3),Movimientos!$C:$C,"&gt;0")+SUMIFS(Movimientos!$C:$C,Movimientos!$A:$A,$B16,Movimientos!$D:$D,CONCATENATE("&lt;",EH$3),Movimientos!$C:$C,"&lt;0")</f>
        <v>0</v>
      </c>
      <c r="EI16" s="5">
        <f ca="1">SUMIFS(Movimientos!$C:$C,Movimientos!$A:$A,$B16,Movimientos!$D:$D,CONCATENATE("&lt;=",EI$3),Movimientos!$C:$C,"&gt;0")+SUMIFS(Movimientos!$C:$C,Movimientos!$A:$A,$B16,Movimientos!$D:$D,CONCATENATE("&lt;",EI$3),Movimientos!$C:$C,"&lt;0")</f>
        <v>0</v>
      </c>
      <c r="EJ16" s="5">
        <f ca="1">SUMIFS(Movimientos!$C:$C,Movimientos!$A:$A,$B16,Movimientos!$D:$D,CONCATENATE("&lt;=",EJ$3),Movimientos!$C:$C,"&gt;0")+SUMIFS(Movimientos!$C:$C,Movimientos!$A:$A,$B16,Movimientos!$D:$D,CONCATENATE("&lt;",EJ$3),Movimientos!$C:$C,"&lt;0")</f>
        <v>0</v>
      </c>
      <c r="EK16" s="5">
        <f ca="1">SUMIFS(Movimientos!$C:$C,Movimientos!$A:$A,$B16,Movimientos!$D:$D,CONCATENATE("&lt;=",EK$3),Movimientos!$C:$C,"&gt;0")+SUMIFS(Movimientos!$C:$C,Movimientos!$A:$A,$B16,Movimientos!$D:$D,CONCATENATE("&lt;",EK$3),Movimientos!$C:$C,"&lt;0")</f>
        <v>0</v>
      </c>
      <c r="EL16" s="5">
        <f ca="1">SUMIFS(Movimientos!$C:$C,Movimientos!$A:$A,$B16,Movimientos!$D:$D,CONCATENATE("&lt;=",EL$3),Movimientos!$C:$C,"&gt;0")+SUMIFS(Movimientos!$C:$C,Movimientos!$A:$A,$B16,Movimientos!$D:$D,CONCATENATE("&lt;",EL$3),Movimientos!$C:$C,"&lt;0")</f>
        <v>0</v>
      </c>
      <c r="EM16" s="5">
        <f ca="1">SUMIFS(Movimientos!$C:$C,Movimientos!$A:$A,$B16,Movimientos!$D:$D,CONCATENATE("&lt;=",EM$3),Movimientos!$C:$C,"&gt;0")+SUMIFS(Movimientos!$C:$C,Movimientos!$A:$A,$B16,Movimientos!$D:$D,CONCATENATE("&lt;",EM$3),Movimientos!$C:$C,"&lt;0")</f>
        <v>0</v>
      </c>
      <c r="EN16" s="5">
        <f ca="1">SUMIFS(Movimientos!$C:$C,Movimientos!$A:$A,$B16,Movimientos!$D:$D,CONCATENATE("&lt;=",EN$3),Movimientos!$C:$C,"&gt;0")+SUMIFS(Movimientos!$C:$C,Movimientos!$A:$A,$B16,Movimientos!$D:$D,CONCATENATE("&lt;",EN$3),Movimientos!$C:$C,"&lt;0")</f>
        <v>0</v>
      </c>
      <c r="EO16" s="5">
        <f ca="1">SUMIFS(Movimientos!$C:$C,Movimientos!$A:$A,$B16,Movimientos!$D:$D,CONCATENATE("&lt;=",EO$3),Movimientos!$C:$C,"&gt;0")+SUMIFS(Movimientos!$C:$C,Movimientos!$A:$A,$B16,Movimientos!$D:$D,CONCATENATE("&lt;",EO$3),Movimientos!$C:$C,"&lt;0")</f>
        <v>0</v>
      </c>
      <c r="EP16" s="5">
        <f ca="1">SUMIFS(Movimientos!$C:$C,Movimientos!$A:$A,$B16,Movimientos!$D:$D,CONCATENATE("&lt;=",EP$3),Movimientos!$C:$C,"&gt;0")+SUMIFS(Movimientos!$C:$C,Movimientos!$A:$A,$B16,Movimientos!$D:$D,CONCATENATE("&lt;",EP$3),Movimientos!$C:$C,"&lt;0")</f>
        <v>0</v>
      </c>
      <c r="EQ16" s="5">
        <f ca="1">SUMIFS(Movimientos!$C:$C,Movimientos!$A:$A,$B16,Movimientos!$D:$D,CONCATENATE("&lt;=",EQ$3),Movimientos!$C:$C,"&gt;0")+SUMIFS(Movimientos!$C:$C,Movimientos!$A:$A,$B16,Movimientos!$D:$D,CONCATENATE("&lt;",EQ$3),Movimientos!$C:$C,"&lt;0")</f>
        <v>0</v>
      </c>
      <c r="ER16" s="5">
        <f ca="1">SUMIFS(Movimientos!$C:$C,Movimientos!$A:$A,$B16,Movimientos!$D:$D,CONCATENATE("&lt;=",ER$3),Movimientos!$C:$C,"&gt;0")+SUMIFS(Movimientos!$C:$C,Movimientos!$A:$A,$B16,Movimientos!$D:$D,CONCATENATE("&lt;",ER$3),Movimientos!$C:$C,"&lt;0")</f>
        <v>0</v>
      </c>
      <c r="ES16" s="5">
        <f ca="1">SUMIFS(Movimientos!$C:$C,Movimientos!$A:$A,$B16,Movimientos!$D:$D,CONCATENATE("&lt;=",ES$3),Movimientos!$C:$C,"&gt;0")+SUMIFS(Movimientos!$C:$C,Movimientos!$A:$A,$B16,Movimientos!$D:$D,CONCATENATE("&lt;",ES$3),Movimientos!$C:$C,"&lt;0")</f>
        <v>0</v>
      </c>
      <c r="ET16" s="5">
        <f ca="1">SUMIFS(Movimientos!$C:$C,Movimientos!$A:$A,$B16,Movimientos!$D:$D,CONCATENATE("&lt;=",ET$3),Movimientos!$C:$C,"&gt;0")+SUMIFS(Movimientos!$C:$C,Movimientos!$A:$A,$B16,Movimientos!$D:$D,CONCATENATE("&lt;",ET$3),Movimientos!$C:$C,"&lt;0")</f>
        <v>0</v>
      </c>
      <c r="EU16" s="5">
        <f ca="1">SUMIFS(Movimientos!$C:$C,Movimientos!$A:$A,$B16,Movimientos!$D:$D,CONCATENATE("&lt;=",EU$3),Movimientos!$C:$C,"&gt;0")+SUMIFS(Movimientos!$C:$C,Movimientos!$A:$A,$B16,Movimientos!$D:$D,CONCATENATE("&lt;",EU$3),Movimientos!$C:$C,"&lt;0")</f>
        <v>0</v>
      </c>
      <c r="EV16" s="5">
        <f ca="1">SUMIFS(Movimientos!$C:$C,Movimientos!$A:$A,$B16,Movimientos!$D:$D,CONCATENATE("&lt;=",EV$3),Movimientos!$C:$C,"&gt;0")+SUMIFS(Movimientos!$C:$C,Movimientos!$A:$A,$B16,Movimientos!$D:$D,CONCATENATE("&lt;",EV$3),Movimientos!$C:$C,"&lt;0")</f>
        <v>0</v>
      </c>
      <c r="EW16" s="5">
        <f ca="1">SUMIFS(Movimientos!$C:$C,Movimientos!$A:$A,$B16,Movimientos!$D:$D,CONCATENATE("&lt;=",EW$3),Movimientos!$C:$C,"&gt;0")+SUMIFS(Movimientos!$C:$C,Movimientos!$A:$A,$B16,Movimientos!$D:$D,CONCATENATE("&lt;",EW$3),Movimientos!$C:$C,"&lt;0")</f>
        <v>0</v>
      </c>
      <c r="EX16" s="5">
        <f ca="1">SUMIFS(Movimientos!$C:$C,Movimientos!$A:$A,$B16,Movimientos!$D:$D,CONCATENATE("&lt;=",EX$3),Movimientos!$C:$C,"&gt;0")+SUMIFS(Movimientos!$C:$C,Movimientos!$A:$A,$B16,Movimientos!$D:$D,CONCATENATE("&lt;",EX$3),Movimientos!$C:$C,"&lt;0")</f>
        <v>0</v>
      </c>
      <c r="EY16" s="5">
        <f ca="1">SUMIFS(Movimientos!$C:$C,Movimientos!$A:$A,$B16,Movimientos!$D:$D,CONCATENATE("&lt;=",EY$3),Movimientos!$C:$C,"&gt;0")+SUMIFS(Movimientos!$C:$C,Movimientos!$A:$A,$B16,Movimientos!$D:$D,CONCATENATE("&lt;",EY$3),Movimientos!$C:$C,"&lt;0")</f>
        <v>0</v>
      </c>
      <c r="EZ16" s="5">
        <f ca="1">SUMIFS(Movimientos!$C:$C,Movimientos!$A:$A,$B16,Movimientos!$D:$D,CONCATENATE("&lt;=",EZ$3),Movimientos!$C:$C,"&gt;0")+SUMIFS(Movimientos!$C:$C,Movimientos!$A:$A,$B16,Movimientos!$D:$D,CONCATENATE("&lt;",EZ$3),Movimientos!$C:$C,"&lt;0")</f>
        <v>0</v>
      </c>
      <c r="FA16" s="5">
        <f ca="1">SUMIFS(Movimientos!$C:$C,Movimientos!$A:$A,$B16,Movimientos!$D:$D,CONCATENATE("&lt;=",FA$3),Movimientos!$C:$C,"&gt;0")+SUMIFS(Movimientos!$C:$C,Movimientos!$A:$A,$B16,Movimientos!$D:$D,CONCATENATE("&lt;",FA$3),Movimientos!$C:$C,"&lt;0")</f>
        <v>0</v>
      </c>
      <c r="FB16" s="5">
        <f ca="1">SUMIFS(Movimientos!$C:$C,Movimientos!$A:$A,$B16,Movimientos!$D:$D,CONCATENATE("&lt;=",FB$3),Movimientos!$C:$C,"&gt;0")+SUMIFS(Movimientos!$C:$C,Movimientos!$A:$A,$B16,Movimientos!$D:$D,CONCATENATE("&lt;",FB$3),Movimientos!$C:$C,"&lt;0")</f>
        <v>0</v>
      </c>
      <c r="FC16" s="5">
        <f ca="1">SUMIFS(Movimientos!$C:$C,Movimientos!$A:$A,$B16,Movimientos!$D:$D,CONCATENATE("&lt;=",FC$3),Movimientos!$C:$C,"&gt;0")+SUMIFS(Movimientos!$C:$C,Movimientos!$A:$A,$B16,Movimientos!$D:$D,CONCATENATE("&lt;",FC$3),Movimientos!$C:$C,"&lt;0")</f>
        <v>0</v>
      </c>
      <c r="FD16" s="5">
        <f ca="1">SUMIFS(Movimientos!$C:$C,Movimientos!$A:$A,$B16,Movimientos!$D:$D,CONCATENATE("&lt;=",FD$3),Movimientos!$C:$C,"&gt;0")+SUMIFS(Movimientos!$C:$C,Movimientos!$A:$A,$B16,Movimientos!$D:$D,CONCATENATE("&lt;",FD$3),Movimientos!$C:$C,"&lt;0")</f>
        <v>0</v>
      </c>
      <c r="FE16" s="5">
        <f ca="1">SUMIFS(Movimientos!$C:$C,Movimientos!$A:$A,$B16,Movimientos!$D:$D,CONCATENATE("&lt;=",FE$3),Movimientos!$C:$C,"&gt;0")+SUMIFS(Movimientos!$C:$C,Movimientos!$A:$A,$B16,Movimientos!$D:$D,CONCATENATE("&lt;",FE$3),Movimientos!$C:$C,"&lt;0")</f>
        <v>0</v>
      </c>
      <c r="FF16" s="5">
        <f ca="1">SUMIFS(Movimientos!$C:$C,Movimientos!$A:$A,$B16,Movimientos!$D:$D,CONCATENATE("&lt;=",FF$3),Movimientos!$C:$C,"&gt;0")+SUMIFS(Movimientos!$C:$C,Movimientos!$A:$A,$B16,Movimientos!$D:$D,CONCATENATE("&lt;",FF$3),Movimientos!$C:$C,"&lt;0")</f>
        <v>0</v>
      </c>
      <c r="FG16" s="5">
        <f ca="1">SUMIFS(Movimientos!$C:$C,Movimientos!$A:$A,$B16,Movimientos!$D:$D,CONCATENATE("&lt;=",FG$3),Movimientos!$C:$C,"&gt;0")+SUMIFS(Movimientos!$C:$C,Movimientos!$A:$A,$B16,Movimientos!$D:$D,CONCATENATE("&lt;",FG$3),Movimientos!$C:$C,"&lt;0")</f>
        <v>0</v>
      </c>
      <c r="FH16" s="5">
        <f ca="1">SUMIFS(Movimientos!$C:$C,Movimientos!$A:$A,$B16,Movimientos!$D:$D,CONCATENATE("&lt;=",FH$3),Movimientos!$C:$C,"&gt;0")+SUMIFS(Movimientos!$C:$C,Movimientos!$A:$A,$B16,Movimientos!$D:$D,CONCATENATE("&lt;",FH$3),Movimientos!$C:$C,"&lt;0")</f>
        <v>0</v>
      </c>
      <c r="FI16" s="5">
        <f ca="1">SUMIFS(Movimientos!$C:$C,Movimientos!$A:$A,$B16,Movimientos!$D:$D,CONCATENATE("&lt;=",FI$3),Movimientos!$C:$C,"&gt;0")+SUMIFS(Movimientos!$C:$C,Movimientos!$A:$A,$B16,Movimientos!$D:$D,CONCATENATE("&lt;",FI$3),Movimientos!$C:$C,"&lt;0")</f>
        <v>0</v>
      </c>
      <c r="FJ16" s="5">
        <f ca="1">SUMIFS(Movimientos!$C:$C,Movimientos!$A:$A,$B16,Movimientos!$D:$D,CONCATENATE("&lt;=",FJ$3),Movimientos!$C:$C,"&gt;0")+SUMIFS(Movimientos!$C:$C,Movimientos!$A:$A,$B16,Movimientos!$D:$D,CONCATENATE("&lt;",FJ$3),Movimientos!$C:$C,"&lt;0")</f>
        <v>0</v>
      </c>
      <c r="FK16" s="5">
        <f ca="1">SUMIFS(Movimientos!$C:$C,Movimientos!$A:$A,$B16,Movimientos!$D:$D,CONCATENATE("&lt;=",FK$3),Movimientos!$C:$C,"&gt;0")+SUMIFS(Movimientos!$C:$C,Movimientos!$A:$A,$B16,Movimientos!$D:$D,CONCATENATE("&lt;",FK$3),Movimientos!$C:$C,"&lt;0")</f>
        <v>0</v>
      </c>
      <c r="FL16" s="5">
        <f ca="1">SUMIFS(Movimientos!$C:$C,Movimientos!$A:$A,$B16,Movimientos!$D:$D,CONCATENATE("&lt;=",FL$3),Movimientos!$C:$C,"&gt;0")+SUMIFS(Movimientos!$C:$C,Movimientos!$A:$A,$B16,Movimientos!$D:$D,CONCATENATE("&lt;",FL$3),Movimientos!$C:$C,"&lt;0")</f>
        <v>0</v>
      </c>
      <c r="FM16" s="5">
        <f ca="1">SUMIFS(Movimientos!$C:$C,Movimientos!$A:$A,$B16,Movimientos!$D:$D,CONCATENATE("&lt;=",FM$3),Movimientos!$C:$C,"&gt;0")+SUMIFS(Movimientos!$C:$C,Movimientos!$A:$A,$B16,Movimientos!$D:$D,CONCATENATE("&lt;",FM$3),Movimientos!$C:$C,"&lt;0")</f>
        <v>0</v>
      </c>
      <c r="FN16" s="5">
        <f ca="1">SUMIFS(Movimientos!$C:$C,Movimientos!$A:$A,$B16,Movimientos!$D:$D,CONCATENATE("&lt;=",FN$3),Movimientos!$C:$C,"&gt;0")+SUMIFS(Movimientos!$C:$C,Movimientos!$A:$A,$B16,Movimientos!$D:$D,CONCATENATE("&lt;",FN$3),Movimientos!$C:$C,"&lt;0")</f>
        <v>0</v>
      </c>
      <c r="FO16" s="5">
        <f ca="1">SUMIFS(Movimientos!$C:$C,Movimientos!$A:$A,$B16,Movimientos!$D:$D,CONCATENATE("&lt;=",FO$3),Movimientos!$C:$C,"&gt;0")+SUMIFS(Movimientos!$C:$C,Movimientos!$A:$A,$B16,Movimientos!$D:$D,CONCATENATE("&lt;",FO$3),Movimientos!$C:$C,"&lt;0")</f>
        <v>0</v>
      </c>
      <c r="FP16" s="5">
        <f ca="1">SUMIFS(Movimientos!$C:$C,Movimientos!$A:$A,$B16,Movimientos!$D:$D,CONCATENATE("&lt;=",FP$3),Movimientos!$C:$C,"&gt;0")+SUMIFS(Movimientos!$C:$C,Movimientos!$A:$A,$B16,Movimientos!$D:$D,CONCATENATE("&lt;",FP$3),Movimientos!$C:$C,"&lt;0")</f>
        <v>0</v>
      </c>
      <c r="FQ16" s="5">
        <f ca="1">SUMIFS(Movimientos!$C:$C,Movimientos!$A:$A,$B16,Movimientos!$D:$D,CONCATENATE("&lt;=",FQ$3),Movimientos!$C:$C,"&gt;0")+SUMIFS(Movimientos!$C:$C,Movimientos!$A:$A,$B16,Movimientos!$D:$D,CONCATENATE("&lt;",FQ$3),Movimientos!$C:$C,"&lt;0")</f>
        <v>0</v>
      </c>
      <c r="FR16" s="5">
        <f ca="1">SUMIFS(Movimientos!$C:$C,Movimientos!$A:$A,$B16,Movimientos!$D:$D,CONCATENATE("&lt;=",FR$3),Movimientos!$C:$C,"&gt;0")+SUMIFS(Movimientos!$C:$C,Movimientos!$A:$A,$B16,Movimientos!$D:$D,CONCATENATE("&lt;",FR$3),Movimientos!$C:$C,"&lt;0")</f>
        <v>0</v>
      </c>
      <c r="FS16" s="5">
        <f ca="1">SUMIFS(Movimientos!$C:$C,Movimientos!$A:$A,$B16,Movimientos!$D:$D,CONCATENATE("&lt;=",FS$3),Movimientos!$C:$C,"&gt;0")+SUMIFS(Movimientos!$C:$C,Movimientos!$A:$A,$B16,Movimientos!$D:$D,CONCATENATE("&lt;",FS$3),Movimientos!$C:$C,"&lt;0")</f>
        <v>0</v>
      </c>
      <c r="FT16" s="5">
        <f ca="1">SUMIFS(Movimientos!$C:$C,Movimientos!$A:$A,$B16,Movimientos!$D:$D,CONCATENATE("&lt;=",FT$3),Movimientos!$C:$C,"&gt;0")+SUMIFS(Movimientos!$C:$C,Movimientos!$A:$A,$B16,Movimientos!$D:$D,CONCATENATE("&lt;",FT$3),Movimientos!$C:$C,"&lt;0")</f>
        <v>0</v>
      </c>
      <c r="FU16" s="5">
        <f ca="1">SUMIFS(Movimientos!$C:$C,Movimientos!$A:$A,$B16,Movimientos!$D:$D,CONCATENATE("&lt;=",FU$3),Movimientos!$C:$C,"&gt;0")+SUMIFS(Movimientos!$C:$C,Movimientos!$A:$A,$B16,Movimientos!$D:$D,CONCATENATE("&lt;",FU$3),Movimientos!$C:$C,"&lt;0")</f>
        <v>0</v>
      </c>
      <c r="FV16" s="5">
        <f ca="1">SUMIFS(Movimientos!$C:$C,Movimientos!$A:$A,$B16,Movimientos!$D:$D,CONCATENATE("&lt;=",FV$3),Movimientos!$C:$C,"&gt;0")+SUMIFS(Movimientos!$C:$C,Movimientos!$A:$A,$B16,Movimientos!$D:$D,CONCATENATE("&lt;",FV$3),Movimientos!$C:$C,"&lt;0")</f>
        <v>0</v>
      </c>
      <c r="FW16" s="5">
        <f ca="1">SUMIFS(Movimientos!$C:$C,Movimientos!$A:$A,$B16,Movimientos!$D:$D,CONCATENATE("&lt;=",FW$3),Movimientos!$C:$C,"&gt;0")+SUMIFS(Movimientos!$C:$C,Movimientos!$A:$A,$B16,Movimientos!$D:$D,CONCATENATE("&lt;",FW$3),Movimientos!$C:$C,"&lt;0")</f>
        <v>0</v>
      </c>
      <c r="FX16" s="5">
        <f ca="1">SUMIFS(Movimientos!$C:$C,Movimientos!$A:$A,$B16,Movimientos!$D:$D,CONCATENATE("&lt;=",FX$3),Movimientos!$C:$C,"&gt;0")+SUMIFS(Movimientos!$C:$C,Movimientos!$A:$A,$B16,Movimientos!$D:$D,CONCATENATE("&lt;",FX$3),Movimientos!$C:$C,"&lt;0")</f>
        <v>0</v>
      </c>
      <c r="FY16" s="5">
        <f ca="1">SUMIFS(Movimientos!$C:$C,Movimientos!$A:$A,$B16,Movimientos!$D:$D,CONCATENATE("&lt;=",FY$3),Movimientos!$C:$C,"&gt;0")+SUMIFS(Movimientos!$C:$C,Movimientos!$A:$A,$B16,Movimientos!$D:$D,CONCATENATE("&lt;",FY$3),Movimientos!$C:$C,"&lt;0")</f>
        <v>0</v>
      </c>
      <c r="FZ16" s="5">
        <f ca="1">SUMIFS(Movimientos!$C:$C,Movimientos!$A:$A,$B16,Movimientos!$D:$D,CONCATENATE("&lt;=",FZ$3),Movimientos!$C:$C,"&gt;0")+SUMIFS(Movimientos!$C:$C,Movimientos!$A:$A,$B16,Movimientos!$D:$D,CONCATENATE("&lt;",FZ$3),Movimientos!$C:$C,"&lt;0")</f>
        <v>0</v>
      </c>
      <c r="GA16" s="5">
        <f ca="1">SUMIFS(Movimientos!$C:$C,Movimientos!$A:$A,$B16,Movimientos!$D:$D,CONCATENATE("&lt;=",GA$3),Movimientos!$C:$C,"&gt;0")+SUMIFS(Movimientos!$C:$C,Movimientos!$A:$A,$B16,Movimientos!$D:$D,CONCATENATE("&lt;",GA$3),Movimientos!$C:$C,"&lt;0")</f>
        <v>0</v>
      </c>
      <c r="GB16" s="5">
        <f ca="1">SUMIFS(Movimientos!$C:$C,Movimientos!$A:$A,$B16,Movimientos!$D:$D,CONCATENATE("&lt;=",GB$3),Movimientos!$C:$C,"&gt;0")+SUMIFS(Movimientos!$C:$C,Movimientos!$A:$A,$B16,Movimientos!$D:$D,CONCATENATE("&lt;",GB$3),Movimientos!$C:$C,"&lt;0")</f>
        <v>0</v>
      </c>
      <c r="GC16" s="5">
        <f ca="1">SUMIFS(Movimientos!$C:$C,Movimientos!$A:$A,$B16,Movimientos!$D:$D,CONCATENATE("&lt;=",GC$3),Movimientos!$C:$C,"&gt;0")+SUMIFS(Movimientos!$C:$C,Movimientos!$A:$A,$B16,Movimientos!$D:$D,CONCATENATE("&lt;",GC$3),Movimientos!$C:$C,"&lt;0")</f>
        <v>0</v>
      </c>
      <c r="GD16" s="5">
        <f ca="1">SUMIFS(Movimientos!$C:$C,Movimientos!$A:$A,$B16,Movimientos!$D:$D,CONCATENATE("&lt;=",GD$3),Movimientos!$C:$C,"&gt;0")+SUMIFS(Movimientos!$C:$C,Movimientos!$A:$A,$B16,Movimientos!$D:$D,CONCATENATE("&lt;",GD$3),Movimientos!$C:$C,"&lt;0")</f>
        <v>0</v>
      </c>
      <c r="GE16" s="5">
        <f ca="1">SUMIFS(Movimientos!$C:$C,Movimientos!$A:$A,$B16,Movimientos!$D:$D,CONCATENATE("&lt;=",GE$3),Movimientos!$C:$C,"&gt;0")+SUMIFS(Movimientos!$C:$C,Movimientos!$A:$A,$B16,Movimientos!$D:$D,CONCATENATE("&lt;",GE$3),Movimientos!$C:$C,"&lt;0")</f>
        <v>0</v>
      </c>
      <c r="GF16" s="5">
        <f ca="1">SUMIFS(Movimientos!$C:$C,Movimientos!$A:$A,$B16,Movimientos!$D:$D,CONCATENATE("&lt;=",GF$3),Movimientos!$C:$C,"&gt;0")+SUMIFS(Movimientos!$C:$C,Movimientos!$A:$A,$B16,Movimientos!$D:$D,CONCATENATE("&lt;",GF$3),Movimientos!$C:$C,"&lt;0")</f>
        <v>0</v>
      </c>
      <c r="GG16" s="5">
        <f ca="1">SUMIFS(Movimientos!$C:$C,Movimientos!$A:$A,$B16,Movimientos!$D:$D,CONCATENATE("&lt;=",GG$3),Movimientos!$C:$C,"&gt;0")+SUMIFS(Movimientos!$C:$C,Movimientos!$A:$A,$B16,Movimientos!$D:$D,CONCATENATE("&lt;",GG$3),Movimientos!$C:$C,"&lt;0")</f>
        <v>0</v>
      </c>
      <c r="GH16" s="5">
        <f ca="1">SUMIFS(Movimientos!$C:$C,Movimientos!$A:$A,$B16,Movimientos!$D:$D,CONCATENATE("&lt;=",GH$3),Movimientos!$C:$C,"&gt;0")+SUMIFS(Movimientos!$C:$C,Movimientos!$A:$A,$B16,Movimientos!$D:$D,CONCATENATE("&lt;",GH$3),Movimientos!$C:$C,"&lt;0")</f>
        <v>0</v>
      </c>
      <c r="GI16" s="5">
        <f ca="1">SUMIFS(Movimientos!$C:$C,Movimientos!$A:$A,$B16,Movimientos!$D:$D,CONCATENATE("&lt;=",GI$3),Movimientos!$C:$C,"&gt;0")+SUMIFS(Movimientos!$C:$C,Movimientos!$A:$A,$B16,Movimientos!$D:$D,CONCATENATE("&lt;",GI$3),Movimientos!$C:$C,"&lt;0")</f>
        <v>0</v>
      </c>
      <c r="GJ16" s="5">
        <f ca="1">SUMIFS(Movimientos!$C:$C,Movimientos!$A:$A,$B16,Movimientos!$D:$D,CONCATENATE("&lt;=",GJ$3),Movimientos!$C:$C,"&gt;0")+SUMIFS(Movimientos!$C:$C,Movimientos!$A:$A,$B16,Movimientos!$D:$D,CONCATENATE("&lt;",GJ$3),Movimientos!$C:$C,"&lt;0")</f>
        <v>0</v>
      </c>
      <c r="GK16" s="5">
        <f ca="1">SUMIFS(Movimientos!$C:$C,Movimientos!$A:$A,$B16,Movimientos!$D:$D,CONCATENATE("&lt;=",GK$3),Movimientos!$C:$C,"&gt;0")+SUMIFS(Movimientos!$C:$C,Movimientos!$A:$A,$B16,Movimientos!$D:$D,CONCATENATE("&lt;",GK$3),Movimientos!$C:$C,"&lt;0")</f>
        <v>0</v>
      </c>
      <c r="GL16" s="5">
        <f ca="1">SUMIFS(Movimientos!$C:$C,Movimientos!$A:$A,$B16,Movimientos!$D:$D,CONCATENATE("&lt;=",GL$3),Movimientos!$C:$C,"&gt;0")+SUMIFS(Movimientos!$C:$C,Movimientos!$A:$A,$B16,Movimientos!$D:$D,CONCATENATE("&lt;",GL$3),Movimientos!$C:$C,"&lt;0")</f>
        <v>0</v>
      </c>
      <c r="GM16" s="5">
        <f ca="1">SUMIFS(Movimientos!$C:$C,Movimientos!$A:$A,$B16,Movimientos!$D:$D,CONCATENATE("&lt;=",GM$3),Movimientos!$C:$C,"&gt;0")+SUMIFS(Movimientos!$C:$C,Movimientos!$A:$A,$B16,Movimientos!$D:$D,CONCATENATE("&lt;",GM$3),Movimientos!$C:$C,"&lt;0")</f>
        <v>0</v>
      </c>
      <c r="GN16" s="5">
        <f ca="1">SUMIFS(Movimientos!$C:$C,Movimientos!$A:$A,$B16,Movimientos!$D:$D,CONCATENATE("&lt;=",GN$3),Movimientos!$C:$C,"&gt;0")+SUMIFS(Movimientos!$C:$C,Movimientos!$A:$A,$B16,Movimientos!$D:$D,CONCATENATE("&lt;",GN$3),Movimientos!$C:$C,"&lt;0")</f>
        <v>0</v>
      </c>
      <c r="GO16" s="5">
        <f ca="1">SUMIFS(Movimientos!$C:$C,Movimientos!$A:$A,$B16,Movimientos!$D:$D,CONCATENATE("&lt;=",GO$3),Movimientos!$C:$C,"&gt;0")+SUMIFS(Movimientos!$C:$C,Movimientos!$A:$A,$B16,Movimientos!$D:$D,CONCATENATE("&lt;",GO$3),Movimientos!$C:$C,"&lt;0")</f>
        <v>0</v>
      </c>
      <c r="GP16" s="5">
        <f ca="1">SUMIFS(Movimientos!$C:$C,Movimientos!$A:$A,$B16,Movimientos!$D:$D,CONCATENATE("&lt;=",GP$3),Movimientos!$C:$C,"&gt;0")+SUMIFS(Movimientos!$C:$C,Movimientos!$A:$A,$B16,Movimientos!$D:$D,CONCATENATE("&lt;",GP$3),Movimientos!$C:$C,"&lt;0")</f>
        <v>0</v>
      </c>
      <c r="GQ16" s="5">
        <f ca="1">SUMIFS(Movimientos!$C:$C,Movimientos!$A:$A,$B16,Movimientos!$D:$D,CONCATENATE("&lt;=",GQ$3),Movimientos!$C:$C,"&gt;0")+SUMIFS(Movimientos!$C:$C,Movimientos!$A:$A,$B16,Movimientos!$D:$D,CONCATENATE("&lt;",GQ$3),Movimientos!$C:$C,"&lt;0")</f>
        <v>0</v>
      </c>
      <c r="GR16" s="5">
        <f ca="1">SUMIFS(Movimientos!$C:$C,Movimientos!$A:$A,$B16,Movimientos!$D:$D,CONCATENATE("&lt;=",GR$3),Movimientos!$C:$C,"&gt;0")+SUMIFS(Movimientos!$C:$C,Movimientos!$A:$A,$B16,Movimientos!$D:$D,CONCATENATE("&lt;",GR$3),Movimientos!$C:$C,"&lt;0")</f>
        <v>0</v>
      </c>
      <c r="GS16" s="5">
        <f ca="1">SUMIFS(Movimientos!$C:$C,Movimientos!$A:$A,$B16,Movimientos!$D:$D,CONCATENATE("&lt;=",GS$3),Movimientos!$C:$C,"&gt;0")+SUMIFS(Movimientos!$C:$C,Movimientos!$A:$A,$B16,Movimientos!$D:$D,CONCATENATE("&lt;",GS$3),Movimientos!$C:$C,"&lt;0")</f>
        <v>0</v>
      </c>
      <c r="GT16" s="5">
        <f ca="1">SUMIFS(Movimientos!$C:$C,Movimientos!$A:$A,$B16,Movimientos!$D:$D,CONCATENATE("&lt;=",GT$3),Movimientos!$C:$C,"&gt;0")+SUMIFS(Movimientos!$C:$C,Movimientos!$A:$A,$B16,Movimientos!$D:$D,CONCATENATE("&lt;",GT$3),Movimientos!$C:$C,"&lt;0")</f>
        <v>0</v>
      </c>
      <c r="GU16" s="5">
        <f ca="1">SUMIFS(Movimientos!$C:$C,Movimientos!$A:$A,$B16,Movimientos!$D:$D,CONCATENATE("&lt;=",GU$3),Movimientos!$C:$C,"&gt;0")+SUMIFS(Movimientos!$C:$C,Movimientos!$A:$A,$B16,Movimientos!$D:$D,CONCATENATE("&lt;",GU$3),Movimientos!$C:$C,"&lt;0")</f>
        <v>0</v>
      </c>
      <c r="GV16" s="5">
        <f ca="1">SUMIFS(Movimientos!$C:$C,Movimientos!$A:$A,$B16,Movimientos!$D:$D,CONCATENATE("&lt;=",GV$3),Movimientos!$C:$C,"&gt;0")+SUMIFS(Movimientos!$C:$C,Movimientos!$A:$A,$B16,Movimientos!$D:$D,CONCATENATE("&lt;",GV$3),Movimientos!$C:$C,"&lt;0")</f>
        <v>0</v>
      </c>
      <c r="GW16" s="5">
        <f ca="1">SUMIFS(Movimientos!$C:$C,Movimientos!$A:$A,$B16,Movimientos!$D:$D,CONCATENATE("&lt;=",GW$3),Movimientos!$C:$C,"&gt;0")+SUMIFS(Movimientos!$C:$C,Movimientos!$A:$A,$B16,Movimientos!$D:$D,CONCATENATE("&lt;",GW$3),Movimientos!$C:$C,"&lt;0")</f>
        <v>0</v>
      </c>
      <c r="GX16" s="5">
        <f ca="1">SUMIFS(Movimientos!$C:$C,Movimientos!$A:$A,$B16,Movimientos!$D:$D,CONCATENATE("&lt;=",GX$3),Movimientos!$C:$C,"&gt;0")+SUMIFS(Movimientos!$C:$C,Movimientos!$A:$A,$B16,Movimientos!$D:$D,CONCATENATE("&lt;",GX$3),Movimientos!$C:$C,"&lt;0")</f>
        <v>0</v>
      </c>
      <c r="GY16" s="5">
        <f ca="1">SUMIFS(Movimientos!$C:$C,Movimientos!$A:$A,$B16,Movimientos!$D:$D,CONCATENATE("&lt;=",GY$3),Movimientos!$C:$C,"&gt;0")+SUMIFS(Movimientos!$C:$C,Movimientos!$A:$A,$B16,Movimientos!$D:$D,CONCATENATE("&lt;",GY$3),Movimientos!$C:$C,"&lt;0")</f>
        <v>0</v>
      </c>
      <c r="GZ16" s="5">
        <f ca="1">SUMIFS(Movimientos!$C:$C,Movimientos!$A:$A,$B16,Movimientos!$D:$D,CONCATENATE("&lt;=",GZ$3),Movimientos!$C:$C,"&gt;0")+SUMIFS(Movimientos!$C:$C,Movimientos!$A:$A,$B16,Movimientos!$D:$D,CONCATENATE("&lt;",GZ$3),Movimientos!$C:$C,"&lt;0")</f>
        <v>0</v>
      </c>
      <c r="HA16" s="5">
        <f ca="1">SUMIFS(Movimientos!$C:$C,Movimientos!$A:$A,$B16,Movimientos!$D:$D,CONCATENATE("&lt;=",HA$3),Movimientos!$C:$C,"&gt;0")+SUMIFS(Movimientos!$C:$C,Movimientos!$A:$A,$B16,Movimientos!$D:$D,CONCATENATE("&lt;",HA$3),Movimientos!$C:$C,"&lt;0")</f>
        <v>0</v>
      </c>
      <c r="HB16" s="5">
        <f ca="1">SUMIFS(Movimientos!$C:$C,Movimientos!$A:$A,$B16,Movimientos!$D:$D,CONCATENATE("&lt;=",HB$3),Movimientos!$C:$C,"&gt;0")+SUMIFS(Movimientos!$C:$C,Movimientos!$A:$A,$B16,Movimientos!$D:$D,CONCATENATE("&lt;",HB$3),Movimientos!$C:$C,"&lt;0")</f>
        <v>0</v>
      </c>
      <c r="HC16" s="5">
        <f ca="1">SUMIFS(Movimientos!$C:$C,Movimientos!$A:$A,$B16,Movimientos!$D:$D,CONCATENATE("&lt;=",HC$3),Movimientos!$C:$C,"&gt;0")+SUMIFS(Movimientos!$C:$C,Movimientos!$A:$A,$B16,Movimientos!$D:$D,CONCATENATE("&lt;",HC$3),Movimientos!$C:$C,"&lt;0")</f>
        <v>0</v>
      </c>
      <c r="HD16" s="5">
        <f ca="1">SUMIFS(Movimientos!$C:$C,Movimientos!$A:$A,$B16,Movimientos!$D:$D,CONCATENATE("&lt;=",HD$3),Movimientos!$C:$C,"&gt;0")+SUMIFS(Movimientos!$C:$C,Movimientos!$A:$A,$B16,Movimientos!$D:$D,CONCATENATE("&lt;",HD$3),Movimientos!$C:$C,"&lt;0")</f>
        <v>0</v>
      </c>
      <c r="HE16" s="5">
        <f ca="1">SUMIFS(Movimientos!$C:$C,Movimientos!$A:$A,$B16,Movimientos!$D:$D,CONCATENATE("&lt;=",HE$3),Movimientos!$C:$C,"&gt;0")+SUMIFS(Movimientos!$C:$C,Movimientos!$A:$A,$B16,Movimientos!$D:$D,CONCATENATE("&lt;",HE$3),Movimientos!$C:$C,"&lt;0")</f>
        <v>0</v>
      </c>
      <c r="HF16" s="5">
        <f ca="1">SUMIFS(Movimientos!$C:$C,Movimientos!$A:$A,$B16,Movimientos!$D:$D,CONCATENATE("&lt;=",HF$3),Movimientos!$C:$C,"&gt;0")+SUMIFS(Movimientos!$C:$C,Movimientos!$A:$A,$B16,Movimientos!$D:$D,CONCATENATE("&lt;",HF$3),Movimientos!$C:$C,"&lt;0")</f>
        <v>0</v>
      </c>
      <c r="HG16" s="5">
        <f ca="1">SUMIFS(Movimientos!$C:$C,Movimientos!$A:$A,$B16,Movimientos!$D:$D,CONCATENATE("&lt;=",HG$3),Movimientos!$C:$C,"&gt;0")+SUMIFS(Movimientos!$C:$C,Movimientos!$A:$A,$B16,Movimientos!$D:$D,CONCATENATE("&lt;",HG$3),Movimientos!$C:$C,"&lt;0")</f>
        <v>0</v>
      </c>
      <c r="HH16" s="5">
        <f ca="1">SUMIFS(Movimientos!$C:$C,Movimientos!$A:$A,$B16,Movimientos!$D:$D,CONCATENATE("&lt;=",HH$3),Movimientos!$C:$C,"&gt;0")+SUMIFS(Movimientos!$C:$C,Movimientos!$A:$A,$B16,Movimientos!$D:$D,CONCATENATE("&lt;",HH$3),Movimientos!$C:$C,"&lt;0")</f>
        <v>0</v>
      </c>
      <c r="HI16" s="5">
        <f ca="1">SUMIFS(Movimientos!$C:$C,Movimientos!$A:$A,$B16,Movimientos!$D:$D,CONCATENATE("&lt;=",HI$3),Movimientos!$C:$C,"&gt;0")+SUMIFS(Movimientos!$C:$C,Movimientos!$A:$A,$B16,Movimientos!$D:$D,CONCATENATE("&lt;",HI$3),Movimientos!$C:$C,"&lt;0")</f>
        <v>0</v>
      </c>
      <c r="HJ16" s="5">
        <f ca="1">SUMIFS(Movimientos!$C:$C,Movimientos!$A:$A,$B16,Movimientos!$D:$D,CONCATENATE("&lt;=",HJ$3),Movimientos!$C:$C,"&gt;0")+SUMIFS(Movimientos!$C:$C,Movimientos!$A:$A,$B16,Movimientos!$D:$D,CONCATENATE("&lt;",HJ$3),Movimientos!$C:$C,"&lt;0")</f>
        <v>0</v>
      </c>
      <c r="HK16" s="5">
        <f ca="1">SUMIFS(Movimientos!$C:$C,Movimientos!$A:$A,$B16,Movimientos!$D:$D,CONCATENATE("&lt;=",HK$3),Movimientos!$C:$C,"&gt;0")+SUMIFS(Movimientos!$C:$C,Movimientos!$A:$A,$B16,Movimientos!$D:$D,CONCATENATE("&lt;",HK$3),Movimientos!$C:$C,"&lt;0")</f>
        <v>0</v>
      </c>
      <c r="HL16" s="5">
        <f ca="1">SUMIFS(Movimientos!$C:$C,Movimientos!$A:$A,$B16,Movimientos!$D:$D,CONCATENATE("&lt;=",HL$3),Movimientos!$C:$C,"&gt;0")+SUMIFS(Movimientos!$C:$C,Movimientos!$A:$A,$B16,Movimientos!$D:$D,CONCATENATE("&lt;",HL$3),Movimientos!$C:$C,"&lt;0")</f>
        <v>0</v>
      </c>
      <c r="HM16" s="5">
        <f ca="1">SUMIFS(Movimientos!$C:$C,Movimientos!$A:$A,$B16,Movimientos!$D:$D,CONCATENATE("&lt;=",HM$3),Movimientos!$C:$C,"&gt;0")+SUMIFS(Movimientos!$C:$C,Movimientos!$A:$A,$B16,Movimientos!$D:$D,CONCATENATE("&lt;",HM$3),Movimientos!$C:$C,"&lt;0")</f>
        <v>0</v>
      </c>
      <c r="HN16" s="5">
        <f ca="1">SUMIFS(Movimientos!$C:$C,Movimientos!$A:$A,$B16,Movimientos!$D:$D,CONCATENATE("&lt;=",HN$3),Movimientos!$C:$C,"&gt;0")+SUMIFS(Movimientos!$C:$C,Movimientos!$A:$A,$B16,Movimientos!$D:$D,CONCATENATE("&lt;",HN$3),Movimientos!$C:$C,"&lt;0")</f>
        <v>0</v>
      </c>
      <c r="HO16" s="5">
        <f ca="1">SUMIFS(Movimientos!$C:$C,Movimientos!$A:$A,$B16,Movimientos!$D:$D,CONCATENATE("&lt;=",HO$3),Movimientos!$C:$C,"&gt;0")+SUMIFS(Movimientos!$C:$C,Movimientos!$A:$A,$B16,Movimientos!$D:$D,CONCATENATE("&lt;",HO$3),Movimientos!$C:$C,"&lt;0")</f>
        <v>0</v>
      </c>
      <c r="HP16" s="5">
        <f ca="1">SUMIFS(Movimientos!$C:$C,Movimientos!$A:$A,$B16,Movimientos!$D:$D,CONCATENATE("&lt;=",HP$3),Movimientos!$C:$C,"&gt;0")+SUMIFS(Movimientos!$C:$C,Movimientos!$A:$A,$B16,Movimientos!$D:$D,CONCATENATE("&lt;",HP$3),Movimientos!$C:$C,"&lt;0")</f>
        <v>0</v>
      </c>
      <c r="HQ16" s="5">
        <f ca="1">SUMIFS(Movimientos!$C:$C,Movimientos!$A:$A,$B16,Movimientos!$D:$D,CONCATENATE("&lt;=",HQ$3),Movimientos!$C:$C,"&gt;0")+SUMIFS(Movimientos!$C:$C,Movimientos!$A:$A,$B16,Movimientos!$D:$D,CONCATENATE("&lt;",HQ$3),Movimientos!$C:$C,"&lt;0")</f>
        <v>0</v>
      </c>
      <c r="HR16" s="5">
        <f ca="1">SUMIFS(Movimientos!$C:$C,Movimientos!$A:$A,$B16,Movimientos!$D:$D,CONCATENATE("&lt;=",HR$3),Movimientos!$C:$C,"&gt;0")+SUMIFS(Movimientos!$C:$C,Movimientos!$A:$A,$B16,Movimientos!$D:$D,CONCATENATE("&lt;",HR$3),Movimientos!$C:$C,"&lt;0")</f>
        <v>0</v>
      </c>
      <c r="HS16" s="5">
        <f ca="1">SUMIFS(Movimientos!$C:$C,Movimientos!$A:$A,$B16,Movimientos!$D:$D,CONCATENATE("&lt;=",HS$3),Movimientos!$C:$C,"&gt;0")+SUMIFS(Movimientos!$C:$C,Movimientos!$A:$A,$B16,Movimientos!$D:$D,CONCATENATE("&lt;",HS$3),Movimientos!$C:$C,"&lt;0")</f>
        <v>0</v>
      </c>
      <c r="HT16" s="5">
        <f ca="1">SUMIFS(Movimientos!$C:$C,Movimientos!$A:$A,$B16,Movimientos!$D:$D,CONCATENATE("&lt;=",HT$3),Movimientos!$C:$C,"&gt;0")+SUMIFS(Movimientos!$C:$C,Movimientos!$A:$A,$B16,Movimientos!$D:$D,CONCATENATE("&lt;",HT$3),Movimientos!$C:$C,"&lt;0")</f>
        <v>0</v>
      </c>
      <c r="HU16" s="5">
        <f ca="1">SUMIFS(Movimientos!$C:$C,Movimientos!$A:$A,$B16,Movimientos!$D:$D,CONCATENATE("&lt;=",HU$3),Movimientos!$C:$C,"&gt;0")+SUMIFS(Movimientos!$C:$C,Movimientos!$A:$A,$B16,Movimientos!$D:$D,CONCATENATE("&lt;",HU$3),Movimientos!$C:$C,"&lt;0")</f>
        <v>0</v>
      </c>
      <c r="HV16" s="5">
        <f ca="1">SUMIFS(Movimientos!$C:$C,Movimientos!$A:$A,$B16,Movimientos!$D:$D,CONCATENATE("&lt;=",HV$3),Movimientos!$C:$C,"&gt;0")+SUMIFS(Movimientos!$C:$C,Movimientos!$A:$A,$B16,Movimientos!$D:$D,CONCATENATE("&lt;",HV$3),Movimientos!$C:$C,"&lt;0")</f>
        <v>0</v>
      </c>
      <c r="HW16" s="5">
        <f ca="1">SUMIFS(Movimientos!$C:$C,Movimientos!$A:$A,$B16,Movimientos!$D:$D,CONCATENATE("&lt;=",HW$3),Movimientos!$C:$C,"&gt;0")+SUMIFS(Movimientos!$C:$C,Movimientos!$A:$A,$B16,Movimientos!$D:$D,CONCATENATE("&lt;",HW$3),Movimientos!$C:$C,"&lt;0")</f>
        <v>0</v>
      </c>
      <c r="HX16" s="5">
        <f ca="1">SUMIFS(Movimientos!$C:$C,Movimientos!$A:$A,$B16,Movimientos!$D:$D,CONCATENATE("&lt;=",HX$3),Movimientos!$C:$C,"&gt;0")+SUMIFS(Movimientos!$C:$C,Movimientos!$A:$A,$B16,Movimientos!$D:$D,CONCATENATE("&lt;",HX$3),Movimientos!$C:$C,"&lt;0")</f>
        <v>0</v>
      </c>
      <c r="HY16" s="5">
        <f ca="1">SUMIFS(Movimientos!$C:$C,Movimientos!$A:$A,$B16,Movimientos!$D:$D,CONCATENATE("&lt;=",HY$3),Movimientos!$C:$C,"&gt;0")+SUMIFS(Movimientos!$C:$C,Movimientos!$A:$A,$B16,Movimientos!$D:$D,CONCATENATE("&lt;",HY$3),Movimientos!$C:$C,"&lt;0")</f>
        <v>0</v>
      </c>
      <c r="HZ16" s="5">
        <f ca="1">SUMIFS(Movimientos!$C:$C,Movimientos!$A:$A,$B16,Movimientos!$D:$D,CONCATENATE("&lt;=",HZ$3),Movimientos!$C:$C,"&gt;0")+SUMIFS(Movimientos!$C:$C,Movimientos!$A:$A,$B16,Movimientos!$D:$D,CONCATENATE("&lt;",HZ$3),Movimientos!$C:$C,"&lt;0")</f>
        <v>0</v>
      </c>
      <c r="IA16" s="5">
        <f ca="1">SUMIFS(Movimientos!$C:$C,Movimientos!$A:$A,$B16,Movimientos!$D:$D,CONCATENATE("&lt;=",IA$3),Movimientos!$C:$C,"&gt;0")+SUMIFS(Movimientos!$C:$C,Movimientos!$A:$A,$B16,Movimientos!$D:$D,CONCATENATE("&lt;",IA$3),Movimientos!$C:$C,"&lt;0")</f>
        <v>0</v>
      </c>
      <c r="IB16" s="5">
        <f ca="1">SUMIFS(Movimientos!$C:$C,Movimientos!$A:$A,$B16,Movimientos!$D:$D,CONCATENATE("&lt;=",IB$3),Movimientos!$C:$C,"&gt;0")+SUMIFS(Movimientos!$C:$C,Movimientos!$A:$A,$B16,Movimientos!$D:$D,CONCATENATE("&lt;",IB$3),Movimientos!$C:$C,"&lt;0")</f>
        <v>0</v>
      </c>
      <c r="IC16" s="5">
        <f ca="1">SUMIFS(Movimientos!$C:$C,Movimientos!$A:$A,$B16,Movimientos!$D:$D,CONCATENATE("&lt;=",IC$3),Movimientos!$C:$C,"&gt;0")+SUMIFS(Movimientos!$C:$C,Movimientos!$A:$A,$B16,Movimientos!$D:$D,CONCATENATE("&lt;",IC$3),Movimientos!$C:$C,"&lt;0")</f>
        <v>0</v>
      </c>
      <c r="ID16" s="5">
        <f ca="1">SUMIFS(Movimientos!$C:$C,Movimientos!$A:$A,$B16,Movimientos!$D:$D,CONCATENATE("&lt;=",ID$3),Movimientos!$C:$C,"&gt;0")+SUMIFS(Movimientos!$C:$C,Movimientos!$A:$A,$B16,Movimientos!$D:$D,CONCATENATE("&lt;",ID$3),Movimientos!$C:$C,"&lt;0")</f>
        <v>0</v>
      </c>
      <c r="IE16" s="5">
        <f ca="1">SUMIFS(Movimientos!$C:$C,Movimientos!$A:$A,$B16,Movimientos!$D:$D,CONCATENATE("&lt;=",IE$3),Movimientos!$C:$C,"&gt;0")+SUMIFS(Movimientos!$C:$C,Movimientos!$A:$A,$B16,Movimientos!$D:$D,CONCATENATE("&lt;",IE$3),Movimientos!$C:$C,"&lt;0")</f>
        <v>0</v>
      </c>
      <c r="IF16" s="5">
        <f ca="1">SUMIFS(Movimientos!$C:$C,Movimientos!$A:$A,$B16,Movimientos!$D:$D,CONCATENATE("&lt;=",IF$3),Movimientos!$C:$C,"&gt;0")+SUMIFS(Movimientos!$C:$C,Movimientos!$A:$A,$B16,Movimientos!$D:$D,CONCATENATE("&lt;",IF$3),Movimientos!$C:$C,"&lt;0")</f>
        <v>0</v>
      </c>
      <c r="IG16" s="5">
        <f ca="1">SUMIFS(Movimientos!$C:$C,Movimientos!$A:$A,$B16,Movimientos!$D:$D,CONCATENATE("&lt;=",IG$3),Movimientos!$C:$C,"&gt;0")+SUMIFS(Movimientos!$C:$C,Movimientos!$A:$A,$B16,Movimientos!$D:$D,CONCATENATE("&lt;",IG$3),Movimientos!$C:$C,"&lt;0")</f>
        <v>0</v>
      </c>
      <c r="IH16" s="5">
        <f ca="1">SUMIFS(Movimientos!$C:$C,Movimientos!$A:$A,$B16,Movimientos!$D:$D,CONCATENATE("&lt;=",IH$3),Movimientos!$C:$C,"&gt;0")+SUMIFS(Movimientos!$C:$C,Movimientos!$A:$A,$B16,Movimientos!$D:$D,CONCATENATE("&lt;",IH$3),Movimientos!$C:$C,"&lt;0")</f>
        <v>0</v>
      </c>
      <c r="II16" s="5">
        <f ca="1">SUMIFS(Movimientos!$C:$C,Movimientos!$A:$A,$B16,Movimientos!$D:$D,CONCATENATE("&lt;=",II$3),Movimientos!$C:$C,"&gt;0")+SUMIFS(Movimientos!$C:$C,Movimientos!$A:$A,$B16,Movimientos!$D:$D,CONCATENATE("&lt;",II$3),Movimientos!$C:$C,"&lt;0")</f>
        <v>0</v>
      </c>
      <c r="IJ16" s="5">
        <f ca="1">SUMIFS(Movimientos!$C:$C,Movimientos!$A:$A,$B16,Movimientos!$D:$D,CONCATENATE("&lt;=",IJ$3),Movimientos!$C:$C,"&gt;0")+SUMIFS(Movimientos!$C:$C,Movimientos!$A:$A,$B16,Movimientos!$D:$D,CONCATENATE("&lt;",IJ$3),Movimientos!$C:$C,"&lt;0")</f>
        <v>0</v>
      </c>
      <c r="IK16" s="5">
        <f ca="1">SUMIFS(Movimientos!$C:$C,Movimientos!$A:$A,$B16,Movimientos!$D:$D,CONCATENATE("&lt;=",IK$3),Movimientos!$C:$C,"&gt;0")+SUMIFS(Movimientos!$C:$C,Movimientos!$A:$A,$B16,Movimientos!$D:$D,CONCATENATE("&lt;",IK$3),Movimientos!$C:$C,"&lt;0")</f>
        <v>0</v>
      </c>
      <c r="IL16" s="5">
        <f ca="1">SUMIFS(Movimientos!$C:$C,Movimientos!$A:$A,$B16,Movimientos!$D:$D,CONCATENATE("&lt;=",IL$3),Movimientos!$C:$C,"&gt;0")+SUMIFS(Movimientos!$C:$C,Movimientos!$A:$A,$B16,Movimientos!$D:$D,CONCATENATE("&lt;",IL$3),Movimientos!$C:$C,"&lt;0")</f>
        <v>0</v>
      </c>
      <c r="IM16" s="5">
        <f ca="1">SUMIFS(Movimientos!$C:$C,Movimientos!$A:$A,$B16,Movimientos!$D:$D,CONCATENATE("&lt;=",IM$3),Movimientos!$C:$C,"&gt;0")+SUMIFS(Movimientos!$C:$C,Movimientos!$A:$A,$B16,Movimientos!$D:$D,CONCATENATE("&lt;",IM$3),Movimientos!$C:$C,"&lt;0")</f>
        <v>0</v>
      </c>
      <c r="IN16" s="5">
        <f ca="1">SUMIFS(Movimientos!$C:$C,Movimientos!$A:$A,$B16,Movimientos!$D:$D,CONCATENATE("&lt;=",IN$3),Movimientos!$C:$C,"&gt;0")+SUMIFS(Movimientos!$C:$C,Movimientos!$A:$A,$B16,Movimientos!$D:$D,CONCATENATE("&lt;",IN$3),Movimientos!$C:$C,"&lt;0")</f>
        <v>0</v>
      </c>
      <c r="IO16" s="5">
        <f ca="1">SUMIFS(Movimientos!$C:$C,Movimientos!$A:$A,$B16,Movimientos!$D:$D,CONCATENATE("&lt;=",IO$3),Movimientos!$C:$C,"&gt;0")+SUMIFS(Movimientos!$C:$C,Movimientos!$A:$A,$B16,Movimientos!$D:$D,CONCATENATE("&lt;",IO$3),Movimientos!$C:$C,"&lt;0")</f>
        <v>0</v>
      </c>
      <c r="IP16" s="5">
        <f ca="1">SUMIFS(Movimientos!$C:$C,Movimientos!$A:$A,$B16,Movimientos!$D:$D,CONCATENATE("&lt;=",IP$3),Movimientos!$C:$C,"&gt;0")+SUMIFS(Movimientos!$C:$C,Movimientos!$A:$A,$B16,Movimientos!$D:$D,CONCATENATE("&lt;",IP$3),Movimientos!$C:$C,"&lt;0")</f>
        <v>0</v>
      </c>
      <c r="IQ16" s="5">
        <f ca="1">SUMIFS(Movimientos!$C:$C,Movimientos!$A:$A,$B16,Movimientos!$D:$D,CONCATENATE("&lt;=",IQ$3),Movimientos!$C:$C,"&gt;0")+SUMIFS(Movimientos!$C:$C,Movimientos!$A:$A,$B16,Movimientos!$D:$D,CONCATENATE("&lt;",IQ$3),Movimientos!$C:$C,"&lt;0")</f>
        <v>0</v>
      </c>
      <c r="IR16" s="5">
        <f ca="1">SUMIFS(Movimientos!$C:$C,Movimientos!$A:$A,$B16,Movimientos!$D:$D,CONCATENATE("&lt;=",IR$3),Movimientos!$C:$C,"&gt;0")+SUMIFS(Movimientos!$C:$C,Movimientos!$A:$A,$B16,Movimientos!$D:$D,CONCATENATE("&lt;",IR$3),Movimientos!$C:$C,"&lt;0")</f>
        <v>0</v>
      </c>
      <c r="IS16" s="5">
        <f ca="1">SUMIFS(Movimientos!$C:$C,Movimientos!$A:$A,$B16,Movimientos!$D:$D,CONCATENATE("&lt;=",IS$3),Movimientos!$C:$C,"&gt;0")+SUMIFS(Movimientos!$C:$C,Movimientos!$A:$A,$B16,Movimientos!$D:$D,CONCATENATE("&lt;",IS$3),Movimientos!$C:$C,"&lt;0")</f>
        <v>0</v>
      </c>
      <c r="IT16" s="5">
        <f ca="1">SUMIFS(Movimientos!$C:$C,Movimientos!$A:$A,$B16,Movimientos!$D:$D,CONCATENATE("&lt;=",IT$3),Movimientos!$C:$C,"&gt;0")+SUMIFS(Movimientos!$C:$C,Movimientos!$A:$A,$B16,Movimientos!$D:$D,CONCATENATE("&lt;",IT$3),Movimientos!$C:$C,"&lt;0")</f>
        <v>0</v>
      </c>
      <c r="IU16" s="5">
        <f ca="1">SUMIFS(Movimientos!$C:$C,Movimientos!$A:$A,$B16,Movimientos!$D:$D,CONCATENATE("&lt;=",IU$3),Movimientos!$C:$C,"&gt;0")+SUMIFS(Movimientos!$C:$C,Movimientos!$A:$A,$B16,Movimientos!$D:$D,CONCATENATE("&lt;",IU$3),Movimientos!$C:$C,"&lt;0")</f>
        <v>0</v>
      </c>
      <c r="IV16" s="5">
        <f ca="1">SUMIFS(Movimientos!$C:$C,Movimientos!$A:$A,$B16,Movimientos!$D:$D,CONCATENATE("&lt;=",IV$3),Movimientos!$C:$C,"&gt;0")+SUMIFS(Movimientos!$C:$C,Movimientos!$A:$A,$B16,Movimientos!$D:$D,CONCATENATE("&lt;",IV$3),Movimientos!$C:$C,"&lt;0")</f>
        <v>0</v>
      </c>
      <c r="IW16" s="5">
        <f ca="1">SUMIFS(Movimientos!$C:$C,Movimientos!$A:$A,$B16,Movimientos!$D:$D,CONCATENATE("&lt;=",IW$3),Movimientos!$C:$C,"&gt;0")+SUMIFS(Movimientos!$C:$C,Movimientos!$A:$A,$B16,Movimientos!$D:$D,CONCATENATE("&lt;",IW$3),Movimientos!$C:$C,"&lt;0")</f>
        <v>0</v>
      </c>
      <c r="IX16" s="5">
        <f ca="1">SUMIFS(Movimientos!$C:$C,Movimientos!$A:$A,$B16,Movimientos!$D:$D,CONCATENATE("&lt;=",IX$3),Movimientos!$C:$C,"&gt;0")+SUMIFS(Movimientos!$C:$C,Movimientos!$A:$A,$B16,Movimientos!$D:$D,CONCATENATE("&lt;",IX$3),Movimientos!$C:$C,"&lt;0")</f>
        <v>0</v>
      </c>
      <c r="IY16" s="5">
        <f ca="1">SUMIFS(Movimientos!$C:$C,Movimientos!$A:$A,$B16,Movimientos!$D:$D,CONCATENATE("&lt;=",IY$3),Movimientos!$C:$C,"&gt;0")+SUMIFS(Movimientos!$C:$C,Movimientos!$A:$A,$B16,Movimientos!$D:$D,CONCATENATE("&lt;",IY$3),Movimientos!$C:$C,"&lt;0")</f>
        <v>0</v>
      </c>
      <c r="IZ16" s="5">
        <f ca="1">SUMIFS(Movimientos!$C:$C,Movimientos!$A:$A,$B16,Movimientos!$D:$D,CONCATENATE("&lt;=",IZ$3),Movimientos!$C:$C,"&gt;0")+SUMIFS(Movimientos!$C:$C,Movimientos!$A:$A,$B16,Movimientos!$D:$D,CONCATENATE("&lt;",IZ$3),Movimientos!$C:$C,"&lt;0")</f>
        <v>0</v>
      </c>
      <c r="JA16" s="5">
        <f ca="1">SUMIFS(Movimientos!$C:$C,Movimientos!$A:$A,$B16,Movimientos!$D:$D,CONCATENATE("&lt;=",JA$3),Movimientos!$C:$C,"&gt;0")+SUMIFS(Movimientos!$C:$C,Movimientos!$A:$A,$B16,Movimientos!$D:$D,CONCATENATE("&lt;",JA$3),Movimientos!$C:$C,"&lt;0")</f>
        <v>0</v>
      </c>
      <c r="JB16" s="5">
        <f ca="1">SUMIFS(Movimientos!$C:$C,Movimientos!$A:$A,$B16,Movimientos!$D:$D,CONCATENATE("&lt;=",JB$3),Movimientos!$C:$C,"&gt;0")+SUMIFS(Movimientos!$C:$C,Movimientos!$A:$A,$B16,Movimientos!$D:$D,CONCATENATE("&lt;",JB$3),Movimientos!$C:$C,"&lt;0")</f>
        <v>0</v>
      </c>
      <c r="JC16" s="5">
        <f ca="1">SUMIFS(Movimientos!$C:$C,Movimientos!$A:$A,$B16,Movimientos!$D:$D,CONCATENATE("&lt;=",JC$3),Movimientos!$C:$C,"&gt;0")+SUMIFS(Movimientos!$C:$C,Movimientos!$A:$A,$B16,Movimientos!$D:$D,CONCATENATE("&lt;",JC$3),Movimientos!$C:$C,"&lt;0")</f>
        <v>0</v>
      </c>
      <c r="JD16" s="5">
        <f ca="1">SUMIFS(Movimientos!$C:$C,Movimientos!$A:$A,$B16,Movimientos!$D:$D,CONCATENATE("&lt;=",JD$3),Movimientos!$C:$C,"&gt;0")+SUMIFS(Movimientos!$C:$C,Movimientos!$A:$A,$B16,Movimientos!$D:$D,CONCATENATE("&lt;",JD$3),Movimientos!$C:$C,"&lt;0")</f>
        <v>0</v>
      </c>
      <c r="JE16" s="5">
        <f ca="1">SUMIFS(Movimientos!$C:$C,Movimientos!$A:$A,$B16,Movimientos!$D:$D,CONCATENATE("&lt;=",JE$3),Movimientos!$C:$C,"&gt;0")+SUMIFS(Movimientos!$C:$C,Movimientos!$A:$A,$B16,Movimientos!$D:$D,CONCATENATE("&lt;",JE$3),Movimientos!$C:$C,"&lt;0")</f>
        <v>0</v>
      </c>
      <c r="JF16" s="5">
        <f ca="1">SUMIFS(Movimientos!$C:$C,Movimientos!$A:$A,$B16,Movimientos!$D:$D,CONCATENATE("&lt;=",JF$3),Movimientos!$C:$C,"&gt;0")+SUMIFS(Movimientos!$C:$C,Movimientos!$A:$A,$B16,Movimientos!$D:$D,CONCATENATE("&lt;",JF$3),Movimientos!$C:$C,"&lt;0")</f>
        <v>0</v>
      </c>
      <c r="JG16" s="5">
        <f ca="1">SUMIFS(Movimientos!$C:$C,Movimientos!$A:$A,$B16,Movimientos!$D:$D,CONCATENATE("&lt;=",JG$3),Movimientos!$C:$C,"&gt;0")+SUMIFS(Movimientos!$C:$C,Movimientos!$A:$A,$B16,Movimientos!$D:$D,CONCATENATE("&lt;",JG$3),Movimientos!$C:$C,"&lt;0")</f>
        <v>0</v>
      </c>
      <c r="JH16" s="5">
        <f ca="1">SUMIFS(Movimientos!$C:$C,Movimientos!$A:$A,$B16,Movimientos!$D:$D,CONCATENATE("&lt;=",JH$3),Movimientos!$C:$C,"&gt;0")+SUMIFS(Movimientos!$C:$C,Movimientos!$A:$A,$B16,Movimientos!$D:$D,CONCATENATE("&lt;",JH$3),Movimientos!$C:$C,"&lt;0")</f>
        <v>0</v>
      </c>
      <c r="JI16" s="5">
        <f ca="1">SUMIFS(Movimientos!$C:$C,Movimientos!$A:$A,$B16,Movimientos!$D:$D,CONCATENATE("&lt;=",JI$3),Movimientos!$C:$C,"&gt;0")+SUMIFS(Movimientos!$C:$C,Movimientos!$A:$A,$B16,Movimientos!$D:$D,CONCATENATE("&lt;",JI$3),Movimientos!$C:$C,"&lt;0")</f>
        <v>0</v>
      </c>
      <c r="JJ16" s="5">
        <f ca="1">SUMIFS(Movimientos!$C:$C,Movimientos!$A:$A,$B16,Movimientos!$D:$D,CONCATENATE("&lt;=",JJ$3),Movimientos!$C:$C,"&gt;0")+SUMIFS(Movimientos!$C:$C,Movimientos!$A:$A,$B16,Movimientos!$D:$D,CONCATENATE("&lt;",JJ$3),Movimientos!$C:$C,"&lt;0")</f>
        <v>0</v>
      </c>
      <c r="JK16" s="5">
        <f ca="1">SUMIFS(Movimientos!$C:$C,Movimientos!$A:$A,$B16,Movimientos!$D:$D,CONCATENATE("&lt;=",JK$3),Movimientos!$C:$C,"&gt;0")+SUMIFS(Movimientos!$C:$C,Movimientos!$A:$A,$B16,Movimientos!$D:$D,CONCATENATE("&lt;",JK$3),Movimientos!$C:$C,"&lt;0")</f>
        <v>0</v>
      </c>
      <c r="JL16" s="5">
        <f ca="1">SUMIFS(Movimientos!$C:$C,Movimientos!$A:$A,$B16,Movimientos!$D:$D,CONCATENATE("&lt;=",JL$3),Movimientos!$C:$C,"&gt;0")+SUMIFS(Movimientos!$C:$C,Movimientos!$A:$A,$B16,Movimientos!$D:$D,CONCATENATE("&lt;",JL$3),Movimientos!$C:$C,"&lt;0")</f>
        <v>0</v>
      </c>
      <c r="JM16" s="5">
        <f ca="1">SUMIFS(Movimientos!$C:$C,Movimientos!$A:$A,$B16,Movimientos!$D:$D,CONCATENATE("&lt;=",JM$3),Movimientos!$C:$C,"&gt;0")+SUMIFS(Movimientos!$C:$C,Movimientos!$A:$A,$B16,Movimientos!$D:$D,CONCATENATE("&lt;",JM$3),Movimientos!$C:$C,"&lt;0")</f>
        <v>0</v>
      </c>
      <c r="JN16" s="5">
        <f ca="1">SUMIFS(Movimientos!$C:$C,Movimientos!$A:$A,$B16,Movimientos!$D:$D,CONCATENATE("&lt;=",JN$3),Movimientos!$C:$C,"&gt;0")+SUMIFS(Movimientos!$C:$C,Movimientos!$A:$A,$B16,Movimientos!$D:$D,CONCATENATE("&lt;",JN$3),Movimientos!$C:$C,"&lt;0")</f>
        <v>0</v>
      </c>
      <c r="JO16" s="5">
        <f ca="1">SUMIFS(Movimientos!$C:$C,Movimientos!$A:$A,$B16,Movimientos!$D:$D,CONCATENATE("&lt;=",JO$3),Movimientos!$C:$C,"&gt;0")+SUMIFS(Movimientos!$C:$C,Movimientos!$A:$A,$B16,Movimientos!$D:$D,CONCATENATE("&lt;",JO$3),Movimientos!$C:$C,"&lt;0")</f>
        <v>0</v>
      </c>
      <c r="JP16" s="5">
        <f ca="1">SUMIFS(Movimientos!$C:$C,Movimientos!$A:$A,$B16,Movimientos!$D:$D,CONCATENATE("&lt;=",JP$3),Movimientos!$C:$C,"&gt;0")+SUMIFS(Movimientos!$C:$C,Movimientos!$A:$A,$B16,Movimientos!$D:$D,CONCATENATE("&lt;",JP$3),Movimientos!$C:$C,"&lt;0")</f>
        <v>0</v>
      </c>
      <c r="JQ16" s="5">
        <f ca="1">SUMIFS(Movimientos!$C:$C,Movimientos!$A:$A,$B16,Movimientos!$D:$D,CONCATENATE("&lt;=",JQ$3),Movimientos!$C:$C,"&gt;0")+SUMIFS(Movimientos!$C:$C,Movimientos!$A:$A,$B16,Movimientos!$D:$D,CONCATENATE("&lt;",JQ$3),Movimientos!$C:$C,"&lt;0")</f>
        <v>0</v>
      </c>
      <c r="JR16" s="5">
        <f ca="1">SUMIFS(Movimientos!$C:$C,Movimientos!$A:$A,$B16,Movimientos!$D:$D,CONCATENATE("&lt;=",JR$3),Movimientos!$C:$C,"&gt;0")+SUMIFS(Movimientos!$C:$C,Movimientos!$A:$A,$B16,Movimientos!$D:$D,CONCATENATE("&lt;",JR$3),Movimientos!$C:$C,"&lt;0")</f>
        <v>0</v>
      </c>
      <c r="JS16" s="5">
        <f ca="1">SUMIFS(Movimientos!$C:$C,Movimientos!$A:$A,$B16,Movimientos!$D:$D,CONCATENATE("&lt;=",JS$3),Movimientos!$C:$C,"&gt;0")+SUMIFS(Movimientos!$C:$C,Movimientos!$A:$A,$B16,Movimientos!$D:$D,CONCATENATE("&lt;",JS$3),Movimientos!$C:$C,"&lt;0")</f>
        <v>0</v>
      </c>
      <c r="JT16" s="5">
        <f ca="1">SUMIFS(Movimientos!$C:$C,Movimientos!$A:$A,$B16,Movimientos!$D:$D,CONCATENATE("&lt;=",JT$3),Movimientos!$C:$C,"&gt;0")+SUMIFS(Movimientos!$C:$C,Movimientos!$A:$A,$B16,Movimientos!$D:$D,CONCATENATE("&lt;",JT$3),Movimientos!$C:$C,"&lt;0")</f>
        <v>0</v>
      </c>
      <c r="JU16" s="5">
        <f ca="1">SUMIFS(Movimientos!$C:$C,Movimientos!$A:$A,$B16,Movimientos!$D:$D,CONCATENATE("&lt;=",JU$3),Movimientos!$C:$C,"&gt;0")+SUMIFS(Movimientos!$C:$C,Movimientos!$A:$A,$B16,Movimientos!$D:$D,CONCATENATE("&lt;",JU$3),Movimientos!$C:$C,"&lt;0")</f>
        <v>0</v>
      </c>
      <c r="JV16" s="5">
        <f ca="1">SUMIFS(Movimientos!$C:$C,Movimientos!$A:$A,$B16,Movimientos!$D:$D,CONCATENATE("&lt;=",JV$3),Movimientos!$C:$C,"&gt;0")+SUMIFS(Movimientos!$C:$C,Movimientos!$A:$A,$B16,Movimientos!$D:$D,CONCATENATE("&lt;",JV$3),Movimientos!$C:$C,"&lt;0")</f>
        <v>0</v>
      </c>
      <c r="JW16" s="5">
        <f ca="1">SUMIFS(Movimientos!$C:$C,Movimientos!$A:$A,$B16,Movimientos!$D:$D,CONCATENATE("&lt;=",JW$3),Movimientos!$C:$C,"&gt;0")+SUMIFS(Movimientos!$C:$C,Movimientos!$A:$A,$B16,Movimientos!$D:$D,CONCATENATE("&lt;",JW$3),Movimientos!$C:$C,"&lt;0")</f>
        <v>0</v>
      </c>
      <c r="JX16" s="5">
        <f ca="1">SUMIFS(Movimientos!$C:$C,Movimientos!$A:$A,$B16,Movimientos!$D:$D,CONCATENATE("&lt;=",JX$3),Movimientos!$C:$C,"&gt;0")+SUMIFS(Movimientos!$C:$C,Movimientos!$A:$A,$B16,Movimientos!$D:$D,CONCATENATE("&lt;",JX$3),Movimientos!$C:$C,"&lt;0")</f>
        <v>0</v>
      </c>
      <c r="JY16" s="5">
        <f ca="1">SUMIFS(Movimientos!$C:$C,Movimientos!$A:$A,$B16,Movimientos!$D:$D,CONCATENATE("&lt;=",JY$3),Movimientos!$C:$C,"&gt;0")+SUMIFS(Movimientos!$C:$C,Movimientos!$A:$A,$B16,Movimientos!$D:$D,CONCATENATE("&lt;",JY$3),Movimientos!$C:$C,"&lt;0")</f>
        <v>0</v>
      </c>
      <c r="JZ16" s="5">
        <f ca="1">SUMIFS(Movimientos!$C:$C,Movimientos!$A:$A,$B16,Movimientos!$D:$D,CONCATENATE("&lt;=",JZ$3),Movimientos!$C:$C,"&gt;0")+SUMIFS(Movimientos!$C:$C,Movimientos!$A:$A,$B16,Movimientos!$D:$D,CONCATENATE("&lt;",JZ$3),Movimientos!$C:$C,"&lt;0")</f>
        <v>0</v>
      </c>
      <c r="KA16" s="5">
        <f ca="1">SUMIFS(Movimientos!$C:$C,Movimientos!$A:$A,$B16,Movimientos!$D:$D,CONCATENATE("&lt;=",KA$3),Movimientos!$C:$C,"&gt;0")+SUMIFS(Movimientos!$C:$C,Movimientos!$A:$A,$B16,Movimientos!$D:$D,CONCATENATE("&lt;",KA$3),Movimientos!$C:$C,"&lt;0")</f>
        <v>0</v>
      </c>
      <c r="KB16" s="5">
        <f ca="1">SUMIFS(Movimientos!$C:$C,Movimientos!$A:$A,$B16,Movimientos!$D:$D,CONCATENATE("&lt;=",KB$3),Movimientos!$C:$C,"&gt;0")+SUMIFS(Movimientos!$C:$C,Movimientos!$A:$A,$B16,Movimientos!$D:$D,CONCATENATE("&lt;",KB$3),Movimientos!$C:$C,"&lt;0")</f>
        <v>0</v>
      </c>
      <c r="KC16" s="5">
        <f ca="1">SUMIFS(Movimientos!$C:$C,Movimientos!$A:$A,$B16,Movimientos!$D:$D,CONCATENATE("&lt;=",KC$3),Movimientos!$C:$C,"&gt;0")+SUMIFS(Movimientos!$C:$C,Movimientos!$A:$A,$B16,Movimientos!$D:$D,CONCATENATE("&lt;",KC$3),Movimientos!$C:$C,"&lt;0")</f>
        <v>0</v>
      </c>
      <c r="KD16" s="5">
        <f ca="1">SUMIFS(Movimientos!$C:$C,Movimientos!$A:$A,$B16,Movimientos!$D:$D,CONCATENATE("&lt;=",KD$3),Movimientos!$C:$C,"&gt;0")+SUMIFS(Movimientos!$C:$C,Movimientos!$A:$A,$B16,Movimientos!$D:$D,CONCATENATE("&lt;",KD$3),Movimientos!$C:$C,"&lt;0")</f>
        <v>0</v>
      </c>
      <c r="KE16" s="5">
        <f ca="1">SUMIFS(Movimientos!$C:$C,Movimientos!$A:$A,$B16,Movimientos!$D:$D,CONCATENATE("&lt;=",KE$3),Movimientos!$C:$C,"&gt;0")+SUMIFS(Movimientos!$C:$C,Movimientos!$A:$A,$B16,Movimientos!$D:$D,CONCATENATE("&lt;",KE$3),Movimientos!$C:$C,"&lt;0")</f>
        <v>0</v>
      </c>
      <c r="KF16" s="5">
        <f ca="1">SUMIFS(Movimientos!$C:$C,Movimientos!$A:$A,$B16,Movimientos!$D:$D,CONCATENATE("&lt;=",KF$3),Movimientos!$C:$C,"&gt;0")+SUMIFS(Movimientos!$C:$C,Movimientos!$A:$A,$B16,Movimientos!$D:$D,CONCATENATE("&lt;",KF$3),Movimientos!$C:$C,"&lt;0")</f>
        <v>0</v>
      </c>
      <c r="KG16" s="5">
        <f ca="1">SUMIFS(Movimientos!$C:$C,Movimientos!$A:$A,$B16,Movimientos!$D:$D,CONCATENATE("&lt;=",KG$3),Movimientos!$C:$C,"&gt;0")+SUMIFS(Movimientos!$C:$C,Movimientos!$A:$A,$B16,Movimientos!$D:$D,CONCATENATE("&lt;",KG$3),Movimientos!$C:$C,"&lt;0")</f>
        <v>0</v>
      </c>
      <c r="KH16" s="5">
        <f ca="1">SUMIFS(Movimientos!$C:$C,Movimientos!$A:$A,$B16,Movimientos!$D:$D,CONCATENATE("&lt;=",KH$3),Movimientos!$C:$C,"&gt;0")+SUMIFS(Movimientos!$C:$C,Movimientos!$A:$A,$B16,Movimientos!$D:$D,CONCATENATE("&lt;",KH$3),Movimientos!$C:$C,"&lt;0")</f>
        <v>0</v>
      </c>
      <c r="KI16" s="5">
        <f ca="1">SUMIFS(Movimientos!$C:$C,Movimientos!$A:$A,$B16,Movimientos!$D:$D,CONCATENATE("&lt;=",KI$3),Movimientos!$C:$C,"&gt;0")+SUMIFS(Movimientos!$C:$C,Movimientos!$A:$A,$B16,Movimientos!$D:$D,CONCATENATE("&lt;",KI$3),Movimientos!$C:$C,"&lt;0")</f>
        <v>0</v>
      </c>
      <c r="KJ16" s="5">
        <f ca="1">SUMIFS(Movimientos!$C:$C,Movimientos!$A:$A,$B16,Movimientos!$D:$D,CONCATENATE("&lt;=",KJ$3),Movimientos!$C:$C,"&gt;0")+SUMIFS(Movimientos!$C:$C,Movimientos!$A:$A,$B16,Movimientos!$D:$D,CONCATENATE("&lt;",KJ$3),Movimientos!$C:$C,"&lt;0")</f>
        <v>0</v>
      </c>
      <c r="KK16" s="5">
        <f ca="1">SUMIFS(Movimientos!$C:$C,Movimientos!$A:$A,$B16,Movimientos!$D:$D,CONCATENATE("&lt;=",KK$3),Movimientos!$C:$C,"&gt;0")+SUMIFS(Movimientos!$C:$C,Movimientos!$A:$A,$B16,Movimientos!$D:$D,CONCATENATE("&lt;",KK$3),Movimientos!$C:$C,"&lt;0")</f>
        <v>0</v>
      </c>
      <c r="KL16" s="5">
        <f ca="1">SUMIFS(Movimientos!$C:$C,Movimientos!$A:$A,$B16,Movimientos!$D:$D,CONCATENATE("&lt;=",KL$3),Movimientos!$C:$C,"&gt;0")+SUMIFS(Movimientos!$C:$C,Movimientos!$A:$A,$B16,Movimientos!$D:$D,CONCATENATE("&lt;",KL$3),Movimientos!$C:$C,"&lt;0")</f>
        <v>0</v>
      </c>
      <c r="KM16" s="5">
        <f ca="1">SUMIFS(Movimientos!$C:$C,Movimientos!$A:$A,$B16,Movimientos!$D:$D,CONCATENATE("&lt;=",KM$3),Movimientos!$C:$C,"&gt;0")+SUMIFS(Movimientos!$C:$C,Movimientos!$A:$A,$B16,Movimientos!$D:$D,CONCATENATE("&lt;",KM$3),Movimientos!$C:$C,"&lt;0")</f>
        <v>0</v>
      </c>
      <c r="KN16" s="5">
        <f ca="1">SUMIFS(Movimientos!$C:$C,Movimientos!$A:$A,$B16,Movimientos!$D:$D,CONCATENATE("&lt;=",KN$3),Movimientos!$C:$C,"&gt;0")+SUMIFS(Movimientos!$C:$C,Movimientos!$A:$A,$B16,Movimientos!$D:$D,CONCATENATE("&lt;",KN$3),Movimientos!$C:$C,"&lt;0")</f>
        <v>0</v>
      </c>
      <c r="KO16" s="5">
        <f ca="1">SUMIFS(Movimientos!$C:$C,Movimientos!$A:$A,$B16,Movimientos!$D:$D,CONCATENATE("&lt;=",KO$3),Movimientos!$C:$C,"&gt;0")+SUMIFS(Movimientos!$C:$C,Movimientos!$A:$A,$B16,Movimientos!$D:$D,CONCATENATE("&lt;",KO$3),Movimientos!$C:$C,"&lt;0")</f>
        <v>0</v>
      </c>
      <c r="KP16" s="5">
        <f ca="1">SUMIFS(Movimientos!$C:$C,Movimientos!$A:$A,$B16,Movimientos!$D:$D,CONCATENATE("&lt;=",KP$3),Movimientos!$C:$C,"&gt;0")+SUMIFS(Movimientos!$C:$C,Movimientos!$A:$A,$B16,Movimientos!$D:$D,CONCATENATE("&lt;",KP$3),Movimientos!$C:$C,"&lt;0")</f>
        <v>0</v>
      </c>
      <c r="KQ16" s="5">
        <f ca="1">SUMIFS(Movimientos!$C:$C,Movimientos!$A:$A,$B16,Movimientos!$D:$D,CONCATENATE("&lt;=",KQ$3),Movimientos!$C:$C,"&gt;0")+SUMIFS(Movimientos!$C:$C,Movimientos!$A:$A,$B16,Movimientos!$D:$D,CONCATENATE("&lt;",KQ$3),Movimientos!$C:$C,"&lt;0")</f>
        <v>0</v>
      </c>
      <c r="KR16" s="5">
        <f ca="1">SUMIFS(Movimientos!$C:$C,Movimientos!$A:$A,$B16,Movimientos!$D:$D,CONCATENATE("&lt;=",KR$3),Movimientos!$C:$C,"&gt;0")+SUMIFS(Movimientos!$C:$C,Movimientos!$A:$A,$B16,Movimientos!$D:$D,CONCATENATE("&lt;",KR$3),Movimientos!$C:$C,"&lt;0")</f>
        <v>0</v>
      </c>
      <c r="KS16" s="5">
        <f ca="1">SUMIFS(Movimientos!$C:$C,Movimientos!$A:$A,$B16,Movimientos!$D:$D,CONCATENATE("&lt;=",KS$3),Movimientos!$C:$C,"&gt;0")+SUMIFS(Movimientos!$C:$C,Movimientos!$A:$A,$B16,Movimientos!$D:$D,CONCATENATE("&lt;",KS$3),Movimientos!$C:$C,"&lt;0")</f>
        <v>0</v>
      </c>
      <c r="KT16" s="5">
        <f ca="1">SUMIFS(Movimientos!$C:$C,Movimientos!$A:$A,$B16,Movimientos!$D:$D,CONCATENATE("&lt;=",KT$3),Movimientos!$C:$C,"&gt;0")+SUMIFS(Movimientos!$C:$C,Movimientos!$A:$A,$B16,Movimientos!$D:$D,CONCATENATE("&lt;",KT$3),Movimientos!$C:$C,"&lt;0")</f>
        <v>0</v>
      </c>
      <c r="KU16" s="5">
        <f ca="1">SUMIFS(Movimientos!$C:$C,Movimientos!$A:$A,$B16,Movimientos!$D:$D,CONCATENATE("&lt;=",KU$3),Movimientos!$C:$C,"&gt;0")+SUMIFS(Movimientos!$C:$C,Movimientos!$A:$A,$B16,Movimientos!$D:$D,CONCATENATE("&lt;",KU$3),Movimientos!$C:$C,"&lt;0")</f>
        <v>0</v>
      </c>
      <c r="KV16" s="5">
        <f ca="1">SUMIFS(Movimientos!$C:$C,Movimientos!$A:$A,$B16,Movimientos!$D:$D,CONCATENATE("&lt;=",KV$3),Movimientos!$C:$C,"&gt;0")+SUMIFS(Movimientos!$C:$C,Movimientos!$A:$A,$B16,Movimientos!$D:$D,CONCATENATE("&lt;",KV$3),Movimientos!$C:$C,"&lt;0")</f>
        <v>0</v>
      </c>
      <c r="KW16" s="5">
        <f ca="1">SUMIFS(Movimientos!$C:$C,Movimientos!$A:$A,$B16,Movimientos!$D:$D,CONCATENATE("&lt;=",KW$3),Movimientos!$C:$C,"&gt;0")+SUMIFS(Movimientos!$C:$C,Movimientos!$A:$A,$B16,Movimientos!$D:$D,CONCATENATE("&lt;",KW$3),Movimientos!$C:$C,"&lt;0")</f>
        <v>0</v>
      </c>
      <c r="KX16" s="5">
        <f ca="1">SUMIFS(Movimientos!$C:$C,Movimientos!$A:$A,$B16,Movimientos!$D:$D,CONCATENATE("&lt;=",KX$3),Movimientos!$C:$C,"&gt;0")+SUMIFS(Movimientos!$C:$C,Movimientos!$A:$A,$B16,Movimientos!$D:$D,CONCATENATE("&lt;",KX$3),Movimientos!$C:$C,"&lt;0")</f>
        <v>0</v>
      </c>
      <c r="KY16" s="5">
        <f ca="1">SUMIFS(Movimientos!$C:$C,Movimientos!$A:$A,$B16,Movimientos!$D:$D,CONCATENATE("&lt;=",KY$3),Movimientos!$C:$C,"&gt;0")+SUMIFS(Movimientos!$C:$C,Movimientos!$A:$A,$B16,Movimientos!$D:$D,CONCATENATE("&lt;",KY$3),Movimientos!$C:$C,"&lt;0")</f>
        <v>0</v>
      </c>
      <c r="KZ16" s="5">
        <f ca="1">SUMIFS(Movimientos!$C:$C,Movimientos!$A:$A,$B16,Movimientos!$D:$D,CONCATENATE("&lt;=",KZ$3),Movimientos!$C:$C,"&gt;0")+SUMIFS(Movimientos!$C:$C,Movimientos!$A:$A,$B16,Movimientos!$D:$D,CONCATENATE("&lt;",KZ$3),Movimientos!$C:$C,"&lt;0")</f>
        <v>0</v>
      </c>
      <c r="LA16" s="5">
        <f ca="1">SUMIFS(Movimientos!$C:$C,Movimientos!$A:$A,$B16,Movimientos!$D:$D,CONCATENATE("&lt;=",LA$3),Movimientos!$C:$C,"&gt;0")+SUMIFS(Movimientos!$C:$C,Movimientos!$A:$A,$B16,Movimientos!$D:$D,CONCATENATE("&lt;",LA$3),Movimientos!$C:$C,"&lt;0")</f>
        <v>0</v>
      </c>
      <c r="LB16" s="5">
        <f ca="1">SUMIFS(Movimientos!$C:$C,Movimientos!$A:$A,$B16,Movimientos!$D:$D,CONCATENATE("&lt;=",LB$3),Movimientos!$C:$C,"&gt;0")+SUMIFS(Movimientos!$C:$C,Movimientos!$A:$A,$B16,Movimientos!$D:$D,CONCATENATE("&lt;",LB$3),Movimientos!$C:$C,"&lt;0")</f>
        <v>0</v>
      </c>
      <c r="LC16" s="5">
        <f ca="1">SUMIFS(Movimientos!$C:$C,Movimientos!$A:$A,$B16,Movimientos!$D:$D,CONCATENATE("&lt;=",LC$3),Movimientos!$C:$C,"&gt;0")+SUMIFS(Movimientos!$C:$C,Movimientos!$A:$A,$B16,Movimientos!$D:$D,CONCATENATE("&lt;",LC$3),Movimientos!$C:$C,"&lt;0")</f>
        <v>0</v>
      </c>
      <c r="LD16" s="5">
        <f ca="1">SUMIFS(Movimientos!$C:$C,Movimientos!$A:$A,$B16,Movimientos!$D:$D,CONCATENATE("&lt;=",LD$3),Movimientos!$C:$C,"&gt;0")+SUMIFS(Movimientos!$C:$C,Movimientos!$A:$A,$B16,Movimientos!$D:$D,CONCATENATE("&lt;",LD$3),Movimientos!$C:$C,"&lt;0")</f>
        <v>0</v>
      </c>
      <c r="LE16" s="5">
        <f ca="1">SUMIFS(Movimientos!$C:$C,Movimientos!$A:$A,$B16,Movimientos!$D:$D,CONCATENATE("&lt;=",LE$3),Movimientos!$C:$C,"&gt;0")+SUMIFS(Movimientos!$C:$C,Movimientos!$A:$A,$B16,Movimientos!$D:$D,CONCATENATE("&lt;",LE$3),Movimientos!$C:$C,"&lt;0")</f>
        <v>0</v>
      </c>
      <c r="LF16" s="5">
        <f ca="1">SUMIFS(Movimientos!$C:$C,Movimientos!$A:$A,$B16,Movimientos!$D:$D,CONCATENATE("&lt;=",LF$3),Movimientos!$C:$C,"&gt;0")+SUMIFS(Movimientos!$C:$C,Movimientos!$A:$A,$B16,Movimientos!$D:$D,CONCATENATE("&lt;",LF$3),Movimientos!$C:$C,"&lt;0")</f>
        <v>0</v>
      </c>
      <c r="LG16" s="5">
        <f ca="1">SUMIFS(Movimientos!$C:$C,Movimientos!$A:$A,$B16,Movimientos!$D:$D,CONCATENATE("&lt;=",LG$3),Movimientos!$C:$C,"&gt;0")+SUMIFS(Movimientos!$C:$C,Movimientos!$A:$A,$B16,Movimientos!$D:$D,CONCATENATE("&lt;",LG$3),Movimientos!$C:$C,"&lt;0")</f>
        <v>0</v>
      </c>
      <c r="LH16" s="5">
        <f ca="1">SUMIFS(Movimientos!$C:$C,Movimientos!$A:$A,$B16,Movimientos!$D:$D,CONCATENATE("&lt;=",LH$3),Movimientos!$C:$C,"&gt;0")+SUMIFS(Movimientos!$C:$C,Movimientos!$A:$A,$B16,Movimientos!$D:$D,CONCATENATE("&lt;",LH$3),Movimientos!$C:$C,"&lt;0")</f>
        <v>0</v>
      </c>
      <c r="LI16" s="5">
        <f ca="1">SUMIFS(Movimientos!$C:$C,Movimientos!$A:$A,$B16,Movimientos!$D:$D,CONCATENATE("&lt;=",LI$3),Movimientos!$C:$C,"&gt;0")+SUMIFS(Movimientos!$C:$C,Movimientos!$A:$A,$B16,Movimientos!$D:$D,CONCATENATE("&lt;",LI$3),Movimientos!$C:$C,"&lt;0")</f>
        <v>0</v>
      </c>
      <c r="LJ16" s="5">
        <f ca="1">SUMIFS(Movimientos!$C:$C,Movimientos!$A:$A,$B16,Movimientos!$D:$D,CONCATENATE("&lt;=",LJ$3),Movimientos!$C:$C,"&gt;0")+SUMIFS(Movimientos!$C:$C,Movimientos!$A:$A,$B16,Movimientos!$D:$D,CONCATENATE("&lt;",LJ$3),Movimientos!$C:$C,"&lt;0")</f>
        <v>0</v>
      </c>
      <c r="LK16" s="5">
        <f ca="1">SUMIFS(Movimientos!$C:$C,Movimientos!$A:$A,$B16,Movimientos!$D:$D,CONCATENATE("&lt;=",LK$3),Movimientos!$C:$C,"&gt;0")+SUMIFS(Movimientos!$C:$C,Movimientos!$A:$A,$B16,Movimientos!$D:$D,CONCATENATE("&lt;",LK$3),Movimientos!$C:$C,"&lt;0")</f>
        <v>0</v>
      </c>
      <c r="LL16" s="5">
        <f ca="1">SUMIFS(Movimientos!$C:$C,Movimientos!$A:$A,$B16,Movimientos!$D:$D,CONCATENATE("&lt;=",LL$3),Movimientos!$C:$C,"&gt;0")+SUMIFS(Movimientos!$C:$C,Movimientos!$A:$A,$B16,Movimientos!$D:$D,CONCATENATE("&lt;",LL$3),Movimientos!$C:$C,"&lt;0")</f>
        <v>0</v>
      </c>
      <c r="LM16" s="5">
        <f ca="1">SUMIFS(Movimientos!$C:$C,Movimientos!$A:$A,$B16,Movimientos!$D:$D,CONCATENATE("&lt;=",LM$3),Movimientos!$C:$C,"&gt;0")+SUMIFS(Movimientos!$C:$C,Movimientos!$A:$A,$B16,Movimientos!$D:$D,CONCATENATE("&lt;",LM$3),Movimientos!$C:$C,"&lt;0")</f>
        <v>0</v>
      </c>
      <c r="LN16" s="5">
        <f ca="1">SUMIFS(Movimientos!$C:$C,Movimientos!$A:$A,$B16,Movimientos!$D:$D,CONCATENATE("&lt;=",LN$3),Movimientos!$C:$C,"&gt;0")+SUMIFS(Movimientos!$C:$C,Movimientos!$A:$A,$B16,Movimientos!$D:$D,CONCATENATE("&lt;",LN$3),Movimientos!$C:$C,"&lt;0")</f>
        <v>0</v>
      </c>
      <c r="LO16" s="5">
        <f ca="1">SUMIFS(Movimientos!$C:$C,Movimientos!$A:$A,$B16,Movimientos!$D:$D,CONCATENATE("&lt;=",LO$3),Movimientos!$C:$C,"&gt;0")+SUMIFS(Movimientos!$C:$C,Movimientos!$A:$A,$B16,Movimientos!$D:$D,CONCATENATE("&lt;",LO$3),Movimientos!$C:$C,"&lt;0")</f>
        <v>0</v>
      </c>
      <c r="LP16" s="5">
        <f ca="1">SUMIFS(Movimientos!$C:$C,Movimientos!$A:$A,$B16,Movimientos!$D:$D,CONCATENATE("&lt;=",LP$3),Movimientos!$C:$C,"&gt;0")+SUMIFS(Movimientos!$C:$C,Movimientos!$A:$A,$B16,Movimientos!$D:$D,CONCATENATE("&lt;",LP$3),Movimientos!$C:$C,"&lt;0")</f>
        <v>0</v>
      </c>
      <c r="LQ16" s="5">
        <f ca="1">SUMIFS(Movimientos!$C:$C,Movimientos!$A:$A,$B16,Movimientos!$D:$D,CONCATENATE("&lt;=",LQ$3),Movimientos!$C:$C,"&gt;0")+SUMIFS(Movimientos!$C:$C,Movimientos!$A:$A,$B16,Movimientos!$D:$D,CONCATENATE("&lt;",LQ$3),Movimientos!$C:$C,"&lt;0")</f>
        <v>0</v>
      </c>
      <c r="LR16" s="5">
        <f ca="1">SUMIFS(Movimientos!$C:$C,Movimientos!$A:$A,$B16,Movimientos!$D:$D,CONCATENATE("&lt;=",LR$3),Movimientos!$C:$C,"&gt;0")+SUMIFS(Movimientos!$C:$C,Movimientos!$A:$A,$B16,Movimientos!$D:$D,CONCATENATE("&lt;",LR$3),Movimientos!$C:$C,"&lt;0")</f>
        <v>0</v>
      </c>
      <c r="LS16" s="5">
        <f ca="1">SUMIFS(Movimientos!$C:$C,Movimientos!$A:$A,$B16,Movimientos!$D:$D,CONCATENATE("&lt;=",LS$3),Movimientos!$C:$C,"&gt;0")+SUMIFS(Movimientos!$C:$C,Movimientos!$A:$A,$B16,Movimientos!$D:$D,CONCATENATE("&lt;",LS$3),Movimientos!$C:$C,"&lt;0")</f>
        <v>0</v>
      </c>
      <c r="LT16" s="5">
        <f ca="1">SUMIFS(Movimientos!$C:$C,Movimientos!$A:$A,$B16,Movimientos!$D:$D,CONCATENATE("&lt;=",LT$3),Movimientos!$C:$C,"&gt;0")+SUMIFS(Movimientos!$C:$C,Movimientos!$A:$A,$B16,Movimientos!$D:$D,CONCATENATE("&lt;",LT$3),Movimientos!$C:$C,"&lt;0")</f>
        <v>0</v>
      </c>
      <c r="LU16" s="5">
        <f ca="1">SUMIFS(Movimientos!$C:$C,Movimientos!$A:$A,$B16,Movimientos!$D:$D,CONCATENATE("&lt;=",LU$3),Movimientos!$C:$C,"&gt;0")+SUMIFS(Movimientos!$C:$C,Movimientos!$A:$A,$B16,Movimientos!$D:$D,CONCATENATE("&lt;",LU$3),Movimientos!$C:$C,"&lt;0")</f>
        <v>0</v>
      </c>
      <c r="LV16" s="5">
        <f ca="1">SUMIFS(Movimientos!$C:$C,Movimientos!$A:$A,$B16,Movimientos!$D:$D,CONCATENATE("&lt;=",LV$3),Movimientos!$C:$C,"&gt;0")+SUMIFS(Movimientos!$C:$C,Movimientos!$A:$A,$B16,Movimientos!$D:$D,CONCATENATE("&lt;",LV$3),Movimientos!$C:$C,"&lt;0")</f>
        <v>0</v>
      </c>
      <c r="LW16" s="5">
        <f ca="1">SUMIFS(Movimientos!$C:$C,Movimientos!$A:$A,$B16,Movimientos!$D:$D,CONCATENATE("&lt;=",LW$3),Movimientos!$C:$C,"&gt;0")+SUMIFS(Movimientos!$C:$C,Movimientos!$A:$A,$B16,Movimientos!$D:$D,CONCATENATE("&lt;",LW$3),Movimientos!$C:$C,"&lt;0")</f>
        <v>0</v>
      </c>
      <c r="LX16" s="5">
        <f ca="1">SUMIFS(Movimientos!$C:$C,Movimientos!$A:$A,$B16,Movimientos!$D:$D,CONCATENATE("&lt;=",LX$3),Movimientos!$C:$C,"&gt;0")+SUMIFS(Movimientos!$C:$C,Movimientos!$A:$A,$B16,Movimientos!$D:$D,CONCATENATE("&lt;",LX$3),Movimientos!$C:$C,"&lt;0")</f>
        <v>0</v>
      </c>
      <c r="LY16" s="5">
        <f ca="1">SUMIFS(Movimientos!$C:$C,Movimientos!$A:$A,$B16,Movimientos!$D:$D,CONCATENATE("&lt;=",LY$3),Movimientos!$C:$C,"&gt;0")+SUMIFS(Movimientos!$C:$C,Movimientos!$A:$A,$B16,Movimientos!$D:$D,CONCATENATE("&lt;",LY$3),Movimientos!$C:$C,"&lt;0")</f>
        <v>0</v>
      </c>
      <c r="LZ16" s="5">
        <f ca="1">SUMIFS(Movimientos!$C:$C,Movimientos!$A:$A,$B16,Movimientos!$D:$D,CONCATENATE("&lt;=",LZ$3),Movimientos!$C:$C,"&gt;0")+SUMIFS(Movimientos!$C:$C,Movimientos!$A:$A,$B16,Movimientos!$D:$D,CONCATENATE("&lt;",LZ$3),Movimientos!$C:$C,"&lt;0")</f>
        <v>0</v>
      </c>
      <c r="MA16" s="5">
        <f ca="1">SUMIFS(Movimientos!$C:$C,Movimientos!$A:$A,$B16,Movimientos!$D:$D,CONCATENATE("&lt;=",MA$3),Movimientos!$C:$C,"&gt;0")+SUMIFS(Movimientos!$C:$C,Movimientos!$A:$A,$B16,Movimientos!$D:$D,CONCATENATE("&lt;",MA$3),Movimientos!$C:$C,"&lt;0")</f>
        <v>0</v>
      </c>
      <c r="MB16" s="5">
        <f ca="1">SUMIFS(Movimientos!$C:$C,Movimientos!$A:$A,$B16,Movimientos!$D:$D,CONCATENATE("&lt;=",MB$3),Movimientos!$C:$C,"&gt;0")+SUMIFS(Movimientos!$C:$C,Movimientos!$A:$A,$B16,Movimientos!$D:$D,CONCATENATE("&lt;",MB$3),Movimientos!$C:$C,"&lt;0")</f>
        <v>0</v>
      </c>
      <c r="MC16" s="5">
        <f ca="1">SUMIFS(Movimientos!$C:$C,Movimientos!$A:$A,$B16,Movimientos!$D:$D,CONCATENATE("&lt;=",MC$3),Movimientos!$C:$C,"&gt;0")+SUMIFS(Movimientos!$C:$C,Movimientos!$A:$A,$B16,Movimientos!$D:$D,CONCATENATE("&lt;",MC$3),Movimientos!$C:$C,"&lt;0")</f>
        <v>0</v>
      </c>
      <c r="MD16" s="5">
        <f ca="1">SUMIFS(Movimientos!$C:$C,Movimientos!$A:$A,$B16,Movimientos!$D:$D,CONCATENATE("&lt;=",MD$3),Movimientos!$C:$C,"&gt;0")+SUMIFS(Movimientos!$C:$C,Movimientos!$A:$A,$B16,Movimientos!$D:$D,CONCATENATE("&lt;",MD$3),Movimientos!$C:$C,"&lt;0")</f>
        <v>0</v>
      </c>
      <c r="ME16" s="5">
        <f ca="1">SUMIFS(Movimientos!$C:$C,Movimientos!$A:$A,$B16,Movimientos!$D:$D,CONCATENATE("&lt;=",ME$3),Movimientos!$C:$C,"&gt;0")+SUMIFS(Movimientos!$C:$C,Movimientos!$A:$A,$B16,Movimientos!$D:$D,CONCATENATE("&lt;",ME$3),Movimientos!$C:$C,"&lt;0")</f>
        <v>0</v>
      </c>
      <c r="MF16" s="5">
        <f ca="1">SUMIFS(Movimientos!$C:$C,Movimientos!$A:$A,$B16,Movimientos!$D:$D,CONCATENATE("&lt;=",MF$3),Movimientos!$C:$C,"&gt;0")+SUMIFS(Movimientos!$C:$C,Movimientos!$A:$A,$B16,Movimientos!$D:$D,CONCATENATE("&lt;",MF$3),Movimientos!$C:$C,"&lt;0")</f>
        <v>0</v>
      </c>
      <c r="MG16" s="5">
        <f ca="1">SUMIFS(Movimientos!$C:$C,Movimientos!$A:$A,$B16,Movimientos!$D:$D,CONCATENATE("&lt;=",MG$3),Movimientos!$C:$C,"&gt;0")+SUMIFS(Movimientos!$C:$C,Movimientos!$A:$A,$B16,Movimientos!$D:$D,CONCATENATE("&lt;",MG$3),Movimientos!$C:$C,"&lt;0")</f>
        <v>0</v>
      </c>
      <c r="MH16" s="5">
        <f ca="1">SUMIFS(Movimientos!$C:$C,Movimientos!$A:$A,$B16,Movimientos!$D:$D,CONCATENATE("&lt;=",MH$3),Movimientos!$C:$C,"&gt;0")+SUMIFS(Movimientos!$C:$C,Movimientos!$A:$A,$B16,Movimientos!$D:$D,CONCATENATE("&lt;",MH$3),Movimientos!$C:$C,"&lt;0")</f>
        <v>0</v>
      </c>
      <c r="MI16" s="5">
        <f ca="1">SUMIFS(Movimientos!$C:$C,Movimientos!$A:$A,$B16,Movimientos!$D:$D,CONCATENATE("&lt;=",MI$3),Movimientos!$C:$C,"&gt;0")+SUMIFS(Movimientos!$C:$C,Movimientos!$A:$A,$B16,Movimientos!$D:$D,CONCATENATE("&lt;",MI$3),Movimientos!$C:$C,"&lt;0")</f>
        <v>0</v>
      </c>
      <c r="MJ16" s="5">
        <f ca="1">SUMIFS(Movimientos!$C:$C,Movimientos!$A:$A,$B16,Movimientos!$D:$D,CONCATENATE("&lt;=",MJ$3),Movimientos!$C:$C,"&gt;0")+SUMIFS(Movimientos!$C:$C,Movimientos!$A:$A,$B16,Movimientos!$D:$D,CONCATENATE("&lt;",MJ$3),Movimientos!$C:$C,"&lt;0")</f>
        <v>0</v>
      </c>
      <c r="MK16" s="5">
        <f ca="1">SUMIFS(Movimientos!$C:$C,Movimientos!$A:$A,$B16,Movimientos!$D:$D,CONCATENATE("&lt;=",MK$3),Movimientos!$C:$C,"&gt;0")+SUMIFS(Movimientos!$C:$C,Movimientos!$A:$A,$B16,Movimientos!$D:$D,CONCATENATE("&lt;",MK$3),Movimientos!$C:$C,"&lt;0")</f>
        <v>0</v>
      </c>
      <c r="ML16" s="5">
        <f ca="1">SUMIFS(Movimientos!$C:$C,Movimientos!$A:$A,$B16,Movimientos!$D:$D,CONCATENATE("&lt;=",ML$3),Movimientos!$C:$C,"&gt;0")+SUMIFS(Movimientos!$C:$C,Movimientos!$A:$A,$B16,Movimientos!$D:$D,CONCATENATE("&lt;",ML$3),Movimientos!$C:$C,"&lt;0")</f>
        <v>0</v>
      </c>
      <c r="MM16" s="5">
        <f ca="1">SUMIFS(Movimientos!$C:$C,Movimientos!$A:$A,$B16,Movimientos!$D:$D,CONCATENATE("&lt;=",MM$3),Movimientos!$C:$C,"&gt;0")+SUMIFS(Movimientos!$C:$C,Movimientos!$A:$A,$B16,Movimientos!$D:$D,CONCATENATE("&lt;",MM$3),Movimientos!$C:$C,"&lt;0")</f>
        <v>0</v>
      </c>
      <c r="MN16" s="5">
        <f ca="1">SUMIFS(Movimientos!$C:$C,Movimientos!$A:$A,$B16,Movimientos!$D:$D,CONCATENATE("&lt;=",MN$3),Movimientos!$C:$C,"&gt;0")+SUMIFS(Movimientos!$C:$C,Movimientos!$A:$A,$B16,Movimientos!$D:$D,CONCATENATE("&lt;",MN$3),Movimientos!$C:$C,"&lt;0")</f>
        <v>0</v>
      </c>
      <c r="MO16" s="5">
        <f ca="1">SUMIFS(Movimientos!$C:$C,Movimientos!$A:$A,$B16,Movimientos!$D:$D,CONCATENATE("&lt;=",MO$3),Movimientos!$C:$C,"&gt;0")+SUMIFS(Movimientos!$C:$C,Movimientos!$A:$A,$B16,Movimientos!$D:$D,CONCATENATE("&lt;",MO$3),Movimientos!$C:$C,"&lt;0")</f>
        <v>0</v>
      </c>
      <c r="MP16" s="5">
        <f ca="1">SUMIFS(Movimientos!$C:$C,Movimientos!$A:$A,$B16,Movimientos!$D:$D,CONCATENATE("&lt;=",MP$3),Movimientos!$C:$C,"&gt;0")+SUMIFS(Movimientos!$C:$C,Movimientos!$A:$A,$B16,Movimientos!$D:$D,CONCATENATE("&lt;",MP$3),Movimientos!$C:$C,"&lt;0")</f>
        <v>0</v>
      </c>
      <c r="MQ16" s="5">
        <f ca="1">SUMIFS(Movimientos!$C:$C,Movimientos!$A:$A,$B16,Movimientos!$D:$D,CONCATENATE("&lt;=",MQ$3),Movimientos!$C:$C,"&gt;0")+SUMIFS(Movimientos!$C:$C,Movimientos!$A:$A,$B16,Movimientos!$D:$D,CONCATENATE("&lt;",MQ$3),Movimientos!$C:$C,"&lt;0")</f>
        <v>0</v>
      </c>
      <c r="MR16" s="5">
        <f ca="1">SUMIFS(Movimientos!$C:$C,Movimientos!$A:$A,$B16,Movimientos!$D:$D,CONCATENATE("&lt;=",MR$3),Movimientos!$C:$C,"&gt;0")+SUMIFS(Movimientos!$C:$C,Movimientos!$A:$A,$B16,Movimientos!$D:$D,CONCATENATE("&lt;",MR$3),Movimientos!$C:$C,"&lt;0")</f>
        <v>0</v>
      </c>
      <c r="MS16" s="5">
        <f ca="1">SUMIFS(Movimientos!$C:$C,Movimientos!$A:$A,$B16,Movimientos!$D:$D,CONCATENATE("&lt;=",MS$3),Movimientos!$C:$C,"&gt;0")+SUMIFS(Movimientos!$C:$C,Movimientos!$A:$A,$B16,Movimientos!$D:$D,CONCATENATE("&lt;",MS$3),Movimientos!$C:$C,"&lt;0")</f>
        <v>0</v>
      </c>
      <c r="MT16" s="5">
        <f ca="1">SUMIFS(Movimientos!$C:$C,Movimientos!$A:$A,$B16,Movimientos!$D:$D,CONCATENATE("&lt;=",MT$3),Movimientos!$C:$C,"&gt;0")+SUMIFS(Movimientos!$C:$C,Movimientos!$A:$A,$B16,Movimientos!$D:$D,CONCATENATE("&lt;",MT$3),Movimientos!$C:$C,"&lt;0")</f>
        <v>0</v>
      </c>
      <c r="MU16" s="5">
        <f ca="1">SUMIFS(Movimientos!$C:$C,Movimientos!$A:$A,$B16,Movimientos!$D:$D,CONCATENATE("&lt;=",MU$3),Movimientos!$C:$C,"&gt;0")+SUMIFS(Movimientos!$C:$C,Movimientos!$A:$A,$B16,Movimientos!$D:$D,CONCATENATE("&lt;",MU$3),Movimientos!$C:$C,"&lt;0")</f>
        <v>0</v>
      </c>
      <c r="MV16" s="5">
        <f ca="1">SUMIFS(Movimientos!$C:$C,Movimientos!$A:$A,$B16,Movimientos!$D:$D,CONCATENATE("&lt;=",MV$3),Movimientos!$C:$C,"&gt;0")+SUMIFS(Movimientos!$C:$C,Movimientos!$A:$A,$B16,Movimientos!$D:$D,CONCATENATE("&lt;",MV$3),Movimientos!$C:$C,"&lt;0")</f>
        <v>0</v>
      </c>
      <c r="MW16" s="5">
        <f ca="1">SUMIFS(Movimientos!$C:$C,Movimientos!$A:$A,$B16,Movimientos!$D:$D,CONCATENATE("&lt;=",MW$3),Movimientos!$C:$C,"&gt;0")+SUMIFS(Movimientos!$C:$C,Movimientos!$A:$A,$B16,Movimientos!$D:$D,CONCATENATE("&lt;",MW$3),Movimientos!$C:$C,"&lt;0")</f>
        <v>0</v>
      </c>
      <c r="MX16" s="5">
        <f ca="1">SUMIFS(Movimientos!$C:$C,Movimientos!$A:$A,$B16,Movimientos!$D:$D,CONCATENATE("&lt;=",MX$3),Movimientos!$C:$C,"&gt;0")+SUMIFS(Movimientos!$C:$C,Movimientos!$A:$A,$B16,Movimientos!$D:$D,CONCATENATE("&lt;",MX$3),Movimientos!$C:$C,"&lt;0")</f>
        <v>0</v>
      </c>
      <c r="MY16" s="5">
        <f ca="1">SUMIFS(Movimientos!$C:$C,Movimientos!$A:$A,$B16,Movimientos!$D:$D,CONCATENATE("&lt;=",MY$3),Movimientos!$C:$C,"&gt;0")+SUMIFS(Movimientos!$C:$C,Movimientos!$A:$A,$B16,Movimientos!$D:$D,CONCATENATE("&lt;",MY$3),Movimientos!$C:$C,"&lt;0")</f>
        <v>0</v>
      </c>
      <c r="MZ16" s="5">
        <f ca="1">SUMIFS(Movimientos!$C:$C,Movimientos!$A:$A,$B16,Movimientos!$D:$D,CONCATENATE("&lt;=",MZ$3),Movimientos!$C:$C,"&gt;0")+SUMIFS(Movimientos!$C:$C,Movimientos!$A:$A,$B16,Movimientos!$D:$D,CONCATENATE("&lt;",MZ$3),Movimientos!$C:$C,"&lt;0")</f>
        <v>0</v>
      </c>
      <c r="NA16" s="5">
        <f ca="1">SUMIFS(Movimientos!$C:$C,Movimientos!$A:$A,$B16,Movimientos!$D:$D,CONCATENATE("&lt;=",NA$3),Movimientos!$C:$C,"&gt;0")+SUMIFS(Movimientos!$C:$C,Movimientos!$A:$A,$B16,Movimientos!$D:$D,CONCATENATE("&lt;",NA$3),Movimientos!$C:$C,"&lt;0")</f>
        <v>0</v>
      </c>
      <c r="NB16" s="5">
        <f ca="1">SUMIFS(Movimientos!$C:$C,Movimientos!$A:$A,$B16,Movimientos!$D:$D,CONCATENATE("&lt;=",NB$3),Movimientos!$C:$C,"&gt;0")+SUMIFS(Movimientos!$C:$C,Movimientos!$A:$A,$B16,Movimientos!$D:$D,CONCATENATE("&lt;",NB$3),Movimientos!$C:$C,"&lt;0")</f>
        <v>0</v>
      </c>
      <c r="NC16" s="5">
        <f ca="1">SUMIFS(Movimientos!$C:$C,Movimientos!$A:$A,$B16,Movimientos!$D:$D,CONCATENATE("&lt;=",NC$3),Movimientos!$C:$C,"&gt;0")+SUMIFS(Movimientos!$C:$C,Movimientos!$A:$A,$B16,Movimientos!$D:$D,CONCATENATE("&lt;",NC$3),Movimientos!$C:$C,"&lt;0")</f>
        <v>0</v>
      </c>
      <c r="ND16" s="5">
        <f ca="1">SUMIFS(Movimientos!$C:$C,Movimientos!$A:$A,$B16,Movimientos!$D:$D,CONCATENATE("&lt;=",ND$3),Movimientos!$C:$C,"&gt;0")+SUMIFS(Movimientos!$C:$C,Movimientos!$A:$A,$B16,Movimientos!$D:$D,CONCATENATE("&lt;",ND$3),Movimientos!$C:$C,"&lt;0")</f>
        <v>0</v>
      </c>
      <c r="NE16" s="5">
        <f ca="1">SUMIFS(Movimientos!$C:$C,Movimientos!$A:$A,$B16,Movimientos!$D:$D,CONCATENATE("&lt;=",NE$3),Movimientos!$C:$C,"&gt;0")+SUMIFS(Movimientos!$C:$C,Movimientos!$A:$A,$B16,Movimientos!$D:$D,CONCATENATE("&lt;",NE$3),Movimientos!$C:$C,"&lt;0")</f>
        <v>0</v>
      </c>
      <c r="NF16" s="5">
        <f ca="1">SUMIFS(Movimientos!$C:$C,Movimientos!$A:$A,$B16,Movimientos!$D:$D,CONCATENATE("&lt;=",NF$3),Movimientos!$C:$C,"&gt;0")+SUMIFS(Movimientos!$C:$C,Movimientos!$A:$A,$B16,Movimientos!$D:$D,CONCATENATE("&lt;",NF$3),Movimientos!$C:$C,"&lt;0")</f>
        <v>0</v>
      </c>
      <c r="NG16" s="5">
        <f ca="1">SUMIFS(Movimientos!$C:$C,Movimientos!$A:$A,$B16,Movimientos!$D:$D,CONCATENATE("&lt;=",NG$3),Movimientos!$C:$C,"&gt;0")+SUMIFS(Movimientos!$C:$C,Movimientos!$A:$A,$B16,Movimientos!$D:$D,CONCATENATE("&lt;",NG$3),Movimientos!$C:$C,"&lt;0")</f>
        <v>0</v>
      </c>
      <c r="NH16" s="5">
        <f ca="1">SUMIFS(Movimientos!$C:$C,Movimientos!$A:$A,$B16,Movimientos!$D:$D,CONCATENATE("&lt;=",NH$3),Movimientos!$C:$C,"&gt;0")+SUMIFS(Movimientos!$C:$C,Movimientos!$A:$A,$B16,Movimientos!$D:$D,CONCATENATE("&lt;",NH$3),Movimientos!$C:$C,"&lt;0")</f>
        <v>0</v>
      </c>
      <c r="NI16" s="5">
        <f ca="1">SUMIFS(Movimientos!$C:$C,Movimientos!$A:$A,$B16,Movimientos!$D:$D,CONCATENATE("&lt;=",NI$3),Movimientos!$C:$C,"&gt;0")+SUMIFS(Movimientos!$C:$C,Movimientos!$A:$A,$B16,Movimientos!$D:$D,CONCATENATE("&lt;",NI$3),Movimientos!$C:$C,"&lt;0")</f>
        <v>0</v>
      </c>
      <c r="NJ16" s="5">
        <f ca="1">SUMIFS(Movimientos!$C:$C,Movimientos!$A:$A,$B16,Movimientos!$D:$D,CONCATENATE("&lt;=",NJ$3),Movimientos!$C:$C,"&gt;0")+SUMIFS(Movimientos!$C:$C,Movimientos!$A:$A,$B16,Movimientos!$D:$D,CONCATENATE("&lt;",NJ$3),Movimientos!$C:$C,"&lt;0")</f>
        <v>0</v>
      </c>
      <c r="NK16" s="5">
        <f ca="1">SUMIFS(Movimientos!$C:$C,Movimientos!$A:$A,$B16,Movimientos!$D:$D,CONCATENATE("&lt;=",NK$3),Movimientos!$C:$C,"&gt;0")+SUMIFS(Movimientos!$C:$C,Movimientos!$A:$A,$B16,Movimientos!$D:$D,CONCATENATE("&lt;",NK$3),Movimientos!$C:$C,"&lt;0")</f>
        <v>0</v>
      </c>
      <c r="NL16" s="5">
        <f ca="1">SUMIFS(Movimientos!$C:$C,Movimientos!$A:$A,$B16,Movimientos!$D:$D,CONCATENATE("&lt;=",NL$3),Movimientos!$C:$C,"&gt;0")+SUMIFS(Movimientos!$C:$C,Movimientos!$A:$A,$B16,Movimientos!$D:$D,CONCATENATE("&lt;",NL$3),Movimientos!$C:$C,"&lt;0")</f>
        <v>0</v>
      </c>
      <c r="NM16" s="5">
        <f ca="1">SUMIFS(Movimientos!$C:$C,Movimientos!$A:$A,$B16,Movimientos!$D:$D,CONCATENATE("&lt;=",NM$3),Movimientos!$C:$C,"&gt;0")+SUMIFS(Movimientos!$C:$C,Movimientos!$A:$A,$B16,Movimientos!$D:$D,CONCATENATE("&lt;",NM$3),Movimientos!$C:$C,"&lt;0")</f>
        <v>0</v>
      </c>
      <c r="NN16" s="5">
        <f ca="1">SUMIFS(Movimientos!$C:$C,Movimientos!$A:$A,$B16,Movimientos!$D:$D,CONCATENATE("&lt;=",NN$3),Movimientos!$C:$C,"&gt;0")+SUMIFS(Movimientos!$C:$C,Movimientos!$A:$A,$B16,Movimientos!$D:$D,CONCATENATE("&lt;",NN$3),Movimientos!$C:$C,"&lt;0")</f>
        <v>0</v>
      </c>
      <c r="NO16" s="5">
        <f ca="1">SUMIFS(Movimientos!$C:$C,Movimientos!$A:$A,$B16,Movimientos!$D:$D,CONCATENATE("&lt;=",NO$3),Movimientos!$C:$C,"&gt;0")+SUMIFS(Movimientos!$C:$C,Movimientos!$A:$A,$B16,Movimientos!$D:$D,CONCATENATE("&lt;",NO$3),Movimientos!$C:$C,"&lt;0")</f>
        <v>0</v>
      </c>
      <c r="NP16" s="5">
        <f ca="1">SUMIFS(Movimientos!$C:$C,Movimientos!$A:$A,$B16,Movimientos!$D:$D,CONCATENATE("&lt;=",NP$3),Movimientos!$C:$C,"&gt;0")+SUMIFS(Movimientos!$C:$C,Movimientos!$A:$A,$B16,Movimientos!$D:$D,CONCATENATE("&lt;",NP$3),Movimientos!$C:$C,"&lt;0")</f>
        <v>0</v>
      </c>
      <c r="NQ16" s="5">
        <f ca="1">SUMIFS(Movimientos!$C:$C,Movimientos!$A:$A,$B16,Movimientos!$D:$D,CONCATENATE("&lt;=",NQ$3),Movimientos!$C:$C,"&gt;0")+SUMIFS(Movimientos!$C:$C,Movimientos!$A:$A,$B16,Movimientos!$D:$D,CONCATENATE("&lt;",NQ$3),Movimientos!$C:$C,"&lt;0")</f>
        <v>0</v>
      </c>
      <c r="NR16" s="5">
        <f ca="1">SUMIFS(Movimientos!$C:$C,Movimientos!$A:$A,$B16,Movimientos!$D:$D,CONCATENATE("&lt;=",NR$3),Movimientos!$C:$C,"&gt;0")+SUMIFS(Movimientos!$C:$C,Movimientos!$A:$A,$B16,Movimientos!$D:$D,CONCATENATE("&lt;",NR$3),Movimientos!$C:$C,"&lt;0")</f>
        <v>0</v>
      </c>
      <c r="NS16" s="5">
        <f ca="1">SUMIFS(Movimientos!$C:$C,Movimientos!$A:$A,$B16,Movimientos!$D:$D,CONCATENATE("&lt;=",NS$3),Movimientos!$C:$C,"&gt;0")+SUMIFS(Movimientos!$C:$C,Movimientos!$A:$A,$B16,Movimientos!$D:$D,CONCATENATE("&lt;",NS$3),Movimientos!$C:$C,"&lt;0")</f>
        <v>0</v>
      </c>
      <c r="NT16" s="5">
        <f ca="1">SUMIFS(Movimientos!$C:$C,Movimientos!$A:$A,$B16,Movimientos!$D:$D,CONCATENATE("&lt;=",NT$3),Movimientos!$C:$C,"&gt;0")+SUMIFS(Movimientos!$C:$C,Movimientos!$A:$A,$B16,Movimientos!$D:$D,CONCATENATE("&lt;",NT$3),Movimientos!$C:$C,"&lt;0")</f>
        <v>0</v>
      </c>
      <c r="NU16" s="5">
        <f ca="1">SUMIFS(Movimientos!$C:$C,Movimientos!$A:$A,$B16,Movimientos!$D:$D,CONCATENATE("&lt;=",NU$3),Movimientos!$C:$C,"&gt;0")+SUMIFS(Movimientos!$C:$C,Movimientos!$A:$A,$B16,Movimientos!$D:$D,CONCATENATE("&lt;",NU$3),Movimientos!$C:$C,"&lt;0")</f>
        <v>0</v>
      </c>
      <c r="NV16" s="5">
        <f ca="1">SUMIFS(Movimientos!$C:$C,Movimientos!$A:$A,$B16,Movimientos!$D:$D,CONCATENATE("&lt;=",NV$3),Movimientos!$C:$C,"&gt;0")+SUMIFS(Movimientos!$C:$C,Movimientos!$A:$A,$B16,Movimientos!$D:$D,CONCATENATE("&lt;",NV$3),Movimientos!$C:$C,"&lt;0")</f>
        <v>0</v>
      </c>
      <c r="NW16" s="5">
        <f ca="1">SUMIFS(Movimientos!$C:$C,Movimientos!$A:$A,$B16,Movimientos!$D:$D,CONCATENATE("&lt;=",NW$3),Movimientos!$C:$C,"&gt;0")+SUMIFS(Movimientos!$C:$C,Movimientos!$A:$A,$B16,Movimientos!$D:$D,CONCATENATE("&lt;",NW$3),Movimientos!$C:$C,"&lt;0")</f>
        <v>0</v>
      </c>
      <c r="NX16" s="5">
        <f ca="1">SUMIFS(Movimientos!$C:$C,Movimientos!$A:$A,$B16,Movimientos!$D:$D,CONCATENATE("&lt;=",NX$3),Movimientos!$C:$C,"&gt;0")+SUMIFS(Movimientos!$C:$C,Movimientos!$A:$A,$B16,Movimientos!$D:$D,CONCATENATE("&lt;",NX$3),Movimientos!$C:$C,"&lt;0")</f>
        <v>0</v>
      </c>
      <c r="NY16" s="5">
        <f ca="1">SUMIFS(Movimientos!$C:$C,Movimientos!$A:$A,$B16,Movimientos!$D:$D,CONCATENATE("&lt;=",NY$3),Movimientos!$C:$C,"&gt;0")+SUMIFS(Movimientos!$C:$C,Movimientos!$A:$A,$B16,Movimientos!$D:$D,CONCATENATE("&lt;",NY$3),Movimientos!$C:$C,"&lt;0")</f>
        <v>0</v>
      </c>
      <c r="NZ16" s="5">
        <f ca="1">SUMIFS(Movimientos!$C:$C,Movimientos!$A:$A,$B16,Movimientos!$D:$D,CONCATENATE("&lt;=",NZ$3),Movimientos!$C:$C,"&gt;0")+SUMIFS(Movimientos!$C:$C,Movimientos!$A:$A,$B16,Movimientos!$D:$D,CONCATENATE("&lt;",NZ$3),Movimientos!$C:$C,"&lt;0")</f>
        <v>0</v>
      </c>
      <c r="OA16" s="5">
        <f ca="1">SUMIFS(Movimientos!$C:$C,Movimientos!$A:$A,$B16,Movimientos!$D:$D,CONCATENATE("&lt;=",OA$3),Movimientos!$C:$C,"&gt;0")+SUMIFS(Movimientos!$C:$C,Movimientos!$A:$A,$B16,Movimientos!$D:$D,CONCATENATE("&lt;",OA$3),Movimientos!$C:$C,"&lt;0")</f>
        <v>0</v>
      </c>
      <c r="OB16" s="5">
        <f ca="1">SUMIFS(Movimientos!$C:$C,Movimientos!$A:$A,$B16,Movimientos!$D:$D,CONCATENATE("&lt;=",OB$3),Movimientos!$C:$C,"&gt;0")+SUMIFS(Movimientos!$C:$C,Movimientos!$A:$A,$B16,Movimientos!$D:$D,CONCATENATE("&lt;",OB$3),Movimientos!$C:$C,"&lt;0")</f>
        <v>0</v>
      </c>
      <c r="OC16" s="5">
        <f ca="1">SUMIFS(Movimientos!$C:$C,Movimientos!$A:$A,$B16,Movimientos!$D:$D,CONCATENATE("&lt;=",OC$3),Movimientos!$C:$C,"&gt;0")+SUMIFS(Movimientos!$C:$C,Movimientos!$A:$A,$B16,Movimientos!$D:$D,CONCATENATE("&lt;",OC$3),Movimientos!$C:$C,"&lt;0")</f>
        <v>0</v>
      </c>
      <c r="OD16" s="5">
        <f ca="1">SUMIFS(Movimientos!$C:$C,Movimientos!$A:$A,$B16,Movimientos!$D:$D,CONCATENATE("&lt;=",OD$3),Movimientos!$C:$C,"&gt;0")+SUMIFS(Movimientos!$C:$C,Movimientos!$A:$A,$B16,Movimientos!$D:$D,CONCATENATE("&lt;",OD$3),Movimientos!$C:$C,"&lt;0")</f>
        <v>0</v>
      </c>
      <c r="OE16" s="5">
        <f ca="1">SUMIFS(Movimientos!$C:$C,Movimientos!$A:$A,$B16,Movimientos!$D:$D,CONCATENATE("&lt;=",OE$3),Movimientos!$C:$C,"&gt;0")+SUMIFS(Movimientos!$C:$C,Movimientos!$A:$A,$B16,Movimientos!$D:$D,CONCATENATE("&lt;",OE$3),Movimientos!$C:$C,"&lt;0")</f>
        <v>0</v>
      </c>
      <c r="OF16" s="5">
        <f ca="1">SUMIFS(Movimientos!$C:$C,Movimientos!$A:$A,$B16,Movimientos!$D:$D,CONCATENATE("&lt;=",OF$3),Movimientos!$C:$C,"&gt;0")+SUMIFS(Movimientos!$C:$C,Movimientos!$A:$A,$B16,Movimientos!$D:$D,CONCATENATE("&lt;",OF$3),Movimientos!$C:$C,"&lt;0")</f>
        <v>0</v>
      </c>
      <c r="OG16" s="5">
        <f ca="1">SUMIFS(Movimientos!$C:$C,Movimientos!$A:$A,$B16,Movimientos!$D:$D,CONCATENATE("&lt;=",OG$3),Movimientos!$C:$C,"&gt;0")+SUMIFS(Movimientos!$C:$C,Movimientos!$A:$A,$B16,Movimientos!$D:$D,CONCATENATE("&lt;",OG$3),Movimientos!$C:$C,"&lt;0")</f>
        <v>0</v>
      </c>
      <c r="OH16" s="5">
        <f ca="1">SUMIFS(Movimientos!$C:$C,Movimientos!$A:$A,$B16,Movimientos!$D:$D,CONCATENATE("&lt;=",OH$3),Movimientos!$C:$C,"&gt;0")+SUMIFS(Movimientos!$C:$C,Movimientos!$A:$A,$B16,Movimientos!$D:$D,CONCATENATE("&lt;",OH$3),Movimientos!$C:$C,"&lt;0")</f>
        <v>0</v>
      </c>
      <c r="OI16" s="5">
        <f ca="1">SUMIFS(Movimientos!$C:$C,Movimientos!$A:$A,$B16,Movimientos!$D:$D,CONCATENATE("&lt;=",OI$3),Movimientos!$C:$C,"&gt;0")+SUMIFS(Movimientos!$C:$C,Movimientos!$A:$A,$B16,Movimientos!$D:$D,CONCATENATE("&lt;",OI$3),Movimientos!$C:$C,"&lt;0")</f>
        <v>0</v>
      </c>
      <c r="OJ16" s="5">
        <f ca="1">SUMIFS(Movimientos!$C:$C,Movimientos!$A:$A,$B16,Movimientos!$D:$D,CONCATENATE("&lt;=",OJ$3),Movimientos!$C:$C,"&gt;0")+SUMIFS(Movimientos!$C:$C,Movimientos!$A:$A,$B16,Movimientos!$D:$D,CONCATENATE("&lt;",OJ$3),Movimientos!$C:$C,"&lt;0")</f>
        <v>0</v>
      </c>
      <c r="OK16" s="5">
        <f ca="1">SUMIFS(Movimientos!$C:$C,Movimientos!$A:$A,$B16,Movimientos!$D:$D,CONCATENATE("&lt;=",OK$3),Movimientos!$C:$C,"&gt;0")+SUMIFS(Movimientos!$C:$C,Movimientos!$A:$A,$B16,Movimientos!$D:$D,CONCATENATE("&lt;",OK$3),Movimientos!$C:$C,"&lt;0")</f>
        <v>0</v>
      </c>
      <c r="OL16" s="5">
        <f ca="1">SUMIFS(Movimientos!$C:$C,Movimientos!$A:$A,$B16,Movimientos!$D:$D,CONCATENATE("&lt;=",OL$3),Movimientos!$C:$C,"&gt;0")+SUMIFS(Movimientos!$C:$C,Movimientos!$A:$A,$B16,Movimientos!$D:$D,CONCATENATE("&lt;",OL$3),Movimientos!$C:$C,"&lt;0")</f>
        <v>0</v>
      </c>
      <c r="OM16" s="5">
        <f ca="1">SUMIFS(Movimientos!$C:$C,Movimientos!$A:$A,$B16,Movimientos!$D:$D,CONCATENATE("&lt;=",OM$3),Movimientos!$C:$C,"&gt;0")+SUMIFS(Movimientos!$C:$C,Movimientos!$A:$A,$B16,Movimientos!$D:$D,CONCATENATE("&lt;",OM$3),Movimientos!$C:$C,"&lt;0")</f>
        <v>0</v>
      </c>
      <c r="ON16" s="5">
        <f ca="1">SUMIFS(Movimientos!$C:$C,Movimientos!$A:$A,$B16,Movimientos!$D:$D,CONCATENATE("&lt;=",ON$3),Movimientos!$C:$C,"&gt;0")+SUMIFS(Movimientos!$C:$C,Movimientos!$A:$A,$B16,Movimientos!$D:$D,CONCATENATE("&lt;",ON$3),Movimientos!$C:$C,"&lt;0")</f>
        <v>0</v>
      </c>
      <c r="OO16" s="5">
        <f ca="1">SUMIFS(Movimientos!$C:$C,Movimientos!$A:$A,$B16,Movimientos!$D:$D,CONCATENATE("&lt;=",OO$3),Movimientos!$C:$C,"&gt;0")+SUMIFS(Movimientos!$C:$C,Movimientos!$A:$A,$B16,Movimientos!$D:$D,CONCATENATE("&lt;",OO$3),Movimientos!$C:$C,"&lt;0")</f>
        <v>0</v>
      </c>
      <c r="OP16" s="5">
        <f ca="1">SUMIFS(Movimientos!$C:$C,Movimientos!$A:$A,$B16,Movimientos!$D:$D,CONCATENATE("&lt;=",OP$3),Movimientos!$C:$C,"&gt;0")+SUMIFS(Movimientos!$C:$C,Movimientos!$A:$A,$B16,Movimientos!$D:$D,CONCATENATE("&lt;",OP$3),Movimientos!$C:$C,"&lt;0")</f>
        <v>0</v>
      </c>
      <c r="OQ16" s="5">
        <f ca="1">SUMIFS(Movimientos!$C:$C,Movimientos!$A:$A,$B16,Movimientos!$D:$D,CONCATENATE("&lt;=",OQ$3),Movimientos!$C:$C,"&gt;0")+SUMIFS(Movimientos!$C:$C,Movimientos!$A:$A,$B16,Movimientos!$D:$D,CONCATENATE("&lt;",OQ$3),Movimientos!$C:$C,"&lt;0")</f>
        <v>0</v>
      </c>
      <c r="OR16" s="5">
        <f ca="1">SUMIFS(Movimientos!$C:$C,Movimientos!$A:$A,$B16,Movimientos!$D:$D,CONCATENATE("&lt;=",OR$3),Movimientos!$C:$C,"&gt;0")+SUMIFS(Movimientos!$C:$C,Movimientos!$A:$A,$B16,Movimientos!$D:$D,CONCATENATE("&lt;",OR$3),Movimientos!$C:$C,"&lt;0")</f>
        <v>0</v>
      </c>
      <c r="OS16" s="5">
        <f ca="1">SUMIFS(Movimientos!$C:$C,Movimientos!$A:$A,$B16,Movimientos!$D:$D,CONCATENATE("&lt;=",OS$3),Movimientos!$C:$C,"&gt;0")+SUMIFS(Movimientos!$C:$C,Movimientos!$A:$A,$B16,Movimientos!$D:$D,CONCATENATE("&lt;",OS$3),Movimientos!$C:$C,"&lt;0")</f>
        <v>0</v>
      </c>
      <c r="OT16" s="5">
        <f ca="1">SUMIFS(Movimientos!$C:$C,Movimientos!$A:$A,$B16,Movimientos!$D:$D,CONCATENATE("&lt;=",OT$3),Movimientos!$C:$C,"&gt;0")+SUMIFS(Movimientos!$C:$C,Movimientos!$A:$A,$B16,Movimientos!$D:$D,CONCATENATE("&lt;",OT$3),Movimientos!$C:$C,"&lt;0")</f>
        <v>0</v>
      </c>
      <c r="OU16" s="5">
        <f ca="1">SUMIFS(Movimientos!$C:$C,Movimientos!$A:$A,$B16,Movimientos!$D:$D,CONCATENATE("&lt;=",OU$3),Movimientos!$C:$C,"&gt;0")+SUMIFS(Movimientos!$C:$C,Movimientos!$A:$A,$B16,Movimientos!$D:$D,CONCATENATE("&lt;",OU$3),Movimientos!$C:$C,"&lt;0")</f>
        <v>0</v>
      </c>
      <c r="OV16" s="5">
        <f ca="1">SUMIFS(Movimientos!$C:$C,Movimientos!$A:$A,$B16,Movimientos!$D:$D,CONCATENATE("&lt;=",OV$3),Movimientos!$C:$C,"&gt;0")+SUMIFS(Movimientos!$C:$C,Movimientos!$A:$A,$B16,Movimientos!$D:$D,CONCATENATE("&lt;",OV$3),Movimientos!$C:$C,"&lt;0")</f>
        <v>0</v>
      </c>
      <c r="OW16" s="5">
        <f ca="1">SUMIFS(Movimientos!$C:$C,Movimientos!$A:$A,$B16,Movimientos!$D:$D,CONCATENATE("&lt;=",OW$3),Movimientos!$C:$C,"&gt;0")+SUMIFS(Movimientos!$C:$C,Movimientos!$A:$A,$B16,Movimientos!$D:$D,CONCATENATE("&lt;",OW$3),Movimientos!$C:$C,"&lt;0")</f>
        <v>0</v>
      </c>
      <c r="OX16" s="5">
        <f ca="1">SUMIFS(Movimientos!$C:$C,Movimientos!$A:$A,$B16,Movimientos!$D:$D,CONCATENATE("&lt;=",OX$3),Movimientos!$C:$C,"&gt;0")+SUMIFS(Movimientos!$C:$C,Movimientos!$A:$A,$B16,Movimientos!$D:$D,CONCATENATE("&lt;",OX$3),Movimientos!$C:$C,"&lt;0")</f>
        <v>0</v>
      </c>
      <c r="OY16" s="5">
        <f ca="1">SUMIFS(Movimientos!$C:$C,Movimientos!$A:$A,$B16,Movimientos!$D:$D,CONCATENATE("&lt;=",OY$3),Movimientos!$C:$C,"&gt;0")+SUMIFS(Movimientos!$C:$C,Movimientos!$A:$A,$B16,Movimientos!$D:$D,CONCATENATE("&lt;",OY$3),Movimientos!$C:$C,"&lt;0")</f>
        <v>0</v>
      </c>
      <c r="OZ16" s="5">
        <f ca="1">SUMIFS(Movimientos!$C:$C,Movimientos!$A:$A,$B16,Movimientos!$D:$D,CONCATENATE("&lt;=",OZ$3),Movimientos!$C:$C,"&gt;0")+SUMIFS(Movimientos!$C:$C,Movimientos!$A:$A,$B16,Movimientos!$D:$D,CONCATENATE("&lt;",OZ$3),Movimientos!$C:$C,"&lt;0")</f>
        <v>0</v>
      </c>
      <c r="PA16" s="5">
        <f ca="1">SUMIFS(Movimientos!$C:$C,Movimientos!$A:$A,$B16,Movimientos!$D:$D,CONCATENATE("&lt;=",PA$3),Movimientos!$C:$C,"&gt;0")+SUMIFS(Movimientos!$C:$C,Movimientos!$A:$A,$B16,Movimientos!$D:$D,CONCATENATE("&lt;",PA$3),Movimientos!$C:$C,"&lt;0")</f>
        <v>0</v>
      </c>
      <c r="PB16" s="5">
        <f ca="1">SUMIFS(Movimientos!$C:$C,Movimientos!$A:$A,$B16,Movimientos!$D:$D,CONCATENATE("&lt;=",PB$3),Movimientos!$C:$C,"&gt;0")+SUMIFS(Movimientos!$C:$C,Movimientos!$A:$A,$B16,Movimientos!$D:$D,CONCATENATE("&lt;",PB$3),Movimientos!$C:$C,"&lt;0")</f>
        <v>0</v>
      </c>
      <c r="PC16" s="5">
        <f ca="1">SUMIFS(Movimientos!$C:$C,Movimientos!$A:$A,$B16,Movimientos!$D:$D,CONCATENATE("&lt;=",PC$3),Movimientos!$C:$C,"&gt;0")+SUMIFS(Movimientos!$C:$C,Movimientos!$A:$A,$B16,Movimientos!$D:$D,CONCATENATE("&lt;",PC$3),Movimientos!$C:$C,"&lt;0")</f>
        <v>0</v>
      </c>
      <c r="PD16" s="5">
        <f ca="1">SUMIFS(Movimientos!$C:$C,Movimientos!$A:$A,$B16,Movimientos!$D:$D,CONCATENATE("&lt;=",PD$3),Movimientos!$C:$C,"&gt;0")+SUMIFS(Movimientos!$C:$C,Movimientos!$A:$A,$B16,Movimientos!$D:$D,CONCATENATE("&lt;",PD$3),Movimientos!$C:$C,"&lt;0")</f>
        <v>0</v>
      </c>
      <c r="PE16" s="5">
        <f ca="1">SUMIFS(Movimientos!$C:$C,Movimientos!$A:$A,$B16,Movimientos!$D:$D,CONCATENATE("&lt;=",PE$3),Movimientos!$C:$C,"&gt;0")+SUMIFS(Movimientos!$C:$C,Movimientos!$A:$A,$B16,Movimientos!$D:$D,CONCATENATE("&lt;",PE$3),Movimientos!$C:$C,"&lt;0")</f>
        <v>0</v>
      </c>
      <c r="PF16" s="5">
        <f ca="1">SUMIFS(Movimientos!$C:$C,Movimientos!$A:$A,$B16,Movimientos!$D:$D,CONCATENATE("&lt;=",PF$3),Movimientos!$C:$C,"&gt;0")+SUMIFS(Movimientos!$C:$C,Movimientos!$A:$A,$B16,Movimientos!$D:$D,CONCATENATE("&lt;",PF$3),Movimientos!$C:$C,"&lt;0")</f>
        <v>0</v>
      </c>
      <c r="PG16" s="5">
        <f ca="1">SUMIFS(Movimientos!$C:$C,Movimientos!$A:$A,$B16,Movimientos!$D:$D,CONCATENATE("&lt;=",PG$3),Movimientos!$C:$C,"&gt;0")+SUMIFS(Movimientos!$C:$C,Movimientos!$A:$A,$B16,Movimientos!$D:$D,CONCATENATE("&lt;",PG$3),Movimientos!$C:$C,"&lt;0")</f>
        <v>0</v>
      </c>
      <c r="PH16" s="5">
        <f ca="1">SUMIFS(Movimientos!$C:$C,Movimientos!$A:$A,$B16,Movimientos!$D:$D,CONCATENATE("&lt;=",PH$3),Movimientos!$C:$C,"&gt;0")+SUMIFS(Movimientos!$C:$C,Movimientos!$A:$A,$B16,Movimientos!$D:$D,CONCATENATE("&lt;",PH$3),Movimientos!$C:$C,"&lt;0")</f>
        <v>0</v>
      </c>
      <c r="PI16" s="5">
        <f ca="1">SUMIFS(Movimientos!$C:$C,Movimientos!$A:$A,$B16,Movimientos!$D:$D,CONCATENATE("&lt;=",PI$3),Movimientos!$C:$C,"&gt;0")+SUMIFS(Movimientos!$C:$C,Movimientos!$A:$A,$B16,Movimientos!$D:$D,CONCATENATE("&lt;",PI$3),Movimientos!$C:$C,"&lt;0")</f>
        <v>0</v>
      </c>
      <c r="PJ16" s="5">
        <f ca="1">SUMIFS(Movimientos!$C:$C,Movimientos!$A:$A,$B16,Movimientos!$D:$D,CONCATENATE("&lt;=",PJ$3),Movimientos!$C:$C,"&gt;0")+SUMIFS(Movimientos!$C:$C,Movimientos!$A:$A,$B16,Movimientos!$D:$D,CONCATENATE("&lt;",PJ$3),Movimientos!$C:$C,"&lt;0")</f>
        <v>0</v>
      </c>
      <c r="PK16" s="5">
        <f ca="1">SUMIFS(Movimientos!$C:$C,Movimientos!$A:$A,$B16,Movimientos!$D:$D,CONCATENATE("&lt;=",PK$3),Movimientos!$C:$C,"&gt;0")+SUMIFS(Movimientos!$C:$C,Movimientos!$A:$A,$B16,Movimientos!$D:$D,CONCATENATE("&lt;",PK$3),Movimientos!$C:$C,"&lt;0")</f>
        <v>0</v>
      </c>
      <c r="PL16" s="5">
        <f ca="1">SUMIFS(Movimientos!$C:$C,Movimientos!$A:$A,$B16,Movimientos!$D:$D,CONCATENATE("&lt;=",PL$3),Movimientos!$C:$C,"&gt;0")+SUMIFS(Movimientos!$C:$C,Movimientos!$A:$A,$B16,Movimientos!$D:$D,CONCATENATE("&lt;",PL$3),Movimientos!$C:$C,"&lt;0")</f>
        <v>0</v>
      </c>
      <c r="PM16" s="5">
        <f ca="1">SUMIFS(Movimientos!$C:$C,Movimientos!$A:$A,$B16,Movimientos!$D:$D,CONCATENATE("&lt;=",PM$3),Movimientos!$C:$C,"&gt;0")+SUMIFS(Movimientos!$C:$C,Movimientos!$A:$A,$B16,Movimientos!$D:$D,CONCATENATE("&lt;",PM$3),Movimientos!$C:$C,"&lt;0")</f>
        <v>0</v>
      </c>
      <c r="PN16" s="5">
        <f ca="1">SUMIFS(Movimientos!$C:$C,Movimientos!$A:$A,$B16,Movimientos!$D:$D,CONCATENATE("&lt;=",PN$3),Movimientos!$C:$C,"&gt;0")+SUMIFS(Movimientos!$C:$C,Movimientos!$A:$A,$B16,Movimientos!$D:$D,CONCATENATE("&lt;",PN$3),Movimientos!$C:$C,"&lt;0")</f>
        <v>0</v>
      </c>
      <c r="PO16" s="5">
        <f ca="1">SUMIFS(Movimientos!$C:$C,Movimientos!$A:$A,$B16,Movimientos!$D:$D,CONCATENATE("&lt;=",PO$3),Movimientos!$C:$C,"&gt;0")+SUMIFS(Movimientos!$C:$C,Movimientos!$A:$A,$B16,Movimientos!$D:$D,CONCATENATE("&lt;",PO$3),Movimientos!$C:$C,"&lt;0")</f>
        <v>0</v>
      </c>
      <c r="PP16" s="5">
        <f ca="1">SUMIFS(Movimientos!$C:$C,Movimientos!$A:$A,$B16,Movimientos!$D:$D,CONCATENATE("&lt;=",PP$3),Movimientos!$C:$C,"&gt;0")+SUMIFS(Movimientos!$C:$C,Movimientos!$A:$A,$B16,Movimientos!$D:$D,CONCATENATE("&lt;",PP$3),Movimientos!$C:$C,"&lt;0")</f>
        <v>0</v>
      </c>
      <c r="PQ16" s="5">
        <f ca="1">SUMIFS(Movimientos!$C:$C,Movimientos!$A:$A,$B16,Movimientos!$D:$D,CONCATENATE("&lt;=",PQ$3),Movimientos!$C:$C,"&gt;0")+SUMIFS(Movimientos!$C:$C,Movimientos!$A:$A,$B16,Movimientos!$D:$D,CONCATENATE("&lt;",PQ$3),Movimientos!$C:$C,"&lt;0")</f>
        <v>0</v>
      </c>
      <c r="PR16" s="5">
        <f ca="1">SUMIFS(Movimientos!$C:$C,Movimientos!$A:$A,$B16,Movimientos!$D:$D,CONCATENATE("&lt;=",PR$3),Movimientos!$C:$C,"&gt;0")+SUMIFS(Movimientos!$C:$C,Movimientos!$A:$A,$B16,Movimientos!$D:$D,CONCATENATE("&lt;",PR$3),Movimientos!$C:$C,"&lt;0")</f>
        <v>0</v>
      </c>
      <c r="PS16" s="5">
        <f ca="1">SUMIFS(Movimientos!$C:$C,Movimientos!$A:$A,$B16,Movimientos!$D:$D,CONCATENATE("&lt;=",PS$3),Movimientos!$C:$C,"&gt;0")+SUMIFS(Movimientos!$C:$C,Movimientos!$A:$A,$B16,Movimientos!$D:$D,CONCATENATE("&lt;",PS$3),Movimientos!$C:$C,"&lt;0")</f>
        <v>0</v>
      </c>
      <c r="PT16" s="5">
        <f ca="1">SUMIFS(Movimientos!$C:$C,Movimientos!$A:$A,$B16,Movimientos!$D:$D,CONCATENATE("&lt;=",PT$3),Movimientos!$C:$C,"&gt;0")+SUMIFS(Movimientos!$C:$C,Movimientos!$A:$A,$B16,Movimientos!$D:$D,CONCATENATE("&lt;",PT$3),Movimientos!$C:$C,"&lt;0")</f>
        <v>0</v>
      </c>
      <c r="PU16" s="5">
        <f ca="1">SUMIFS(Movimientos!$C:$C,Movimientos!$A:$A,$B16,Movimientos!$D:$D,CONCATENATE("&lt;=",PU$3),Movimientos!$C:$C,"&gt;0")+SUMIFS(Movimientos!$C:$C,Movimientos!$A:$A,$B16,Movimientos!$D:$D,CONCATENATE("&lt;",PU$3),Movimientos!$C:$C,"&lt;0")</f>
        <v>0</v>
      </c>
      <c r="PV16" s="5">
        <f ca="1">SUMIFS(Movimientos!$C:$C,Movimientos!$A:$A,$B16,Movimientos!$D:$D,CONCATENATE("&lt;=",PV$3),Movimientos!$C:$C,"&gt;0")+SUMIFS(Movimientos!$C:$C,Movimientos!$A:$A,$B16,Movimientos!$D:$D,CONCATENATE("&lt;",PV$3),Movimientos!$C:$C,"&lt;0")</f>
        <v>0</v>
      </c>
      <c r="PW16" s="5">
        <f ca="1">SUMIFS(Movimientos!$C:$C,Movimientos!$A:$A,$B16,Movimientos!$D:$D,CONCATENATE("&lt;=",PW$3),Movimientos!$C:$C,"&gt;0")+SUMIFS(Movimientos!$C:$C,Movimientos!$A:$A,$B16,Movimientos!$D:$D,CONCATENATE("&lt;",PW$3),Movimientos!$C:$C,"&lt;0")</f>
        <v>0</v>
      </c>
      <c r="PX16" s="5">
        <f ca="1">SUMIFS(Movimientos!$C:$C,Movimientos!$A:$A,$B16,Movimientos!$D:$D,CONCATENATE("&lt;=",PX$3),Movimientos!$C:$C,"&gt;0")+SUMIFS(Movimientos!$C:$C,Movimientos!$A:$A,$B16,Movimientos!$D:$D,CONCATENATE("&lt;",PX$3),Movimientos!$C:$C,"&lt;0")</f>
        <v>0</v>
      </c>
      <c r="PY16" s="5">
        <f ca="1">SUMIFS(Movimientos!$C:$C,Movimientos!$A:$A,$B16,Movimientos!$D:$D,CONCATENATE("&lt;=",PY$3),Movimientos!$C:$C,"&gt;0")+SUMIFS(Movimientos!$C:$C,Movimientos!$A:$A,$B16,Movimientos!$D:$D,CONCATENATE("&lt;",PY$3),Movimientos!$C:$C,"&lt;0")</f>
        <v>0</v>
      </c>
      <c r="PZ16" s="5">
        <f ca="1">SUMIFS(Movimientos!$C:$C,Movimientos!$A:$A,$B16,Movimientos!$D:$D,CONCATENATE("&lt;=",PZ$3),Movimientos!$C:$C,"&gt;0")+SUMIFS(Movimientos!$C:$C,Movimientos!$A:$A,$B16,Movimientos!$D:$D,CONCATENATE("&lt;",PZ$3),Movimientos!$C:$C,"&lt;0")</f>
        <v>0</v>
      </c>
      <c r="QA16" s="5">
        <f ca="1">SUMIFS(Movimientos!$C:$C,Movimientos!$A:$A,$B16,Movimientos!$D:$D,CONCATENATE("&lt;=",QA$3),Movimientos!$C:$C,"&gt;0")+SUMIFS(Movimientos!$C:$C,Movimientos!$A:$A,$B16,Movimientos!$D:$D,CONCATENATE("&lt;",QA$3),Movimientos!$C:$C,"&lt;0")</f>
        <v>0</v>
      </c>
      <c r="QB16" s="5">
        <f ca="1">SUMIFS(Movimientos!$C:$C,Movimientos!$A:$A,$B16,Movimientos!$D:$D,CONCATENATE("&lt;=",QB$3),Movimientos!$C:$C,"&gt;0")+SUMIFS(Movimientos!$C:$C,Movimientos!$A:$A,$B16,Movimientos!$D:$D,CONCATENATE("&lt;",QB$3),Movimientos!$C:$C,"&lt;0")</f>
        <v>0</v>
      </c>
      <c r="QC16" s="5">
        <f ca="1">SUMIFS(Movimientos!$C:$C,Movimientos!$A:$A,$B16,Movimientos!$D:$D,CONCATENATE("&lt;=",QC$3),Movimientos!$C:$C,"&gt;0")+SUMIFS(Movimientos!$C:$C,Movimientos!$A:$A,$B16,Movimientos!$D:$D,CONCATENATE("&lt;",QC$3),Movimientos!$C:$C,"&lt;0")</f>
        <v>0</v>
      </c>
      <c r="QD16" s="5">
        <f ca="1">SUMIFS(Movimientos!$C:$C,Movimientos!$A:$A,$B16,Movimientos!$D:$D,CONCATENATE("&lt;=",QD$3),Movimientos!$C:$C,"&gt;0")+SUMIFS(Movimientos!$C:$C,Movimientos!$A:$A,$B16,Movimientos!$D:$D,CONCATENATE("&lt;",QD$3),Movimientos!$C:$C,"&lt;0")</f>
        <v>0</v>
      </c>
      <c r="QE16" s="5">
        <f ca="1">SUMIFS(Movimientos!$C:$C,Movimientos!$A:$A,$B16,Movimientos!$D:$D,CONCATENATE("&lt;=",QE$3),Movimientos!$C:$C,"&gt;0")+SUMIFS(Movimientos!$C:$C,Movimientos!$A:$A,$B16,Movimientos!$D:$D,CONCATENATE("&lt;",QE$3),Movimientos!$C:$C,"&lt;0")</f>
        <v>0</v>
      </c>
      <c r="QF16" s="5">
        <f ca="1">SUMIFS(Movimientos!$C:$C,Movimientos!$A:$A,$B16,Movimientos!$D:$D,CONCATENATE("&lt;=",QF$3),Movimientos!$C:$C,"&gt;0")+SUMIFS(Movimientos!$C:$C,Movimientos!$A:$A,$B16,Movimientos!$D:$D,CONCATENATE("&lt;",QF$3),Movimientos!$C:$C,"&lt;0")</f>
        <v>0</v>
      </c>
      <c r="QG16" s="5">
        <f ca="1">SUMIFS(Movimientos!$C:$C,Movimientos!$A:$A,$B16,Movimientos!$D:$D,CONCATENATE("&lt;=",QG$3),Movimientos!$C:$C,"&gt;0")+SUMIFS(Movimientos!$C:$C,Movimientos!$A:$A,$B16,Movimientos!$D:$D,CONCATENATE("&lt;",QG$3),Movimientos!$C:$C,"&lt;0")</f>
        <v>0</v>
      </c>
      <c r="QH16" s="5">
        <f ca="1">SUMIFS(Movimientos!$C:$C,Movimientos!$A:$A,$B16,Movimientos!$D:$D,CONCATENATE("&lt;=",QH$3),Movimientos!$C:$C,"&gt;0")+SUMIFS(Movimientos!$C:$C,Movimientos!$A:$A,$B16,Movimientos!$D:$D,CONCATENATE("&lt;",QH$3),Movimientos!$C:$C,"&lt;0")</f>
        <v>0</v>
      </c>
      <c r="QI16" s="5">
        <f ca="1">SUMIFS(Movimientos!$C:$C,Movimientos!$A:$A,$B16,Movimientos!$D:$D,CONCATENATE("&lt;=",QI$3),Movimientos!$C:$C,"&gt;0")+SUMIFS(Movimientos!$C:$C,Movimientos!$A:$A,$B16,Movimientos!$D:$D,CONCATENATE("&lt;",QI$3),Movimientos!$C:$C,"&lt;0")</f>
        <v>0</v>
      </c>
      <c r="QJ16" s="5">
        <f ca="1">SUMIFS(Movimientos!$C:$C,Movimientos!$A:$A,$B16,Movimientos!$D:$D,CONCATENATE("&lt;=",QJ$3),Movimientos!$C:$C,"&gt;0")+SUMIFS(Movimientos!$C:$C,Movimientos!$A:$A,$B16,Movimientos!$D:$D,CONCATENATE("&lt;",QJ$3),Movimientos!$C:$C,"&lt;0")</f>
        <v>0</v>
      </c>
      <c r="QK16" s="5">
        <f ca="1">SUMIFS(Movimientos!$C:$C,Movimientos!$A:$A,$B16,Movimientos!$D:$D,CONCATENATE("&lt;=",QK$3),Movimientos!$C:$C,"&gt;0")+SUMIFS(Movimientos!$C:$C,Movimientos!$A:$A,$B16,Movimientos!$D:$D,CONCATENATE("&lt;",QK$3),Movimientos!$C:$C,"&lt;0")</f>
        <v>0</v>
      </c>
      <c r="QL16" s="5">
        <f ca="1">SUMIFS(Movimientos!$C:$C,Movimientos!$A:$A,$B16,Movimientos!$D:$D,CONCATENATE("&lt;=",QL$3),Movimientos!$C:$C,"&gt;0")+SUMIFS(Movimientos!$C:$C,Movimientos!$A:$A,$B16,Movimientos!$D:$D,CONCATENATE("&lt;",QL$3),Movimientos!$C:$C,"&lt;0")</f>
        <v>0</v>
      </c>
      <c r="QM16" s="5">
        <f ca="1">SUMIFS(Movimientos!$C:$C,Movimientos!$A:$A,$B16,Movimientos!$D:$D,CONCATENATE("&lt;=",QM$3),Movimientos!$C:$C,"&gt;0")+SUMIFS(Movimientos!$C:$C,Movimientos!$A:$A,$B16,Movimientos!$D:$D,CONCATENATE("&lt;",QM$3),Movimientos!$C:$C,"&lt;0")</f>
        <v>0</v>
      </c>
      <c r="QN16" s="5">
        <f ca="1">SUMIFS(Movimientos!$C:$C,Movimientos!$A:$A,$B16,Movimientos!$D:$D,CONCATENATE("&lt;=",QN$3),Movimientos!$C:$C,"&gt;0")+SUMIFS(Movimientos!$C:$C,Movimientos!$A:$A,$B16,Movimientos!$D:$D,CONCATENATE("&lt;",QN$3),Movimientos!$C:$C,"&lt;0")</f>
        <v>0</v>
      </c>
      <c r="QO16" s="5">
        <f ca="1">SUMIFS(Movimientos!$C:$C,Movimientos!$A:$A,$B16,Movimientos!$D:$D,CONCATENATE("&lt;=",QO$3),Movimientos!$C:$C,"&gt;0")+SUMIFS(Movimientos!$C:$C,Movimientos!$A:$A,$B16,Movimientos!$D:$D,CONCATENATE("&lt;",QO$3),Movimientos!$C:$C,"&lt;0")</f>
        <v>0</v>
      </c>
      <c r="QP16" s="5">
        <f ca="1">SUMIFS(Movimientos!$C:$C,Movimientos!$A:$A,$B16,Movimientos!$D:$D,CONCATENATE("&lt;=",QP$3),Movimientos!$C:$C,"&gt;0")+SUMIFS(Movimientos!$C:$C,Movimientos!$A:$A,$B16,Movimientos!$D:$D,CONCATENATE("&lt;",QP$3),Movimientos!$C:$C,"&lt;0")</f>
        <v>0</v>
      </c>
      <c r="QQ16" s="5">
        <f ca="1">SUMIFS(Movimientos!$C:$C,Movimientos!$A:$A,$B16,Movimientos!$D:$D,CONCATENATE("&lt;=",QQ$3),Movimientos!$C:$C,"&gt;0")+SUMIFS(Movimientos!$C:$C,Movimientos!$A:$A,$B16,Movimientos!$D:$D,CONCATENATE("&lt;",QQ$3),Movimientos!$C:$C,"&lt;0")</f>
        <v>0</v>
      </c>
      <c r="QR16" s="5">
        <f ca="1">SUMIFS(Movimientos!$C:$C,Movimientos!$A:$A,$B16,Movimientos!$D:$D,CONCATENATE("&lt;=",QR$3),Movimientos!$C:$C,"&gt;0")+SUMIFS(Movimientos!$C:$C,Movimientos!$A:$A,$B16,Movimientos!$D:$D,CONCATENATE("&lt;",QR$3),Movimientos!$C:$C,"&lt;0")</f>
        <v>0</v>
      </c>
      <c r="QS16" s="5">
        <f ca="1">SUMIFS(Movimientos!$C:$C,Movimientos!$A:$A,$B16,Movimientos!$D:$D,CONCATENATE("&lt;=",QS$3),Movimientos!$C:$C,"&gt;0")+SUMIFS(Movimientos!$C:$C,Movimientos!$A:$A,$B16,Movimientos!$D:$D,CONCATENATE("&lt;",QS$3),Movimientos!$C:$C,"&lt;0")</f>
        <v>0</v>
      </c>
      <c r="QT16" s="5">
        <f ca="1">SUMIFS(Movimientos!$C:$C,Movimientos!$A:$A,$B16,Movimientos!$D:$D,CONCATENATE("&lt;=",QT$3),Movimientos!$C:$C,"&gt;0")+SUMIFS(Movimientos!$C:$C,Movimientos!$A:$A,$B16,Movimientos!$D:$D,CONCATENATE("&lt;",QT$3),Movimientos!$C:$C,"&lt;0")</f>
        <v>0</v>
      </c>
      <c r="QU16" s="5">
        <f ca="1">SUMIFS(Movimientos!$C:$C,Movimientos!$A:$A,$B16,Movimientos!$D:$D,CONCATENATE("&lt;=",QU$3),Movimientos!$C:$C,"&gt;0")+SUMIFS(Movimientos!$C:$C,Movimientos!$A:$A,$B16,Movimientos!$D:$D,CONCATENATE("&lt;",QU$3),Movimientos!$C:$C,"&lt;0")</f>
        <v>0</v>
      </c>
      <c r="QV16" s="5">
        <f ca="1">SUMIFS(Movimientos!$C:$C,Movimientos!$A:$A,$B16,Movimientos!$D:$D,CONCATENATE("&lt;=",QV$3),Movimientos!$C:$C,"&gt;0")+SUMIFS(Movimientos!$C:$C,Movimientos!$A:$A,$B16,Movimientos!$D:$D,CONCATENATE("&lt;",QV$3),Movimientos!$C:$C,"&lt;0")</f>
        <v>0</v>
      </c>
      <c r="QW16" s="5">
        <f ca="1">SUMIFS(Movimientos!$C:$C,Movimientos!$A:$A,$B16,Movimientos!$D:$D,CONCATENATE("&lt;=",QW$3),Movimientos!$C:$C,"&gt;0")+SUMIFS(Movimientos!$C:$C,Movimientos!$A:$A,$B16,Movimientos!$D:$D,CONCATENATE("&lt;",QW$3),Movimientos!$C:$C,"&lt;0")</f>
        <v>0</v>
      </c>
      <c r="QX16" s="5">
        <f ca="1">SUMIFS(Movimientos!$C:$C,Movimientos!$A:$A,$B16,Movimientos!$D:$D,CONCATENATE("&lt;=",QX$3),Movimientos!$C:$C,"&gt;0")+SUMIFS(Movimientos!$C:$C,Movimientos!$A:$A,$B16,Movimientos!$D:$D,CONCATENATE("&lt;",QX$3),Movimientos!$C:$C,"&lt;0")</f>
        <v>0</v>
      </c>
      <c r="QY16" s="5">
        <f ca="1">SUMIFS(Movimientos!$C:$C,Movimientos!$A:$A,$B16,Movimientos!$D:$D,CONCATENATE("&lt;=",QY$3),Movimientos!$C:$C,"&gt;0")+SUMIFS(Movimientos!$C:$C,Movimientos!$A:$A,$B16,Movimientos!$D:$D,CONCATENATE("&lt;",QY$3),Movimientos!$C:$C,"&lt;0")</f>
        <v>0</v>
      </c>
      <c r="QZ16" s="5">
        <f ca="1">SUMIFS(Movimientos!$C:$C,Movimientos!$A:$A,$B16,Movimientos!$D:$D,CONCATENATE("&lt;=",QZ$3),Movimientos!$C:$C,"&gt;0")+SUMIFS(Movimientos!$C:$C,Movimientos!$A:$A,$B16,Movimientos!$D:$D,CONCATENATE("&lt;",QZ$3),Movimientos!$C:$C,"&lt;0")</f>
        <v>0</v>
      </c>
      <c r="RA16" s="5">
        <f ca="1">SUMIFS(Movimientos!$C:$C,Movimientos!$A:$A,$B16,Movimientos!$D:$D,CONCATENATE("&lt;=",RA$3),Movimientos!$C:$C,"&gt;0")+SUMIFS(Movimientos!$C:$C,Movimientos!$A:$A,$B16,Movimientos!$D:$D,CONCATENATE("&lt;",RA$3),Movimientos!$C:$C,"&lt;0")</f>
        <v>0</v>
      </c>
      <c r="RB16" s="5">
        <f ca="1">SUMIFS(Movimientos!$C:$C,Movimientos!$A:$A,$B16,Movimientos!$D:$D,CONCATENATE("&lt;=",RB$3),Movimientos!$C:$C,"&gt;0")+SUMIFS(Movimientos!$C:$C,Movimientos!$A:$A,$B16,Movimientos!$D:$D,CONCATENATE("&lt;",RB$3),Movimientos!$C:$C,"&lt;0")</f>
        <v>0</v>
      </c>
      <c r="RC16" s="5">
        <f ca="1">SUMIFS(Movimientos!$C:$C,Movimientos!$A:$A,$B16,Movimientos!$D:$D,CONCATENATE("&lt;=",RC$3),Movimientos!$C:$C,"&gt;0")+SUMIFS(Movimientos!$C:$C,Movimientos!$A:$A,$B16,Movimientos!$D:$D,CONCATENATE("&lt;",RC$3),Movimientos!$C:$C,"&lt;0")</f>
        <v>0</v>
      </c>
      <c r="RD16" s="5">
        <f ca="1">SUMIFS(Movimientos!$C:$C,Movimientos!$A:$A,$B16,Movimientos!$D:$D,CONCATENATE("&lt;=",RD$3),Movimientos!$C:$C,"&gt;0")+SUMIFS(Movimientos!$C:$C,Movimientos!$A:$A,$B16,Movimientos!$D:$D,CONCATENATE("&lt;",RD$3),Movimientos!$C:$C,"&lt;0")</f>
        <v>0</v>
      </c>
      <c r="RE16" s="5">
        <f ca="1">SUMIFS(Movimientos!$C:$C,Movimientos!$A:$A,$B16,Movimientos!$D:$D,CONCATENATE("&lt;=",RE$3),Movimientos!$C:$C,"&gt;0")+SUMIFS(Movimientos!$C:$C,Movimientos!$A:$A,$B16,Movimientos!$D:$D,CONCATENATE("&lt;",RE$3),Movimientos!$C:$C,"&lt;0")</f>
        <v>0</v>
      </c>
      <c r="RF16" s="5">
        <f ca="1">SUMIFS(Movimientos!$C:$C,Movimientos!$A:$A,$B16,Movimientos!$D:$D,CONCATENATE("&lt;=",RF$3),Movimientos!$C:$C,"&gt;0")+SUMIFS(Movimientos!$C:$C,Movimientos!$A:$A,$B16,Movimientos!$D:$D,CONCATENATE("&lt;",RF$3),Movimientos!$C:$C,"&lt;0")</f>
        <v>0</v>
      </c>
      <c r="RG16" s="5">
        <f ca="1">SUMIFS(Movimientos!$C:$C,Movimientos!$A:$A,$B16,Movimientos!$D:$D,CONCATENATE("&lt;=",RG$3),Movimientos!$C:$C,"&gt;0")+SUMIFS(Movimientos!$C:$C,Movimientos!$A:$A,$B16,Movimientos!$D:$D,CONCATENATE("&lt;",RG$3),Movimientos!$C:$C,"&lt;0")</f>
        <v>0</v>
      </c>
      <c r="RH16" s="5">
        <f ca="1">SUMIFS(Movimientos!$C:$C,Movimientos!$A:$A,$B16,Movimientos!$D:$D,CONCATENATE("&lt;=",RH$3),Movimientos!$C:$C,"&gt;0")+SUMIFS(Movimientos!$C:$C,Movimientos!$A:$A,$B16,Movimientos!$D:$D,CONCATENATE("&lt;",RH$3),Movimientos!$C:$C,"&lt;0")</f>
        <v>0</v>
      </c>
      <c r="RI16" s="5">
        <f ca="1">SUMIFS(Movimientos!$C:$C,Movimientos!$A:$A,$B16,Movimientos!$D:$D,CONCATENATE("&lt;=",RI$3),Movimientos!$C:$C,"&gt;0")+SUMIFS(Movimientos!$C:$C,Movimientos!$A:$A,$B16,Movimientos!$D:$D,CONCATENATE("&lt;",RI$3),Movimientos!$C:$C,"&lt;0")</f>
        <v>0</v>
      </c>
      <c r="RJ16" s="5">
        <f ca="1">SUMIFS(Movimientos!$C:$C,Movimientos!$A:$A,$B16,Movimientos!$D:$D,CONCATENATE("&lt;=",RJ$3),Movimientos!$C:$C,"&gt;0")+SUMIFS(Movimientos!$C:$C,Movimientos!$A:$A,$B16,Movimientos!$D:$D,CONCATENATE("&lt;",RJ$3),Movimientos!$C:$C,"&lt;0")</f>
        <v>0</v>
      </c>
      <c r="RK16" s="5">
        <f ca="1">SUMIFS(Movimientos!$C:$C,Movimientos!$A:$A,$B16,Movimientos!$D:$D,CONCATENATE("&lt;=",RK$3),Movimientos!$C:$C,"&gt;0")+SUMIFS(Movimientos!$C:$C,Movimientos!$A:$A,$B16,Movimientos!$D:$D,CONCATENATE("&lt;",RK$3),Movimientos!$C:$C,"&lt;0")</f>
        <v>0</v>
      </c>
      <c r="RL16" s="5">
        <f ca="1">SUMIFS(Movimientos!$C:$C,Movimientos!$A:$A,$B16,Movimientos!$D:$D,CONCATENATE("&lt;=",RL$3),Movimientos!$C:$C,"&gt;0")+SUMIFS(Movimientos!$C:$C,Movimientos!$A:$A,$B16,Movimientos!$D:$D,CONCATENATE("&lt;",RL$3),Movimientos!$C:$C,"&lt;0")</f>
        <v>0</v>
      </c>
      <c r="RM16" s="5">
        <f ca="1">SUMIFS(Movimientos!$C:$C,Movimientos!$A:$A,$B16,Movimientos!$D:$D,CONCATENATE("&lt;=",RM$3),Movimientos!$C:$C,"&gt;0")+SUMIFS(Movimientos!$C:$C,Movimientos!$A:$A,$B16,Movimientos!$D:$D,CONCATENATE("&lt;",RM$3),Movimientos!$C:$C,"&lt;0")</f>
        <v>0</v>
      </c>
      <c r="RN16" s="5">
        <f ca="1">SUMIFS(Movimientos!$C:$C,Movimientos!$A:$A,$B16,Movimientos!$D:$D,CONCATENATE("&lt;=",RN$3),Movimientos!$C:$C,"&gt;0")+SUMIFS(Movimientos!$C:$C,Movimientos!$A:$A,$B16,Movimientos!$D:$D,CONCATENATE("&lt;",RN$3),Movimientos!$C:$C,"&lt;0")</f>
        <v>0</v>
      </c>
      <c r="RO16" s="5">
        <f ca="1">SUMIFS(Movimientos!$C:$C,Movimientos!$A:$A,$B16,Movimientos!$D:$D,CONCATENATE("&lt;=",RO$3),Movimientos!$C:$C,"&gt;0")+SUMIFS(Movimientos!$C:$C,Movimientos!$A:$A,$B16,Movimientos!$D:$D,CONCATENATE("&lt;",RO$3),Movimientos!$C:$C,"&lt;0")</f>
        <v>0</v>
      </c>
      <c r="RP16" s="5">
        <f ca="1">SUMIFS(Movimientos!$C:$C,Movimientos!$A:$A,$B16,Movimientos!$D:$D,CONCATENATE("&lt;=",RP$3),Movimientos!$C:$C,"&gt;0")+SUMIFS(Movimientos!$C:$C,Movimientos!$A:$A,$B16,Movimientos!$D:$D,CONCATENATE("&lt;",RP$3),Movimientos!$C:$C,"&lt;0")</f>
        <v>0</v>
      </c>
      <c r="RQ16" s="5">
        <f ca="1">SUMIFS(Movimientos!$C:$C,Movimientos!$A:$A,$B16,Movimientos!$D:$D,CONCATENATE("&lt;=",RQ$3),Movimientos!$C:$C,"&gt;0")+SUMIFS(Movimientos!$C:$C,Movimientos!$A:$A,$B16,Movimientos!$D:$D,CONCATENATE("&lt;",RQ$3),Movimientos!$C:$C,"&lt;0")</f>
        <v>0</v>
      </c>
      <c r="RR16" s="5">
        <f ca="1">SUMIFS(Movimientos!$C:$C,Movimientos!$A:$A,$B16,Movimientos!$D:$D,CONCATENATE("&lt;=",RR$3),Movimientos!$C:$C,"&gt;0")+SUMIFS(Movimientos!$C:$C,Movimientos!$A:$A,$B16,Movimientos!$D:$D,CONCATENATE("&lt;",RR$3),Movimientos!$C:$C,"&lt;0")</f>
        <v>0</v>
      </c>
      <c r="RS16" s="5">
        <f ca="1">SUMIFS(Movimientos!$C:$C,Movimientos!$A:$A,$B16,Movimientos!$D:$D,CONCATENATE("&lt;=",RS$3),Movimientos!$C:$C,"&gt;0")+SUMIFS(Movimientos!$C:$C,Movimientos!$A:$A,$B16,Movimientos!$D:$D,CONCATENATE("&lt;",RS$3),Movimientos!$C:$C,"&lt;0")</f>
        <v>0</v>
      </c>
      <c r="RT16" s="5">
        <f ca="1">SUMIFS(Movimientos!$C:$C,Movimientos!$A:$A,$B16,Movimientos!$D:$D,CONCATENATE("&lt;=",RT$3),Movimientos!$C:$C,"&gt;0")+SUMIFS(Movimientos!$C:$C,Movimientos!$A:$A,$B16,Movimientos!$D:$D,CONCATENATE("&lt;",RT$3),Movimientos!$C:$C,"&lt;0")</f>
        <v>0</v>
      </c>
      <c r="RU16" s="5">
        <f ca="1">SUMIFS(Movimientos!$C:$C,Movimientos!$A:$A,$B16,Movimientos!$D:$D,CONCATENATE("&lt;=",RU$3),Movimientos!$C:$C,"&gt;0")+SUMIFS(Movimientos!$C:$C,Movimientos!$A:$A,$B16,Movimientos!$D:$D,CONCATENATE("&lt;",RU$3),Movimientos!$C:$C,"&lt;0")</f>
        <v>0</v>
      </c>
      <c r="RV16" s="5">
        <f ca="1">SUMIFS(Movimientos!$C:$C,Movimientos!$A:$A,$B16,Movimientos!$D:$D,CONCATENATE("&lt;=",RV$3),Movimientos!$C:$C,"&gt;0")+SUMIFS(Movimientos!$C:$C,Movimientos!$A:$A,$B16,Movimientos!$D:$D,CONCATENATE("&lt;",RV$3),Movimientos!$C:$C,"&lt;0")</f>
        <v>0</v>
      </c>
      <c r="RW16" s="5">
        <f ca="1">SUMIFS(Movimientos!$C:$C,Movimientos!$A:$A,$B16,Movimientos!$D:$D,CONCATENATE("&lt;=",RW$3),Movimientos!$C:$C,"&gt;0")+SUMIFS(Movimientos!$C:$C,Movimientos!$A:$A,$B16,Movimientos!$D:$D,CONCATENATE("&lt;",RW$3),Movimientos!$C:$C,"&lt;0")</f>
        <v>0</v>
      </c>
      <c r="RX16" s="5">
        <f ca="1">SUMIFS(Movimientos!$C:$C,Movimientos!$A:$A,$B16,Movimientos!$D:$D,CONCATENATE("&lt;=",RX$3),Movimientos!$C:$C,"&gt;0")+SUMIFS(Movimientos!$C:$C,Movimientos!$A:$A,$B16,Movimientos!$D:$D,CONCATENATE("&lt;",RX$3),Movimientos!$C:$C,"&lt;0")</f>
        <v>0</v>
      </c>
      <c r="RY16" s="5">
        <f ca="1">SUMIFS(Movimientos!$C:$C,Movimientos!$A:$A,$B16,Movimientos!$D:$D,CONCATENATE("&lt;=",RY$3),Movimientos!$C:$C,"&gt;0")+SUMIFS(Movimientos!$C:$C,Movimientos!$A:$A,$B16,Movimientos!$D:$D,CONCATENATE("&lt;",RY$3),Movimientos!$C:$C,"&lt;0")</f>
        <v>0</v>
      </c>
      <c r="RZ16" s="5">
        <f ca="1">SUMIFS(Movimientos!$C:$C,Movimientos!$A:$A,$B16,Movimientos!$D:$D,CONCATENATE("&lt;=",RZ$3),Movimientos!$C:$C,"&gt;0")+SUMIFS(Movimientos!$C:$C,Movimientos!$A:$A,$B16,Movimientos!$D:$D,CONCATENATE("&lt;",RZ$3),Movimientos!$C:$C,"&lt;0")</f>
        <v>0</v>
      </c>
      <c r="SA16" s="5">
        <f ca="1">SUMIFS(Movimientos!$C:$C,Movimientos!$A:$A,$B16,Movimientos!$D:$D,CONCATENATE("&lt;=",SA$3),Movimientos!$C:$C,"&gt;0")+SUMIFS(Movimientos!$C:$C,Movimientos!$A:$A,$B16,Movimientos!$D:$D,CONCATENATE("&lt;",SA$3),Movimientos!$C:$C,"&lt;0")</f>
        <v>0</v>
      </c>
      <c r="SB16" s="5">
        <f ca="1">SUMIFS(Movimientos!$C:$C,Movimientos!$A:$A,$B16,Movimientos!$D:$D,CONCATENATE("&lt;=",SB$3),Movimientos!$C:$C,"&gt;0")+SUMIFS(Movimientos!$C:$C,Movimientos!$A:$A,$B16,Movimientos!$D:$D,CONCATENATE("&lt;",SB$3),Movimientos!$C:$C,"&lt;0")</f>
        <v>0</v>
      </c>
      <c r="SC16" s="5">
        <f ca="1">SUMIFS(Movimientos!$C:$C,Movimientos!$A:$A,$B16,Movimientos!$D:$D,CONCATENATE("&lt;=",SC$3),Movimientos!$C:$C,"&gt;0")+SUMIFS(Movimientos!$C:$C,Movimientos!$A:$A,$B16,Movimientos!$D:$D,CONCATENATE("&lt;",SC$3),Movimientos!$C:$C,"&lt;0")</f>
        <v>0</v>
      </c>
      <c r="SD16" s="5">
        <f ca="1">SUMIFS(Movimientos!$C:$C,Movimientos!$A:$A,$B16,Movimientos!$D:$D,CONCATENATE("&lt;=",SD$3),Movimientos!$C:$C,"&gt;0")+SUMIFS(Movimientos!$C:$C,Movimientos!$A:$A,$B16,Movimientos!$D:$D,CONCATENATE("&lt;",SD$3),Movimientos!$C:$C,"&lt;0")</f>
        <v>0</v>
      </c>
      <c r="SE16" s="5">
        <f ca="1">SUMIFS(Movimientos!$C:$C,Movimientos!$A:$A,$B16,Movimientos!$D:$D,CONCATENATE("&lt;=",SE$3),Movimientos!$C:$C,"&gt;0")+SUMIFS(Movimientos!$C:$C,Movimientos!$A:$A,$B16,Movimientos!$D:$D,CONCATENATE("&lt;",SE$3),Movimientos!$C:$C,"&lt;0")</f>
        <v>0</v>
      </c>
      <c r="SF16" s="5">
        <f ca="1">SUMIFS(Movimientos!$C:$C,Movimientos!$A:$A,$B16,Movimientos!$D:$D,CONCATENATE("&lt;=",SF$3),Movimientos!$C:$C,"&gt;0")+SUMIFS(Movimientos!$C:$C,Movimientos!$A:$A,$B16,Movimientos!$D:$D,CONCATENATE("&lt;",SF$3),Movimientos!$C:$C,"&lt;0")</f>
        <v>0</v>
      </c>
      <c r="SG16" s="5">
        <f ca="1">SUMIFS(Movimientos!$C:$C,Movimientos!$A:$A,$B16,Movimientos!$D:$D,CONCATENATE("&lt;=",SG$3),Movimientos!$C:$C,"&gt;0")+SUMIFS(Movimientos!$C:$C,Movimientos!$A:$A,$B16,Movimientos!$D:$D,CONCATENATE("&lt;",SG$3),Movimientos!$C:$C,"&lt;0")</f>
        <v>0</v>
      </c>
      <c r="SH16" s="5">
        <f ca="1">SUMIFS(Movimientos!$C:$C,Movimientos!$A:$A,$B16,Movimientos!$D:$D,CONCATENATE("&lt;=",SH$3),Movimientos!$C:$C,"&gt;0")+SUMIFS(Movimientos!$C:$C,Movimientos!$A:$A,$B16,Movimientos!$D:$D,CONCATENATE("&lt;",SH$3),Movimientos!$C:$C,"&lt;0")</f>
        <v>0</v>
      </c>
      <c r="SI16" s="5">
        <f ca="1">SUMIFS(Movimientos!$C:$C,Movimientos!$A:$A,$B16,Movimientos!$D:$D,CONCATENATE("&lt;=",SI$3),Movimientos!$C:$C,"&gt;0")+SUMIFS(Movimientos!$C:$C,Movimientos!$A:$A,$B16,Movimientos!$D:$D,CONCATENATE("&lt;",SI$3),Movimientos!$C:$C,"&lt;0")</f>
        <v>0</v>
      </c>
      <c r="SJ16" s="5">
        <f ca="1">SUMIFS(Movimientos!$C:$C,Movimientos!$A:$A,$B16,Movimientos!$D:$D,CONCATENATE("&lt;=",SJ$3),Movimientos!$C:$C,"&gt;0")+SUMIFS(Movimientos!$C:$C,Movimientos!$A:$A,$B16,Movimientos!$D:$D,CONCATENATE("&lt;",SJ$3),Movimientos!$C:$C,"&lt;0")</f>
        <v>0</v>
      </c>
      <c r="SK16" s="5">
        <f ca="1">SUMIFS(Movimientos!$C:$C,Movimientos!$A:$A,$B16,Movimientos!$D:$D,CONCATENATE("&lt;=",SK$3),Movimientos!$C:$C,"&gt;0")+SUMIFS(Movimientos!$C:$C,Movimientos!$A:$A,$B16,Movimientos!$D:$D,CONCATENATE("&lt;",SK$3),Movimientos!$C:$C,"&lt;0")</f>
        <v>0</v>
      </c>
      <c r="SL16" s="5">
        <f ca="1">SUMIFS(Movimientos!$C:$C,Movimientos!$A:$A,$B16,Movimientos!$D:$D,CONCATENATE("&lt;=",SL$3),Movimientos!$C:$C,"&gt;0")+SUMIFS(Movimientos!$C:$C,Movimientos!$A:$A,$B16,Movimientos!$D:$D,CONCATENATE("&lt;",SL$3),Movimientos!$C:$C,"&lt;0")</f>
        <v>0</v>
      </c>
      <c r="SM16" s="5">
        <f ca="1">SUMIFS(Movimientos!$C:$C,Movimientos!$A:$A,$B16,Movimientos!$D:$D,CONCATENATE("&lt;=",SM$3),Movimientos!$C:$C,"&gt;0")+SUMIFS(Movimientos!$C:$C,Movimientos!$A:$A,$B16,Movimientos!$D:$D,CONCATENATE("&lt;",SM$3),Movimientos!$C:$C,"&lt;0")</f>
        <v>0</v>
      </c>
      <c r="SN16" s="5">
        <f ca="1">SUMIFS(Movimientos!$C:$C,Movimientos!$A:$A,$B16,Movimientos!$D:$D,CONCATENATE("&lt;=",SN$3),Movimientos!$C:$C,"&gt;0")+SUMIFS(Movimientos!$C:$C,Movimientos!$A:$A,$B16,Movimientos!$D:$D,CONCATENATE("&lt;",SN$3),Movimientos!$C:$C,"&lt;0")</f>
        <v>0</v>
      </c>
      <c r="SO16" s="5">
        <f ca="1">SUMIFS(Movimientos!$C:$C,Movimientos!$A:$A,$B16,Movimientos!$D:$D,CONCATENATE("&lt;=",SO$3),Movimientos!$C:$C,"&gt;0")+SUMIFS(Movimientos!$C:$C,Movimientos!$A:$A,$B16,Movimientos!$D:$D,CONCATENATE("&lt;",SO$3),Movimientos!$C:$C,"&lt;0")</f>
        <v>0</v>
      </c>
      <c r="SP16" s="5">
        <f ca="1">SUMIFS(Movimientos!$C:$C,Movimientos!$A:$A,$B16,Movimientos!$D:$D,CONCATENATE("&lt;=",SP$3),Movimientos!$C:$C,"&gt;0")+SUMIFS(Movimientos!$C:$C,Movimientos!$A:$A,$B16,Movimientos!$D:$D,CONCATENATE("&lt;",SP$3),Movimientos!$C:$C,"&lt;0")</f>
        <v>0</v>
      </c>
      <c r="SQ16" s="5">
        <f ca="1">SUMIFS(Movimientos!$C:$C,Movimientos!$A:$A,$B16,Movimientos!$D:$D,CONCATENATE("&lt;=",SQ$3),Movimientos!$C:$C,"&gt;0")+SUMIFS(Movimientos!$C:$C,Movimientos!$A:$A,$B16,Movimientos!$D:$D,CONCATENATE("&lt;",SQ$3),Movimientos!$C:$C,"&lt;0")</f>
        <v>0</v>
      </c>
      <c r="SR16" s="5">
        <f ca="1">SUMIFS(Movimientos!$C:$C,Movimientos!$A:$A,$B16,Movimientos!$D:$D,CONCATENATE("&lt;=",SR$3),Movimientos!$C:$C,"&gt;0")+SUMIFS(Movimientos!$C:$C,Movimientos!$A:$A,$B16,Movimientos!$D:$D,CONCATENATE("&lt;",SR$3),Movimientos!$C:$C,"&lt;0")</f>
        <v>0</v>
      </c>
      <c r="SS16" s="5">
        <f ca="1">SUMIFS(Movimientos!$C:$C,Movimientos!$A:$A,$B16,Movimientos!$D:$D,CONCATENATE("&lt;=",SS$3),Movimientos!$C:$C,"&gt;0")+SUMIFS(Movimientos!$C:$C,Movimientos!$A:$A,$B16,Movimientos!$D:$D,CONCATENATE("&lt;",SS$3),Movimientos!$C:$C,"&lt;0")</f>
        <v>0</v>
      </c>
      <c r="ST16" s="5">
        <f ca="1">SUMIFS(Movimientos!$C:$C,Movimientos!$A:$A,$B16,Movimientos!$D:$D,CONCATENATE("&lt;=",ST$3),Movimientos!$C:$C,"&gt;0")+SUMIFS(Movimientos!$C:$C,Movimientos!$A:$A,$B16,Movimientos!$D:$D,CONCATENATE("&lt;",ST$3),Movimientos!$C:$C,"&lt;0")</f>
        <v>0</v>
      </c>
      <c r="SU16" s="5">
        <f ca="1">SUMIFS(Movimientos!$C:$C,Movimientos!$A:$A,$B16,Movimientos!$D:$D,CONCATENATE("&lt;=",SU$3),Movimientos!$C:$C,"&gt;0")+SUMIFS(Movimientos!$C:$C,Movimientos!$A:$A,$B16,Movimientos!$D:$D,CONCATENATE("&lt;",SU$3),Movimientos!$C:$C,"&lt;0")</f>
        <v>0</v>
      </c>
      <c r="SV16" s="5">
        <f ca="1">SUMIFS(Movimientos!$C:$C,Movimientos!$A:$A,$B16,Movimientos!$D:$D,CONCATENATE("&lt;=",SV$3),Movimientos!$C:$C,"&gt;0")+SUMIFS(Movimientos!$C:$C,Movimientos!$A:$A,$B16,Movimientos!$D:$D,CONCATENATE("&lt;",SV$3),Movimientos!$C:$C,"&lt;0")</f>
        <v>0</v>
      </c>
      <c r="SW16" s="5">
        <f ca="1">SUMIFS(Movimientos!$C:$C,Movimientos!$A:$A,$B16,Movimientos!$D:$D,CONCATENATE("&lt;=",SW$3),Movimientos!$C:$C,"&gt;0")+SUMIFS(Movimientos!$C:$C,Movimientos!$A:$A,$B16,Movimientos!$D:$D,CONCATENATE("&lt;",SW$3),Movimientos!$C:$C,"&lt;0")</f>
        <v>0</v>
      </c>
      <c r="SX16" s="5">
        <f ca="1">SUMIFS(Movimientos!$C:$C,Movimientos!$A:$A,$B16,Movimientos!$D:$D,CONCATENATE("&lt;=",SX$3),Movimientos!$C:$C,"&gt;0")+SUMIFS(Movimientos!$C:$C,Movimientos!$A:$A,$B16,Movimientos!$D:$D,CONCATENATE("&lt;",SX$3),Movimientos!$C:$C,"&lt;0")</f>
        <v>0</v>
      </c>
      <c r="SY16" s="5">
        <f ca="1">SUMIFS(Movimientos!$C:$C,Movimientos!$A:$A,$B16,Movimientos!$D:$D,CONCATENATE("&lt;=",SY$3),Movimientos!$C:$C,"&gt;0")+SUMIFS(Movimientos!$C:$C,Movimientos!$A:$A,$B16,Movimientos!$D:$D,CONCATENATE("&lt;",SY$3),Movimientos!$C:$C,"&lt;0")</f>
        <v>0</v>
      </c>
      <c r="SZ16" s="5">
        <f ca="1">SUMIFS(Movimientos!$C:$C,Movimientos!$A:$A,$B16,Movimientos!$D:$D,CONCATENATE("&lt;=",SZ$3),Movimientos!$C:$C,"&gt;0")+SUMIFS(Movimientos!$C:$C,Movimientos!$A:$A,$B16,Movimientos!$D:$D,CONCATENATE("&lt;",SZ$3),Movimientos!$C:$C,"&lt;0")</f>
        <v>0</v>
      </c>
      <c r="TA16" s="5">
        <f ca="1">SUMIFS(Movimientos!$C:$C,Movimientos!$A:$A,$B16,Movimientos!$D:$D,CONCATENATE("&lt;=",TA$3),Movimientos!$C:$C,"&gt;0")+SUMIFS(Movimientos!$C:$C,Movimientos!$A:$A,$B16,Movimientos!$D:$D,CONCATENATE("&lt;",TA$3),Movimientos!$C:$C,"&lt;0")</f>
        <v>0</v>
      </c>
      <c r="TB16" s="5">
        <f ca="1">SUMIFS(Movimientos!$C:$C,Movimientos!$A:$A,$B16,Movimientos!$D:$D,CONCATENATE("&lt;=",TB$3),Movimientos!$C:$C,"&gt;0")+SUMIFS(Movimientos!$C:$C,Movimientos!$A:$A,$B16,Movimientos!$D:$D,CONCATENATE("&lt;",TB$3),Movimientos!$C:$C,"&lt;0")</f>
        <v>0</v>
      </c>
      <c r="TC16" s="5">
        <f ca="1">SUMIFS(Movimientos!$C:$C,Movimientos!$A:$A,$B16,Movimientos!$D:$D,CONCATENATE("&lt;=",TC$3),Movimientos!$C:$C,"&gt;0")+SUMIFS(Movimientos!$C:$C,Movimientos!$A:$A,$B16,Movimientos!$D:$D,CONCATENATE("&lt;",TC$3),Movimientos!$C:$C,"&lt;0")</f>
        <v>0</v>
      </c>
      <c r="TD16" s="5">
        <f ca="1">SUMIFS(Movimientos!$C:$C,Movimientos!$A:$A,$B16,Movimientos!$D:$D,CONCATENATE("&lt;=",TD$3),Movimientos!$C:$C,"&gt;0")+SUMIFS(Movimientos!$C:$C,Movimientos!$A:$A,$B16,Movimientos!$D:$D,CONCATENATE("&lt;",TD$3),Movimientos!$C:$C,"&lt;0")</f>
        <v>0</v>
      </c>
      <c r="TE16" s="5">
        <f ca="1">SUMIFS(Movimientos!$C:$C,Movimientos!$A:$A,$B16,Movimientos!$D:$D,CONCATENATE("&lt;=",TE$3),Movimientos!$C:$C,"&gt;0")+SUMIFS(Movimientos!$C:$C,Movimientos!$A:$A,$B16,Movimientos!$D:$D,CONCATENATE("&lt;",TE$3),Movimientos!$C:$C,"&lt;0")</f>
        <v>0</v>
      </c>
      <c r="TF16" s="5">
        <f ca="1">SUMIFS(Movimientos!$C:$C,Movimientos!$A:$A,$B16,Movimientos!$D:$D,CONCATENATE("&lt;=",TF$3),Movimientos!$C:$C,"&gt;0")+SUMIFS(Movimientos!$C:$C,Movimientos!$A:$A,$B16,Movimientos!$D:$D,CONCATENATE("&lt;",TF$3),Movimientos!$C:$C,"&lt;0")</f>
        <v>0</v>
      </c>
    </row>
    <row r="17" spans="1:526">
      <c r="A17" s="31" t="s">
        <v>48</v>
      </c>
      <c r="B17" s="4">
        <f>Cartera!B17</f>
        <v>0</v>
      </c>
      <c r="C17" s="4">
        <f>Cartera!C17</f>
        <v>0</v>
      </c>
      <c r="D17" s="5">
        <f ca="1">SUMIFS(Movimientos!$C:$C,Movimientos!$A:$A,$B17,Movimientos!$D:$D,CONCATENATE("&lt;=",D$3),Movimientos!$C:$C,"&gt;0")+SUMIFS(Movimientos!$C:$C,Movimientos!$A:$A,$B17,Movimientos!$D:$D,CONCATENATE("&lt;",D$3),Movimientos!$C:$C,"&lt;0")</f>
        <v>0</v>
      </c>
      <c r="E17" s="5">
        <f ca="1">SUMIFS(Movimientos!$C:$C,Movimientos!$A:$A,$B17,Movimientos!$D:$D,CONCATENATE("&lt;=",E$3),Movimientos!$C:$C,"&gt;0")+SUMIFS(Movimientos!$C:$C,Movimientos!$A:$A,$B17,Movimientos!$D:$D,CONCATENATE("&lt;",E$3),Movimientos!$C:$C,"&lt;0")</f>
        <v>0</v>
      </c>
      <c r="F17" s="5">
        <f ca="1">SUMIFS(Movimientos!$C:$C,Movimientos!$A:$A,$B17,Movimientos!$D:$D,CONCATENATE("&lt;=",F$3),Movimientos!$C:$C,"&gt;0")+SUMIFS(Movimientos!$C:$C,Movimientos!$A:$A,$B17,Movimientos!$D:$D,CONCATENATE("&lt;",F$3),Movimientos!$C:$C,"&lt;0")</f>
        <v>0</v>
      </c>
      <c r="G17" s="5">
        <f ca="1">SUMIFS(Movimientos!$C:$C,Movimientos!$A:$A,$B17,Movimientos!$D:$D,CONCATENATE("&lt;=",G$3),Movimientos!$C:$C,"&gt;0")+SUMIFS(Movimientos!$C:$C,Movimientos!$A:$A,$B17,Movimientos!$D:$D,CONCATENATE("&lt;",G$3),Movimientos!$C:$C,"&lt;0")</f>
        <v>0</v>
      </c>
      <c r="H17" s="5">
        <f ca="1">SUMIFS(Movimientos!$C:$C,Movimientos!$A:$A,$B17,Movimientos!$D:$D,CONCATENATE("&lt;=",H$3),Movimientos!$C:$C,"&gt;0")+SUMIFS(Movimientos!$C:$C,Movimientos!$A:$A,$B17,Movimientos!$D:$D,CONCATENATE("&lt;",H$3),Movimientos!$C:$C,"&lt;0")</f>
        <v>0</v>
      </c>
      <c r="I17" s="5">
        <f ca="1">SUMIFS(Movimientos!$C:$C,Movimientos!$A:$A,$B17,Movimientos!$D:$D,CONCATENATE("&lt;=",I$3),Movimientos!$C:$C,"&gt;0")+SUMIFS(Movimientos!$C:$C,Movimientos!$A:$A,$B17,Movimientos!$D:$D,CONCATENATE("&lt;",I$3),Movimientos!$C:$C,"&lt;0")</f>
        <v>0</v>
      </c>
      <c r="J17" s="5">
        <f ca="1">SUMIFS(Movimientos!$C:$C,Movimientos!$A:$A,$B17,Movimientos!$D:$D,CONCATENATE("&lt;=",J$3),Movimientos!$C:$C,"&gt;0")+SUMIFS(Movimientos!$C:$C,Movimientos!$A:$A,$B17,Movimientos!$D:$D,CONCATENATE("&lt;",J$3),Movimientos!$C:$C,"&lt;0")</f>
        <v>0</v>
      </c>
      <c r="K17" s="5">
        <f ca="1">SUMIFS(Movimientos!$C:$C,Movimientos!$A:$A,$B17,Movimientos!$D:$D,CONCATENATE("&lt;=",K$3),Movimientos!$C:$C,"&gt;0")+SUMIFS(Movimientos!$C:$C,Movimientos!$A:$A,$B17,Movimientos!$D:$D,CONCATENATE("&lt;",K$3),Movimientos!$C:$C,"&lt;0")</f>
        <v>0</v>
      </c>
      <c r="L17" s="5">
        <f ca="1">SUMIFS(Movimientos!$C:$C,Movimientos!$A:$A,$B17,Movimientos!$D:$D,CONCATENATE("&lt;=",L$3),Movimientos!$C:$C,"&gt;0")+SUMIFS(Movimientos!$C:$C,Movimientos!$A:$A,$B17,Movimientos!$D:$D,CONCATENATE("&lt;",L$3),Movimientos!$C:$C,"&lt;0")</f>
        <v>0</v>
      </c>
      <c r="M17" s="5">
        <f ca="1">SUMIFS(Movimientos!$C:$C,Movimientos!$A:$A,$B17,Movimientos!$D:$D,CONCATENATE("&lt;=",M$3),Movimientos!$C:$C,"&gt;0")+SUMIFS(Movimientos!$C:$C,Movimientos!$A:$A,$B17,Movimientos!$D:$D,CONCATENATE("&lt;",M$3),Movimientos!$C:$C,"&lt;0")</f>
        <v>0</v>
      </c>
      <c r="N17" s="5">
        <f ca="1">SUMIFS(Movimientos!$C:$C,Movimientos!$A:$A,$B17,Movimientos!$D:$D,CONCATENATE("&lt;=",N$3),Movimientos!$C:$C,"&gt;0")+SUMIFS(Movimientos!$C:$C,Movimientos!$A:$A,$B17,Movimientos!$D:$D,CONCATENATE("&lt;",N$3),Movimientos!$C:$C,"&lt;0")</f>
        <v>0</v>
      </c>
      <c r="O17" s="5">
        <f ca="1">SUMIFS(Movimientos!$C:$C,Movimientos!$A:$A,$B17,Movimientos!$D:$D,CONCATENATE("&lt;=",O$3),Movimientos!$C:$C,"&gt;0")+SUMIFS(Movimientos!$C:$C,Movimientos!$A:$A,$B17,Movimientos!$D:$D,CONCATENATE("&lt;",O$3),Movimientos!$C:$C,"&lt;0")</f>
        <v>0</v>
      </c>
      <c r="P17" s="5">
        <f ca="1">SUMIFS(Movimientos!$C:$C,Movimientos!$A:$A,$B17,Movimientos!$D:$D,CONCATENATE("&lt;=",P$3),Movimientos!$C:$C,"&gt;0")+SUMIFS(Movimientos!$C:$C,Movimientos!$A:$A,$B17,Movimientos!$D:$D,CONCATENATE("&lt;",P$3),Movimientos!$C:$C,"&lt;0")</f>
        <v>0</v>
      </c>
      <c r="Q17" s="5">
        <f ca="1">SUMIFS(Movimientos!$C:$C,Movimientos!$A:$A,$B17,Movimientos!$D:$D,CONCATENATE("&lt;=",Q$3),Movimientos!$C:$C,"&gt;0")+SUMIFS(Movimientos!$C:$C,Movimientos!$A:$A,$B17,Movimientos!$D:$D,CONCATENATE("&lt;",Q$3),Movimientos!$C:$C,"&lt;0")</f>
        <v>0</v>
      </c>
      <c r="R17" s="5">
        <f ca="1">SUMIFS(Movimientos!$C:$C,Movimientos!$A:$A,$B17,Movimientos!$D:$D,CONCATENATE("&lt;=",R$3),Movimientos!$C:$C,"&gt;0")+SUMIFS(Movimientos!$C:$C,Movimientos!$A:$A,$B17,Movimientos!$D:$D,CONCATENATE("&lt;",R$3),Movimientos!$C:$C,"&lt;0")</f>
        <v>0</v>
      </c>
      <c r="S17" s="5">
        <f ca="1">SUMIFS(Movimientos!$C:$C,Movimientos!$A:$A,$B17,Movimientos!$D:$D,CONCATENATE("&lt;=",S$3),Movimientos!$C:$C,"&gt;0")+SUMIFS(Movimientos!$C:$C,Movimientos!$A:$A,$B17,Movimientos!$D:$D,CONCATENATE("&lt;",S$3),Movimientos!$C:$C,"&lt;0")</f>
        <v>0</v>
      </c>
      <c r="T17" s="5">
        <f ca="1">SUMIFS(Movimientos!$C:$C,Movimientos!$A:$A,$B17,Movimientos!$D:$D,CONCATENATE("&lt;=",T$3),Movimientos!$C:$C,"&gt;0")+SUMIFS(Movimientos!$C:$C,Movimientos!$A:$A,$B17,Movimientos!$D:$D,CONCATENATE("&lt;",T$3),Movimientos!$C:$C,"&lt;0")</f>
        <v>0</v>
      </c>
      <c r="U17" s="5">
        <f ca="1">SUMIFS(Movimientos!$C:$C,Movimientos!$A:$A,$B17,Movimientos!$D:$D,CONCATENATE("&lt;=",U$3),Movimientos!$C:$C,"&gt;0")+SUMIFS(Movimientos!$C:$C,Movimientos!$A:$A,$B17,Movimientos!$D:$D,CONCATENATE("&lt;",U$3),Movimientos!$C:$C,"&lt;0")</f>
        <v>0</v>
      </c>
      <c r="V17" s="5">
        <f ca="1">SUMIFS(Movimientos!$C:$C,Movimientos!$A:$A,$B17,Movimientos!$D:$D,CONCATENATE("&lt;=",V$3),Movimientos!$C:$C,"&gt;0")+SUMIFS(Movimientos!$C:$C,Movimientos!$A:$A,$B17,Movimientos!$D:$D,CONCATENATE("&lt;",V$3),Movimientos!$C:$C,"&lt;0")</f>
        <v>0</v>
      </c>
      <c r="W17" s="5">
        <f ca="1">SUMIFS(Movimientos!$C:$C,Movimientos!$A:$A,$B17,Movimientos!$D:$D,CONCATENATE("&lt;=",W$3),Movimientos!$C:$C,"&gt;0")+SUMIFS(Movimientos!$C:$C,Movimientos!$A:$A,$B17,Movimientos!$D:$D,CONCATENATE("&lt;",W$3),Movimientos!$C:$C,"&lt;0")</f>
        <v>0</v>
      </c>
      <c r="X17" s="5">
        <f ca="1">SUMIFS(Movimientos!$C:$C,Movimientos!$A:$A,$B17,Movimientos!$D:$D,CONCATENATE("&lt;=",X$3),Movimientos!$C:$C,"&gt;0")+SUMIFS(Movimientos!$C:$C,Movimientos!$A:$A,$B17,Movimientos!$D:$D,CONCATENATE("&lt;",X$3),Movimientos!$C:$C,"&lt;0")</f>
        <v>0</v>
      </c>
      <c r="Y17" s="5">
        <f ca="1">SUMIFS(Movimientos!$C:$C,Movimientos!$A:$A,$B17,Movimientos!$D:$D,CONCATENATE("&lt;=",Y$3),Movimientos!$C:$C,"&gt;0")+SUMIFS(Movimientos!$C:$C,Movimientos!$A:$A,$B17,Movimientos!$D:$D,CONCATENATE("&lt;",Y$3),Movimientos!$C:$C,"&lt;0")</f>
        <v>0</v>
      </c>
      <c r="Z17" s="5">
        <f ca="1">SUMIFS(Movimientos!$C:$C,Movimientos!$A:$A,$B17,Movimientos!$D:$D,CONCATENATE("&lt;=",Z$3),Movimientos!$C:$C,"&gt;0")+SUMIFS(Movimientos!$C:$C,Movimientos!$A:$A,$B17,Movimientos!$D:$D,CONCATENATE("&lt;",Z$3),Movimientos!$C:$C,"&lt;0")</f>
        <v>0</v>
      </c>
      <c r="AA17" s="5">
        <f ca="1">SUMIFS(Movimientos!$C:$C,Movimientos!$A:$A,$B17,Movimientos!$D:$D,CONCATENATE("&lt;=",AA$3),Movimientos!$C:$C,"&gt;0")+SUMIFS(Movimientos!$C:$C,Movimientos!$A:$A,$B17,Movimientos!$D:$D,CONCATENATE("&lt;",AA$3),Movimientos!$C:$C,"&lt;0")</f>
        <v>0</v>
      </c>
      <c r="AB17" s="5">
        <f ca="1">SUMIFS(Movimientos!$C:$C,Movimientos!$A:$A,$B17,Movimientos!$D:$D,CONCATENATE("&lt;=",AB$3),Movimientos!$C:$C,"&gt;0")+SUMIFS(Movimientos!$C:$C,Movimientos!$A:$A,$B17,Movimientos!$D:$D,CONCATENATE("&lt;",AB$3),Movimientos!$C:$C,"&lt;0")</f>
        <v>0</v>
      </c>
      <c r="AC17" s="5">
        <f ca="1">SUMIFS(Movimientos!$C:$C,Movimientos!$A:$A,$B17,Movimientos!$D:$D,CONCATENATE("&lt;=",AC$3),Movimientos!$C:$C,"&gt;0")+SUMIFS(Movimientos!$C:$C,Movimientos!$A:$A,$B17,Movimientos!$D:$D,CONCATENATE("&lt;",AC$3),Movimientos!$C:$C,"&lt;0")</f>
        <v>0</v>
      </c>
      <c r="AD17" s="5">
        <f ca="1">SUMIFS(Movimientos!$C:$C,Movimientos!$A:$A,$B17,Movimientos!$D:$D,CONCATENATE("&lt;=",AD$3),Movimientos!$C:$C,"&gt;0")+SUMIFS(Movimientos!$C:$C,Movimientos!$A:$A,$B17,Movimientos!$D:$D,CONCATENATE("&lt;",AD$3),Movimientos!$C:$C,"&lt;0")</f>
        <v>0</v>
      </c>
      <c r="AE17" s="5">
        <f ca="1">SUMIFS(Movimientos!$C:$C,Movimientos!$A:$A,$B17,Movimientos!$D:$D,CONCATENATE("&lt;=",AE$3),Movimientos!$C:$C,"&gt;0")+SUMIFS(Movimientos!$C:$C,Movimientos!$A:$A,$B17,Movimientos!$D:$D,CONCATENATE("&lt;",AE$3),Movimientos!$C:$C,"&lt;0")</f>
        <v>0</v>
      </c>
      <c r="AF17" s="5">
        <f ca="1">SUMIFS(Movimientos!$C:$C,Movimientos!$A:$A,$B17,Movimientos!$D:$D,CONCATENATE("&lt;=",AF$3),Movimientos!$C:$C,"&gt;0")+SUMIFS(Movimientos!$C:$C,Movimientos!$A:$A,$B17,Movimientos!$D:$D,CONCATENATE("&lt;",AF$3),Movimientos!$C:$C,"&lt;0")</f>
        <v>0</v>
      </c>
      <c r="AG17" s="5">
        <f ca="1">SUMIFS(Movimientos!$C:$C,Movimientos!$A:$A,$B17,Movimientos!$D:$D,CONCATENATE("&lt;=",AG$3),Movimientos!$C:$C,"&gt;0")+SUMIFS(Movimientos!$C:$C,Movimientos!$A:$A,$B17,Movimientos!$D:$D,CONCATENATE("&lt;",AG$3),Movimientos!$C:$C,"&lt;0")</f>
        <v>0</v>
      </c>
      <c r="AH17" s="5">
        <f ca="1">SUMIFS(Movimientos!$C:$C,Movimientos!$A:$A,$B17,Movimientos!$D:$D,CONCATENATE("&lt;=",AH$3),Movimientos!$C:$C,"&gt;0")+SUMIFS(Movimientos!$C:$C,Movimientos!$A:$A,$B17,Movimientos!$D:$D,CONCATENATE("&lt;",AH$3),Movimientos!$C:$C,"&lt;0")</f>
        <v>0</v>
      </c>
      <c r="AI17" s="5">
        <f ca="1">SUMIFS(Movimientos!$C:$C,Movimientos!$A:$A,$B17,Movimientos!$D:$D,CONCATENATE("&lt;=",AI$3),Movimientos!$C:$C,"&gt;0")+SUMIFS(Movimientos!$C:$C,Movimientos!$A:$A,$B17,Movimientos!$D:$D,CONCATENATE("&lt;",AI$3),Movimientos!$C:$C,"&lt;0")</f>
        <v>0</v>
      </c>
      <c r="AJ17" s="5">
        <f ca="1">SUMIFS(Movimientos!$C:$C,Movimientos!$A:$A,$B17,Movimientos!$D:$D,CONCATENATE("&lt;=",AJ$3),Movimientos!$C:$C,"&gt;0")+SUMIFS(Movimientos!$C:$C,Movimientos!$A:$A,$B17,Movimientos!$D:$D,CONCATENATE("&lt;",AJ$3),Movimientos!$C:$C,"&lt;0")</f>
        <v>0</v>
      </c>
      <c r="AK17" s="5">
        <f ca="1">SUMIFS(Movimientos!$C:$C,Movimientos!$A:$A,$B17,Movimientos!$D:$D,CONCATENATE("&lt;=",AK$3),Movimientos!$C:$C,"&gt;0")+SUMIFS(Movimientos!$C:$C,Movimientos!$A:$A,$B17,Movimientos!$D:$D,CONCATENATE("&lt;",AK$3),Movimientos!$C:$C,"&lt;0")</f>
        <v>0</v>
      </c>
      <c r="AL17" s="5">
        <f ca="1">SUMIFS(Movimientos!$C:$C,Movimientos!$A:$A,$B17,Movimientos!$D:$D,CONCATENATE("&lt;=",AL$3),Movimientos!$C:$C,"&gt;0")+SUMIFS(Movimientos!$C:$C,Movimientos!$A:$A,$B17,Movimientos!$D:$D,CONCATENATE("&lt;",AL$3),Movimientos!$C:$C,"&lt;0")</f>
        <v>0</v>
      </c>
      <c r="AM17" s="5">
        <f ca="1">SUMIFS(Movimientos!$C:$C,Movimientos!$A:$A,$B17,Movimientos!$D:$D,CONCATENATE("&lt;=",AM$3),Movimientos!$C:$C,"&gt;0")+SUMIFS(Movimientos!$C:$C,Movimientos!$A:$A,$B17,Movimientos!$D:$D,CONCATENATE("&lt;",AM$3),Movimientos!$C:$C,"&lt;0")</f>
        <v>0</v>
      </c>
      <c r="AN17" s="5">
        <f ca="1">SUMIFS(Movimientos!$C:$C,Movimientos!$A:$A,$B17,Movimientos!$D:$D,CONCATENATE("&lt;=",AN$3),Movimientos!$C:$C,"&gt;0")+SUMIFS(Movimientos!$C:$C,Movimientos!$A:$A,$B17,Movimientos!$D:$D,CONCATENATE("&lt;",AN$3),Movimientos!$C:$C,"&lt;0")</f>
        <v>0</v>
      </c>
      <c r="AO17" s="5">
        <f ca="1">SUMIFS(Movimientos!$C:$C,Movimientos!$A:$A,$B17,Movimientos!$D:$D,CONCATENATE("&lt;=",AO$3),Movimientos!$C:$C,"&gt;0")+SUMIFS(Movimientos!$C:$C,Movimientos!$A:$A,$B17,Movimientos!$D:$D,CONCATENATE("&lt;",AO$3),Movimientos!$C:$C,"&lt;0")</f>
        <v>0</v>
      </c>
      <c r="AP17" s="5">
        <f ca="1">SUMIFS(Movimientos!$C:$C,Movimientos!$A:$A,$B17,Movimientos!$D:$D,CONCATENATE("&lt;=",AP$3),Movimientos!$C:$C,"&gt;0")+SUMIFS(Movimientos!$C:$C,Movimientos!$A:$A,$B17,Movimientos!$D:$D,CONCATENATE("&lt;",AP$3),Movimientos!$C:$C,"&lt;0")</f>
        <v>0</v>
      </c>
      <c r="AQ17" s="5">
        <f ca="1">SUMIFS(Movimientos!$C:$C,Movimientos!$A:$A,$B17,Movimientos!$D:$D,CONCATENATE("&lt;=",AQ$3),Movimientos!$C:$C,"&gt;0")+SUMIFS(Movimientos!$C:$C,Movimientos!$A:$A,$B17,Movimientos!$D:$D,CONCATENATE("&lt;",AQ$3),Movimientos!$C:$C,"&lt;0")</f>
        <v>0</v>
      </c>
      <c r="AR17" s="5">
        <f ca="1">SUMIFS(Movimientos!$C:$C,Movimientos!$A:$A,$B17,Movimientos!$D:$D,CONCATENATE("&lt;=",AR$3),Movimientos!$C:$C,"&gt;0")+SUMIFS(Movimientos!$C:$C,Movimientos!$A:$A,$B17,Movimientos!$D:$D,CONCATENATE("&lt;",AR$3),Movimientos!$C:$C,"&lt;0")</f>
        <v>0</v>
      </c>
      <c r="AS17" s="5">
        <f ca="1">SUMIFS(Movimientos!$C:$C,Movimientos!$A:$A,$B17,Movimientos!$D:$D,CONCATENATE("&lt;=",AS$3),Movimientos!$C:$C,"&gt;0")+SUMIFS(Movimientos!$C:$C,Movimientos!$A:$A,$B17,Movimientos!$D:$D,CONCATENATE("&lt;",AS$3),Movimientos!$C:$C,"&lt;0")</f>
        <v>0</v>
      </c>
      <c r="AT17" s="5">
        <f ca="1">SUMIFS(Movimientos!$C:$C,Movimientos!$A:$A,$B17,Movimientos!$D:$D,CONCATENATE("&lt;=",AT$3),Movimientos!$C:$C,"&gt;0")+SUMIFS(Movimientos!$C:$C,Movimientos!$A:$A,$B17,Movimientos!$D:$D,CONCATENATE("&lt;",AT$3),Movimientos!$C:$C,"&lt;0")</f>
        <v>0</v>
      </c>
      <c r="AU17" s="5">
        <f ca="1">SUMIFS(Movimientos!$C:$C,Movimientos!$A:$A,$B17,Movimientos!$D:$D,CONCATENATE("&lt;=",AU$3),Movimientos!$C:$C,"&gt;0")+SUMIFS(Movimientos!$C:$C,Movimientos!$A:$A,$B17,Movimientos!$D:$D,CONCATENATE("&lt;",AU$3),Movimientos!$C:$C,"&lt;0")</f>
        <v>0</v>
      </c>
      <c r="AV17" s="5">
        <f ca="1">SUMIFS(Movimientos!$C:$C,Movimientos!$A:$A,$B17,Movimientos!$D:$D,CONCATENATE("&lt;=",AV$3),Movimientos!$C:$C,"&gt;0")+SUMIFS(Movimientos!$C:$C,Movimientos!$A:$A,$B17,Movimientos!$D:$D,CONCATENATE("&lt;",AV$3),Movimientos!$C:$C,"&lt;0")</f>
        <v>0</v>
      </c>
      <c r="AW17" s="5">
        <f ca="1">SUMIFS(Movimientos!$C:$C,Movimientos!$A:$A,$B17,Movimientos!$D:$D,CONCATENATE("&lt;=",AW$3),Movimientos!$C:$C,"&gt;0")+SUMIFS(Movimientos!$C:$C,Movimientos!$A:$A,$B17,Movimientos!$D:$D,CONCATENATE("&lt;",AW$3),Movimientos!$C:$C,"&lt;0")</f>
        <v>0</v>
      </c>
      <c r="AX17" s="5">
        <f ca="1">SUMIFS(Movimientos!$C:$C,Movimientos!$A:$A,$B17,Movimientos!$D:$D,CONCATENATE("&lt;=",AX$3),Movimientos!$C:$C,"&gt;0")+SUMIFS(Movimientos!$C:$C,Movimientos!$A:$A,$B17,Movimientos!$D:$D,CONCATENATE("&lt;",AX$3),Movimientos!$C:$C,"&lt;0")</f>
        <v>0</v>
      </c>
      <c r="AY17" s="5">
        <f ca="1">SUMIFS(Movimientos!$C:$C,Movimientos!$A:$A,$B17,Movimientos!$D:$D,CONCATENATE("&lt;=",AY$3),Movimientos!$C:$C,"&gt;0")+SUMIFS(Movimientos!$C:$C,Movimientos!$A:$A,$B17,Movimientos!$D:$D,CONCATENATE("&lt;",AY$3),Movimientos!$C:$C,"&lt;0")</f>
        <v>0</v>
      </c>
      <c r="AZ17" s="5">
        <f ca="1">SUMIFS(Movimientos!$C:$C,Movimientos!$A:$A,$B17,Movimientos!$D:$D,CONCATENATE("&lt;=",AZ$3),Movimientos!$C:$C,"&gt;0")+SUMIFS(Movimientos!$C:$C,Movimientos!$A:$A,$B17,Movimientos!$D:$D,CONCATENATE("&lt;",AZ$3),Movimientos!$C:$C,"&lt;0")</f>
        <v>0</v>
      </c>
      <c r="BA17" s="5">
        <f ca="1">SUMIFS(Movimientos!$C:$C,Movimientos!$A:$A,$B17,Movimientos!$D:$D,CONCATENATE("&lt;=",BA$3),Movimientos!$C:$C,"&gt;0")+SUMIFS(Movimientos!$C:$C,Movimientos!$A:$A,$B17,Movimientos!$D:$D,CONCATENATE("&lt;",BA$3),Movimientos!$C:$C,"&lt;0")</f>
        <v>0</v>
      </c>
      <c r="BB17" s="5">
        <f ca="1">SUMIFS(Movimientos!$C:$C,Movimientos!$A:$A,$B17,Movimientos!$D:$D,CONCATENATE("&lt;=",BB$3),Movimientos!$C:$C,"&gt;0")+SUMIFS(Movimientos!$C:$C,Movimientos!$A:$A,$B17,Movimientos!$D:$D,CONCATENATE("&lt;",BB$3),Movimientos!$C:$C,"&lt;0")</f>
        <v>0</v>
      </c>
      <c r="BC17" s="5">
        <f ca="1">SUMIFS(Movimientos!$C:$C,Movimientos!$A:$A,$B17,Movimientos!$D:$D,CONCATENATE("&lt;=",BC$3),Movimientos!$C:$C,"&gt;0")+SUMIFS(Movimientos!$C:$C,Movimientos!$A:$A,$B17,Movimientos!$D:$D,CONCATENATE("&lt;",BC$3),Movimientos!$C:$C,"&lt;0")</f>
        <v>0</v>
      </c>
      <c r="BD17" s="5">
        <f ca="1">SUMIFS(Movimientos!$C:$C,Movimientos!$A:$A,$B17,Movimientos!$D:$D,CONCATENATE("&lt;=",BD$3),Movimientos!$C:$C,"&gt;0")+SUMIFS(Movimientos!$C:$C,Movimientos!$A:$A,$B17,Movimientos!$D:$D,CONCATENATE("&lt;",BD$3),Movimientos!$C:$C,"&lt;0")</f>
        <v>0</v>
      </c>
      <c r="BE17" s="5">
        <f ca="1">SUMIFS(Movimientos!$C:$C,Movimientos!$A:$A,$B17,Movimientos!$D:$D,CONCATENATE("&lt;=",BE$3),Movimientos!$C:$C,"&gt;0")+SUMIFS(Movimientos!$C:$C,Movimientos!$A:$A,$B17,Movimientos!$D:$D,CONCATENATE("&lt;",BE$3),Movimientos!$C:$C,"&lt;0")</f>
        <v>0</v>
      </c>
      <c r="BF17" s="5">
        <f ca="1">SUMIFS(Movimientos!$C:$C,Movimientos!$A:$A,$B17,Movimientos!$D:$D,CONCATENATE("&lt;=",BF$3),Movimientos!$C:$C,"&gt;0")+SUMIFS(Movimientos!$C:$C,Movimientos!$A:$A,$B17,Movimientos!$D:$D,CONCATENATE("&lt;",BF$3),Movimientos!$C:$C,"&lt;0")</f>
        <v>0</v>
      </c>
      <c r="BG17" s="5">
        <f ca="1">SUMIFS(Movimientos!$C:$C,Movimientos!$A:$A,$B17,Movimientos!$D:$D,CONCATENATE("&lt;=",BG$3),Movimientos!$C:$C,"&gt;0")+SUMIFS(Movimientos!$C:$C,Movimientos!$A:$A,$B17,Movimientos!$D:$D,CONCATENATE("&lt;",BG$3),Movimientos!$C:$C,"&lt;0")</f>
        <v>0</v>
      </c>
      <c r="BH17" s="5">
        <f ca="1">SUMIFS(Movimientos!$C:$C,Movimientos!$A:$A,$B17,Movimientos!$D:$D,CONCATENATE("&lt;=",BH$3),Movimientos!$C:$C,"&gt;0")+SUMIFS(Movimientos!$C:$C,Movimientos!$A:$A,$B17,Movimientos!$D:$D,CONCATENATE("&lt;",BH$3),Movimientos!$C:$C,"&lt;0")</f>
        <v>0</v>
      </c>
      <c r="BI17" s="5">
        <f ca="1">SUMIFS(Movimientos!$C:$C,Movimientos!$A:$A,$B17,Movimientos!$D:$D,CONCATENATE("&lt;=",BI$3),Movimientos!$C:$C,"&gt;0")+SUMIFS(Movimientos!$C:$C,Movimientos!$A:$A,$B17,Movimientos!$D:$D,CONCATENATE("&lt;",BI$3),Movimientos!$C:$C,"&lt;0")</f>
        <v>0</v>
      </c>
      <c r="BJ17" s="5">
        <f ca="1">SUMIFS(Movimientos!$C:$C,Movimientos!$A:$A,$B17,Movimientos!$D:$D,CONCATENATE("&lt;=",BJ$3),Movimientos!$C:$C,"&gt;0")+SUMIFS(Movimientos!$C:$C,Movimientos!$A:$A,$B17,Movimientos!$D:$D,CONCATENATE("&lt;",BJ$3),Movimientos!$C:$C,"&lt;0")</f>
        <v>0</v>
      </c>
      <c r="BK17" s="5">
        <f ca="1">SUMIFS(Movimientos!$C:$C,Movimientos!$A:$A,$B17,Movimientos!$D:$D,CONCATENATE("&lt;=",BK$3),Movimientos!$C:$C,"&gt;0")+SUMIFS(Movimientos!$C:$C,Movimientos!$A:$A,$B17,Movimientos!$D:$D,CONCATENATE("&lt;",BK$3),Movimientos!$C:$C,"&lt;0")</f>
        <v>0</v>
      </c>
      <c r="BL17" s="5">
        <f ca="1">SUMIFS(Movimientos!$C:$C,Movimientos!$A:$A,$B17,Movimientos!$D:$D,CONCATENATE("&lt;=",BL$3),Movimientos!$C:$C,"&gt;0")+SUMIFS(Movimientos!$C:$C,Movimientos!$A:$A,$B17,Movimientos!$D:$D,CONCATENATE("&lt;",BL$3),Movimientos!$C:$C,"&lt;0")</f>
        <v>0</v>
      </c>
      <c r="BM17" s="5">
        <f ca="1">SUMIFS(Movimientos!$C:$C,Movimientos!$A:$A,$B17,Movimientos!$D:$D,CONCATENATE("&lt;=",BM$3),Movimientos!$C:$C,"&gt;0")+SUMIFS(Movimientos!$C:$C,Movimientos!$A:$A,$B17,Movimientos!$D:$D,CONCATENATE("&lt;",BM$3),Movimientos!$C:$C,"&lt;0")</f>
        <v>0</v>
      </c>
      <c r="BN17" s="5">
        <f ca="1">SUMIFS(Movimientos!$C:$C,Movimientos!$A:$A,$B17,Movimientos!$D:$D,CONCATENATE("&lt;=",BN$3),Movimientos!$C:$C,"&gt;0")+SUMIFS(Movimientos!$C:$C,Movimientos!$A:$A,$B17,Movimientos!$D:$D,CONCATENATE("&lt;",BN$3),Movimientos!$C:$C,"&lt;0")</f>
        <v>0</v>
      </c>
      <c r="BO17" s="5">
        <f ca="1">SUMIFS(Movimientos!$C:$C,Movimientos!$A:$A,$B17,Movimientos!$D:$D,CONCATENATE("&lt;=",BO$3),Movimientos!$C:$C,"&gt;0")+SUMIFS(Movimientos!$C:$C,Movimientos!$A:$A,$B17,Movimientos!$D:$D,CONCATENATE("&lt;",BO$3),Movimientos!$C:$C,"&lt;0")</f>
        <v>0</v>
      </c>
      <c r="BP17" s="5">
        <f ca="1">SUMIFS(Movimientos!$C:$C,Movimientos!$A:$A,$B17,Movimientos!$D:$D,CONCATENATE("&lt;=",BP$3),Movimientos!$C:$C,"&gt;0")+SUMIFS(Movimientos!$C:$C,Movimientos!$A:$A,$B17,Movimientos!$D:$D,CONCATENATE("&lt;",BP$3),Movimientos!$C:$C,"&lt;0")</f>
        <v>0</v>
      </c>
      <c r="BQ17" s="5">
        <f ca="1">SUMIFS(Movimientos!$C:$C,Movimientos!$A:$A,$B17,Movimientos!$D:$D,CONCATENATE("&lt;=",BQ$3),Movimientos!$C:$C,"&gt;0")+SUMIFS(Movimientos!$C:$C,Movimientos!$A:$A,$B17,Movimientos!$D:$D,CONCATENATE("&lt;",BQ$3),Movimientos!$C:$C,"&lt;0")</f>
        <v>0</v>
      </c>
      <c r="BR17" s="5">
        <f ca="1">SUMIFS(Movimientos!$C:$C,Movimientos!$A:$A,$B17,Movimientos!$D:$D,CONCATENATE("&lt;=",BR$3),Movimientos!$C:$C,"&gt;0")+SUMIFS(Movimientos!$C:$C,Movimientos!$A:$A,$B17,Movimientos!$D:$D,CONCATENATE("&lt;",BR$3),Movimientos!$C:$C,"&lt;0")</f>
        <v>0</v>
      </c>
      <c r="BS17" s="5">
        <f ca="1">SUMIFS(Movimientos!$C:$C,Movimientos!$A:$A,$B17,Movimientos!$D:$D,CONCATENATE("&lt;=",BS$3),Movimientos!$C:$C,"&gt;0")+SUMIFS(Movimientos!$C:$C,Movimientos!$A:$A,$B17,Movimientos!$D:$D,CONCATENATE("&lt;",BS$3),Movimientos!$C:$C,"&lt;0")</f>
        <v>0</v>
      </c>
      <c r="BT17" s="5">
        <f ca="1">SUMIFS(Movimientos!$C:$C,Movimientos!$A:$A,$B17,Movimientos!$D:$D,CONCATENATE("&lt;=",BT$3),Movimientos!$C:$C,"&gt;0")+SUMIFS(Movimientos!$C:$C,Movimientos!$A:$A,$B17,Movimientos!$D:$D,CONCATENATE("&lt;",BT$3),Movimientos!$C:$C,"&lt;0")</f>
        <v>0</v>
      </c>
      <c r="BU17" s="5">
        <f ca="1">SUMIFS(Movimientos!$C:$C,Movimientos!$A:$A,$B17,Movimientos!$D:$D,CONCATENATE("&lt;=",BU$3),Movimientos!$C:$C,"&gt;0")+SUMIFS(Movimientos!$C:$C,Movimientos!$A:$A,$B17,Movimientos!$D:$D,CONCATENATE("&lt;",BU$3),Movimientos!$C:$C,"&lt;0")</f>
        <v>0</v>
      </c>
      <c r="BV17" s="5">
        <f ca="1">SUMIFS(Movimientos!$C:$C,Movimientos!$A:$A,$B17,Movimientos!$D:$D,CONCATENATE("&lt;=",BV$3),Movimientos!$C:$C,"&gt;0")+SUMIFS(Movimientos!$C:$C,Movimientos!$A:$A,$B17,Movimientos!$D:$D,CONCATENATE("&lt;",BV$3),Movimientos!$C:$C,"&lt;0")</f>
        <v>0</v>
      </c>
      <c r="BW17" s="5">
        <f ca="1">SUMIFS(Movimientos!$C:$C,Movimientos!$A:$A,$B17,Movimientos!$D:$D,CONCATENATE("&lt;=",BW$3),Movimientos!$C:$C,"&gt;0")+SUMIFS(Movimientos!$C:$C,Movimientos!$A:$A,$B17,Movimientos!$D:$D,CONCATENATE("&lt;",BW$3),Movimientos!$C:$C,"&lt;0")</f>
        <v>0</v>
      </c>
      <c r="BX17" s="5">
        <f ca="1">SUMIFS(Movimientos!$C:$C,Movimientos!$A:$A,$B17,Movimientos!$D:$D,CONCATENATE("&lt;=",BX$3),Movimientos!$C:$C,"&gt;0")+SUMIFS(Movimientos!$C:$C,Movimientos!$A:$A,$B17,Movimientos!$D:$D,CONCATENATE("&lt;",BX$3),Movimientos!$C:$C,"&lt;0")</f>
        <v>0</v>
      </c>
      <c r="BY17" s="5">
        <f ca="1">SUMIFS(Movimientos!$C:$C,Movimientos!$A:$A,$B17,Movimientos!$D:$D,CONCATENATE("&lt;=",BY$3),Movimientos!$C:$C,"&gt;0")+SUMIFS(Movimientos!$C:$C,Movimientos!$A:$A,$B17,Movimientos!$D:$D,CONCATENATE("&lt;",BY$3),Movimientos!$C:$C,"&lt;0")</f>
        <v>0</v>
      </c>
      <c r="BZ17" s="5">
        <f ca="1">SUMIFS(Movimientos!$C:$C,Movimientos!$A:$A,$B17,Movimientos!$D:$D,CONCATENATE("&lt;=",BZ$3),Movimientos!$C:$C,"&gt;0")+SUMIFS(Movimientos!$C:$C,Movimientos!$A:$A,$B17,Movimientos!$D:$D,CONCATENATE("&lt;",BZ$3),Movimientos!$C:$C,"&lt;0")</f>
        <v>0</v>
      </c>
      <c r="CA17" s="5">
        <f ca="1">SUMIFS(Movimientos!$C:$C,Movimientos!$A:$A,$B17,Movimientos!$D:$D,CONCATENATE("&lt;=",CA$3),Movimientos!$C:$C,"&gt;0")+SUMIFS(Movimientos!$C:$C,Movimientos!$A:$A,$B17,Movimientos!$D:$D,CONCATENATE("&lt;",CA$3),Movimientos!$C:$C,"&lt;0")</f>
        <v>0</v>
      </c>
      <c r="CB17" s="5">
        <f ca="1">SUMIFS(Movimientos!$C:$C,Movimientos!$A:$A,$B17,Movimientos!$D:$D,CONCATENATE("&lt;=",CB$3),Movimientos!$C:$C,"&gt;0")+SUMIFS(Movimientos!$C:$C,Movimientos!$A:$A,$B17,Movimientos!$D:$D,CONCATENATE("&lt;",CB$3),Movimientos!$C:$C,"&lt;0")</f>
        <v>0</v>
      </c>
      <c r="CC17" s="5">
        <f ca="1">SUMIFS(Movimientos!$C:$C,Movimientos!$A:$A,$B17,Movimientos!$D:$D,CONCATENATE("&lt;=",CC$3),Movimientos!$C:$C,"&gt;0")+SUMIFS(Movimientos!$C:$C,Movimientos!$A:$A,$B17,Movimientos!$D:$D,CONCATENATE("&lt;",CC$3),Movimientos!$C:$C,"&lt;0")</f>
        <v>0</v>
      </c>
      <c r="CD17" s="5">
        <f ca="1">SUMIFS(Movimientos!$C:$C,Movimientos!$A:$A,$B17,Movimientos!$D:$D,CONCATENATE("&lt;=",CD$3),Movimientos!$C:$C,"&gt;0")+SUMIFS(Movimientos!$C:$C,Movimientos!$A:$A,$B17,Movimientos!$D:$D,CONCATENATE("&lt;",CD$3),Movimientos!$C:$C,"&lt;0")</f>
        <v>0</v>
      </c>
      <c r="CE17" s="5">
        <f ca="1">SUMIFS(Movimientos!$C:$C,Movimientos!$A:$A,$B17,Movimientos!$D:$D,CONCATENATE("&lt;=",CE$3),Movimientos!$C:$C,"&gt;0")+SUMIFS(Movimientos!$C:$C,Movimientos!$A:$A,$B17,Movimientos!$D:$D,CONCATENATE("&lt;",CE$3),Movimientos!$C:$C,"&lt;0")</f>
        <v>0</v>
      </c>
      <c r="CF17" s="5">
        <f ca="1">SUMIFS(Movimientos!$C:$C,Movimientos!$A:$A,$B17,Movimientos!$D:$D,CONCATENATE("&lt;=",CF$3),Movimientos!$C:$C,"&gt;0")+SUMIFS(Movimientos!$C:$C,Movimientos!$A:$A,$B17,Movimientos!$D:$D,CONCATENATE("&lt;",CF$3),Movimientos!$C:$C,"&lt;0")</f>
        <v>0</v>
      </c>
      <c r="CG17" s="5">
        <f ca="1">SUMIFS(Movimientos!$C:$C,Movimientos!$A:$A,$B17,Movimientos!$D:$D,CONCATENATE("&lt;=",CG$3),Movimientos!$C:$C,"&gt;0")+SUMIFS(Movimientos!$C:$C,Movimientos!$A:$A,$B17,Movimientos!$D:$D,CONCATENATE("&lt;",CG$3),Movimientos!$C:$C,"&lt;0")</f>
        <v>0</v>
      </c>
      <c r="CH17" s="5">
        <f ca="1">SUMIFS(Movimientos!$C:$C,Movimientos!$A:$A,$B17,Movimientos!$D:$D,CONCATENATE("&lt;=",CH$3),Movimientos!$C:$C,"&gt;0")+SUMIFS(Movimientos!$C:$C,Movimientos!$A:$A,$B17,Movimientos!$D:$D,CONCATENATE("&lt;",CH$3),Movimientos!$C:$C,"&lt;0")</f>
        <v>0</v>
      </c>
      <c r="CI17" s="5">
        <f ca="1">SUMIFS(Movimientos!$C:$C,Movimientos!$A:$A,$B17,Movimientos!$D:$D,CONCATENATE("&lt;=",CI$3),Movimientos!$C:$C,"&gt;0")+SUMIFS(Movimientos!$C:$C,Movimientos!$A:$A,$B17,Movimientos!$D:$D,CONCATENATE("&lt;",CI$3),Movimientos!$C:$C,"&lt;0")</f>
        <v>0</v>
      </c>
      <c r="CJ17" s="5">
        <f ca="1">SUMIFS(Movimientos!$C:$C,Movimientos!$A:$A,$B17,Movimientos!$D:$D,CONCATENATE("&lt;=",CJ$3),Movimientos!$C:$C,"&gt;0")+SUMIFS(Movimientos!$C:$C,Movimientos!$A:$A,$B17,Movimientos!$D:$D,CONCATENATE("&lt;",CJ$3),Movimientos!$C:$C,"&lt;0")</f>
        <v>0</v>
      </c>
      <c r="CK17" s="5">
        <f ca="1">SUMIFS(Movimientos!$C:$C,Movimientos!$A:$A,$B17,Movimientos!$D:$D,CONCATENATE("&lt;=",CK$3),Movimientos!$C:$C,"&gt;0")+SUMIFS(Movimientos!$C:$C,Movimientos!$A:$A,$B17,Movimientos!$D:$D,CONCATENATE("&lt;",CK$3),Movimientos!$C:$C,"&lt;0")</f>
        <v>0</v>
      </c>
      <c r="CL17" s="5">
        <f ca="1">SUMIFS(Movimientos!$C:$C,Movimientos!$A:$A,$B17,Movimientos!$D:$D,CONCATENATE("&lt;=",CL$3),Movimientos!$C:$C,"&gt;0")+SUMIFS(Movimientos!$C:$C,Movimientos!$A:$A,$B17,Movimientos!$D:$D,CONCATENATE("&lt;",CL$3),Movimientos!$C:$C,"&lt;0")</f>
        <v>0</v>
      </c>
      <c r="CM17" s="5">
        <f ca="1">SUMIFS(Movimientos!$C:$C,Movimientos!$A:$A,$B17,Movimientos!$D:$D,CONCATENATE("&lt;=",CM$3),Movimientos!$C:$C,"&gt;0")+SUMIFS(Movimientos!$C:$C,Movimientos!$A:$A,$B17,Movimientos!$D:$D,CONCATENATE("&lt;",CM$3),Movimientos!$C:$C,"&lt;0")</f>
        <v>0</v>
      </c>
      <c r="CN17" s="5">
        <f ca="1">SUMIFS(Movimientos!$C:$C,Movimientos!$A:$A,$B17,Movimientos!$D:$D,CONCATENATE("&lt;=",CN$3),Movimientos!$C:$C,"&gt;0")+SUMIFS(Movimientos!$C:$C,Movimientos!$A:$A,$B17,Movimientos!$D:$D,CONCATENATE("&lt;",CN$3),Movimientos!$C:$C,"&lt;0")</f>
        <v>0</v>
      </c>
      <c r="CO17" s="5">
        <f ca="1">SUMIFS(Movimientos!$C:$C,Movimientos!$A:$A,$B17,Movimientos!$D:$D,CONCATENATE("&lt;=",CO$3),Movimientos!$C:$C,"&gt;0")+SUMIFS(Movimientos!$C:$C,Movimientos!$A:$A,$B17,Movimientos!$D:$D,CONCATENATE("&lt;",CO$3),Movimientos!$C:$C,"&lt;0")</f>
        <v>0</v>
      </c>
      <c r="CP17" s="5">
        <f ca="1">SUMIFS(Movimientos!$C:$C,Movimientos!$A:$A,$B17,Movimientos!$D:$D,CONCATENATE("&lt;=",CP$3),Movimientos!$C:$C,"&gt;0")+SUMIFS(Movimientos!$C:$C,Movimientos!$A:$A,$B17,Movimientos!$D:$D,CONCATENATE("&lt;",CP$3),Movimientos!$C:$C,"&lt;0")</f>
        <v>0</v>
      </c>
      <c r="CQ17" s="5">
        <f ca="1">SUMIFS(Movimientos!$C:$C,Movimientos!$A:$A,$B17,Movimientos!$D:$D,CONCATENATE("&lt;=",CQ$3),Movimientos!$C:$C,"&gt;0")+SUMIFS(Movimientos!$C:$C,Movimientos!$A:$A,$B17,Movimientos!$D:$D,CONCATENATE("&lt;",CQ$3),Movimientos!$C:$C,"&lt;0")</f>
        <v>0</v>
      </c>
      <c r="CR17" s="5">
        <f ca="1">SUMIFS(Movimientos!$C:$C,Movimientos!$A:$A,$B17,Movimientos!$D:$D,CONCATENATE("&lt;=",CR$3),Movimientos!$C:$C,"&gt;0")+SUMIFS(Movimientos!$C:$C,Movimientos!$A:$A,$B17,Movimientos!$D:$D,CONCATENATE("&lt;",CR$3),Movimientos!$C:$C,"&lt;0")</f>
        <v>0</v>
      </c>
      <c r="CS17" s="5">
        <f ca="1">SUMIFS(Movimientos!$C:$C,Movimientos!$A:$A,$B17,Movimientos!$D:$D,CONCATENATE("&lt;=",CS$3),Movimientos!$C:$C,"&gt;0")+SUMIFS(Movimientos!$C:$C,Movimientos!$A:$A,$B17,Movimientos!$D:$D,CONCATENATE("&lt;",CS$3),Movimientos!$C:$C,"&lt;0")</f>
        <v>0</v>
      </c>
      <c r="CT17" s="5">
        <f ca="1">SUMIFS(Movimientos!$C:$C,Movimientos!$A:$A,$B17,Movimientos!$D:$D,CONCATENATE("&lt;=",CT$3),Movimientos!$C:$C,"&gt;0")+SUMIFS(Movimientos!$C:$C,Movimientos!$A:$A,$B17,Movimientos!$D:$D,CONCATENATE("&lt;",CT$3),Movimientos!$C:$C,"&lt;0")</f>
        <v>0</v>
      </c>
      <c r="CU17" s="5">
        <f ca="1">SUMIFS(Movimientos!$C:$C,Movimientos!$A:$A,$B17,Movimientos!$D:$D,CONCATENATE("&lt;=",CU$3),Movimientos!$C:$C,"&gt;0")+SUMIFS(Movimientos!$C:$C,Movimientos!$A:$A,$B17,Movimientos!$D:$D,CONCATENATE("&lt;",CU$3),Movimientos!$C:$C,"&lt;0")</f>
        <v>0</v>
      </c>
      <c r="CV17" s="5">
        <f ca="1">SUMIFS(Movimientos!$C:$C,Movimientos!$A:$A,$B17,Movimientos!$D:$D,CONCATENATE("&lt;=",CV$3),Movimientos!$C:$C,"&gt;0")+SUMIFS(Movimientos!$C:$C,Movimientos!$A:$A,$B17,Movimientos!$D:$D,CONCATENATE("&lt;",CV$3),Movimientos!$C:$C,"&lt;0")</f>
        <v>0</v>
      </c>
      <c r="CW17" s="5">
        <f ca="1">SUMIFS(Movimientos!$C:$C,Movimientos!$A:$A,$B17,Movimientos!$D:$D,CONCATENATE("&lt;=",CW$3),Movimientos!$C:$C,"&gt;0")+SUMIFS(Movimientos!$C:$C,Movimientos!$A:$A,$B17,Movimientos!$D:$D,CONCATENATE("&lt;",CW$3),Movimientos!$C:$C,"&lt;0")</f>
        <v>0</v>
      </c>
      <c r="CX17" s="5">
        <f ca="1">SUMIFS(Movimientos!$C:$C,Movimientos!$A:$A,$B17,Movimientos!$D:$D,CONCATENATE("&lt;=",CX$3),Movimientos!$C:$C,"&gt;0")+SUMIFS(Movimientos!$C:$C,Movimientos!$A:$A,$B17,Movimientos!$D:$D,CONCATENATE("&lt;",CX$3),Movimientos!$C:$C,"&lt;0")</f>
        <v>0</v>
      </c>
      <c r="CY17" s="5">
        <f ca="1">SUMIFS(Movimientos!$C:$C,Movimientos!$A:$A,$B17,Movimientos!$D:$D,CONCATENATE("&lt;=",CY$3),Movimientos!$C:$C,"&gt;0")+SUMIFS(Movimientos!$C:$C,Movimientos!$A:$A,$B17,Movimientos!$D:$D,CONCATENATE("&lt;",CY$3),Movimientos!$C:$C,"&lt;0")</f>
        <v>0</v>
      </c>
      <c r="CZ17" s="5">
        <f ca="1">SUMIFS(Movimientos!$C:$C,Movimientos!$A:$A,$B17,Movimientos!$D:$D,CONCATENATE("&lt;=",CZ$3),Movimientos!$C:$C,"&gt;0")+SUMIFS(Movimientos!$C:$C,Movimientos!$A:$A,$B17,Movimientos!$D:$D,CONCATENATE("&lt;",CZ$3),Movimientos!$C:$C,"&lt;0")</f>
        <v>0</v>
      </c>
      <c r="DA17" s="5">
        <f ca="1">SUMIFS(Movimientos!$C:$C,Movimientos!$A:$A,$B17,Movimientos!$D:$D,CONCATENATE("&lt;=",DA$3),Movimientos!$C:$C,"&gt;0")+SUMIFS(Movimientos!$C:$C,Movimientos!$A:$A,$B17,Movimientos!$D:$D,CONCATENATE("&lt;",DA$3),Movimientos!$C:$C,"&lt;0")</f>
        <v>0</v>
      </c>
      <c r="DB17" s="5">
        <f ca="1">SUMIFS(Movimientos!$C:$C,Movimientos!$A:$A,$B17,Movimientos!$D:$D,CONCATENATE("&lt;=",DB$3),Movimientos!$C:$C,"&gt;0")+SUMIFS(Movimientos!$C:$C,Movimientos!$A:$A,$B17,Movimientos!$D:$D,CONCATENATE("&lt;",DB$3),Movimientos!$C:$C,"&lt;0")</f>
        <v>0</v>
      </c>
      <c r="DC17" s="5">
        <f ca="1">SUMIFS(Movimientos!$C:$C,Movimientos!$A:$A,$B17,Movimientos!$D:$D,CONCATENATE("&lt;=",DC$3),Movimientos!$C:$C,"&gt;0")+SUMIFS(Movimientos!$C:$C,Movimientos!$A:$A,$B17,Movimientos!$D:$D,CONCATENATE("&lt;",DC$3),Movimientos!$C:$C,"&lt;0")</f>
        <v>0</v>
      </c>
      <c r="DD17" s="5">
        <f ca="1">SUMIFS(Movimientos!$C:$C,Movimientos!$A:$A,$B17,Movimientos!$D:$D,CONCATENATE("&lt;=",DD$3),Movimientos!$C:$C,"&gt;0")+SUMIFS(Movimientos!$C:$C,Movimientos!$A:$A,$B17,Movimientos!$D:$D,CONCATENATE("&lt;",DD$3),Movimientos!$C:$C,"&lt;0")</f>
        <v>0</v>
      </c>
      <c r="DE17" s="5">
        <f ca="1">SUMIFS(Movimientos!$C:$C,Movimientos!$A:$A,$B17,Movimientos!$D:$D,CONCATENATE("&lt;=",DE$3),Movimientos!$C:$C,"&gt;0")+SUMIFS(Movimientos!$C:$C,Movimientos!$A:$A,$B17,Movimientos!$D:$D,CONCATENATE("&lt;",DE$3),Movimientos!$C:$C,"&lt;0")</f>
        <v>0</v>
      </c>
      <c r="DF17" s="5">
        <f ca="1">SUMIFS(Movimientos!$C:$C,Movimientos!$A:$A,$B17,Movimientos!$D:$D,CONCATENATE("&lt;=",DF$3),Movimientos!$C:$C,"&gt;0")+SUMIFS(Movimientos!$C:$C,Movimientos!$A:$A,$B17,Movimientos!$D:$D,CONCATENATE("&lt;",DF$3),Movimientos!$C:$C,"&lt;0")</f>
        <v>0</v>
      </c>
      <c r="DG17" s="5">
        <f ca="1">SUMIFS(Movimientos!$C:$C,Movimientos!$A:$A,$B17,Movimientos!$D:$D,CONCATENATE("&lt;=",DG$3),Movimientos!$C:$C,"&gt;0")+SUMIFS(Movimientos!$C:$C,Movimientos!$A:$A,$B17,Movimientos!$D:$D,CONCATENATE("&lt;",DG$3),Movimientos!$C:$C,"&lt;0")</f>
        <v>0</v>
      </c>
      <c r="DH17" s="5">
        <f ca="1">SUMIFS(Movimientos!$C:$C,Movimientos!$A:$A,$B17,Movimientos!$D:$D,CONCATENATE("&lt;=",DH$3),Movimientos!$C:$C,"&gt;0")+SUMIFS(Movimientos!$C:$C,Movimientos!$A:$A,$B17,Movimientos!$D:$D,CONCATENATE("&lt;",DH$3),Movimientos!$C:$C,"&lt;0")</f>
        <v>0</v>
      </c>
      <c r="DI17" s="5">
        <f ca="1">SUMIFS(Movimientos!$C:$C,Movimientos!$A:$A,$B17,Movimientos!$D:$D,CONCATENATE("&lt;=",DI$3),Movimientos!$C:$C,"&gt;0")+SUMIFS(Movimientos!$C:$C,Movimientos!$A:$A,$B17,Movimientos!$D:$D,CONCATENATE("&lt;",DI$3),Movimientos!$C:$C,"&lt;0")</f>
        <v>0</v>
      </c>
      <c r="DJ17" s="5">
        <f ca="1">SUMIFS(Movimientos!$C:$C,Movimientos!$A:$A,$B17,Movimientos!$D:$D,CONCATENATE("&lt;=",DJ$3),Movimientos!$C:$C,"&gt;0")+SUMIFS(Movimientos!$C:$C,Movimientos!$A:$A,$B17,Movimientos!$D:$D,CONCATENATE("&lt;",DJ$3),Movimientos!$C:$C,"&lt;0")</f>
        <v>0</v>
      </c>
      <c r="DK17" s="5">
        <f ca="1">SUMIFS(Movimientos!$C:$C,Movimientos!$A:$A,$B17,Movimientos!$D:$D,CONCATENATE("&lt;=",DK$3),Movimientos!$C:$C,"&gt;0")+SUMIFS(Movimientos!$C:$C,Movimientos!$A:$A,$B17,Movimientos!$D:$D,CONCATENATE("&lt;",DK$3),Movimientos!$C:$C,"&lt;0")</f>
        <v>0</v>
      </c>
      <c r="DL17" s="5">
        <f ca="1">SUMIFS(Movimientos!$C:$C,Movimientos!$A:$A,$B17,Movimientos!$D:$D,CONCATENATE("&lt;=",DL$3),Movimientos!$C:$C,"&gt;0")+SUMIFS(Movimientos!$C:$C,Movimientos!$A:$A,$B17,Movimientos!$D:$D,CONCATENATE("&lt;",DL$3),Movimientos!$C:$C,"&lt;0")</f>
        <v>0</v>
      </c>
      <c r="DM17" s="5">
        <f ca="1">SUMIFS(Movimientos!$C:$C,Movimientos!$A:$A,$B17,Movimientos!$D:$D,CONCATENATE("&lt;=",DM$3),Movimientos!$C:$C,"&gt;0")+SUMIFS(Movimientos!$C:$C,Movimientos!$A:$A,$B17,Movimientos!$D:$D,CONCATENATE("&lt;",DM$3),Movimientos!$C:$C,"&lt;0")</f>
        <v>0</v>
      </c>
      <c r="DN17" s="5">
        <f ca="1">SUMIFS(Movimientos!$C:$C,Movimientos!$A:$A,$B17,Movimientos!$D:$D,CONCATENATE("&lt;=",DN$3),Movimientos!$C:$C,"&gt;0")+SUMIFS(Movimientos!$C:$C,Movimientos!$A:$A,$B17,Movimientos!$D:$D,CONCATENATE("&lt;",DN$3),Movimientos!$C:$C,"&lt;0")</f>
        <v>0</v>
      </c>
      <c r="DO17" s="5">
        <f ca="1">SUMIFS(Movimientos!$C:$C,Movimientos!$A:$A,$B17,Movimientos!$D:$D,CONCATENATE("&lt;=",DO$3),Movimientos!$C:$C,"&gt;0")+SUMIFS(Movimientos!$C:$C,Movimientos!$A:$A,$B17,Movimientos!$D:$D,CONCATENATE("&lt;",DO$3),Movimientos!$C:$C,"&lt;0")</f>
        <v>0</v>
      </c>
      <c r="DP17" s="5">
        <f ca="1">SUMIFS(Movimientos!$C:$C,Movimientos!$A:$A,$B17,Movimientos!$D:$D,CONCATENATE("&lt;=",DP$3),Movimientos!$C:$C,"&gt;0")+SUMIFS(Movimientos!$C:$C,Movimientos!$A:$A,$B17,Movimientos!$D:$D,CONCATENATE("&lt;",DP$3),Movimientos!$C:$C,"&lt;0")</f>
        <v>0</v>
      </c>
      <c r="DQ17" s="5">
        <f ca="1">SUMIFS(Movimientos!$C:$C,Movimientos!$A:$A,$B17,Movimientos!$D:$D,CONCATENATE("&lt;=",DQ$3),Movimientos!$C:$C,"&gt;0")+SUMIFS(Movimientos!$C:$C,Movimientos!$A:$A,$B17,Movimientos!$D:$D,CONCATENATE("&lt;",DQ$3),Movimientos!$C:$C,"&lt;0")</f>
        <v>0</v>
      </c>
      <c r="DR17" s="5">
        <f ca="1">SUMIFS(Movimientos!$C:$C,Movimientos!$A:$A,$B17,Movimientos!$D:$D,CONCATENATE("&lt;=",DR$3),Movimientos!$C:$C,"&gt;0")+SUMIFS(Movimientos!$C:$C,Movimientos!$A:$A,$B17,Movimientos!$D:$D,CONCATENATE("&lt;",DR$3),Movimientos!$C:$C,"&lt;0")</f>
        <v>0</v>
      </c>
      <c r="DS17" s="5">
        <f ca="1">SUMIFS(Movimientos!$C:$C,Movimientos!$A:$A,$B17,Movimientos!$D:$D,CONCATENATE("&lt;=",DS$3),Movimientos!$C:$C,"&gt;0")+SUMIFS(Movimientos!$C:$C,Movimientos!$A:$A,$B17,Movimientos!$D:$D,CONCATENATE("&lt;",DS$3),Movimientos!$C:$C,"&lt;0")</f>
        <v>0</v>
      </c>
      <c r="DT17" s="5">
        <f ca="1">SUMIFS(Movimientos!$C:$C,Movimientos!$A:$A,$B17,Movimientos!$D:$D,CONCATENATE("&lt;=",DT$3),Movimientos!$C:$C,"&gt;0")+SUMIFS(Movimientos!$C:$C,Movimientos!$A:$A,$B17,Movimientos!$D:$D,CONCATENATE("&lt;",DT$3),Movimientos!$C:$C,"&lt;0")</f>
        <v>0</v>
      </c>
      <c r="DU17" s="5">
        <f ca="1">SUMIFS(Movimientos!$C:$C,Movimientos!$A:$A,$B17,Movimientos!$D:$D,CONCATENATE("&lt;=",DU$3),Movimientos!$C:$C,"&gt;0")+SUMIFS(Movimientos!$C:$C,Movimientos!$A:$A,$B17,Movimientos!$D:$D,CONCATENATE("&lt;",DU$3),Movimientos!$C:$C,"&lt;0")</f>
        <v>0</v>
      </c>
      <c r="DV17" s="5">
        <f ca="1">SUMIFS(Movimientos!$C:$C,Movimientos!$A:$A,$B17,Movimientos!$D:$D,CONCATENATE("&lt;=",DV$3),Movimientos!$C:$C,"&gt;0")+SUMIFS(Movimientos!$C:$C,Movimientos!$A:$A,$B17,Movimientos!$D:$D,CONCATENATE("&lt;",DV$3),Movimientos!$C:$C,"&lt;0")</f>
        <v>0</v>
      </c>
      <c r="DW17" s="5">
        <f ca="1">SUMIFS(Movimientos!$C:$C,Movimientos!$A:$A,$B17,Movimientos!$D:$D,CONCATENATE("&lt;=",DW$3),Movimientos!$C:$C,"&gt;0")+SUMIFS(Movimientos!$C:$C,Movimientos!$A:$A,$B17,Movimientos!$D:$D,CONCATENATE("&lt;",DW$3),Movimientos!$C:$C,"&lt;0")</f>
        <v>0</v>
      </c>
      <c r="DX17" s="5">
        <f ca="1">SUMIFS(Movimientos!$C:$C,Movimientos!$A:$A,$B17,Movimientos!$D:$D,CONCATENATE("&lt;=",DX$3),Movimientos!$C:$C,"&gt;0")+SUMIFS(Movimientos!$C:$C,Movimientos!$A:$A,$B17,Movimientos!$D:$D,CONCATENATE("&lt;",DX$3),Movimientos!$C:$C,"&lt;0")</f>
        <v>0</v>
      </c>
      <c r="DY17" s="5">
        <f ca="1">SUMIFS(Movimientos!$C:$C,Movimientos!$A:$A,$B17,Movimientos!$D:$D,CONCATENATE("&lt;=",DY$3),Movimientos!$C:$C,"&gt;0")+SUMIFS(Movimientos!$C:$C,Movimientos!$A:$A,$B17,Movimientos!$D:$D,CONCATENATE("&lt;",DY$3),Movimientos!$C:$C,"&lt;0")</f>
        <v>0</v>
      </c>
      <c r="DZ17" s="5">
        <f ca="1">SUMIFS(Movimientos!$C:$C,Movimientos!$A:$A,$B17,Movimientos!$D:$D,CONCATENATE("&lt;=",DZ$3),Movimientos!$C:$C,"&gt;0")+SUMIFS(Movimientos!$C:$C,Movimientos!$A:$A,$B17,Movimientos!$D:$D,CONCATENATE("&lt;",DZ$3),Movimientos!$C:$C,"&lt;0")</f>
        <v>0</v>
      </c>
      <c r="EA17" s="5">
        <f ca="1">SUMIFS(Movimientos!$C:$C,Movimientos!$A:$A,$B17,Movimientos!$D:$D,CONCATENATE("&lt;=",EA$3),Movimientos!$C:$C,"&gt;0")+SUMIFS(Movimientos!$C:$C,Movimientos!$A:$A,$B17,Movimientos!$D:$D,CONCATENATE("&lt;",EA$3),Movimientos!$C:$C,"&lt;0")</f>
        <v>0</v>
      </c>
      <c r="EB17" s="5">
        <f ca="1">SUMIFS(Movimientos!$C:$C,Movimientos!$A:$A,$B17,Movimientos!$D:$D,CONCATENATE("&lt;=",EB$3),Movimientos!$C:$C,"&gt;0")+SUMIFS(Movimientos!$C:$C,Movimientos!$A:$A,$B17,Movimientos!$D:$D,CONCATENATE("&lt;",EB$3),Movimientos!$C:$C,"&lt;0")</f>
        <v>0</v>
      </c>
      <c r="EC17" s="5">
        <f ca="1">SUMIFS(Movimientos!$C:$C,Movimientos!$A:$A,$B17,Movimientos!$D:$D,CONCATENATE("&lt;=",EC$3),Movimientos!$C:$C,"&gt;0")+SUMIFS(Movimientos!$C:$C,Movimientos!$A:$A,$B17,Movimientos!$D:$D,CONCATENATE("&lt;",EC$3),Movimientos!$C:$C,"&lt;0")</f>
        <v>0</v>
      </c>
      <c r="ED17" s="5">
        <f ca="1">SUMIFS(Movimientos!$C:$C,Movimientos!$A:$A,$B17,Movimientos!$D:$D,CONCATENATE("&lt;=",ED$3),Movimientos!$C:$C,"&gt;0")+SUMIFS(Movimientos!$C:$C,Movimientos!$A:$A,$B17,Movimientos!$D:$D,CONCATENATE("&lt;",ED$3),Movimientos!$C:$C,"&lt;0")</f>
        <v>0</v>
      </c>
      <c r="EE17" s="5">
        <f ca="1">SUMIFS(Movimientos!$C:$C,Movimientos!$A:$A,$B17,Movimientos!$D:$D,CONCATENATE("&lt;=",EE$3),Movimientos!$C:$C,"&gt;0")+SUMIFS(Movimientos!$C:$C,Movimientos!$A:$A,$B17,Movimientos!$D:$D,CONCATENATE("&lt;",EE$3),Movimientos!$C:$C,"&lt;0")</f>
        <v>0</v>
      </c>
      <c r="EF17" s="5">
        <f ca="1">SUMIFS(Movimientos!$C:$C,Movimientos!$A:$A,$B17,Movimientos!$D:$D,CONCATENATE("&lt;=",EF$3),Movimientos!$C:$C,"&gt;0")+SUMIFS(Movimientos!$C:$C,Movimientos!$A:$A,$B17,Movimientos!$D:$D,CONCATENATE("&lt;",EF$3),Movimientos!$C:$C,"&lt;0")</f>
        <v>0</v>
      </c>
      <c r="EG17" s="5">
        <f ca="1">SUMIFS(Movimientos!$C:$C,Movimientos!$A:$A,$B17,Movimientos!$D:$D,CONCATENATE("&lt;=",EG$3),Movimientos!$C:$C,"&gt;0")+SUMIFS(Movimientos!$C:$C,Movimientos!$A:$A,$B17,Movimientos!$D:$D,CONCATENATE("&lt;",EG$3),Movimientos!$C:$C,"&lt;0")</f>
        <v>0</v>
      </c>
      <c r="EH17" s="5">
        <f ca="1">SUMIFS(Movimientos!$C:$C,Movimientos!$A:$A,$B17,Movimientos!$D:$D,CONCATENATE("&lt;=",EH$3),Movimientos!$C:$C,"&gt;0")+SUMIFS(Movimientos!$C:$C,Movimientos!$A:$A,$B17,Movimientos!$D:$D,CONCATENATE("&lt;",EH$3),Movimientos!$C:$C,"&lt;0")</f>
        <v>0</v>
      </c>
      <c r="EI17" s="5">
        <f ca="1">SUMIFS(Movimientos!$C:$C,Movimientos!$A:$A,$B17,Movimientos!$D:$D,CONCATENATE("&lt;=",EI$3),Movimientos!$C:$C,"&gt;0")+SUMIFS(Movimientos!$C:$C,Movimientos!$A:$A,$B17,Movimientos!$D:$D,CONCATENATE("&lt;",EI$3),Movimientos!$C:$C,"&lt;0")</f>
        <v>0</v>
      </c>
      <c r="EJ17" s="5">
        <f ca="1">SUMIFS(Movimientos!$C:$C,Movimientos!$A:$A,$B17,Movimientos!$D:$D,CONCATENATE("&lt;=",EJ$3),Movimientos!$C:$C,"&gt;0")+SUMIFS(Movimientos!$C:$C,Movimientos!$A:$A,$B17,Movimientos!$D:$D,CONCATENATE("&lt;",EJ$3),Movimientos!$C:$C,"&lt;0")</f>
        <v>0</v>
      </c>
      <c r="EK17" s="5">
        <f ca="1">SUMIFS(Movimientos!$C:$C,Movimientos!$A:$A,$B17,Movimientos!$D:$D,CONCATENATE("&lt;=",EK$3),Movimientos!$C:$C,"&gt;0")+SUMIFS(Movimientos!$C:$C,Movimientos!$A:$A,$B17,Movimientos!$D:$D,CONCATENATE("&lt;",EK$3),Movimientos!$C:$C,"&lt;0")</f>
        <v>0</v>
      </c>
      <c r="EL17" s="5">
        <f ca="1">SUMIFS(Movimientos!$C:$C,Movimientos!$A:$A,$B17,Movimientos!$D:$D,CONCATENATE("&lt;=",EL$3),Movimientos!$C:$C,"&gt;0")+SUMIFS(Movimientos!$C:$C,Movimientos!$A:$A,$B17,Movimientos!$D:$D,CONCATENATE("&lt;",EL$3),Movimientos!$C:$C,"&lt;0")</f>
        <v>0</v>
      </c>
      <c r="EM17" s="5">
        <f ca="1">SUMIFS(Movimientos!$C:$C,Movimientos!$A:$A,$B17,Movimientos!$D:$D,CONCATENATE("&lt;=",EM$3),Movimientos!$C:$C,"&gt;0")+SUMIFS(Movimientos!$C:$C,Movimientos!$A:$A,$B17,Movimientos!$D:$D,CONCATENATE("&lt;",EM$3),Movimientos!$C:$C,"&lt;0")</f>
        <v>0</v>
      </c>
      <c r="EN17" s="5">
        <f ca="1">SUMIFS(Movimientos!$C:$C,Movimientos!$A:$A,$B17,Movimientos!$D:$D,CONCATENATE("&lt;=",EN$3),Movimientos!$C:$C,"&gt;0")+SUMIFS(Movimientos!$C:$C,Movimientos!$A:$A,$B17,Movimientos!$D:$D,CONCATENATE("&lt;",EN$3),Movimientos!$C:$C,"&lt;0")</f>
        <v>0</v>
      </c>
      <c r="EO17" s="5">
        <f ca="1">SUMIFS(Movimientos!$C:$C,Movimientos!$A:$A,$B17,Movimientos!$D:$D,CONCATENATE("&lt;=",EO$3),Movimientos!$C:$C,"&gt;0")+SUMIFS(Movimientos!$C:$C,Movimientos!$A:$A,$B17,Movimientos!$D:$D,CONCATENATE("&lt;",EO$3),Movimientos!$C:$C,"&lt;0")</f>
        <v>0</v>
      </c>
      <c r="EP17" s="5">
        <f ca="1">SUMIFS(Movimientos!$C:$C,Movimientos!$A:$A,$B17,Movimientos!$D:$D,CONCATENATE("&lt;=",EP$3),Movimientos!$C:$C,"&gt;0")+SUMIFS(Movimientos!$C:$C,Movimientos!$A:$A,$B17,Movimientos!$D:$D,CONCATENATE("&lt;",EP$3),Movimientos!$C:$C,"&lt;0")</f>
        <v>0</v>
      </c>
      <c r="EQ17" s="5">
        <f ca="1">SUMIFS(Movimientos!$C:$C,Movimientos!$A:$A,$B17,Movimientos!$D:$D,CONCATENATE("&lt;=",EQ$3),Movimientos!$C:$C,"&gt;0")+SUMIFS(Movimientos!$C:$C,Movimientos!$A:$A,$B17,Movimientos!$D:$D,CONCATENATE("&lt;",EQ$3),Movimientos!$C:$C,"&lt;0")</f>
        <v>0</v>
      </c>
      <c r="ER17" s="5">
        <f ca="1">SUMIFS(Movimientos!$C:$C,Movimientos!$A:$A,$B17,Movimientos!$D:$D,CONCATENATE("&lt;=",ER$3),Movimientos!$C:$C,"&gt;0")+SUMIFS(Movimientos!$C:$C,Movimientos!$A:$A,$B17,Movimientos!$D:$D,CONCATENATE("&lt;",ER$3),Movimientos!$C:$C,"&lt;0")</f>
        <v>0</v>
      </c>
      <c r="ES17" s="5">
        <f ca="1">SUMIFS(Movimientos!$C:$C,Movimientos!$A:$A,$B17,Movimientos!$D:$D,CONCATENATE("&lt;=",ES$3),Movimientos!$C:$C,"&gt;0")+SUMIFS(Movimientos!$C:$C,Movimientos!$A:$A,$B17,Movimientos!$D:$D,CONCATENATE("&lt;",ES$3),Movimientos!$C:$C,"&lt;0")</f>
        <v>0</v>
      </c>
      <c r="ET17" s="5">
        <f ca="1">SUMIFS(Movimientos!$C:$C,Movimientos!$A:$A,$B17,Movimientos!$D:$D,CONCATENATE("&lt;=",ET$3),Movimientos!$C:$C,"&gt;0")+SUMIFS(Movimientos!$C:$C,Movimientos!$A:$A,$B17,Movimientos!$D:$D,CONCATENATE("&lt;",ET$3),Movimientos!$C:$C,"&lt;0")</f>
        <v>0</v>
      </c>
      <c r="EU17" s="5">
        <f ca="1">SUMIFS(Movimientos!$C:$C,Movimientos!$A:$A,$B17,Movimientos!$D:$D,CONCATENATE("&lt;=",EU$3),Movimientos!$C:$C,"&gt;0")+SUMIFS(Movimientos!$C:$C,Movimientos!$A:$A,$B17,Movimientos!$D:$D,CONCATENATE("&lt;",EU$3),Movimientos!$C:$C,"&lt;0")</f>
        <v>0</v>
      </c>
      <c r="EV17" s="5">
        <f ca="1">SUMIFS(Movimientos!$C:$C,Movimientos!$A:$A,$B17,Movimientos!$D:$D,CONCATENATE("&lt;=",EV$3),Movimientos!$C:$C,"&gt;0")+SUMIFS(Movimientos!$C:$C,Movimientos!$A:$A,$B17,Movimientos!$D:$D,CONCATENATE("&lt;",EV$3),Movimientos!$C:$C,"&lt;0")</f>
        <v>0</v>
      </c>
      <c r="EW17" s="5">
        <f ca="1">SUMIFS(Movimientos!$C:$C,Movimientos!$A:$A,$B17,Movimientos!$D:$D,CONCATENATE("&lt;=",EW$3),Movimientos!$C:$C,"&gt;0")+SUMIFS(Movimientos!$C:$C,Movimientos!$A:$A,$B17,Movimientos!$D:$D,CONCATENATE("&lt;",EW$3),Movimientos!$C:$C,"&lt;0")</f>
        <v>0</v>
      </c>
      <c r="EX17" s="5">
        <f ca="1">SUMIFS(Movimientos!$C:$C,Movimientos!$A:$A,$B17,Movimientos!$D:$D,CONCATENATE("&lt;=",EX$3),Movimientos!$C:$C,"&gt;0")+SUMIFS(Movimientos!$C:$C,Movimientos!$A:$A,$B17,Movimientos!$D:$D,CONCATENATE("&lt;",EX$3),Movimientos!$C:$C,"&lt;0")</f>
        <v>0</v>
      </c>
      <c r="EY17" s="5">
        <f ca="1">SUMIFS(Movimientos!$C:$C,Movimientos!$A:$A,$B17,Movimientos!$D:$D,CONCATENATE("&lt;=",EY$3),Movimientos!$C:$C,"&gt;0")+SUMIFS(Movimientos!$C:$C,Movimientos!$A:$A,$B17,Movimientos!$D:$D,CONCATENATE("&lt;",EY$3),Movimientos!$C:$C,"&lt;0")</f>
        <v>0</v>
      </c>
      <c r="EZ17" s="5">
        <f ca="1">SUMIFS(Movimientos!$C:$C,Movimientos!$A:$A,$B17,Movimientos!$D:$D,CONCATENATE("&lt;=",EZ$3),Movimientos!$C:$C,"&gt;0")+SUMIFS(Movimientos!$C:$C,Movimientos!$A:$A,$B17,Movimientos!$D:$D,CONCATENATE("&lt;",EZ$3),Movimientos!$C:$C,"&lt;0")</f>
        <v>0</v>
      </c>
      <c r="FA17" s="5">
        <f ca="1">SUMIFS(Movimientos!$C:$C,Movimientos!$A:$A,$B17,Movimientos!$D:$D,CONCATENATE("&lt;=",FA$3),Movimientos!$C:$C,"&gt;0")+SUMIFS(Movimientos!$C:$C,Movimientos!$A:$A,$B17,Movimientos!$D:$D,CONCATENATE("&lt;",FA$3),Movimientos!$C:$C,"&lt;0")</f>
        <v>0</v>
      </c>
      <c r="FB17" s="5">
        <f ca="1">SUMIFS(Movimientos!$C:$C,Movimientos!$A:$A,$B17,Movimientos!$D:$D,CONCATENATE("&lt;=",FB$3),Movimientos!$C:$C,"&gt;0")+SUMIFS(Movimientos!$C:$C,Movimientos!$A:$A,$B17,Movimientos!$D:$D,CONCATENATE("&lt;",FB$3),Movimientos!$C:$C,"&lt;0")</f>
        <v>0</v>
      </c>
      <c r="FC17" s="5">
        <f ca="1">SUMIFS(Movimientos!$C:$C,Movimientos!$A:$A,$B17,Movimientos!$D:$D,CONCATENATE("&lt;=",FC$3),Movimientos!$C:$C,"&gt;0")+SUMIFS(Movimientos!$C:$C,Movimientos!$A:$A,$B17,Movimientos!$D:$D,CONCATENATE("&lt;",FC$3),Movimientos!$C:$C,"&lt;0")</f>
        <v>0</v>
      </c>
      <c r="FD17" s="5">
        <f ca="1">SUMIFS(Movimientos!$C:$C,Movimientos!$A:$A,$B17,Movimientos!$D:$D,CONCATENATE("&lt;=",FD$3),Movimientos!$C:$C,"&gt;0")+SUMIFS(Movimientos!$C:$C,Movimientos!$A:$A,$B17,Movimientos!$D:$D,CONCATENATE("&lt;",FD$3),Movimientos!$C:$C,"&lt;0")</f>
        <v>0</v>
      </c>
      <c r="FE17" s="5">
        <f ca="1">SUMIFS(Movimientos!$C:$C,Movimientos!$A:$A,$B17,Movimientos!$D:$D,CONCATENATE("&lt;=",FE$3),Movimientos!$C:$C,"&gt;0")+SUMIFS(Movimientos!$C:$C,Movimientos!$A:$A,$B17,Movimientos!$D:$D,CONCATENATE("&lt;",FE$3),Movimientos!$C:$C,"&lt;0")</f>
        <v>0</v>
      </c>
      <c r="FF17" s="5">
        <f ca="1">SUMIFS(Movimientos!$C:$C,Movimientos!$A:$A,$B17,Movimientos!$D:$D,CONCATENATE("&lt;=",FF$3),Movimientos!$C:$C,"&gt;0")+SUMIFS(Movimientos!$C:$C,Movimientos!$A:$A,$B17,Movimientos!$D:$D,CONCATENATE("&lt;",FF$3),Movimientos!$C:$C,"&lt;0")</f>
        <v>0</v>
      </c>
      <c r="FG17" s="5">
        <f ca="1">SUMIFS(Movimientos!$C:$C,Movimientos!$A:$A,$B17,Movimientos!$D:$D,CONCATENATE("&lt;=",FG$3),Movimientos!$C:$C,"&gt;0")+SUMIFS(Movimientos!$C:$C,Movimientos!$A:$A,$B17,Movimientos!$D:$D,CONCATENATE("&lt;",FG$3),Movimientos!$C:$C,"&lt;0")</f>
        <v>0</v>
      </c>
      <c r="FH17" s="5">
        <f ca="1">SUMIFS(Movimientos!$C:$C,Movimientos!$A:$A,$B17,Movimientos!$D:$D,CONCATENATE("&lt;=",FH$3),Movimientos!$C:$C,"&gt;0")+SUMIFS(Movimientos!$C:$C,Movimientos!$A:$A,$B17,Movimientos!$D:$D,CONCATENATE("&lt;",FH$3),Movimientos!$C:$C,"&lt;0")</f>
        <v>0</v>
      </c>
      <c r="FI17" s="5">
        <f ca="1">SUMIFS(Movimientos!$C:$C,Movimientos!$A:$A,$B17,Movimientos!$D:$D,CONCATENATE("&lt;=",FI$3),Movimientos!$C:$C,"&gt;0")+SUMIFS(Movimientos!$C:$C,Movimientos!$A:$A,$B17,Movimientos!$D:$D,CONCATENATE("&lt;",FI$3),Movimientos!$C:$C,"&lt;0")</f>
        <v>0</v>
      </c>
      <c r="FJ17" s="5">
        <f ca="1">SUMIFS(Movimientos!$C:$C,Movimientos!$A:$A,$B17,Movimientos!$D:$D,CONCATENATE("&lt;=",FJ$3),Movimientos!$C:$C,"&gt;0")+SUMIFS(Movimientos!$C:$C,Movimientos!$A:$A,$B17,Movimientos!$D:$D,CONCATENATE("&lt;",FJ$3),Movimientos!$C:$C,"&lt;0")</f>
        <v>0</v>
      </c>
      <c r="FK17" s="5">
        <f ca="1">SUMIFS(Movimientos!$C:$C,Movimientos!$A:$A,$B17,Movimientos!$D:$D,CONCATENATE("&lt;=",FK$3),Movimientos!$C:$C,"&gt;0")+SUMIFS(Movimientos!$C:$C,Movimientos!$A:$A,$B17,Movimientos!$D:$D,CONCATENATE("&lt;",FK$3),Movimientos!$C:$C,"&lt;0")</f>
        <v>0</v>
      </c>
      <c r="FL17" s="5">
        <f ca="1">SUMIFS(Movimientos!$C:$C,Movimientos!$A:$A,$B17,Movimientos!$D:$D,CONCATENATE("&lt;=",FL$3),Movimientos!$C:$C,"&gt;0")+SUMIFS(Movimientos!$C:$C,Movimientos!$A:$A,$B17,Movimientos!$D:$D,CONCATENATE("&lt;",FL$3),Movimientos!$C:$C,"&lt;0")</f>
        <v>0</v>
      </c>
      <c r="FM17" s="5">
        <f ca="1">SUMIFS(Movimientos!$C:$C,Movimientos!$A:$A,$B17,Movimientos!$D:$D,CONCATENATE("&lt;=",FM$3),Movimientos!$C:$C,"&gt;0")+SUMIFS(Movimientos!$C:$C,Movimientos!$A:$A,$B17,Movimientos!$D:$D,CONCATENATE("&lt;",FM$3),Movimientos!$C:$C,"&lt;0")</f>
        <v>0</v>
      </c>
      <c r="FN17" s="5">
        <f ca="1">SUMIFS(Movimientos!$C:$C,Movimientos!$A:$A,$B17,Movimientos!$D:$D,CONCATENATE("&lt;=",FN$3),Movimientos!$C:$C,"&gt;0")+SUMIFS(Movimientos!$C:$C,Movimientos!$A:$A,$B17,Movimientos!$D:$D,CONCATENATE("&lt;",FN$3),Movimientos!$C:$C,"&lt;0")</f>
        <v>0</v>
      </c>
      <c r="FO17" s="5">
        <f ca="1">SUMIFS(Movimientos!$C:$C,Movimientos!$A:$A,$B17,Movimientos!$D:$D,CONCATENATE("&lt;=",FO$3),Movimientos!$C:$C,"&gt;0")+SUMIFS(Movimientos!$C:$C,Movimientos!$A:$A,$B17,Movimientos!$D:$D,CONCATENATE("&lt;",FO$3),Movimientos!$C:$C,"&lt;0")</f>
        <v>0</v>
      </c>
      <c r="FP17" s="5">
        <f ca="1">SUMIFS(Movimientos!$C:$C,Movimientos!$A:$A,$B17,Movimientos!$D:$D,CONCATENATE("&lt;=",FP$3),Movimientos!$C:$C,"&gt;0")+SUMIFS(Movimientos!$C:$C,Movimientos!$A:$A,$B17,Movimientos!$D:$D,CONCATENATE("&lt;",FP$3),Movimientos!$C:$C,"&lt;0")</f>
        <v>0</v>
      </c>
      <c r="FQ17" s="5">
        <f ca="1">SUMIFS(Movimientos!$C:$C,Movimientos!$A:$A,$B17,Movimientos!$D:$D,CONCATENATE("&lt;=",FQ$3),Movimientos!$C:$C,"&gt;0")+SUMIFS(Movimientos!$C:$C,Movimientos!$A:$A,$B17,Movimientos!$D:$D,CONCATENATE("&lt;",FQ$3),Movimientos!$C:$C,"&lt;0")</f>
        <v>0</v>
      </c>
      <c r="FR17" s="5">
        <f ca="1">SUMIFS(Movimientos!$C:$C,Movimientos!$A:$A,$B17,Movimientos!$D:$D,CONCATENATE("&lt;=",FR$3),Movimientos!$C:$C,"&gt;0")+SUMIFS(Movimientos!$C:$C,Movimientos!$A:$A,$B17,Movimientos!$D:$D,CONCATENATE("&lt;",FR$3),Movimientos!$C:$C,"&lt;0")</f>
        <v>0</v>
      </c>
      <c r="FS17" s="5">
        <f ca="1">SUMIFS(Movimientos!$C:$C,Movimientos!$A:$A,$B17,Movimientos!$D:$D,CONCATENATE("&lt;=",FS$3),Movimientos!$C:$C,"&gt;0")+SUMIFS(Movimientos!$C:$C,Movimientos!$A:$A,$B17,Movimientos!$D:$D,CONCATENATE("&lt;",FS$3),Movimientos!$C:$C,"&lt;0")</f>
        <v>0</v>
      </c>
      <c r="FT17" s="5">
        <f ca="1">SUMIFS(Movimientos!$C:$C,Movimientos!$A:$A,$B17,Movimientos!$D:$D,CONCATENATE("&lt;=",FT$3),Movimientos!$C:$C,"&gt;0")+SUMIFS(Movimientos!$C:$C,Movimientos!$A:$A,$B17,Movimientos!$D:$D,CONCATENATE("&lt;",FT$3),Movimientos!$C:$C,"&lt;0")</f>
        <v>0</v>
      </c>
      <c r="FU17" s="5">
        <f ca="1">SUMIFS(Movimientos!$C:$C,Movimientos!$A:$A,$B17,Movimientos!$D:$D,CONCATENATE("&lt;=",FU$3),Movimientos!$C:$C,"&gt;0")+SUMIFS(Movimientos!$C:$C,Movimientos!$A:$A,$B17,Movimientos!$D:$D,CONCATENATE("&lt;",FU$3),Movimientos!$C:$C,"&lt;0")</f>
        <v>0</v>
      </c>
      <c r="FV17" s="5">
        <f ca="1">SUMIFS(Movimientos!$C:$C,Movimientos!$A:$A,$B17,Movimientos!$D:$D,CONCATENATE("&lt;=",FV$3),Movimientos!$C:$C,"&gt;0")+SUMIFS(Movimientos!$C:$C,Movimientos!$A:$A,$B17,Movimientos!$D:$D,CONCATENATE("&lt;",FV$3),Movimientos!$C:$C,"&lt;0")</f>
        <v>0</v>
      </c>
      <c r="FW17" s="5">
        <f ca="1">SUMIFS(Movimientos!$C:$C,Movimientos!$A:$A,$B17,Movimientos!$D:$D,CONCATENATE("&lt;=",FW$3),Movimientos!$C:$C,"&gt;0")+SUMIFS(Movimientos!$C:$C,Movimientos!$A:$A,$B17,Movimientos!$D:$D,CONCATENATE("&lt;",FW$3),Movimientos!$C:$C,"&lt;0")</f>
        <v>0</v>
      </c>
      <c r="FX17" s="5">
        <f ca="1">SUMIFS(Movimientos!$C:$C,Movimientos!$A:$A,$B17,Movimientos!$D:$D,CONCATENATE("&lt;=",FX$3),Movimientos!$C:$C,"&gt;0")+SUMIFS(Movimientos!$C:$C,Movimientos!$A:$A,$B17,Movimientos!$D:$D,CONCATENATE("&lt;",FX$3),Movimientos!$C:$C,"&lt;0")</f>
        <v>0</v>
      </c>
      <c r="FY17" s="5">
        <f ca="1">SUMIFS(Movimientos!$C:$C,Movimientos!$A:$A,$B17,Movimientos!$D:$D,CONCATENATE("&lt;=",FY$3),Movimientos!$C:$C,"&gt;0")+SUMIFS(Movimientos!$C:$C,Movimientos!$A:$A,$B17,Movimientos!$D:$D,CONCATENATE("&lt;",FY$3),Movimientos!$C:$C,"&lt;0")</f>
        <v>0</v>
      </c>
      <c r="FZ17" s="5">
        <f ca="1">SUMIFS(Movimientos!$C:$C,Movimientos!$A:$A,$B17,Movimientos!$D:$D,CONCATENATE("&lt;=",FZ$3),Movimientos!$C:$C,"&gt;0")+SUMIFS(Movimientos!$C:$C,Movimientos!$A:$A,$B17,Movimientos!$D:$D,CONCATENATE("&lt;",FZ$3),Movimientos!$C:$C,"&lt;0")</f>
        <v>0</v>
      </c>
      <c r="GA17" s="5">
        <f ca="1">SUMIFS(Movimientos!$C:$C,Movimientos!$A:$A,$B17,Movimientos!$D:$D,CONCATENATE("&lt;=",GA$3),Movimientos!$C:$C,"&gt;0")+SUMIFS(Movimientos!$C:$C,Movimientos!$A:$A,$B17,Movimientos!$D:$D,CONCATENATE("&lt;",GA$3),Movimientos!$C:$C,"&lt;0")</f>
        <v>0</v>
      </c>
      <c r="GB17" s="5">
        <f ca="1">SUMIFS(Movimientos!$C:$C,Movimientos!$A:$A,$B17,Movimientos!$D:$D,CONCATENATE("&lt;=",GB$3),Movimientos!$C:$C,"&gt;0")+SUMIFS(Movimientos!$C:$C,Movimientos!$A:$A,$B17,Movimientos!$D:$D,CONCATENATE("&lt;",GB$3),Movimientos!$C:$C,"&lt;0")</f>
        <v>0</v>
      </c>
      <c r="GC17" s="5">
        <f ca="1">SUMIFS(Movimientos!$C:$C,Movimientos!$A:$A,$B17,Movimientos!$D:$D,CONCATENATE("&lt;=",GC$3),Movimientos!$C:$C,"&gt;0")+SUMIFS(Movimientos!$C:$C,Movimientos!$A:$A,$B17,Movimientos!$D:$D,CONCATENATE("&lt;",GC$3),Movimientos!$C:$C,"&lt;0")</f>
        <v>0</v>
      </c>
      <c r="GD17" s="5">
        <f ca="1">SUMIFS(Movimientos!$C:$C,Movimientos!$A:$A,$B17,Movimientos!$D:$D,CONCATENATE("&lt;=",GD$3),Movimientos!$C:$C,"&gt;0")+SUMIFS(Movimientos!$C:$C,Movimientos!$A:$A,$B17,Movimientos!$D:$D,CONCATENATE("&lt;",GD$3),Movimientos!$C:$C,"&lt;0")</f>
        <v>0</v>
      </c>
      <c r="GE17" s="5">
        <f ca="1">SUMIFS(Movimientos!$C:$C,Movimientos!$A:$A,$B17,Movimientos!$D:$D,CONCATENATE("&lt;=",GE$3),Movimientos!$C:$C,"&gt;0")+SUMIFS(Movimientos!$C:$C,Movimientos!$A:$A,$B17,Movimientos!$D:$D,CONCATENATE("&lt;",GE$3),Movimientos!$C:$C,"&lt;0")</f>
        <v>0</v>
      </c>
      <c r="GF17" s="5">
        <f ca="1">SUMIFS(Movimientos!$C:$C,Movimientos!$A:$A,$B17,Movimientos!$D:$D,CONCATENATE("&lt;=",GF$3),Movimientos!$C:$C,"&gt;0")+SUMIFS(Movimientos!$C:$C,Movimientos!$A:$A,$B17,Movimientos!$D:$D,CONCATENATE("&lt;",GF$3),Movimientos!$C:$C,"&lt;0")</f>
        <v>0</v>
      </c>
      <c r="GG17" s="5">
        <f ca="1">SUMIFS(Movimientos!$C:$C,Movimientos!$A:$A,$B17,Movimientos!$D:$D,CONCATENATE("&lt;=",GG$3),Movimientos!$C:$C,"&gt;0")+SUMIFS(Movimientos!$C:$C,Movimientos!$A:$A,$B17,Movimientos!$D:$D,CONCATENATE("&lt;",GG$3),Movimientos!$C:$C,"&lt;0")</f>
        <v>0</v>
      </c>
      <c r="GH17" s="5">
        <f ca="1">SUMIFS(Movimientos!$C:$C,Movimientos!$A:$A,$B17,Movimientos!$D:$D,CONCATENATE("&lt;=",GH$3),Movimientos!$C:$C,"&gt;0")+SUMIFS(Movimientos!$C:$C,Movimientos!$A:$A,$B17,Movimientos!$D:$D,CONCATENATE("&lt;",GH$3),Movimientos!$C:$C,"&lt;0")</f>
        <v>0</v>
      </c>
      <c r="GI17" s="5">
        <f ca="1">SUMIFS(Movimientos!$C:$C,Movimientos!$A:$A,$B17,Movimientos!$D:$D,CONCATENATE("&lt;=",GI$3),Movimientos!$C:$C,"&gt;0")+SUMIFS(Movimientos!$C:$C,Movimientos!$A:$A,$B17,Movimientos!$D:$D,CONCATENATE("&lt;",GI$3),Movimientos!$C:$C,"&lt;0")</f>
        <v>0</v>
      </c>
      <c r="GJ17" s="5">
        <f ca="1">SUMIFS(Movimientos!$C:$C,Movimientos!$A:$A,$B17,Movimientos!$D:$D,CONCATENATE("&lt;=",GJ$3),Movimientos!$C:$C,"&gt;0")+SUMIFS(Movimientos!$C:$C,Movimientos!$A:$A,$B17,Movimientos!$D:$D,CONCATENATE("&lt;",GJ$3),Movimientos!$C:$C,"&lt;0")</f>
        <v>0</v>
      </c>
      <c r="GK17" s="5">
        <f ca="1">SUMIFS(Movimientos!$C:$C,Movimientos!$A:$A,$B17,Movimientos!$D:$D,CONCATENATE("&lt;=",GK$3),Movimientos!$C:$C,"&gt;0")+SUMIFS(Movimientos!$C:$C,Movimientos!$A:$A,$B17,Movimientos!$D:$D,CONCATENATE("&lt;",GK$3),Movimientos!$C:$C,"&lt;0")</f>
        <v>0</v>
      </c>
      <c r="GL17" s="5">
        <f ca="1">SUMIFS(Movimientos!$C:$C,Movimientos!$A:$A,$B17,Movimientos!$D:$D,CONCATENATE("&lt;=",GL$3),Movimientos!$C:$C,"&gt;0")+SUMIFS(Movimientos!$C:$C,Movimientos!$A:$A,$B17,Movimientos!$D:$D,CONCATENATE("&lt;",GL$3),Movimientos!$C:$C,"&lt;0")</f>
        <v>0</v>
      </c>
      <c r="GM17" s="5">
        <f ca="1">SUMIFS(Movimientos!$C:$C,Movimientos!$A:$A,$B17,Movimientos!$D:$D,CONCATENATE("&lt;=",GM$3),Movimientos!$C:$C,"&gt;0")+SUMIFS(Movimientos!$C:$C,Movimientos!$A:$A,$B17,Movimientos!$D:$D,CONCATENATE("&lt;",GM$3),Movimientos!$C:$C,"&lt;0")</f>
        <v>0</v>
      </c>
      <c r="GN17" s="5">
        <f ca="1">SUMIFS(Movimientos!$C:$C,Movimientos!$A:$A,$B17,Movimientos!$D:$D,CONCATENATE("&lt;=",GN$3),Movimientos!$C:$C,"&gt;0")+SUMIFS(Movimientos!$C:$C,Movimientos!$A:$A,$B17,Movimientos!$D:$D,CONCATENATE("&lt;",GN$3),Movimientos!$C:$C,"&lt;0")</f>
        <v>0</v>
      </c>
      <c r="GO17" s="5">
        <f ca="1">SUMIFS(Movimientos!$C:$C,Movimientos!$A:$A,$B17,Movimientos!$D:$D,CONCATENATE("&lt;=",GO$3),Movimientos!$C:$C,"&gt;0")+SUMIFS(Movimientos!$C:$C,Movimientos!$A:$A,$B17,Movimientos!$D:$D,CONCATENATE("&lt;",GO$3),Movimientos!$C:$C,"&lt;0")</f>
        <v>0</v>
      </c>
      <c r="GP17" s="5">
        <f ca="1">SUMIFS(Movimientos!$C:$C,Movimientos!$A:$A,$B17,Movimientos!$D:$D,CONCATENATE("&lt;=",GP$3),Movimientos!$C:$C,"&gt;0")+SUMIFS(Movimientos!$C:$C,Movimientos!$A:$A,$B17,Movimientos!$D:$D,CONCATENATE("&lt;",GP$3),Movimientos!$C:$C,"&lt;0")</f>
        <v>0</v>
      </c>
      <c r="GQ17" s="5">
        <f ca="1">SUMIFS(Movimientos!$C:$C,Movimientos!$A:$A,$B17,Movimientos!$D:$D,CONCATENATE("&lt;=",GQ$3),Movimientos!$C:$C,"&gt;0")+SUMIFS(Movimientos!$C:$C,Movimientos!$A:$A,$B17,Movimientos!$D:$D,CONCATENATE("&lt;",GQ$3),Movimientos!$C:$C,"&lt;0")</f>
        <v>0</v>
      </c>
      <c r="GR17" s="5">
        <f ca="1">SUMIFS(Movimientos!$C:$C,Movimientos!$A:$A,$B17,Movimientos!$D:$D,CONCATENATE("&lt;=",GR$3),Movimientos!$C:$C,"&gt;0")+SUMIFS(Movimientos!$C:$C,Movimientos!$A:$A,$B17,Movimientos!$D:$D,CONCATENATE("&lt;",GR$3),Movimientos!$C:$C,"&lt;0")</f>
        <v>0</v>
      </c>
      <c r="GS17" s="5">
        <f ca="1">SUMIFS(Movimientos!$C:$C,Movimientos!$A:$A,$B17,Movimientos!$D:$D,CONCATENATE("&lt;=",GS$3),Movimientos!$C:$C,"&gt;0")+SUMIFS(Movimientos!$C:$C,Movimientos!$A:$A,$B17,Movimientos!$D:$D,CONCATENATE("&lt;",GS$3),Movimientos!$C:$C,"&lt;0")</f>
        <v>0</v>
      </c>
      <c r="GT17" s="5">
        <f ca="1">SUMIFS(Movimientos!$C:$C,Movimientos!$A:$A,$B17,Movimientos!$D:$D,CONCATENATE("&lt;=",GT$3),Movimientos!$C:$C,"&gt;0")+SUMIFS(Movimientos!$C:$C,Movimientos!$A:$A,$B17,Movimientos!$D:$D,CONCATENATE("&lt;",GT$3),Movimientos!$C:$C,"&lt;0")</f>
        <v>0</v>
      </c>
      <c r="GU17" s="5">
        <f ca="1">SUMIFS(Movimientos!$C:$C,Movimientos!$A:$A,$B17,Movimientos!$D:$D,CONCATENATE("&lt;=",GU$3),Movimientos!$C:$C,"&gt;0")+SUMIFS(Movimientos!$C:$C,Movimientos!$A:$A,$B17,Movimientos!$D:$D,CONCATENATE("&lt;",GU$3),Movimientos!$C:$C,"&lt;0")</f>
        <v>0</v>
      </c>
      <c r="GV17" s="5">
        <f ca="1">SUMIFS(Movimientos!$C:$C,Movimientos!$A:$A,$B17,Movimientos!$D:$D,CONCATENATE("&lt;=",GV$3),Movimientos!$C:$C,"&gt;0")+SUMIFS(Movimientos!$C:$C,Movimientos!$A:$A,$B17,Movimientos!$D:$D,CONCATENATE("&lt;",GV$3),Movimientos!$C:$C,"&lt;0")</f>
        <v>0</v>
      </c>
      <c r="GW17" s="5">
        <f ca="1">SUMIFS(Movimientos!$C:$C,Movimientos!$A:$A,$B17,Movimientos!$D:$D,CONCATENATE("&lt;=",GW$3),Movimientos!$C:$C,"&gt;0")+SUMIFS(Movimientos!$C:$C,Movimientos!$A:$A,$B17,Movimientos!$D:$D,CONCATENATE("&lt;",GW$3),Movimientos!$C:$C,"&lt;0")</f>
        <v>0</v>
      </c>
      <c r="GX17" s="5">
        <f ca="1">SUMIFS(Movimientos!$C:$C,Movimientos!$A:$A,$B17,Movimientos!$D:$D,CONCATENATE("&lt;=",GX$3),Movimientos!$C:$C,"&gt;0")+SUMIFS(Movimientos!$C:$C,Movimientos!$A:$A,$B17,Movimientos!$D:$D,CONCATENATE("&lt;",GX$3),Movimientos!$C:$C,"&lt;0")</f>
        <v>0</v>
      </c>
      <c r="GY17" s="5">
        <f ca="1">SUMIFS(Movimientos!$C:$C,Movimientos!$A:$A,$B17,Movimientos!$D:$D,CONCATENATE("&lt;=",GY$3),Movimientos!$C:$C,"&gt;0")+SUMIFS(Movimientos!$C:$C,Movimientos!$A:$A,$B17,Movimientos!$D:$D,CONCATENATE("&lt;",GY$3),Movimientos!$C:$C,"&lt;0")</f>
        <v>0</v>
      </c>
      <c r="GZ17" s="5">
        <f ca="1">SUMIFS(Movimientos!$C:$C,Movimientos!$A:$A,$B17,Movimientos!$D:$D,CONCATENATE("&lt;=",GZ$3),Movimientos!$C:$C,"&gt;0")+SUMIFS(Movimientos!$C:$C,Movimientos!$A:$A,$B17,Movimientos!$D:$D,CONCATENATE("&lt;",GZ$3),Movimientos!$C:$C,"&lt;0")</f>
        <v>0</v>
      </c>
      <c r="HA17" s="5">
        <f ca="1">SUMIFS(Movimientos!$C:$C,Movimientos!$A:$A,$B17,Movimientos!$D:$D,CONCATENATE("&lt;=",HA$3),Movimientos!$C:$C,"&gt;0")+SUMIFS(Movimientos!$C:$C,Movimientos!$A:$A,$B17,Movimientos!$D:$D,CONCATENATE("&lt;",HA$3),Movimientos!$C:$C,"&lt;0")</f>
        <v>0</v>
      </c>
      <c r="HB17" s="5">
        <f ca="1">SUMIFS(Movimientos!$C:$C,Movimientos!$A:$A,$B17,Movimientos!$D:$D,CONCATENATE("&lt;=",HB$3),Movimientos!$C:$C,"&gt;0")+SUMIFS(Movimientos!$C:$C,Movimientos!$A:$A,$B17,Movimientos!$D:$D,CONCATENATE("&lt;",HB$3),Movimientos!$C:$C,"&lt;0")</f>
        <v>0</v>
      </c>
      <c r="HC17" s="5">
        <f ca="1">SUMIFS(Movimientos!$C:$C,Movimientos!$A:$A,$B17,Movimientos!$D:$D,CONCATENATE("&lt;=",HC$3),Movimientos!$C:$C,"&gt;0")+SUMIFS(Movimientos!$C:$C,Movimientos!$A:$A,$B17,Movimientos!$D:$D,CONCATENATE("&lt;",HC$3),Movimientos!$C:$C,"&lt;0")</f>
        <v>0</v>
      </c>
      <c r="HD17" s="5">
        <f ca="1">SUMIFS(Movimientos!$C:$C,Movimientos!$A:$A,$B17,Movimientos!$D:$D,CONCATENATE("&lt;=",HD$3),Movimientos!$C:$C,"&gt;0")+SUMIFS(Movimientos!$C:$C,Movimientos!$A:$A,$B17,Movimientos!$D:$D,CONCATENATE("&lt;",HD$3),Movimientos!$C:$C,"&lt;0")</f>
        <v>0</v>
      </c>
      <c r="HE17" s="5">
        <f ca="1">SUMIFS(Movimientos!$C:$C,Movimientos!$A:$A,$B17,Movimientos!$D:$D,CONCATENATE("&lt;=",HE$3),Movimientos!$C:$C,"&gt;0")+SUMIFS(Movimientos!$C:$C,Movimientos!$A:$A,$B17,Movimientos!$D:$D,CONCATENATE("&lt;",HE$3),Movimientos!$C:$C,"&lt;0")</f>
        <v>0</v>
      </c>
      <c r="HF17" s="5">
        <f ca="1">SUMIFS(Movimientos!$C:$C,Movimientos!$A:$A,$B17,Movimientos!$D:$D,CONCATENATE("&lt;=",HF$3),Movimientos!$C:$C,"&gt;0")+SUMIFS(Movimientos!$C:$C,Movimientos!$A:$A,$B17,Movimientos!$D:$D,CONCATENATE("&lt;",HF$3),Movimientos!$C:$C,"&lt;0")</f>
        <v>0</v>
      </c>
      <c r="HG17" s="5">
        <f ca="1">SUMIFS(Movimientos!$C:$C,Movimientos!$A:$A,$B17,Movimientos!$D:$D,CONCATENATE("&lt;=",HG$3),Movimientos!$C:$C,"&gt;0")+SUMIFS(Movimientos!$C:$C,Movimientos!$A:$A,$B17,Movimientos!$D:$D,CONCATENATE("&lt;",HG$3),Movimientos!$C:$C,"&lt;0")</f>
        <v>0</v>
      </c>
      <c r="HH17" s="5">
        <f ca="1">SUMIFS(Movimientos!$C:$C,Movimientos!$A:$A,$B17,Movimientos!$D:$D,CONCATENATE("&lt;=",HH$3),Movimientos!$C:$C,"&gt;0")+SUMIFS(Movimientos!$C:$C,Movimientos!$A:$A,$B17,Movimientos!$D:$D,CONCATENATE("&lt;",HH$3),Movimientos!$C:$C,"&lt;0")</f>
        <v>0</v>
      </c>
      <c r="HI17" s="5">
        <f ca="1">SUMIFS(Movimientos!$C:$C,Movimientos!$A:$A,$B17,Movimientos!$D:$D,CONCATENATE("&lt;=",HI$3),Movimientos!$C:$C,"&gt;0")+SUMIFS(Movimientos!$C:$C,Movimientos!$A:$A,$B17,Movimientos!$D:$D,CONCATENATE("&lt;",HI$3),Movimientos!$C:$C,"&lt;0")</f>
        <v>0</v>
      </c>
      <c r="HJ17" s="5">
        <f ca="1">SUMIFS(Movimientos!$C:$C,Movimientos!$A:$A,$B17,Movimientos!$D:$D,CONCATENATE("&lt;=",HJ$3),Movimientos!$C:$C,"&gt;0")+SUMIFS(Movimientos!$C:$C,Movimientos!$A:$A,$B17,Movimientos!$D:$D,CONCATENATE("&lt;",HJ$3),Movimientos!$C:$C,"&lt;0")</f>
        <v>0</v>
      </c>
      <c r="HK17" s="5">
        <f ca="1">SUMIFS(Movimientos!$C:$C,Movimientos!$A:$A,$B17,Movimientos!$D:$D,CONCATENATE("&lt;=",HK$3),Movimientos!$C:$C,"&gt;0")+SUMIFS(Movimientos!$C:$C,Movimientos!$A:$A,$B17,Movimientos!$D:$D,CONCATENATE("&lt;",HK$3),Movimientos!$C:$C,"&lt;0")</f>
        <v>0</v>
      </c>
      <c r="HL17" s="5">
        <f ca="1">SUMIFS(Movimientos!$C:$C,Movimientos!$A:$A,$B17,Movimientos!$D:$D,CONCATENATE("&lt;=",HL$3),Movimientos!$C:$C,"&gt;0")+SUMIFS(Movimientos!$C:$C,Movimientos!$A:$A,$B17,Movimientos!$D:$D,CONCATENATE("&lt;",HL$3),Movimientos!$C:$C,"&lt;0")</f>
        <v>0</v>
      </c>
      <c r="HM17" s="5">
        <f ca="1">SUMIFS(Movimientos!$C:$C,Movimientos!$A:$A,$B17,Movimientos!$D:$D,CONCATENATE("&lt;=",HM$3),Movimientos!$C:$C,"&gt;0")+SUMIFS(Movimientos!$C:$C,Movimientos!$A:$A,$B17,Movimientos!$D:$D,CONCATENATE("&lt;",HM$3),Movimientos!$C:$C,"&lt;0")</f>
        <v>0</v>
      </c>
      <c r="HN17" s="5">
        <f ca="1">SUMIFS(Movimientos!$C:$C,Movimientos!$A:$A,$B17,Movimientos!$D:$D,CONCATENATE("&lt;=",HN$3),Movimientos!$C:$C,"&gt;0")+SUMIFS(Movimientos!$C:$C,Movimientos!$A:$A,$B17,Movimientos!$D:$D,CONCATENATE("&lt;",HN$3),Movimientos!$C:$C,"&lt;0")</f>
        <v>0</v>
      </c>
      <c r="HO17" s="5">
        <f ca="1">SUMIFS(Movimientos!$C:$C,Movimientos!$A:$A,$B17,Movimientos!$D:$D,CONCATENATE("&lt;=",HO$3),Movimientos!$C:$C,"&gt;0")+SUMIFS(Movimientos!$C:$C,Movimientos!$A:$A,$B17,Movimientos!$D:$D,CONCATENATE("&lt;",HO$3),Movimientos!$C:$C,"&lt;0")</f>
        <v>0</v>
      </c>
      <c r="HP17" s="5">
        <f ca="1">SUMIFS(Movimientos!$C:$C,Movimientos!$A:$A,$B17,Movimientos!$D:$D,CONCATENATE("&lt;=",HP$3),Movimientos!$C:$C,"&gt;0")+SUMIFS(Movimientos!$C:$C,Movimientos!$A:$A,$B17,Movimientos!$D:$D,CONCATENATE("&lt;",HP$3),Movimientos!$C:$C,"&lt;0")</f>
        <v>0</v>
      </c>
      <c r="HQ17" s="5">
        <f ca="1">SUMIFS(Movimientos!$C:$C,Movimientos!$A:$A,$B17,Movimientos!$D:$D,CONCATENATE("&lt;=",HQ$3),Movimientos!$C:$C,"&gt;0")+SUMIFS(Movimientos!$C:$C,Movimientos!$A:$A,$B17,Movimientos!$D:$D,CONCATENATE("&lt;",HQ$3),Movimientos!$C:$C,"&lt;0")</f>
        <v>0</v>
      </c>
      <c r="HR17" s="5">
        <f ca="1">SUMIFS(Movimientos!$C:$C,Movimientos!$A:$A,$B17,Movimientos!$D:$D,CONCATENATE("&lt;=",HR$3),Movimientos!$C:$C,"&gt;0")+SUMIFS(Movimientos!$C:$C,Movimientos!$A:$A,$B17,Movimientos!$D:$D,CONCATENATE("&lt;",HR$3),Movimientos!$C:$C,"&lt;0")</f>
        <v>0</v>
      </c>
      <c r="HS17" s="5">
        <f ca="1">SUMIFS(Movimientos!$C:$C,Movimientos!$A:$A,$B17,Movimientos!$D:$D,CONCATENATE("&lt;=",HS$3),Movimientos!$C:$C,"&gt;0")+SUMIFS(Movimientos!$C:$C,Movimientos!$A:$A,$B17,Movimientos!$D:$D,CONCATENATE("&lt;",HS$3),Movimientos!$C:$C,"&lt;0")</f>
        <v>0</v>
      </c>
      <c r="HT17" s="5">
        <f ca="1">SUMIFS(Movimientos!$C:$C,Movimientos!$A:$A,$B17,Movimientos!$D:$D,CONCATENATE("&lt;=",HT$3),Movimientos!$C:$C,"&gt;0")+SUMIFS(Movimientos!$C:$C,Movimientos!$A:$A,$B17,Movimientos!$D:$D,CONCATENATE("&lt;",HT$3),Movimientos!$C:$C,"&lt;0")</f>
        <v>0</v>
      </c>
      <c r="HU17" s="5">
        <f ca="1">SUMIFS(Movimientos!$C:$C,Movimientos!$A:$A,$B17,Movimientos!$D:$D,CONCATENATE("&lt;=",HU$3),Movimientos!$C:$C,"&gt;0")+SUMIFS(Movimientos!$C:$C,Movimientos!$A:$A,$B17,Movimientos!$D:$D,CONCATENATE("&lt;",HU$3),Movimientos!$C:$C,"&lt;0")</f>
        <v>0</v>
      </c>
      <c r="HV17" s="5">
        <f ca="1">SUMIFS(Movimientos!$C:$C,Movimientos!$A:$A,$B17,Movimientos!$D:$D,CONCATENATE("&lt;=",HV$3),Movimientos!$C:$C,"&gt;0")+SUMIFS(Movimientos!$C:$C,Movimientos!$A:$A,$B17,Movimientos!$D:$D,CONCATENATE("&lt;",HV$3),Movimientos!$C:$C,"&lt;0")</f>
        <v>0</v>
      </c>
      <c r="HW17" s="5">
        <f ca="1">SUMIFS(Movimientos!$C:$C,Movimientos!$A:$A,$B17,Movimientos!$D:$D,CONCATENATE("&lt;=",HW$3),Movimientos!$C:$C,"&gt;0")+SUMIFS(Movimientos!$C:$C,Movimientos!$A:$A,$B17,Movimientos!$D:$D,CONCATENATE("&lt;",HW$3),Movimientos!$C:$C,"&lt;0")</f>
        <v>0</v>
      </c>
      <c r="HX17" s="5">
        <f ca="1">SUMIFS(Movimientos!$C:$C,Movimientos!$A:$A,$B17,Movimientos!$D:$D,CONCATENATE("&lt;=",HX$3),Movimientos!$C:$C,"&gt;0")+SUMIFS(Movimientos!$C:$C,Movimientos!$A:$A,$B17,Movimientos!$D:$D,CONCATENATE("&lt;",HX$3),Movimientos!$C:$C,"&lt;0")</f>
        <v>0</v>
      </c>
      <c r="HY17" s="5">
        <f ca="1">SUMIFS(Movimientos!$C:$C,Movimientos!$A:$A,$B17,Movimientos!$D:$D,CONCATENATE("&lt;=",HY$3),Movimientos!$C:$C,"&gt;0")+SUMIFS(Movimientos!$C:$C,Movimientos!$A:$A,$B17,Movimientos!$D:$D,CONCATENATE("&lt;",HY$3),Movimientos!$C:$C,"&lt;0")</f>
        <v>0</v>
      </c>
      <c r="HZ17" s="5">
        <f ca="1">SUMIFS(Movimientos!$C:$C,Movimientos!$A:$A,$B17,Movimientos!$D:$D,CONCATENATE("&lt;=",HZ$3),Movimientos!$C:$C,"&gt;0")+SUMIFS(Movimientos!$C:$C,Movimientos!$A:$A,$B17,Movimientos!$D:$D,CONCATENATE("&lt;",HZ$3),Movimientos!$C:$C,"&lt;0")</f>
        <v>0</v>
      </c>
      <c r="IA17" s="5">
        <f ca="1">SUMIFS(Movimientos!$C:$C,Movimientos!$A:$A,$B17,Movimientos!$D:$D,CONCATENATE("&lt;=",IA$3),Movimientos!$C:$C,"&gt;0")+SUMIFS(Movimientos!$C:$C,Movimientos!$A:$A,$B17,Movimientos!$D:$D,CONCATENATE("&lt;",IA$3),Movimientos!$C:$C,"&lt;0")</f>
        <v>0</v>
      </c>
      <c r="IB17" s="5">
        <f ca="1">SUMIFS(Movimientos!$C:$C,Movimientos!$A:$A,$B17,Movimientos!$D:$D,CONCATENATE("&lt;=",IB$3),Movimientos!$C:$C,"&gt;0")+SUMIFS(Movimientos!$C:$C,Movimientos!$A:$A,$B17,Movimientos!$D:$D,CONCATENATE("&lt;",IB$3),Movimientos!$C:$C,"&lt;0")</f>
        <v>0</v>
      </c>
      <c r="IC17" s="5">
        <f ca="1">SUMIFS(Movimientos!$C:$C,Movimientos!$A:$A,$B17,Movimientos!$D:$D,CONCATENATE("&lt;=",IC$3),Movimientos!$C:$C,"&gt;0")+SUMIFS(Movimientos!$C:$C,Movimientos!$A:$A,$B17,Movimientos!$D:$D,CONCATENATE("&lt;",IC$3),Movimientos!$C:$C,"&lt;0")</f>
        <v>0</v>
      </c>
      <c r="ID17" s="5">
        <f ca="1">SUMIFS(Movimientos!$C:$C,Movimientos!$A:$A,$B17,Movimientos!$D:$D,CONCATENATE("&lt;=",ID$3),Movimientos!$C:$C,"&gt;0")+SUMIFS(Movimientos!$C:$C,Movimientos!$A:$A,$B17,Movimientos!$D:$D,CONCATENATE("&lt;",ID$3),Movimientos!$C:$C,"&lt;0")</f>
        <v>0</v>
      </c>
      <c r="IE17" s="5">
        <f ca="1">SUMIFS(Movimientos!$C:$C,Movimientos!$A:$A,$B17,Movimientos!$D:$D,CONCATENATE("&lt;=",IE$3),Movimientos!$C:$C,"&gt;0")+SUMIFS(Movimientos!$C:$C,Movimientos!$A:$A,$B17,Movimientos!$D:$D,CONCATENATE("&lt;",IE$3),Movimientos!$C:$C,"&lt;0")</f>
        <v>0</v>
      </c>
      <c r="IF17" s="5">
        <f ca="1">SUMIFS(Movimientos!$C:$C,Movimientos!$A:$A,$B17,Movimientos!$D:$D,CONCATENATE("&lt;=",IF$3),Movimientos!$C:$C,"&gt;0")+SUMIFS(Movimientos!$C:$C,Movimientos!$A:$A,$B17,Movimientos!$D:$D,CONCATENATE("&lt;",IF$3),Movimientos!$C:$C,"&lt;0")</f>
        <v>0</v>
      </c>
      <c r="IG17" s="5">
        <f ca="1">SUMIFS(Movimientos!$C:$C,Movimientos!$A:$A,$B17,Movimientos!$D:$D,CONCATENATE("&lt;=",IG$3),Movimientos!$C:$C,"&gt;0")+SUMIFS(Movimientos!$C:$C,Movimientos!$A:$A,$B17,Movimientos!$D:$D,CONCATENATE("&lt;",IG$3),Movimientos!$C:$C,"&lt;0")</f>
        <v>0</v>
      </c>
      <c r="IH17" s="5">
        <f ca="1">SUMIFS(Movimientos!$C:$C,Movimientos!$A:$A,$B17,Movimientos!$D:$D,CONCATENATE("&lt;=",IH$3),Movimientos!$C:$C,"&gt;0")+SUMIFS(Movimientos!$C:$C,Movimientos!$A:$A,$B17,Movimientos!$D:$D,CONCATENATE("&lt;",IH$3),Movimientos!$C:$C,"&lt;0")</f>
        <v>0</v>
      </c>
      <c r="II17" s="5">
        <f ca="1">SUMIFS(Movimientos!$C:$C,Movimientos!$A:$A,$B17,Movimientos!$D:$D,CONCATENATE("&lt;=",II$3),Movimientos!$C:$C,"&gt;0")+SUMIFS(Movimientos!$C:$C,Movimientos!$A:$A,$B17,Movimientos!$D:$D,CONCATENATE("&lt;",II$3),Movimientos!$C:$C,"&lt;0")</f>
        <v>0</v>
      </c>
      <c r="IJ17" s="5">
        <f ca="1">SUMIFS(Movimientos!$C:$C,Movimientos!$A:$A,$B17,Movimientos!$D:$D,CONCATENATE("&lt;=",IJ$3),Movimientos!$C:$C,"&gt;0")+SUMIFS(Movimientos!$C:$C,Movimientos!$A:$A,$B17,Movimientos!$D:$D,CONCATENATE("&lt;",IJ$3),Movimientos!$C:$C,"&lt;0")</f>
        <v>0</v>
      </c>
      <c r="IK17" s="5">
        <f ca="1">SUMIFS(Movimientos!$C:$C,Movimientos!$A:$A,$B17,Movimientos!$D:$D,CONCATENATE("&lt;=",IK$3),Movimientos!$C:$C,"&gt;0")+SUMIFS(Movimientos!$C:$C,Movimientos!$A:$A,$B17,Movimientos!$D:$D,CONCATENATE("&lt;",IK$3),Movimientos!$C:$C,"&lt;0")</f>
        <v>0</v>
      </c>
      <c r="IL17" s="5">
        <f ca="1">SUMIFS(Movimientos!$C:$C,Movimientos!$A:$A,$B17,Movimientos!$D:$D,CONCATENATE("&lt;=",IL$3),Movimientos!$C:$C,"&gt;0")+SUMIFS(Movimientos!$C:$C,Movimientos!$A:$A,$B17,Movimientos!$D:$D,CONCATENATE("&lt;",IL$3),Movimientos!$C:$C,"&lt;0")</f>
        <v>0</v>
      </c>
      <c r="IM17" s="5">
        <f ca="1">SUMIFS(Movimientos!$C:$C,Movimientos!$A:$A,$B17,Movimientos!$D:$D,CONCATENATE("&lt;=",IM$3),Movimientos!$C:$C,"&gt;0")+SUMIFS(Movimientos!$C:$C,Movimientos!$A:$A,$B17,Movimientos!$D:$D,CONCATENATE("&lt;",IM$3),Movimientos!$C:$C,"&lt;0")</f>
        <v>0</v>
      </c>
      <c r="IN17" s="5">
        <f ca="1">SUMIFS(Movimientos!$C:$C,Movimientos!$A:$A,$B17,Movimientos!$D:$D,CONCATENATE("&lt;=",IN$3),Movimientos!$C:$C,"&gt;0")+SUMIFS(Movimientos!$C:$C,Movimientos!$A:$A,$B17,Movimientos!$D:$D,CONCATENATE("&lt;",IN$3),Movimientos!$C:$C,"&lt;0")</f>
        <v>0</v>
      </c>
      <c r="IO17" s="5">
        <f ca="1">SUMIFS(Movimientos!$C:$C,Movimientos!$A:$A,$B17,Movimientos!$D:$D,CONCATENATE("&lt;=",IO$3),Movimientos!$C:$C,"&gt;0")+SUMIFS(Movimientos!$C:$C,Movimientos!$A:$A,$B17,Movimientos!$D:$D,CONCATENATE("&lt;",IO$3),Movimientos!$C:$C,"&lt;0")</f>
        <v>0</v>
      </c>
      <c r="IP17" s="5">
        <f ca="1">SUMIFS(Movimientos!$C:$C,Movimientos!$A:$A,$B17,Movimientos!$D:$D,CONCATENATE("&lt;=",IP$3),Movimientos!$C:$C,"&gt;0")+SUMIFS(Movimientos!$C:$C,Movimientos!$A:$A,$B17,Movimientos!$D:$D,CONCATENATE("&lt;",IP$3),Movimientos!$C:$C,"&lt;0")</f>
        <v>0</v>
      </c>
      <c r="IQ17" s="5">
        <f ca="1">SUMIFS(Movimientos!$C:$C,Movimientos!$A:$A,$B17,Movimientos!$D:$D,CONCATENATE("&lt;=",IQ$3),Movimientos!$C:$C,"&gt;0")+SUMIFS(Movimientos!$C:$C,Movimientos!$A:$A,$B17,Movimientos!$D:$D,CONCATENATE("&lt;",IQ$3),Movimientos!$C:$C,"&lt;0")</f>
        <v>0</v>
      </c>
      <c r="IR17" s="5">
        <f ca="1">SUMIFS(Movimientos!$C:$C,Movimientos!$A:$A,$B17,Movimientos!$D:$D,CONCATENATE("&lt;=",IR$3),Movimientos!$C:$C,"&gt;0")+SUMIFS(Movimientos!$C:$C,Movimientos!$A:$A,$B17,Movimientos!$D:$D,CONCATENATE("&lt;",IR$3),Movimientos!$C:$C,"&lt;0")</f>
        <v>0</v>
      </c>
      <c r="IS17" s="5">
        <f ca="1">SUMIFS(Movimientos!$C:$C,Movimientos!$A:$A,$B17,Movimientos!$D:$D,CONCATENATE("&lt;=",IS$3),Movimientos!$C:$C,"&gt;0")+SUMIFS(Movimientos!$C:$C,Movimientos!$A:$A,$B17,Movimientos!$D:$D,CONCATENATE("&lt;",IS$3),Movimientos!$C:$C,"&lt;0")</f>
        <v>0</v>
      </c>
      <c r="IT17" s="5">
        <f ca="1">SUMIFS(Movimientos!$C:$C,Movimientos!$A:$A,$B17,Movimientos!$D:$D,CONCATENATE("&lt;=",IT$3),Movimientos!$C:$C,"&gt;0")+SUMIFS(Movimientos!$C:$C,Movimientos!$A:$A,$B17,Movimientos!$D:$D,CONCATENATE("&lt;",IT$3),Movimientos!$C:$C,"&lt;0")</f>
        <v>0</v>
      </c>
      <c r="IU17" s="5">
        <f ca="1">SUMIFS(Movimientos!$C:$C,Movimientos!$A:$A,$B17,Movimientos!$D:$D,CONCATENATE("&lt;=",IU$3),Movimientos!$C:$C,"&gt;0")+SUMIFS(Movimientos!$C:$C,Movimientos!$A:$A,$B17,Movimientos!$D:$D,CONCATENATE("&lt;",IU$3),Movimientos!$C:$C,"&lt;0")</f>
        <v>0</v>
      </c>
      <c r="IV17" s="5">
        <f ca="1">SUMIFS(Movimientos!$C:$C,Movimientos!$A:$A,$B17,Movimientos!$D:$D,CONCATENATE("&lt;=",IV$3),Movimientos!$C:$C,"&gt;0")+SUMIFS(Movimientos!$C:$C,Movimientos!$A:$A,$B17,Movimientos!$D:$D,CONCATENATE("&lt;",IV$3),Movimientos!$C:$C,"&lt;0")</f>
        <v>0</v>
      </c>
      <c r="IW17" s="5">
        <f ca="1">SUMIFS(Movimientos!$C:$C,Movimientos!$A:$A,$B17,Movimientos!$D:$D,CONCATENATE("&lt;=",IW$3),Movimientos!$C:$C,"&gt;0")+SUMIFS(Movimientos!$C:$C,Movimientos!$A:$A,$B17,Movimientos!$D:$D,CONCATENATE("&lt;",IW$3),Movimientos!$C:$C,"&lt;0")</f>
        <v>0</v>
      </c>
      <c r="IX17" s="5">
        <f ca="1">SUMIFS(Movimientos!$C:$C,Movimientos!$A:$A,$B17,Movimientos!$D:$D,CONCATENATE("&lt;=",IX$3),Movimientos!$C:$C,"&gt;0")+SUMIFS(Movimientos!$C:$C,Movimientos!$A:$A,$B17,Movimientos!$D:$D,CONCATENATE("&lt;",IX$3),Movimientos!$C:$C,"&lt;0")</f>
        <v>0</v>
      </c>
      <c r="IY17" s="5">
        <f ca="1">SUMIFS(Movimientos!$C:$C,Movimientos!$A:$A,$B17,Movimientos!$D:$D,CONCATENATE("&lt;=",IY$3),Movimientos!$C:$C,"&gt;0")+SUMIFS(Movimientos!$C:$C,Movimientos!$A:$A,$B17,Movimientos!$D:$D,CONCATENATE("&lt;",IY$3),Movimientos!$C:$C,"&lt;0")</f>
        <v>0</v>
      </c>
      <c r="IZ17" s="5">
        <f ca="1">SUMIFS(Movimientos!$C:$C,Movimientos!$A:$A,$B17,Movimientos!$D:$D,CONCATENATE("&lt;=",IZ$3),Movimientos!$C:$C,"&gt;0")+SUMIFS(Movimientos!$C:$C,Movimientos!$A:$A,$B17,Movimientos!$D:$D,CONCATENATE("&lt;",IZ$3),Movimientos!$C:$C,"&lt;0")</f>
        <v>0</v>
      </c>
      <c r="JA17" s="5">
        <f ca="1">SUMIFS(Movimientos!$C:$C,Movimientos!$A:$A,$B17,Movimientos!$D:$D,CONCATENATE("&lt;=",JA$3),Movimientos!$C:$C,"&gt;0")+SUMIFS(Movimientos!$C:$C,Movimientos!$A:$A,$B17,Movimientos!$D:$D,CONCATENATE("&lt;",JA$3),Movimientos!$C:$C,"&lt;0")</f>
        <v>0</v>
      </c>
      <c r="JB17" s="5">
        <f ca="1">SUMIFS(Movimientos!$C:$C,Movimientos!$A:$A,$B17,Movimientos!$D:$D,CONCATENATE("&lt;=",JB$3),Movimientos!$C:$C,"&gt;0")+SUMIFS(Movimientos!$C:$C,Movimientos!$A:$A,$B17,Movimientos!$D:$D,CONCATENATE("&lt;",JB$3),Movimientos!$C:$C,"&lt;0")</f>
        <v>0</v>
      </c>
      <c r="JC17" s="5">
        <f ca="1">SUMIFS(Movimientos!$C:$C,Movimientos!$A:$A,$B17,Movimientos!$D:$D,CONCATENATE("&lt;=",JC$3),Movimientos!$C:$C,"&gt;0")+SUMIFS(Movimientos!$C:$C,Movimientos!$A:$A,$B17,Movimientos!$D:$D,CONCATENATE("&lt;",JC$3),Movimientos!$C:$C,"&lt;0")</f>
        <v>0</v>
      </c>
      <c r="JD17" s="5">
        <f ca="1">SUMIFS(Movimientos!$C:$C,Movimientos!$A:$A,$B17,Movimientos!$D:$D,CONCATENATE("&lt;=",JD$3),Movimientos!$C:$C,"&gt;0")+SUMIFS(Movimientos!$C:$C,Movimientos!$A:$A,$B17,Movimientos!$D:$D,CONCATENATE("&lt;",JD$3),Movimientos!$C:$C,"&lt;0")</f>
        <v>0</v>
      </c>
      <c r="JE17" s="5">
        <f ca="1">SUMIFS(Movimientos!$C:$C,Movimientos!$A:$A,$B17,Movimientos!$D:$D,CONCATENATE("&lt;=",JE$3),Movimientos!$C:$C,"&gt;0")+SUMIFS(Movimientos!$C:$C,Movimientos!$A:$A,$B17,Movimientos!$D:$D,CONCATENATE("&lt;",JE$3),Movimientos!$C:$C,"&lt;0")</f>
        <v>0</v>
      </c>
      <c r="JF17" s="5">
        <f ca="1">SUMIFS(Movimientos!$C:$C,Movimientos!$A:$A,$B17,Movimientos!$D:$D,CONCATENATE("&lt;=",JF$3),Movimientos!$C:$C,"&gt;0")+SUMIFS(Movimientos!$C:$C,Movimientos!$A:$A,$B17,Movimientos!$D:$D,CONCATENATE("&lt;",JF$3),Movimientos!$C:$C,"&lt;0")</f>
        <v>0</v>
      </c>
      <c r="JG17" s="5">
        <f ca="1">SUMIFS(Movimientos!$C:$C,Movimientos!$A:$A,$B17,Movimientos!$D:$D,CONCATENATE("&lt;=",JG$3),Movimientos!$C:$C,"&gt;0")+SUMIFS(Movimientos!$C:$C,Movimientos!$A:$A,$B17,Movimientos!$D:$D,CONCATENATE("&lt;",JG$3),Movimientos!$C:$C,"&lt;0")</f>
        <v>0</v>
      </c>
      <c r="JH17" s="5">
        <f ca="1">SUMIFS(Movimientos!$C:$C,Movimientos!$A:$A,$B17,Movimientos!$D:$D,CONCATENATE("&lt;=",JH$3),Movimientos!$C:$C,"&gt;0")+SUMIFS(Movimientos!$C:$C,Movimientos!$A:$A,$B17,Movimientos!$D:$D,CONCATENATE("&lt;",JH$3),Movimientos!$C:$C,"&lt;0")</f>
        <v>0</v>
      </c>
      <c r="JI17" s="5">
        <f ca="1">SUMIFS(Movimientos!$C:$C,Movimientos!$A:$A,$B17,Movimientos!$D:$D,CONCATENATE("&lt;=",JI$3),Movimientos!$C:$C,"&gt;0")+SUMIFS(Movimientos!$C:$C,Movimientos!$A:$A,$B17,Movimientos!$D:$D,CONCATENATE("&lt;",JI$3),Movimientos!$C:$C,"&lt;0")</f>
        <v>0</v>
      </c>
      <c r="JJ17" s="5">
        <f ca="1">SUMIFS(Movimientos!$C:$C,Movimientos!$A:$A,$B17,Movimientos!$D:$D,CONCATENATE("&lt;=",JJ$3),Movimientos!$C:$C,"&gt;0")+SUMIFS(Movimientos!$C:$C,Movimientos!$A:$A,$B17,Movimientos!$D:$D,CONCATENATE("&lt;",JJ$3),Movimientos!$C:$C,"&lt;0")</f>
        <v>0</v>
      </c>
      <c r="JK17" s="5">
        <f ca="1">SUMIFS(Movimientos!$C:$C,Movimientos!$A:$A,$B17,Movimientos!$D:$D,CONCATENATE("&lt;=",JK$3),Movimientos!$C:$C,"&gt;0")+SUMIFS(Movimientos!$C:$C,Movimientos!$A:$A,$B17,Movimientos!$D:$D,CONCATENATE("&lt;",JK$3),Movimientos!$C:$C,"&lt;0")</f>
        <v>0</v>
      </c>
      <c r="JL17" s="5">
        <f ca="1">SUMIFS(Movimientos!$C:$C,Movimientos!$A:$A,$B17,Movimientos!$D:$D,CONCATENATE("&lt;=",JL$3),Movimientos!$C:$C,"&gt;0")+SUMIFS(Movimientos!$C:$C,Movimientos!$A:$A,$B17,Movimientos!$D:$D,CONCATENATE("&lt;",JL$3),Movimientos!$C:$C,"&lt;0")</f>
        <v>0</v>
      </c>
      <c r="JM17" s="5">
        <f ca="1">SUMIFS(Movimientos!$C:$C,Movimientos!$A:$A,$B17,Movimientos!$D:$D,CONCATENATE("&lt;=",JM$3),Movimientos!$C:$C,"&gt;0")+SUMIFS(Movimientos!$C:$C,Movimientos!$A:$A,$B17,Movimientos!$D:$D,CONCATENATE("&lt;",JM$3),Movimientos!$C:$C,"&lt;0")</f>
        <v>0</v>
      </c>
      <c r="JN17" s="5">
        <f ca="1">SUMIFS(Movimientos!$C:$C,Movimientos!$A:$A,$B17,Movimientos!$D:$D,CONCATENATE("&lt;=",JN$3),Movimientos!$C:$C,"&gt;0")+SUMIFS(Movimientos!$C:$C,Movimientos!$A:$A,$B17,Movimientos!$D:$D,CONCATENATE("&lt;",JN$3),Movimientos!$C:$C,"&lt;0")</f>
        <v>0</v>
      </c>
      <c r="JO17" s="5">
        <f ca="1">SUMIFS(Movimientos!$C:$C,Movimientos!$A:$A,$B17,Movimientos!$D:$D,CONCATENATE("&lt;=",JO$3),Movimientos!$C:$C,"&gt;0")+SUMIFS(Movimientos!$C:$C,Movimientos!$A:$A,$B17,Movimientos!$D:$D,CONCATENATE("&lt;",JO$3),Movimientos!$C:$C,"&lt;0")</f>
        <v>0</v>
      </c>
      <c r="JP17" s="5">
        <f ca="1">SUMIFS(Movimientos!$C:$C,Movimientos!$A:$A,$B17,Movimientos!$D:$D,CONCATENATE("&lt;=",JP$3),Movimientos!$C:$C,"&gt;0")+SUMIFS(Movimientos!$C:$C,Movimientos!$A:$A,$B17,Movimientos!$D:$D,CONCATENATE("&lt;",JP$3),Movimientos!$C:$C,"&lt;0")</f>
        <v>0</v>
      </c>
      <c r="JQ17" s="5">
        <f ca="1">SUMIFS(Movimientos!$C:$C,Movimientos!$A:$A,$B17,Movimientos!$D:$D,CONCATENATE("&lt;=",JQ$3),Movimientos!$C:$C,"&gt;0")+SUMIFS(Movimientos!$C:$C,Movimientos!$A:$A,$B17,Movimientos!$D:$D,CONCATENATE("&lt;",JQ$3),Movimientos!$C:$C,"&lt;0")</f>
        <v>0</v>
      </c>
      <c r="JR17" s="5">
        <f ca="1">SUMIFS(Movimientos!$C:$C,Movimientos!$A:$A,$B17,Movimientos!$D:$D,CONCATENATE("&lt;=",JR$3),Movimientos!$C:$C,"&gt;0")+SUMIFS(Movimientos!$C:$C,Movimientos!$A:$A,$B17,Movimientos!$D:$D,CONCATENATE("&lt;",JR$3),Movimientos!$C:$C,"&lt;0")</f>
        <v>0</v>
      </c>
      <c r="JS17" s="5">
        <f ca="1">SUMIFS(Movimientos!$C:$C,Movimientos!$A:$A,$B17,Movimientos!$D:$D,CONCATENATE("&lt;=",JS$3),Movimientos!$C:$C,"&gt;0")+SUMIFS(Movimientos!$C:$C,Movimientos!$A:$A,$B17,Movimientos!$D:$D,CONCATENATE("&lt;",JS$3),Movimientos!$C:$C,"&lt;0")</f>
        <v>0</v>
      </c>
      <c r="JT17" s="5">
        <f ca="1">SUMIFS(Movimientos!$C:$C,Movimientos!$A:$A,$B17,Movimientos!$D:$D,CONCATENATE("&lt;=",JT$3),Movimientos!$C:$C,"&gt;0")+SUMIFS(Movimientos!$C:$C,Movimientos!$A:$A,$B17,Movimientos!$D:$D,CONCATENATE("&lt;",JT$3),Movimientos!$C:$C,"&lt;0")</f>
        <v>0</v>
      </c>
      <c r="JU17" s="5">
        <f ca="1">SUMIFS(Movimientos!$C:$C,Movimientos!$A:$A,$B17,Movimientos!$D:$D,CONCATENATE("&lt;=",JU$3),Movimientos!$C:$C,"&gt;0")+SUMIFS(Movimientos!$C:$C,Movimientos!$A:$A,$B17,Movimientos!$D:$D,CONCATENATE("&lt;",JU$3),Movimientos!$C:$C,"&lt;0")</f>
        <v>0</v>
      </c>
      <c r="JV17" s="5">
        <f ca="1">SUMIFS(Movimientos!$C:$C,Movimientos!$A:$A,$B17,Movimientos!$D:$D,CONCATENATE("&lt;=",JV$3),Movimientos!$C:$C,"&gt;0")+SUMIFS(Movimientos!$C:$C,Movimientos!$A:$A,$B17,Movimientos!$D:$D,CONCATENATE("&lt;",JV$3),Movimientos!$C:$C,"&lt;0")</f>
        <v>0</v>
      </c>
      <c r="JW17" s="5">
        <f ca="1">SUMIFS(Movimientos!$C:$C,Movimientos!$A:$A,$B17,Movimientos!$D:$D,CONCATENATE("&lt;=",JW$3),Movimientos!$C:$C,"&gt;0")+SUMIFS(Movimientos!$C:$C,Movimientos!$A:$A,$B17,Movimientos!$D:$D,CONCATENATE("&lt;",JW$3),Movimientos!$C:$C,"&lt;0")</f>
        <v>0</v>
      </c>
      <c r="JX17" s="5">
        <f ca="1">SUMIFS(Movimientos!$C:$C,Movimientos!$A:$A,$B17,Movimientos!$D:$D,CONCATENATE("&lt;=",JX$3),Movimientos!$C:$C,"&gt;0")+SUMIFS(Movimientos!$C:$C,Movimientos!$A:$A,$B17,Movimientos!$D:$D,CONCATENATE("&lt;",JX$3),Movimientos!$C:$C,"&lt;0")</f>
        <v>0</v>
      </c>
      <c r="JY17" s="5">
        <f ca="1">SUMIFS(Movimientos!$C:$C,Movimientos!$A:$A,$B17,Movimientos!$D:$D,CONCATENATE("&lt;=",JY$3),Movimientos!$C:$C,"&gt;0")+SUMIFS(Movimientos!$C:$C,Movimientos!$A:$A,$B17,Movimientos!$D:$D,CONCATENATE("&lt;",JY$3),Movimientos!$C:$C,"&lt;0")</f>
        <v>0</v>
      </c>
      <c r="JZ17" s="5">
        <f ca="1">SUMIFS(Movimientos!$C:$C,Movimientos!$A:$A,$B17,Movimientos!$D:$D,CONCATENATE("&lt;=",JZ$3),Movimientos!$C:$C,"&gt;0")+SUMIFS(Movimientos!$C:$C,Movimientos!$A:$A,$B17,Movimientos!$D:$D,CONCATENATE("&lt;",JZ$3),Movimientos!$C:$C,"&lt;0")</f>
        <v>0</v>
      </c>
      <c r="KA17" s="5">
        <f ca="1">SUMIFS(Movimientos!$C:$C,Movimientos!$A:$A,$B17,Movimientos!$D:$D,CONCATENATE("&lt;=",KA$3),Movimientos!$C:$C,"&gt;0")+SUMIFS(Movimientos!$C:$C,Movimientos!$A:$A,$B17,Movimientos!$D:$D,CONCATENATE("&lt;",KA$3),Movimientos!$C:$C,"&lt;0")</f>
        <v>0</v>
      </c>
      <c r="KB17" s="5">
        <f ca="1">SUMIFS(Movimientos!$C:$C,Movimientos!$A:$A,$B17,Movimientos!$D:$D,CONCATENATE("&lt;=",KB$3),Movimientos!$C:$C,"&gt;0")+SUMIFS(Movimientos!$C:$C,Movimientos!$A:$A,$B17,Movimientos!$D:$D,CONCATENATE("&lt;",KB$3),Movimientos!$C:$C,"&lt;0")</f>
        <v>0</v>
      </c>
      <c r="KC17" s="5">
        <f ca="1">SUMIFS(Movimientos!$C:$C,Movimientos!$A:$A,$B17,Movimientos!$D:$D,CONCATENATE("&lt;=",KC$3),Movimientos!$C:$C,"&gt;0")+SUMIFS(Movimientos!$C:$C,Movimientos!$A:$A,$B17,Movimientos!$D:$D,CONCATENATE("&lt;",KC$3),Movimientos!$C:$C,"&lt;0")</f>
        <v>0</v>
      </c>
      <c r="KD17" s="5">
        <f ca="1">SUMIFS(Movimientos!$C:$C,Movimientos!$A:$A,$B17,Movimientos!$D:$D,CONCATENATE("&lt;=",KD$3),Movimientos!$C:$C,"&gt;0")+SUMIFS(Movimientos!$C:$C,Movimientos!$A:$A,$B17,Movimientos!$D:$D,CONCATENATE("&lt;",KD$3),Movimientos!$C:$C,"&lt;0")</f>
        <v>0</v>
      </c>
      <c r="KE17" s="5">
        <f ca="1">SUMIFS(Movimientos!$C:$C,Movimientos!$A:$A,$B17,Movimientos!$D:$D,CONCATENATE("&lt;=",KE$3),Movimientos!$C:$C,"&gt;0")+SUMIFS(Movimientos!$C:$C,Movimientos!$A:$A,$B17,Movimientos!$D:$D,CONCATENATE("&lt;",KE$3),Movimientos!$C:$C,"&lt;0")</f>
        <v>0</v>
      </c>
      <c r="KF17" s="5">
        <f ca="1">SUMIFS(Movimientos!$C:$C,Movimientos!$A:$A,$B17,Movimientos!$D:$D,CONCATENATE("&lt;=",KF$3),Movimientos!$C:$C,"&gt;0")+SUMIFS(Movimientos!$C:$C,Movimientos!$A:$A,$B17,Movimientos!$D:$D,CONCATENATE("&lt;",KF$3),Movimientos!$C:$C,"&lt;0")</f>
        <v>0</v>
      </c>
      <c r="KG17" s="5">
        <f ca="1">SUMIFS(Movimientos!$C:$C,Movimientos!$A:$A,$B17,Movimientos!$D:$D,CONCATENATE("&lt;=",KG$3),Movimientos!$C:$C,"&gt;0")+SUMIFS(Movimientos!$C:$C,Movimientos!$A:$A,$B17,Movimientos!$D:$D,CONCATENATE("&lt;",KG$3),Movimientos!$C:$C,"&lt;0")</f>
        <v>0</v>
      </c>
      <c r="KH17" s="5">
        <f ca="1">SUMIFS(Movimientos!$C:$C,Movimientos!$A:$A,$B17,Movimientos!$D:$D,CONCATENATE("&lt;=",KH$3),Movimientos!$C:$C,"&gt;0")+SUMIFS(Movimientos!$C:$C,Movimientos!$A:$A,$B17,Movimientos!$D:$D,CONCATENATE("&lt;",KH$3),Movimientos!$C:$C,"&lt;0")</f>
        <v>0</v>
      </c>
      <c r="KI17" s="5">
        <f ca="1">SUMIFS(Movimientos!$C:$C,Movimientos!$A:$A,$B17,Movimientos!$D:$D,CONCATENATE("&lt;=",KI$3),Movimientos!$C:$C,"&gt;0")+SUMIFS(Movimientos!$C:$C,Movimientos!$A:$A,$B17,Movimientos!$D:$D,CONCATENATE("&lt;",KI$3),Movimientos!$C:$C,"&lt;0")</f>
        <v>0</v>
      </c>
      <c r="KJ17" s="5">
        <f ca="1">SUMIFS(Movimientos!$C:$C,Movimientos!$A:$A,$B17,Movimientos!$D:$D,CONCATENATE("&lt;=",KJ$3),Movimientos!$C:$C,"&gt;0")+SUMIFS(Movimientos!$C:$C,Movimientos!$A:$A,$B17,Movimientos!$D:$D,CONCATENATE("&lt;",KJ$3),Movimientos!$C:$C,"&lt;0")</f>
        <v>0</v>
      </c>
      <c r="KK17" s="5">
        <f ca="1">SUMIFS(Movimientos!$C:$C,Movimientos!$A:$A,$B17,Movimientos!$D:$D,CONCATENATE("&lt;=",KK$3),Movimientos!$C:$C,"&gt;0")+SUMIFS(Movimientos!$C:$C,Movimientos!$A:$A,$B17,Movimientos!$D:$D,CONCATENATE("&lt;",KK$3),Movimientos!$C:$C,"&lt;0")</f>
        <v>0</v>
      </c>
      <c r="KL17" s="5">
        <f ca="1">SUMIFS(Movimientos!$C:$C,Movimientos!$A:$A,$B17,Movimientos!$D:$D,CONCATENATE("&lt;=",KL$3),Movimientos!$C:$C,"&gt;0")+SUMIFS(Movimientos!$C:$C,Movimientos!$A:$A,$B17,Movimientos!$D:$D,CONCATENATE("&lt;",KL$3),Movimientos!$C:$C,"&lt;0")</f>
        <v>0</v>
      </c>
      <c r="KM17" s="5">
        <f ca="1">SUMIFS(Movimientos!$C:$C,Movimientos!$A:$A,$B17,Movimientos!$D:$D,CONCATENATE("&lt;=",KM$3),Movimientos!$C:$C,"&gt;0")+SUMIFS(Movimientos!$C:$C,Movimientos!$A:$A,$B17,Movimientos!$D:$D,CONCATENATE("&lt;",KM$3),Movimientos!$C:$C,"&lt;0")</f>
        <v>0</v>
      </c>
      <c r="KN17" s="5">
        <f ca="1">SUMIFS(Movimientos!$C:$C,Movimientos!$A:$A,$B17,Movimientos!$D:$D,CONCATENATE("&lt;=",KN$3),Movimientos!$C:$C,"&gt;0")+SUMIFS(Movimientos!$C:$C,Movimientos!$A:$A,$B17,Movimientos!$D:$D,CONCATENATE("&lt;",KN$3),Movimientos!$C:$C,"&lt;0")</f>
        <v>0</v>
      </c>
      <c r="KO17" s="5">
        <f ca="1">SUMIFS(Movimientos!$C:$C,Movimientos!$A:$A,$B17,Movimientos!$D:$D,CONCATENATE("&lt;=",KO$3),Movimientos!$C:$C,"&gt;0")+SUMIFS(Movimientos!$C:$C,Movimientos!$A:$A,$B17,Movimientos!$D:$D,CONCATENATE("&lt;",KO$3),Movimientos!$C:$C,"&lt;0")</f>
        <v>0</v>
      </c>
      <c r="KP17" s="5">
        <f ca="1">SUMIFS(Movimientos!$C:$C,Movimientos!$A:$A,$B17,Movimientos!$D:$D,CONCATENATE("&lt;=",KP$3),Movimientos!$C:$C,"&gt;0")+SUMIFS(Movimientos!$C:$C,Movimientos!$A:$A,$B17,Movimientos!$D:$D,CONCATENATE("&lt;",KP$3),Movimientos!$C:$C,"&lt;0")</f>
        <v>0</v>
      </c>
      <c r="KQ17" s="5">
        <f ca="1">SUMIFS(Movimientos!$C:$C,Movimientos!$A:$A,$B17,Movimientos!$D:$D,CONCATENATE("&lt;=",KQ$3),Movimientos!$C:$C,"&gt;0")+SUMIFS(Movimientos!$C:$C,Movimientos!$A:$A,$B17,Movimientos!$D:$D,CONCATENATE("&lt;",KQ$3),Movimientos!$C:$C,"&lt;0")</f>
        <v>0</v>
      </c>
      <c r="KR17" s="5">
        <f ca="1">SUMIFS(Movimientos!$C:$C,Movimientos!$A:$A,$B17,Movimientos!$D:$D,CONCATENATE("&lt;=",KR$3),Movimientos!$C:$C,"&gt;0")+SUMIFS(Movimientos!$C:$C,Movimientos!$A:$A,$B17,Movimientos!$D:$D,CONCATENATE("&lt;",KR$3),Movimientos!$C:$C,"&lt;0")</f>
        <v>0</v>
      </c>
      <c r="KS17" s="5">
        <f ca="1">SUMIFS(Movimientos!$C:$C,Movimientos!$A:$A,$B17,Movimientos!$D:$D,CONCATENATE("&lt;=",KS$3),Movimientos!$C:$C,"&gt;0")+SUMIFS(Movimientos!$C:$C,Movimientos!$A:$A,$B17,Movimientos!$D:$D,CONCATENATE("&lt;",KS$3),Movimientos!$C:$C,"&lt;0")</f>
        <v>0</v>
      </c>
      <c r="KT17" s="5">
        <f ca="1">SUMIFS(Movimientos!$C:$C,Movimientos!$A:$A,$B17,Movimientos!$D:$D,CONCATENATE("&lt;=",KT$3),Movimientos!$C:$C,"&gt;0")+SUMIFS(Movimientos!$C:$C,Movimientos!$A:$A,$B17,Movimientos!$D:$D,CONCATENATE("&lt;",KT$3),Movimientos!$C:$C,"&lt;0")</f>
        <v>0</v>
      </c>
      <c r="KU17" s="5">
        <f ca="1">SUMIFS(Movimientos!$C:$C,Movimientos!$A:$A,$B17,Movimientos!$D:$D,CONCATENATE("&lt;=",KU$3),Movimientos!$C:$C,"&gt;0")+SUMIFS(Movimientos!$C:$C,Movimientos!$A:$A,$B17,Movimientos!$D:$D,CONCATENATE("&lt;",KU$3),Movimientos!$C:$C,"&lt;0")</f>
        <v>0</v>
      </c>
      <c r="KV17" s="5">
        <f ca="1">SUMIFS(Movimientos!$C:$C,Movimientos!$A:$A,$B17,Movimientos!$D:$D,CONCATENATE("&lt;=",KV$3),Movimientos!$C:$C,"&gt;0")+SUMIFS(Movimientos!$C:$C,Movimientos!$A:$A,$B17,Movimientos!$D:$D,CONCATENATE("&lt;",KV$3),Movimientos!$C:$C,"&lt;0")</f>
        <v>0</v>
      </c>
      <c r="KW17" s="5">
        <f ca="1">SUMIFS(Movimientos!$C:$C,Movimientos!$A:$A,$B17,Movimientos!$D:$D,CONCATENATE("&lt;=",KW$3),Movimientos!$C:$C,"&gt;0")+SUMIFS(Movimientos!$C:$C,Movimientos!$A:$A,$B17,Movimientos!$D:$D,CONCATENATE("&lt;",KW$3),Movimientos!$C:$C,"&lt;0")</f>
        <v>0</v>
      </c>
      <c r="KX17" s="5">
        <f ca="1">SUMIFS(Movimientos!$C:$C,Movimientos!$A:$A,$B17,Movimientos!$D:$D,CONCATENATE("&lt;=",KX$3),Movimientos!$C:$C,"&gt;0")+SUMIFS(Movimientos!$C:$C,Movimientos!$A:$A,$B17,Movimientos!$D:$D,CONCATENATE("&lt;",KX$3),Movimientos!$C:$C,"&lt;0")</f>
        <v>0</v>
      </c>
      <c r="KY17" s="5">
        <f ca="1">SUMIFS(Movimientos!$C:$C,Movimientos!$A:$A,$B17,Movimientos!$D:$D,CONCATENATE("&lt;=",KY$3),Movimientos!$C:$C,"&gt;0")+SUMIFS(Movimientos!$C:$C,Movimientos!$A:$A,$B17,Movimientos!$D:$D,CONCATENATE("&lt;",KY$3),Movimientos!$C:$C,"&lt;0")</f>
        <v>0</v>
      </c>
      <c r="KZ17" s="5">
        <f ca="1">SUMIFS(Movimientos!$C:$C,Movimientos!$A:$A,$B17,Movimientos!$D:$D,CONCATENATE("&lt;=",KZ$3),Movimientos!$C:$C,"&gt;0")+SUMIFS(Movimientos!$C:$C,Movimientos!$A:$A,$B17,Movimientos!$D:$D,CONCATENATE("&lt;",KZ$3),Movimientos!$C:$C,"&lt;0")</f>
        <v>0</v>
      </c>
      <c r="LA17" s="5">
        <f ca="1">SUMIFS(Movimientos!$C:$C,Movimientos!$A:$A,$B17,Movimientos!$D:$D,CONCATENATE("&lt;=",LA$3),Movimientos!$C:$C,"&gt;0")+SUMIFS(Movimientos!$C:$C,Movimientos!$A:$A,$B17,Movimientos!$D:$D,CONCATENATE("&lt;",LA$3),Movimientos!$C:$C,"&lt;0")</f>
        <v>0</v>
      </c>
      <c r="LB17" s="5">
        <f ca="1">SUMIFS(Movimientos!$C:$C,Movimientos!$A:$A,$B17,Movimientos!$D:$D,CONCATENATE("&lt;=",LB$3),Movimientos!$C:$C,"&gt;0")+SUMIFS(Movimientos!$C:$C,Movimientos!$A:$A,$B17,Movimientos!$D:$D,CONCATENATE("&lt;",LB$3),Movimientos!$C:$C,"&lt;0")</f>
        <v>0</v>
      </c>
      <c r="LC17" s="5">
        <f ca="1">SUMIFS(Movimientos!$C:$C,Movimientos!$A:$A,$B17,Movimientos!$D:$D,CONCATENATE("&lt;=",LC$3),Movimientos!$C:$C,"&gt;0")+SUMIFS(Movimientos!$C:$C,Movimientos!$A:$A,$B17,Movimientos!$D:$D,CONCATENATE("&lt;",LC$3),Movimientos!$C:$C,"&lt;0")</f>
        <v>0</v>
      </c>
      <c r="LD17" s="5">
        <f ca="1">SUMIFS(Movimientos!$C:$C,Movimientos!$A:$A,$B17,Movimientos!$D:$D,CONCATENATE("&lt;=",LD$3),Movimientos!$C:$C,"&gt;0")+SUMIFS(Movimientos!$C:$C,Movimientos!$A:$A,$B17,Movimientos!$D:$D,CONCATENATE("&lt;",LD$3),Movimientos!$C:$C,"&lt;0")</f>
        <v>0</v>
      </c>
      <c r="LE17" s="5">
        <f ca="1">SUMIFS(Movimientos!$C:$C,Movimientos!$A:$A,$B17,Movimientos!$D:$D,CONCATENATE("&lt;=",LE$3),Movimientos!$C:$C,"&gt;0")+SUMIFS(Movimientos!$C:$C,Movimientos!$A:$A,$B17,Movimientos!$D:$D,CONCATENATE("&lt;",LE$3),Movimientos!$C:$C,"&lt;0")</f>
        <v>0</v>
      </c>
      <c r="LF17" s="5">
        <f ca="1">SUMIFS(Movimientos!$C:$C,Movimientos!$A:$A,$B17,Movimientos!$D:$D,CONCATENATE("&lt;=",LF$3),Movimientos!$C:$C,"&gt;0")+SUMIFS(Movimientos!$C:$C,Movimientos!$A:$A,$B17,Movimientos!$D:$D,CONCATENATE("&lt;",LF$3),Movimientos!$C:$C,"&lt;0")</f>
        <v>0</v>
      </c>
      <c r="LG17" s="5">
        <f ca="1">SUMIFS(Movimientos!$C:$C,Movimientos!$A:$A,$B17,Movimientos!$D:$D,CONCATENATE("&lt;=",LG$3),Movimientos!$C:$C,"&gt;0")+SUMIFS(Movimientos!$C:$C,Movimientos!$A:$A,$B17,Movimientos!$D:$D,CONCATENATE("&lt;",LG$3),Movimientos!$C:$C,"&lt;0")</f>
        <v>0</v>
      </c>
      <c r="LH17" s="5">
        <f ca="1">SUMIFS(Movimientos!$C:$C,Movimientos!$A:$A,$B17,Movimientos!$D:$D,CONCATENATE("&lt;=",LH$3),Movimientos!$C:$C,"&gt;0")+SUMIFS(Movimientos!$C:$C,Movimientos!$A:$A,$B17,Movimientos!$D:$D,CONCATENATE("&lt;",LH$3),Movimientos!$C:$C,"&lt;0")</f>
        <v>0</v>
      </c>
      <c r="LI17" s="5">
        <f ca="1">SUMIFS(Movimientos!$C:$C,Movimientos!$A:$A,$B17,Movimientos!$D:$D,CONCATENATE("&lt;=",LI$3),Movimientos!$C:$C,"&gt;0")+SUMIFS(Movimientos!$C:$C,Movimientos!$A:$A,$B17,Movimientos!$D:$D,CONCATENATE("&lt;",LI$3),Movimientos!$C:$C,"&lt;0")</f>
        <v>0</v>
      </c>
      <c r="LJ17" s="5">
        <f ca="1">SUMIFS(Movimientos!$C:$C,Movimientos!$A:$A,$B17,Movimientos!$D:$D,CONCATENATE("&lt;=",LJ$3),Movimientos!$C:$C,"&gt;0")+SUMIFS(Movimientos!$C:$C,Movimientos!$A:$A,$B17,Movimientos!$D:$D,CONCATENATE("&lt;",LJ$3),Movimientos!$C:$C,"&lt;0")</f>
        <v>0</v>
      </c>
      <c r="LK17" s="5">
        <f ca="1">SUMIFS(Movimientos!$C:$C,Movimientos!$A:$A,$B17,Movimientos!$D:$D,CONCATENATE("&lt;=",LK$3),Movimientos!$C:$C,"&gt;0")+SUMIFS(Movimientos!$C:$C,Movimientos!$A:$A,$B17,Movimientos!$D:$D,CONCATENATE("&lt;",LK$3),Movimientos!$C:$C,"&lt;0")</f>
        <v>0</v>
      </c>
      <c r="LL17" s="5">
        <f ca="1">SUMIFS(Movimientos!$C:$C,Movimientos!$A:$A,$B17,Movimientos!$D:$D,CONCATENATE("&lt;=",LL$3),Movimientos!$C:$C,"&gt;0")+SUMIFS(Movimientos!$C:$C,Movimientos!$A:$A,$B17,Movimientos!$D:$D,CONCATENATE("&lt;",LL$3),Movimientos!$C:$C,"&lt;0")</f>
        <v>0</v>
      </c>
      <c r="LM17" s="5">
        <f ca="1">SUMIFS(Movimientos!$C:$C,Movimientos!$A:$A,$B17,Movimientos!$D:$D,CONCATENATE("&lt;=",LM$3),Movimientos!$C:$C,"&gt;0")+SUMIFS(Movimientos!$C:$C,Movimientos!$A:$A,$B17,Movimientos!$D:$D,CONCATENATE("&lt;",LM$3),Movimientos!$C:$C,"&lt;0")</f>
        <v>0</v>
      </c>
      <c r="LN17" s="5">
        <f ca="1">SUMIFS(Movimientos!$C:$C,Movimientos!$A:$A,$B17,Movimientos!$D:$D,CONCATENATE("&lt;=",LN$3),Movimientos!$C:$C,"&gt;0")+SUMIFS(Movimientos!$C:$C,Movimientos!$A:$A,$B17,Movimientos!$D:$D,CONCATENATE("&lt;",LN$3),Movimientos!$C:$C,"&lt;0")</f>
        <v>0</v>
      </c>
      <c r="LO17" s="5">
        <f ca="1">SUMIFS(Movimientos!$C:$C,Movimientos!$A:$A,$B17,Movimientos!$D:$D,CONCATENATE("&lt;=",LO$3),Movimientos!$C:$C,"&gt;0")+SUMIFS(Movimientos!$C:$C,Movimientos!$A:$A,$B17,Movimientos!$D:$D,CONCATENATE("&lt;",LO$3),Movimientos!$C:$C,"&lt;0")</f>
        <v>0</v>
      </c>
      <c r="LP17" s="5">
        <f ca="1">SUMIFS(Movimientos!$C:$C,Movimientos!$A:$A,$B17,Movimientos!$D:$D,CONCATENATE("&lt;=",LP$3),Movimientos!$C:$C,"&gt;0")+SUMIFS(Movimientos!$C:$C,Movimientos!$A:$A,$B17,Movimientos!$D:$D,CONCATENATE("&lt;",LP$3),Movimientos!$C:$C,"&lt;0")</f>
        <v>0</v>
      </c>
      <c r="LQ17" s="5">
        <f ca="1">SUMIFS(Movimientos!$C:$C,Movimientos!$A:$A,$B17,Movimientos!$D:$D,CONCATENATE("&lt;=",LQ$3),Movimientos!$C:$C,"&gt;0")+SUMIFS(Movimientos!$C:$C,Movimientos!$A:$A,$B17,Movimientos!$D:$D,CONCATENATE("&lt;",LQ$3),Movimientos!$C:$C,"&lt;0")</f>
        <v>0</v>
      </c>
      <c r="LR17" s="5">
        <f ca="1">SUMIFS(Movimientos!$C:$C,Movimientos!$A:$A,$B17,Movimientos!$D:$D,CONCATENATE("&lt;=",LR$3),Movimientos!$C:$C,"&gt;0")+SUMIFS(Movimientos!$C:$C,Movimientos!$A:$A,$B17,Movimientos!$D:$D,CONCATENATE("&lt;",LR$3),Movimientos!$C:$C,"&lt;0")</f>
        <v>0</v>
      </c>
      <c r="LS17" s="5">
        <f ca="1">SUMIFS(Movimientos!$C:$C,Movimientos!$A:$A,$B17,Movimientos!$D:$D,CONCATENATE("&lt;=",LS$3),Movimientos!$C:$C,"&gt;0")+SUMIFS(Movimientos!$C:$C,Movimientos!$A:$A,$B17,Movimientos!$D:$D,CONCATENATE("&lt;",LS$3),Movimientos!$C:$C,"&lt;0")</f>
        <v>0</v>
      </c>
      <c r="LT17" s="5">
        <f ca="1">SUMIFS(Movimientos!$C:$C,Movimientos!$A:$A,$B17,Movimientos!$D:$D,CONCATENATE("&lt;=",LT$3),Movimientos!$C:$C,"&gt;0")+SUMIFS(Movimientos!$C:$C,Movimientos!$A:$A,$B17,Movimientos!$D:$D,CONCATENATE("&lt;",LT$3),Movimientos!$C:$C,"&lt;0")</f>
        <v>0</v>
      </c>
      <c r="LU17" s="5">
        <f ca="1">SUMIFS(Movimientos!$C:$C,Movimientos!$A:$A,$B17,Movimientos!$D:$D,CONCATENATE("&lt;=",LU$3),Movimientos!$C:$C,"&gt;0")+SUMIFS(Movimientos!$C:$C,Movimientos!$A:$A,$B17,Movimientos!$D:$D,CONCATENATE("&lt;",LU$3),Movimientos!$C:$C,"&lt;0")</f>
        <v>0</v>
      </c>
      <c r="LV17" s="5">
        <f ca="1">SUMIFS(Movimientos!$C:$C,Movimientos!$A:$A,$B17,Movimientos!$D:$D,CONCATENATE("&lt;=",LV$3),Movimientos!$C:$C,"&gt;0")+SUMIFS(Movimientos!$C:$C,Movimientos!$A:$A,$B17,Movimientos!$D:$D,CONCATENATE("&lt;",LV$3),Movimientos!$C:$C,"&lt;0")</f>
        <v>0</v>
      </c>
      <c r="LW17" s="5">
        <f ca="1">SUMIFS(Movimientos!$C:$C,Movimientos!$A:$A,$B17,Movimientos!$D:$D,CONCATENATE("&lt;=",LW$3),Movimientos!$C:$C,"&gt;0")+SUMIFS(Movimientos!$C:$C,Movimientos!$A:$A,$B17,Movimientos!$D:$D,CONCATENATE("&lt;",LW$3),Movimientos!$C:$C,"&lt;0")</f>
        <v>0</v>
      </c>
      <c r="LX17" s="5">
        <f ca="1">SUMIFS(Movimientos!$C:$C,Movimientos!$A:$A,$B17,Movimientos!$D:$D,CONCATENATE("&lt;=",LX$3),Movimientos!$C:$C,"&gt;0")+SUMIFS(Movimientos!$C:$C,Movimientos!$A:$A,$B17,Movimientos!$D:$D,CONCATENATE("&lt;",LX$3),Movimientos!$C:$C,"&lt;0")</f>
        <v>0</v>
      </c>
      <c r="LY17" s="5">
        <f ca="1">SUMIFS(Movimientos!$C:$C,Movimientos!$A:$A,$B17,Movimientos!$D:$D,CONCATENATE("&lt;=",LY$3),Movimientos!$C:$C,"&gt;0")+SUMIFS(Movimientos!$C:$C,Movimientos!$A:$A,$B17,Movimientos!$D:$D,CONCATENATE("&lt;",LY$3),Movimientos!$C:$C,"&lt;0")</f>
        <v>0</v>
      </c>
      <c r="LZ17" s="5">
        <f ca="1">SUMIFS(Movimientos!$C:$C,Movimientos!$A:$A,$B17,Movimientos!$D:$D,CONCATENATE("&lt;=",LZ$3),Movimientos!$C:$C,"&gt;0")+SUMIFS(Movimientos!$C:$C,Movimientos!$A:$A,$B17,Movimientos!$D:$D,CONCATENATE("&lt;",LZ$3),Movimientos!$C:$C,"&lt;0")</f>
        <v>0</v>
      </c>
      <c r="MA17" s="5">
        <f ca="1">SUMIFS(Movimientos!$C:$C,Movimientos!$A:$A,$B17,Movimientos!$D:$D,CONCATENATE("&lt;=",MA$3),Movimientos!$C:$C,"&gt;0")+SUMIFS(Movimientos!$C:$C,Movimientos!$A:$A,$B17,Movimientos!$D:$D,CONCATENATE("&lt;",MA$3),Movimientos!$C:$C,"&lt;0")</f>
        <v>0</v>
      </c>
      <c r="MB17" s="5">
        <f ca="1">SUMIFS(Movimientos!$C:$C,Movimientos!$A:$A,$B17,Movimientos!$D:$D,CONCATENATE("&lt;=",MB$3),Movimientos!$C:$C,"&gt;0")+SUMIFS(Movimientos!$C:$C,Movimientos!$A:$A,$B17,Movimientos!$D:$D,CONCATENATE("&lt;",MB$3),Movimientos!$C:$C,"&lt;0")</f>
        <v>0</v>
      </c>
      <c r="MC17" s="5">
        <f ca="1">SUMIFS(Movimientos!$C:$C,Movimientos!$A:$A,$B17,Movimientos!$D:$D,CONCATENATE("&lt;=",MC$3),Movimientos!$C:$C,"&gt;0")+SUMIFS(Movimientos!$C:$C,Movimientos!$A:$A,$B17,Movimientos!$D:$D,CONCATENATE("&lt;",MC$3),Movimientos!$C:$C,"&lt;0")</f>
        <v>0</v>
      </c>
      <c r="MD17" s="5">
        <f ca="1">SUMIFS(Movimientos!$C:$C,Movimientos!$A:$A,$B17,Movimientos!$D:$D,CONCATENATE("&lt;=",MD$3),Movimientos!$C:$C,"&gt;0")+SUMIFS(Movimientos!$C:$C,Movimientos!$A:$A,$B17,Movimientos!$D:$D,CONCATENATE("&lt;",MD$3),Movimientos!$C:$C,"&lt;0")</f>
        <v>0</v>
      </c>
      <c r="ME17" s="5">
        <f ca="1">SUMIFS(Movimientos!$C:$C,Movimientos!$A:$A,$B17,Movimientos!$D:$D,CONCATENATE("&lt;=",ME$3),Movimientos!$C:$C,"&gt;0")+SUMIFS(Movimientos!$C:$C,Movimientos!$A:$A,$B17,Movimientos!$D:$D,CONCATENATE("&lt;",ME$3),Movimientos!$C:$C,"&lt;0")</f>
        <v>0</v>
      </c>
      <c r="MF17" s="5">
        <f ca="1">SUMIFS(Movimientos!$C:$C,Movimientos!$A:$A,$B17,Movimientos!$D:$D,CONCATENATE("&lt;=",MF$3),Movimientos!$C:$C,"&gt;0")+SUMIFS(Movimientos!$C:$C,Movimientos!$A:$A,$B17,Movimientos!$D:$D,CONCATENATE("&lt;",MF$3),Movimientos!$C:$C,"&lt;0")</f>
        <v>0</v>
      </c>
      <c r="MG17" s="5">
        <f ca="1">SUMIFS(Movimientos!$C:$C,Movimientos!$A:$A,$B17,Movimientos!$D:$D,CONCATENATE("&lt;=",MG$3),Movimientos!$C:$C,"&gt;0")+SUMIFS(Movimientos!$C:$C,Movimientos!$A:$A,$B17,Movimientos!$D:$D,CONCATENATE("&lt;",MG$3),Movimientos!$C:$C,"&lt;0")</f>
        <v>0</v>
      </c>
      <c r="MH17" s="5">
        <f ca="1">SUMIFS(Movimientos!$C:$C,Movimientos!$A:$A,$B17,Movimientos!$D:$D,CONCATENATE("&lt;=",MH$3),Movimientos!$C:$C,"&gt;0")+SUMIFS(Movimientos!$C:$C,Movimientos!$A:$A,$B17,Movimientos!$D:$D,CONCATENATE("&lt;",MH$3),Movimientos!$C:$C,"&lt;0")</f>
        <v>0</v>
      </c>
      <c r="MI17" s="5">
        <f ca="1">SUMIFS(Movimientos!$C:$C,Movimientos!$A:$A,$B17,Movimientos!$D:$D,CONCATENATE("&lt;=",MI$3),Movimientos!$C:$C,"&gt;0")+SUMIFS(Movimientos!$C:$C,Movimientos!$A:$A,$B17,Movimientos!$D:$D,CONCATENATE("&lt;",MI$3),Movimientos!$C:$C,"&lt;0")</f>
        <v>0</v>
      </c>
      <c r="MJ17" s="5">
        <f ca="1">SUMIFS(Movimientos!$C:$C,Movimientos!$A:$A,$B17,Movimientos!$D:$D,CONCATENATE("&lt;=",MJ$3),Movimientos!$C:$C,"&gt;0")+SUMIFS(Movimientos!$C:$C,Movimientos!$A:$A,$B17,Movimientos!$D:$D,CONCATENATE("&lt;",MJ$3),Movimientos!$C:$C,"&lt;0")</f>
        <v>0</v>
      </c>
      <c r="MK17" s="5">
        <f ca="1">SUMIFS(Movimientos!$C:$C,Movimientos!$A:$A,$B17,Movimientos!$D:$D,CONCATENATE("&lt;=",MK$3),Movimientos!$C:$C,"&gt;0")+SUMIFS(Movimientos!$C:$C,Movimientos!$A:$A,$B17,Movimientos!$D:$D,CONCATENATE("&lt;",MK$3),Movimientos!$C:$C,"&lt;0")</f>
        <v>0</v>
      </c>
      <c r="ML17" s="5">
        <f ca="1">SUMIFS(Movimientos!$C:$C,Movimientos!$A:$A,$B17,Movimientos!$D:$D,CONCATENATE("&lt;=",ML$3),Movimientos!$C:$C,"&gt;0")+SUMIFS(Movimientos!$C:$C,Movimientos!$A:$A,$B17,Movimientos!$D:$D,CONCATENATE("&lt;",ML$3),Movimientos!$C:$C,"&lt;0")</f>
        <v>0</v>
      </c>
      <c r="MM17" s="5">
        <f ca="1">SUMIFS(Movimientos!$C:$C,Movimientos!$A:$A,$B17,Movimientos!$D:$D,CONCATENATE("&lt;=",MM$3),Movimientos!$C:$C,"&gt;0")+SUMIFS(Movimientos!$C:$C,Movimientos!$A:$A,$B17,Movimientos!$D:$D,CONCATENATE("&lt;",MM$3),Movimientos!$C:$C,"&lt;0")</f>
        <v>0</v>
      </c>
      <c r="MN17" s="5">
        <f ca="1">SUMIFS(Movimientos!$C:$C,Movimientos!$A:$A,$B17,Movimientos!$D:$D,CONCATENATE("&lt;=",MN$3),Movimientos!$C:$C,"&gt;0")+SUMIFS(Movimientos!$C:$C,Movimientos!$A:$A,$B17,Movimientos!$D:$D,CONCATENATE("&lt;",MN$3),Movimientos!$C:$C,"&lt;0")</f>
        <v>0</v>
      </c>
      <c r="MO17" s="5">
        <f ca="1">SUMIFS(Movimientos!$C:$C,Movimientos!$A:$A,$B17,Movimientos!$D:$D,CONCATENATE("&lt;=",MO$3),Movimientos!$C:$C,"&gt;0")+SUMIFS(Movimientos!$C:$C,Movimientos!$A:$A,$B17,Movimientos!$D:$D,CONCATENATE("&lt;",MO$3),Movimientos!$C:$C,"&lt;0")</f>
        <v>0</v>
      </c>
      <c r="MP17" s="5">
        <f ca="1">SUMIFS(Movimientos!$C:$C,Movimientos!$A:$A,$B17,Movimientos!$D:$D,CONCATENATE("&lt;=",MP$3),Movimientos!$C:$C,"&gt;0")+SUMIFS(Movimientos!$C:$C,Movimientos!$A:$A,$B17,Movimientos!$D:$D,CONCATENATE("&lt;",MP$3),Movimientos!$C:$C,"&lt;0")</f>
        <v>0</v>
      </c>
      <c r="MQ17" s="5">
        <f ca="1">SUMIFS(Movimientos!$C:$C,Movimientos!$A:$A,$B17,Movimientos!$D:$D,CONCATENATE("&lt;=",MQ$3),Movimientos!$C:$C,"&gt;0")+SUMIFS(Movimientos!$C:$C,Movimientos!$A:$A,$B17,Movimientos!$D:$D,CONCATENATE("&lt;",MQ$3),Movimientos!$C:$C,"&lt;0")</f>
        <v>0</v>
      </c>
      <c r="MR17" s="5">
        <f ca="1">SUMIFS(Movimientos!$C:$C,Movimientos!$A:$A,$B17,Movimientos!$D:$D,CONCATENATE("&lt;=",MR$3),Movimientos!$C:$C,"&gt;0")+SUMIFS(Movimientos!$C:$C,Movimientos!$A:$A,$B17,Movimientos!$D:$D,CONCATENATE("&lt;",MR$3),Movimientos!$C:$C,"&lt;0")</f>
        <v>0</v>
      </c>
      <c r="MS17" s="5">
        <f ca="1">SUMIFS(Movimientos!$C:$C,Movimientos!$A:$A,$B17,Movimientos!$D:$D,CONCATENATE("&lt;=",MS$3),Movimientos!$C:$C,"&gt;0")+SUMIFS(Movimientos!$C:$C,Movimientos!$A:$A,$B17,Movimientos!$D:$D,CONCATENATE("&lt;",MS$3),Movimientos!$C:$C,"&lt;0")</f>
        <v>0</v>
      </c>
      <c r="MT17" s="5">
        <f ca="1">SUMIFS(Movimientos!$C:$C,Movimientos!$A:$A,$B17,Movimientos!$D:$D,CONCATENATE("&lt;=",MT$3),Movimientos!$C:$C,"&gt;0")+SUMIFS(Movimientos!$C:$C,Movimientos!$A:$A,$B17,Movimientos!$D:$D,CONCATENATE("&lt;",MT$3),Movimientos!$C:$C,"&lt;0")</f>
        <v>0</v>
      </c>
      <c r="MU17" s="5">
        <f ca="1">SUMIFS(Movimientos!$C:$C,Movimientos!$A:$A,$B17,Movimientos!$D:$D,CONCATENATE("&lt;=",MU$3),Movimientos!$C:$C,"&gt;0")+SUMIFS(Movimientos!$C:$C,Movimientos!$A:$A,$B17,Movimientos!$D:$D,CONCATENATE("&lt;",MU$3),Movimientos!$C:$C,"&lt;0")</f>
        <v>0</v>
      </c>
      <c r="MV17" s="5">
        <f ca="1">SUMIFS(Movimientos!$C:$C,Movimientos!$A:$A,$B17,Movimientos!$D:$D,CONCATENATE("&lt;=",MV$3),Movimientos!$C:$C,"&gt;0")+SUMIFS(Movimientos!$C:$C,Movimientos!$A:$A,$B17,Movimientos!$D:$D,CONCATENATE("&lt;",MV$3),Movimientos!$C:$C,"&lt;0")</f>
        <v>0</v>
      </c>
      <c r="MW17" s="5">
        <f ca="1">SUMIFS(Movimientos!$C:$C,Movimientos!$A:$A,$B17,Movimientos!$D:$D,CONCATENATE("&lt;=",MW$3),Movimientos!$C:$C,"&gt;0")+SUMIFS(Movimientos!$C:$C,Movimientos!$A:$A,$B17,Movimientos!$D:$D,CONCATENATE("&lt;",MW$3),Movimientos!$C:$C,"&lt;0")</f>
        <v>0</v>
      </c>
      <c r="MX17" s="5">
        <f ca="1">SUMIFS(Movimientos!$C:$C,Movimientos!$A:$A,$B17,Movimientos!$D:$D,CONCATENATE("&lt;=",MX$3),Movimientos!$C:$C,"&gt;0")+SUMIFS(Movimientos!$C:$C,Movimientos!$A:$A,$B17,Movimientos!$D:$D,CONCATENATE("&lt;",MX$3),Movimientos!$C:$C,"&lt;0")</f>
        <v>0</v>
      </c>
      <c r="MY17" s="5">
        <f ca="1">SUMIFS(Movimientos!$C:$C,Movimientos!$A:$A,$B17,Movimientos!$D:$D,CONCATENATE("&lt;=",MY$3),Movimientos!$C:$C,"&gt;0")+SUMIFS(Movimientos!$C:$C,Movimientos!$A:$A,$B17,Movimientos!$D:$D,CONCATENATE("&lt;",MY$3),Movimientos!$C:$C,"&lt;0")</f>
        <v>0</v>
      </c>
      <c r="MZ17" s="5">
        <f ca="1">SUMIFS(Movimientos!$C:$C,Movimientos!$A:$A,$B17,Movimientos!$D:$D,CONCATENATE("&lt;=",MZ$3),Movimientos!$C:$C,"&gt;0")+SUMIFS(Movimientos!$C:$C,Movimientos!$A:$A,$B17,Movimientos!$D:$D,CONCATENATE("&lt;",MZ$3),Movimientos!$C:$C,"&lt;0")</f>
        <v>0</v>
      </c>
      <c r="NA17" s="5">
        <f ca="1">SUMIFS(Movimientos!$C:$C,Movimientos!$A:$A,$B17,Movimientos!$D:$D,CONCATENATE("&lt;=",NA$3),Movimientos!$C:$C,"&gt;0")+SUMIFS(Movimientos!$C:$C,Movimientos!$A:$A,$B17,Movimientos!$D:$D,CONCATENATE("&lt;",NA$3),Movimientos!$C:$C,"&lt;0")</f>
        <v>0</v>
      </c>
      <c r="NB17" s="5">
        <f ca="1">SUMIFS(Movimientos!$C:$C,Movimientos!$A:$A,$B17,Movimientos!$D:$D,CONCATENATE("&lt;=",NB$3),Movimientos!$C:$C,"&gt;0")+SUMIFS(Movimientos!$C:$C,Movimientos!$A:$A,$B17,Movimientos!$D:$D,CONCATENATE("&lt;",NB$3),Movimientos!$C:$C,"&lt;0")</f>
        <v>0</v>
      </c>
      <c r="NC17" s="5">
        <f ca="1">SUMIFS(Movimientos!$C:$C,Movimientos!$A:$A,$B17,Movimientos!$D:$D,CONCATENATE("&lt;=",NC$3),Movimientos!$C:$C,"&gt;0")+SUMIFS(Movimientos!$C:$C,Movimientos!$A:$A,$B17,Movimientos!$D:$D,CONCATENATE("&lt;",NC$3),Movimientos!$C:$C,"&lt;0")</f>
        <v>0</v>
      </c>
      <c r="ND17" s="5">
        <f ca="1">SUMIFS(Movimientos!$C:$C,Movimientos!$A:$A,$B17,Movimientos!$D:$D,CONCATENATE("&lt;=",ND$3),Movimientos!$C:$C,"&gt;0")+SUMIFS(Movimientos!$C:$C,Movimientos!$A:$A,$B17,Movimientos!$D:$D,CONCATENATE("&lt;",ND$3),Movimientos!$C:$C,"&lt;0")</f>
        <v>0</v>
      </c>
      <c r="NE17" s="5">
        <f ca="1">SUMIFS(Movimientos!$C:$C,Movimientos!$A:$A,$B17,Movimientos!$D:$D,CONCATENATE("&lt;=",NE$3),Movimientos!$C:$C,"&gt;0")+SUMIFS(Movimientos!$C:$C,Movimientos!$A:$A,$B17,Movimientos!$D:$D,CONCATENATE("&lt;",NE$3),Movimientos!$C:$C,"&lt;0")</f>
        <v>0</v>
      </c>
      <c r="NF17" s="5">
        <f ca="1">SUMIFS(Movimientos!$C:$C,Movimientos!$A:$A,$B17,Movimientos!$D:$D,CONCATENATE("&lt;=",NF$3),Movimientos!$C:$C,"&gt;0")+SUMIFS(Movimientos!$C:$C,Movimientos!$A:$A,$B17,Movimientos!$D:$D,CONCATENATE("&lt;",NF$3),Movimientos!$C:$C,"&lt;0")</f>
        <v>0</v>
      </c>
      <c r="NG17" s="5">
        <f ca="1">SUMIFS(Movimientos!$C:$C,Movimientos!$A:$A,$B17,Movimientos!$D:$D,CONCATENATE("&lt;=",NG$3),Movimientos!$C:$C,"&gt;0")+SUMIFS(Movimientos!$C:$C,Movimientos!$A:$A,$B17,Movimientos!$D:$D,CONCATENATE("&lt;",NG$3),Movimientos!$C:$C,"&lt;0")</f>
        <v>0</v>
      </c>
      <c r="NH17" s="5">
        <f ca="1">SUMIFS(Movimientos!$C:$C,Movimientos!$A:$A,$B17,Movimientos!$D:$D,CONCATENATE("&lt;=",NH$3),Movimientos!$C:$C,"&gt;0")+SUMIFS(Movimientos!$C:$C,Movimientos!$A:$A,$B17,Movimientos!$D:$D,CONCATENATE("&lt;",NH$3),Movimientos!$C:$C,"&lt;0")</f>
        <v>0</v>
      </c>
      <c r="NI17" s="5">
        <f ca="1">SUMIFS(Movimientos!$C:$C,Movimientos!$A:$A,$B17,Movimientos!$D:$D,CONCATENATE("&lt;=",NI$3),Movimientos!$C:$C,"&gt;0")+SUMIFS(Movimientos!$C:$C,Movimientos!$A:$A,$B17,Movimientos!$D:$D,CONCATENATE("&lt;",NI$3),Movimientos!$C:$C,"&lt;0")</f>
        <v>0</v>
      </c>
      <c r="NJ17" s="5">
        <f ca="1">SUMIFS(Movimientos!$C:$C,Movimientos!$A:$A,$B17,Movimientos!$D:$D,CONCATENATE("&lt;=",NJ$3),Movimientos!$C:$C,"&gt;0")+SUMIFS(Movimientos!$C:$C,Movimientos!$A:$A,$B17,Movimientos!$D:$D,CONCATENATE("&lt;",NJ$3),Movimientos!$C:$C,"&lt;0")</f>
        <v>0</v>
      </c>
      <c r="NK17" s="5">
        <f ca="1">SUMIFS(Movimientos!$C:$C,Movimientos!$A:$A,$B17,Movimientos!$D:$D,CONCATENATE("&lt;=",NK$3),Movimientos!$C:$C,"&gt;0")+SUMIFS(Movimientos!$C:$C,Movimientos!$A:$A,$B17,Movimientos!$D:$D,CONCATENATE("&lt;",NK$3),Movimientos!$C:$C,"&lt;0")</f>
        <v>0</v>
      </c>
      <c r="NL17" s="5">
        <f ca="1">SUMIFS(Movimientos!$C:$C,Movimientos!$A:$A,$B17,Movimientos!$D:$D,CONCATENATE("&lt;=",NL$3),Movimientos!$C:$C,"&gt;0")+SUMIFS(Movimientos!$C:$C,Movimientos!$A:$A,$B17,Movimientos!$D:$D,CONCATENATE("&lt;",NL$3),Movimientos!$C:$C,"&lt;0")</f>
        <v>0</v>
      </c>
      <c r="NM17" s="5">
        <f ca="1">SUMIFS(Movimientos!$C:$C,Movimientos!$A:$A,$B17,Movimientos!$D:$D,CONCATENATE("&lt;=",NM$3),Movimientos!$C:$C,"&gt;0")+SUMIFS(Movimientos!$C:$C,Movimientos!$A:$A,$B17,Movimientos!$D:$D,CONCATENATE("&lt;",NM$3),Movimientos!$C:$C,"&lt;0")</f>
        <v>0</v>
      </c>
      <c r="NN17" s="5">
        <f ca="1">SUMIFS(Movimientos!$C:$C,Movimientos!$A:$A,$B17,Movimientos!$D:$D,CONCATENATE("&lt;=",NN$3),Movimientos!$C:$C,"&gt;0")+SUMIFS(Movimientos!$C:$C,Movimientos!$A:$A,$B17,Movimientos!$D:$D,CONCATENATE("&lt;",NN$3),Movimientos!$C:$C,"&lt;0")</f>
        <v>0</v>
      </c>
      <c r="NO17" s="5">
        <f ca="1">SUMIFS(Movimientos!$C:$C,Movimientos!$A:$A,$B17,Movimientos!$D:$D,CONCATENATE("&lt;=",NO$3),Movimientos!$C:$C,"&gt;0")+SUMIFS(Movimientos!$C:$C,Movimientos!$A:$A,$B17,Movimientos!$D:$D,CONCATENATE("&lt;",NO$3),Movimientos!$C:$C,"&lt;0")</f>
        <v>0</v>
      </c>
      <c r="NP17" s="5">
        <f ca="1">SUMIFS(Movimientos!$C:$C,Movimientos!$A:$A,$B17,Movimientos!$D:$D,CONCATENATE("&lt;=",NP$3),Movimientos!$C:$C,"&gt;0")+SUMIFS(Movimientos!$C:$C,Movimientos!$A:$A,$B17,Movimientos!$D:$D,CONCATENATE("&lt;",NP$3),Movimientos!$C:$C,"&lt;0")</f>
        <v>0</v>
      </c>
      <c r="NQ17" s="5">
        <f ca="1">SUMIFS(Movimientos!$C:$C,Movimientos!$A:$A,$B17,Movimientos!$D:$D,CONCATENATE("&lt;=",NQ$3),Movimientos!$C:$C,"&gt;0")+SUMIFS(Movimientos!$C:$C,Movimientos!$A:$A,$B17,Movimientos!$D:$D,CONCATENATE("&lt;",NQ$3),Movimientos!$C:$C,"&lt;0")</f>
        <v>0</v>
      </c>
      <c r="NR17" s="5">
        <f ca="1">SUMIFS(Movimientos!$C:$C,Movimientos!$A:$A,$B17,Movimientos!$D:$D,CONCATENATE("&lt;=",NR$3),Movimientos!$C:$C,"&gt;0")+SUMIFS(Movimientos!$C:$C,Movimientos!$A:$A,$B17,Movimientos!$D:$D,CONCATENATE("&lt;",NR$3),Movimientos!$C:$C,"&lt;0")</f>
        <v>0</v>
      </c>
      <c r="NS17" s="5">
        <f ca="1">SUMIFS(Movimientos!$C:$C,Movimientos!$A:$A,$B17,Movimientos!$D:$D,CONCATENATE("&lt;=",NS$3),Movimientos!$C:$C,"&gt;0")+SUMIFS(Movimientos!$C:$C,Movimientos!$A:$A,$B17,Movimientos!$D:$D,CONCATENATE("&lt;",NS$3),Movimientos!$C:$C,"&lt;0")</f>
        <v>0</v>
      </c>
      <c r="NT17" s="5">
        <f ca="1">SUMIFS(Movimientos!$C:$C,Movimientos!$A:$A,$B17,Movimientos!$D:$D,CONCATENATE("&lt;=",NT$3),Movimientos!$C:$C,"&gt;0")+SUMIFS(Movimientos!$C:$C,Movimientos!$A:$A,$B17,Movimientos!$D:$D,CONCATENATE("&lt;",NT$3),Movimientos!$C:$C,"&lt;0")</f>
        <v>0</v>
      </c>
      <c r="NU17" s="5">
        <f ca="1">SUMIFS(Movimientos!$C:$C,Movimientos!$A:$A,$B17,Movimientos!$D:$D,CONCATENATE("&lt;=",NU$3),Movimientos!$C:$C,"&gt;0")+SUMIFS(Movimientos!$C:$C,Movimientos!$A:$A,$B17,Movimientos!$D:$D,CONCATENATE("&lt;",NU$3),Movimientos!$C:$C,"&lt;0")</f>
        <v>0</v>
      </c>
      <c r="NV17" s="5">
        <f ca="1">SUMIFS(Movimientos!$C:$C,Movimientos!$A:$A,$B17,Movimientos!$D:$D,CONCATENATE("&lt;=",NV$3),Movimientos!$C:$C,"&gt;0")+SUMIFS(Movimientos!$C:$C,Movimientos!$A:$A,$B17,Movimientos!$D:$D,CONCATENATE("&lt;",NV$3),Movimientos!$C:$C,"&lt;0")</f>
        <v>0</v>
      </c>
      <c r="NW17" s="5">
        <f ca="1">SUMIFS(Movimientos!$C:$C,Movimientos!$A:$A,$B17,Movimientos!$D:$D,CONCATENATE("&lt;=",NW$3),Movimientos!$C:$C,"&gt;0")+SUMIFS(Movimientos!$C:$C,Movimientos!$A:$A,$B17,Movimientos!$D:$D,CONCATENATE("&lt;",NW$3),Movimientos!$C:$C,"&lt;0")</f>
        <v>0</v>
      </c>
      <c r="NX17" s="5">
        <f ca="1">SUMIFS(Movimientos!$C:$C,Movimientos!$A:$A,$B17,Movimientos!$D:$D,CONCATENATE("&lt;=",NX$3),Movimientos!$C:$C,"&gt;0")+SUMIFS(Movimientos!$C:$C,Movimientos!$A:$A,$B17,Movimientos!$D:$D,CONCATENATE("&lt;",NX$3),Movimientos!$C:$C,"&lt;0")</f>
        <v>0</v>
      </c>
      <c r="NY17" s="5">
        <f ca="1">SUMIFS(Movimientos!$C:$C,Movimientos!$A:$A,$B17,Movimientos!$D:$D,CONCATENATE("&lt;=",NY$3),Movimientos!$C:$C,"&gt;0")+SUMIFS(Movimientos!$C:$C,Movimientos!$A:$A,$B17,Movimientos!$D:$D,CONCATENATE("&lt;",NY$3),Movimientos!$C:$C,"&lt;0")</f>
        <v>0</v>
      </c>
      <c r="NZ17" s="5">
        <f ca="1">SUMIFS(Movimientos!$C:$C,Movimientos!$A:$A,$B17,Movimientos!$D:$D,CONCATENATE("&lt;=",NZ$3),Movimientos!$C:$C,"&gt;0")+SUMIFS(Movimientos!$C:$C,Movimientos!$A:$A,$B17,Movimientos!$D:$D,CONCATENATE("&lt;",NZ$3),Movimientos!$C:$C,"&lt;0")</f>
        <v>0</v>
      </c>
      <c r="OA17" s="5">
        <f ca="1">SUMIFS(Movimientos!$C:$C,Movimientos!$A:$A,$B17,Movimientos!$D:$D,CONCATENATE("&lt;=",OA$3),Movimientos!$C:$C,"&gt;0")+SUMIFS(Movimientos!$C:$C,Movimientos!$A:$A,$B17,Movimientos!$D:$D,CONCATENATE("&lt;",OA$3),Movimientos!$C:$C,"&lt;0")</f>
        <v>0</v>
      </c>
      <c r="OB17" s="5">
        <f ca="1">SUMIFS(Movimientos!$C:$C,Movimientos!$A:$A,$B17,Movimientos!$D:$D,CONCATENATE("&lt;=",OB$3),Movimientos!$C:$C,"&gt;0")+SUMIFS(Movimientos!$C:$C,Movimientos!$A:$A,$B17,Movimientos!$D:$D,CONCATENATE("&lt;",OB$3),Movimientos!$C:$C,"&lt;0")</f>
        <v>0</v>
      </c>
      <c r="OC17" s="5">
        <f ca="1">SUMIFS(Movimientos!$C:$C,Movimientos!$A:$A,$B17,Movimientos!$D:$D,CONCATENATE("&lt;=",OC$3),Movimientos!$C:$C,"&gt;0")+SUMIFS(Movimientos!$C:$C,Movimientos!$A:$A,$B17,Movimientos!$D:$D,CONCATENATE("&lt;",OC$3),Movimientos!$C:$C,"&lt;0")</f>
        <v>0</v>
      </c>
      <c r="OD17" s="5">
        <f ca="1">SUMIFS(Movimientos!$C:$C,Movimientos!$A:$A,$B17,Movimientos!$D:$D,CONCATENATE("&lt;=",OD$3),Movimientos!$C:$C,"&gt;0")+SUMIFS(Movimientos!$C:$C,Movimientos!$A:$A,$B17,Movimientos!$D:$D,CONCATENATE("&lt;",OD$3),Movimientos!$C:$C,"&lt;0")</f>
        <v>0</v>
      </c>
      <c r="OE17" s="5">
        <f ca="1">SUMIFS(Movimientos!$C:$C,Movimientos!$A:$A,$B17,Movimientos!$D:$D,CONCATENATE("&lt;=",OE$3),Movimientos!$C:$C,"&gt;0")+SUMIFS(Movimientos!$C:$C,Movimientos!$A:$A,$B17,Movimientos!$D:$D,CONCATENATE("&lt;",OE$3),Movimientos!$C:$C,"&lt;0")</f>
        <v>0</v>
      </c>
      <c r="OF17" s="5">
        <f ca="1">SUMIFS(Movimientos!$C:$C,Movimientos!$A:$A,$B17,Movimientos!$D:$D,CONCATENATE("&lt;=",OF$3),Movimientos!$C:$C,"&gt;0")+SUMIFS(Movimientos!$C:$C,Movimientos!$A:$A,$B17,Movimientos!$D:$D,CONCATENATE("&lt;",OF$3),Movimientos!$C:$C,"&lt;0")</f>
        <v>0</v>
      </c>
      <c r="OG17" s="5">
        <f ca="1">SUMIFS(Movimientos!$C:$C,Movimientos!$A:$A,$B17,Movimientos!$D:$D,CONCATENATE("&lt;=",OG$3),Movimientos!$C:$C,"&gt;0")+SUMIFS(Movimientos!$C:$C,Movimientos!$A:$A,$B17,Movimientos!$D:$D,CONCATENATE("&lt;",OG$3),Movimientos!$C:$C,"&lt;0")</f>
        <v>0</v>
      </c>
      <c r="OH17" s="5">
        <f ca="1">SUMIFS(Movimientos!$C:$C,Movimientos!$A:$A,$B17,Movimientos!$D:$D,CONCATENATE("&lt;=",OH$3),Movimientos!$C:$C,"&gt;0")+SUMIFS(Movimientos!$C:$C,Movimientos!$A:$A,$B17,Movimientos!$D:$D,CONCATENATE("&lt;",OH$3),Movimientos!$C:$C,"&lt;0")</f>
        <v>0</v>
      </c>
      <c r="OI17" s="5">
        <f ca="1">SUMIFS(Movimientos!$C:$C,Movimientos!$A:$A,$B17,Movimientos!$D:$D,CONCATENATE("&lt;=",OI$3),Movimientos!$C:$C,"&gt;0")+SUMIFS(Movimientos!$C:$C,Movimientos!$A:$A,$B17,Movimientos!$D:$D,CONCATENATE("&lt;",OI$3),Movimientos!$C:$C,"&lt;0")</f>
        <v>0</v>
      </c>
      <c r="OJ17" s="5">
        <f ca="1">SUMIFS(Movimientos!$C:$C,Movimientos!$A:$A,$B17,Movimientos!$D:$D,CONCATENATE("&lt;=",OJ$3),Movimientos!$C:$C,"&gt;0")+SUMIFS(Movimientos!$C:$C,Movimientos!$A:$A,$B17,Movimientos!$D:$D,CONCATENATE("&lt;",OJ$3),Movimientos!$C:$C,"&lt;0")</f>
        <v>0</v>
      </c>
      <c r="OK17" s="5">
        <f ca="1">SUMIFS(Movimientos!$C:$C,Movimientos!$A:$A,$B17,Movimientos!$D:$D,CONCATENATE("&lt;=",OK$3),Movimientos!$C:$C,"&gt;0")+SUMIFS(Movimientos!$C:$C,Movimientos!$A:$A,$B17,Movimientos!$D:$D,CONCATENATE("&lt;",OK$3),Movimientos!$C:$C,"&lt;0")</f>
        <v>0</v>
      </c>
      <c r="OL17" s="5">
        <f ca="1">SUMIFS(Movimientos!$C:$C,Movimientos!$A:$A,$B17,Movimientos!$D:$D,CONCATENATE("&lt;=",OL$3),Movimientos!$C:$C,"&gt;0")+SUMIFS(Movimientos!$C:$C,Movimientos!$A:$A,$B17,Movimientos!$D:$D,CONCATENATE("&lt;",OL$3),Movimientos!$C:$C,"&lt;0")</f>
        <v>0</v>
      </c>
      <c r="OM17" s="5">
        <f ca="1">SUMIFS(Movimientos!$C:$C,Movimientos!$A:$A,$B17,Movimientos!$D:$D,CONCATENATE("&lt;=",OM$3),Movimientos!$C:$C,"&gt;0")+SUMIFS(Movimientos!$C:$C,Movimientos!$A:$A,$B17,Movimientos!$D:$D,CONCATENATE("&lt;",OM$3),Movimientos!$C:$C,"&lt;0")</f>
        <v>0</v>
      </c>
      <c r="ON17" s="5">
        <f ca="1">SUMIFS(Movimientos!$C:$C,Movimientos!$A:$A,$B17,Movimientos!$D:$D,CONCATENATE("&lt;=",ON$3),Movimientos!$C:$C,"&gt;0")+SUMIFS(Movimientos!$C:$C,Movimientos!$A:$A,$B17,Movimientos!$D:$D,CONCATENATE("&lt;",ON$3),Movimientos!$C:$C,"&lt;0")</f>
        <v>0</v>
      </c>
      <c r="OO17" s="5">
        <f ca="1">SUMIFS(Movimientos!$C:$C,Movimientos!$A:$A,$B17,Movimientos!$D:$D,CONCATENATE("&lt;=",OO$3),Movimientos!$C:$C,"&gt;0")+SUMIFS(Movimientos!$C:$C,Movimientos!$A:$A,$B17,Movimientos!$D:$D,CONCATENATE("&lt;",OO$3),Movimientos!$C:$C,"&lt;0")</f>
        <v>0</v>
      </c>
      <c r="OP17" s="5">
        <f ca="1">SUMIFS(Movimientos!$C:$C,Movimientos!$A:$A,$B17,Movimientos!$D:$D,CONCATENATE("&lt;=",OP$3),Movimientos!$C:$C,"&gt;0")+SUMIFS(Movimientos!$C:$C,Movimientos!$A:$A,$B17,Movimientos!$D:$D,CONCATENATE("&lt;",OP$3),Movimientos!$C:$C,"&lt;0")</f>
        <v>0</v>
      </c>
      <c r="OQ17" s="5">
        <f ca="1">SUMIFS(Movimientos!$C:$C,Movimientos!$A:$A,$B17,Movimientos!$D:$D,CONCATENATE("&lt;=",OQ$3),Movimientos!$C:$C,"&gt;0")+SUMIFS(Movimientos!$C:$C,Movimientos!$A:$A,$B17,Movimientos!$D:$D,CONCATENATE("&lt;",OQ$3),Movimientos!$C:$C,"&lt;0")</f>
        <v>0</v>
      </c>
      <c r="OR17" s="5">
        <f ca="1">SUMIFS(Movimientos!$C:$C,Movimientos!$A:$A,$B17,Movimientos!$D:$D,CONCATENATE("&lt;=",OR$3),Movimientos!$C:$C,"&gt;0")+SUMIFS(Movimientos!$C:$C,Movimientos!$A:$A,$B17,Movimientos!$D:$D,CONCATENATE("&lt;",OR$3),Movimientos!$C:$C,"&lt;0")</f>
        <v>0</v>
      </c>
      <c r="OS17" s="5">
        <f ca="1">SUMIFS(Movimientos!$C:$C,Movimientos!$A:$A,$B17,Movimientos!$D:$D,CONCATENATE("&lt;=",OS$3),Movimientos!$C:$C,"&gt;0")+SUMIFS(Movimientos!$C:$C,Movimientos!$A:$A,$B17,Movimientos!$D:$D,CONCATENATE("&lt;",OS$3),Movimientos!$C:$C,"&lt;0")</f>
        <v>0</v>
      </c>
      <c r="OT17" s="5">
        <f ca="1">SUMIFS(Movimientos!$C:$C,Movimientos!$A:$A,$B17,Movimientos!$D:$D,CONCATENATE("&lt;=",OT$3),Movimientos!$C:$C,"&gt;0")+SUMIFS(Movimientos!$C:$C,Movimientos!$A:$A,$B17,Movimientos!$D:$D,CONCATENATE("&lt;",OT$3),Movimientos!$C:$C,"&lt;0")</f>
        <v>0</v>
      </c>
      <c r="OU17" s="5">
        <f ca="1">SUMIFS(Movimientos!$C:$C,Movimientos!$A:$A,$B17,Movimientos!$D:$D,CONCATENATE("&lt;=",OU$3),Movimientos!$C:$C,"&gt;0")+SUMIFS(Movimientos!$C:$C,Movimientos!$A:$A,$B17,Movimientos!$D:$D,CONCATENATE("&lt;",OU$3),Movimientos!$C:$C,"&lt;0")</f>
        <v>0</v>
      </c>
      <c r="OV17" s="5">
        <f ca="1">SUMIFS(Movimientos!$C:$C,Movimientos!$A:$A,$B17,Movimientos!$D:$D,CONCATENATE("&lt;=",OV$3),Movimientos!$C:$C,"&gt;0")+SUMIFS(Movimientos!$C:$C,Movimientos!$A:$A,$B17,Movimientos!$D:$D,CONCATENATE("&lt;",OV$3),Movimientos!$C:$C,"&lt;0")</f>
        <v>0</v>
      </c>
      <c r="OW17" s="5">
        <f ca="1">SUMIFS(Movimientos!$C:$C,Movimientos!$A:$A,$B17,Movimientos!$D:$D,CONCATENATE("&lt;=",OW$3),Movimientos!$C:$C,"&gt;0")+SUMIFS(Movimientos!$C:$C,Movimientos!$A:$A,$B17,Movimientos!$D:$D,CONCATENATE("&lt;",OW$3),Movimientos!$C:$C,"&lt;0")</f>
        <v>0</v>
      </c>
      <c r="OX17" s="5">
        <f ca="1">SUMIFS(Movimientos!$C:$C,Movimientos!$A:$A,$B17,Movimientos!$D:$D,CONCATENATE("&lt;=",OX$3),Movimientos!$C:$C,"&gt;0")+SUMIFS(Movimientos!$C:$C,Movimientos!$A:$A,$B17,Movimientos!$D:$D,CONCATENATE("&lt;",OX$3),Movimientos!$C:$C,"&lt;0")</f>
        <v>0</v>
      </c>
      <c r="OY17" s="5">
        <f ca="1">SUMIFS(Movimientos!$C:$C,Movimientos!$A:$A,$B17,Movimientos!$D:$D,CONCATENATE("&lt;=",OY$3),Movimientos!$C:$C,"&gt;0")+SUMIFS(Movimientos!$C:$C,Movimientos!$A:$A,$B17,Movimientos!$D:$D,CONCATENATE("&lt;",OY$3),Movimientos!$C:$C,"&lt;0")</f>
        <v>0</v>
      </c>
      <c r="OZ17" s="5">
        <f ca="1">SUMIFS(Movimientos!$C:$C,Movimientos!$A:$A,$B17,Movimientos!$D:$D,CONCATENATE("&lt;=",OZ$3),Movimientos!$C:$C,"&gt;0")+SUMIFS(Movimientos!$C:$C,Movimientos!$A:$A,$B17,Movimientos!$D:$D,CONCATENATE("&lt;",OZ$3),Movimientos!$C:$C,"&lt;0")</f>
        <v>0</v>
      </c>
      <c r="PA17" s="5">
        <f ca="1">SUMIFS(Movimientos!$C:$C,Movimientos!$A:$A,$B17,Movimientos!$D:$D,CONCATENATE("&lt;=",PA$3),Movimientos!$C:$C,"&gt;0")+SUMIFS(Movimientos!$C:$C,Movimientos!$A:$A,$B17,Movimientos!$D:$D,CONCATENATE("&lt;",PA$3),Movimientos!$C:$C,"&lt;0")</f>
        <v>0</v>
      </c>
      <c r="PB17" s="5">
        <f ca="1">SUMIFS(Movimientos!$C:$C,Movimientos!$A:$A,$B17,Movimientos!$D:$D,CONCATENATE("&lt;=",PB$3),Movimientos!$C:$C,"&gt;0")+SUMIFS(Movimientos!$C:$C,Movimientos!$A:$A,$B17,Movimientos!$D:$D,CONCATENATE("&lt;",PB$3),Movimientos!$C:$C,"&lt;0")</f>
        <v>0</v>
      </c>
      <c r="PC17" s="5">
        <f ca="1">SUMIFS(Movimientos!$C:$C,Movimientos!$A:$A,$B17,Movimientos!$D:$D,CONCATENATE("&lt;=",PC$3),Movimientos!$C:$C,"&gt;0")+SUMIFS(Movimientos!$C:$C,Movimientos!$A:$A,$B17,Movimientos!$D:$D,CONCATENATE("&lt;",PC$3),Movimientos!$C:$C,"&lt;0")</f>
        <v>0</v>
      </c>
      <c r="PD17" s="5">
        <f ca="1">SUMIFS(Movimientos!$C:$C,Movimientos!$A:$A,$B17,Movimientos!$D:$D,CONCATENATE("&lt;=",PD$3),Movimientos!$C:$C,"&gt;0")+SUMIFS(Movimientos!$C:$C,Movimientos!$A:$A,$B17,Movimientos!$D:$D,CONCATENATE("&lt;",PD$3),Movimientos!$C:$C,"&lt;0")</f>
        <v>0</v>
      </c>
      <c r="PE17" s="5">
        <f ca="1">SUMIFS(Movimientos!$C:$C,Movimientos!$A:$A,$B17,Movimientos!$D:$D,CONCATENATE("&lt;=",PE$3),Movimientos!$C:$C,"&gt;0")+SUMIFS(Movimientos!$C:$C,Movimientos!$A:$A,$B17,Movimientos!$D:$D,CONCATENATE("&lt;",PE$3),Movimientos!$C:$C,"&lt;0")</f>
        <v>0</v>
      </c>
      <c r="PF17" s="5">
        <f ca="1">SUMIFS(Movimientos!$C:$C,Movimientos!$A:$A,$B17,Movimientos!$D:$D,CONCATENATE("&lt;=",PF$3),Movimientos!$C:$C,"&gt;0")+SUMIFS(Movimientos!$C:$C,Movimientos!$A:$A,$B17,Movimientos!$D:$D,CONCATENATE("&lt;",PF$3),Movimientos!$C:$C,"&lt;0")</f>
        <v>0</v>
      </c>
      <c r="PG17" s="5">
        <f ca="1">SUMIFS(Movimientos!$C:$C,Movimientos!$A:$A,$B17,Movimientos!$D:$D,CONCATENATE("&lt;=",PG$3),Movimientos!$C:$C,"&gt;0")+SUMIFS(Movimientos!$C:$C,Movimientos!$A:$A,$B17,Movimientos!$D:$D,CONCATENATE("&lt;",PG$3),Movimientos!$C:$C,"&lt;0")</f>
        <v>0</v>
      </c>
      <c r="PH17" s="5">
        <f ca="1">SUMIFS(Movimientos!$C:$C,Movimientos!$A:$A,$B17,Movimientos!$D:$D,CONCATENATE("&lt;=",PH$3),Movimientos!$C:$C,"&gt;0")+SUMIFS(Movimientos!$C:$C,Movimientos!$A:$A,$B17,Movimientos!$D:$D,CONCATENATE("&lt;",PH$3),Movimientos!$C:$C,"&lt;0")</f>
        <v>0</v>
      </c>
      <c r="PI17" s="5">
        <f ca="1">SUMIFS(Movimientos!$C:$C,Movimientos!$A:$A,$B17,Movimientos!$D:$D,CONCATENATE("&lt;=",PI$3),Movimientos!$C:$C,"&gt;0")+SUMIFS(Movimientos!$C:$C,Movimientos!$A:$A,$B17,Movimientos!$D:$D,CONCATENATE("&lt;",PI$3),Movimientos!$C:$C,"&lt;0")</f>
        <v>0</v>
      </c>
      <c r="PJ17" s="5">
        <f ca="1">SUMIFS(Movimientos!$C:$C,Movimientos!$A:$A,$B17,Movimientos!$D:$D,CONCATENATE("&lt;=",PJ$3),Movimientos!$C:$C,"&gt;0")+SUMIFS(Movimientos!$C:$C,Movimientos!$A:$A,$B17,Movimientos!$D:$D,CONCATENATE("&lt;",PJ$3),Movimientos!$C:$C,"&lt;0")</f>
        <v>0</v>
      </c>
      <c r="PK17" s="5">
        <f ca="1">SUMIFS(Movimientos!$C:$C,Movimientos!$A:$A,$B17,Movimientos!$D:$D,CONCATENATE("&lt;=",PK$3),Movimientos!$C:$C,"&gt;0")+SUMIFS(Movimientos!$C:$C,Movimientos!$A:$A,$B17,Movimientos!$D:$D,CONCATENATE("&lt;",PK$3),Movimientos!$C:$C,"&lt;0")</f>
        <v>0</v>
      </c>
      <c r="PL17" s="5">
        <f ca="1">SUMIFS(Movimientos!$C:$C,Movimientos!$A:$A,$B17,Movimientos!$D:$D,CONCATENATE("&lt;=",PL$3),Movimientos!$C:$C,"&gt;0")+SUMIFS(Movimientos!$C:$C,Movimientos!$A:$A,$B17,Movimientos!$D:$D,CONCATENATE("&lt;",PL$3),Movimientos!$C:$C,"&lt;0")</f>
        <v>0</v>
      </c>
      <c r="PM17" s="5">
        <f ca="1">SUMIFS(Movimientos!$C:$C,Movimientos!$A:$A,$B17,Movimientos!$D:$D,CONCATENATE("&lt;=",PM$3),Movimientos!$C:$C,"&gt;0")+SUMIFS(Movimientos!$C:$C,Movimientos!$A:$A,$B17,Movimientos!$D:$D,CONCATENATE("&lt;",PM$3),Movimientos!$C:$C,"&lt;0")</f>
        <v>0</v>
      </c>
      <c r="PN17" s="5">
        <f ca="1">SUMIFS(Movimientos!$C:$C,Movimientos!$A:$A,$B17,Movimientos!$D:$D,CONCATENATE("&lt;=",PN$3),Movimientos!$C:$C,"&gt;0")+SUMIFS(Movimientos!$C:$C,Movimientos!$A:$A,$B17,Movimientos!$D:$D,CONCATENATE("&lt;",PN$3),Movimientos!$C:$C,"&lt;0")</f>
        <v>0</v>
      </c>
      <c r="PO17" s="5">
        <f ca="1">SUMIFS(Movimientos!$C:$C,Movimientos!$A:$A,$B17,Movimientos!$D:$D,CONCATENATE("&lt;=",PO$3),Movimientos!$C:$C,"&gt;0")+SUMIFS(Movimientos!$C:$C,Movimientos!$A:$A,$B17,Movimientos!$D:$D,CONCATENATE("&lt;",PO$3),Movimientos!$C:$C,"&lt;0")</f>
        <v>0</v>
      </c>
      <c r="PP17" s="5">
        <f ca="1">SUMIFS(Movimientos!$C:$C,Movimientos!$A:$A,$B17,Movimientos!$D:$D,CONCATENATE("&lt;=",PP$3),Movimientos!$C:$C,"&gt;0")+SUMIFS(Movimientos!$C:$C,Movimientos!$A:$A,$B17,Movimientos!$D:$D,CONCATENATE("&lt;",PP$3),Movimientos!$C:$C,"&lt;0")</f>
        <v>0</v>
      </c>
      <c r="PQ17" s="5">
        <f ca="1">SUMIFS(Movimientos!$C:$C,Movimientos!$A:$A,$B17,Movimientos!$D:$D,CONCATENATE("&lt;=",PQ$3),Movimientos!$C:$C,"&gt;0")+SUMIFS(Movimientos!$C:$C,Movimientos!$A:$A,$B17,Movimientos!$D:$D,CONCATENATE("&lt;",PQ$3),Movimientos!$C:$C,"&lt;0")</f>
        <v>0</v>
      </c>
      <c r="PR17" s="5">
        <f ca="1">SUMIFS(Movimientos!$C:$C,Movimientos!$A:$A,$B17,Movimientos!$D:$D,CONCATENATE("&lt;=",PR$3),Movimientos!$C:$C,"&gt;0")+SUMIFS(Movimientos!$C:$C,Movimientos!$A:$A,$B17,Movimientos!$D:$D,CONCATENATE("&lt;",PR$3),Movimientos!$C:$C,"&lt;0")</f>
        <v>0</v>
      </c>
      <c r="PS17" s="5">
        <f ca="1">SUMIFS(Movimientos!$C:$C,Movimientos!$A:$A,$B17,Movimientos!$D:$D,CONCATENATE("&lt;=",PS$3),Movimientos!$C:$C,"&gt;0")+SUMIFS(Movimientos!$C:$C,Movimientos!$A:$A,$B17,Movimientos!$D:$D,CONCATENATE("&lt;",PS$3),Movimientos!$C:$C,"&lt;0")</f>
        <v>0</v>
      </c>
      <c r="PT17" s="5">
        <f ca="1">SUMIFS(Movimientos!$C:$C,Movimientos!$A:$A,$B17,Movimientos!$D:$D,CONCATENATE("&lt;=",PT$3),Movimientos!$C:$C,"&gt;0")+SUMIFS(Movimientos!$C:$C,Movimientos!$A:$A,$B17,Movimientos!$D:$D,CONCATENATE("&lt;",PT$3),Movimientos!$C:$C,"&lt;0")</f>
        <v>0</v>
      </c>
      <c r="PU17" s="5">
        <f ca="1">SUMIFS(Movimientos!$C:$C,Movimientos!$A:$A,$B17,Movimientos!$D:$D,CONCATENATE("&lt;=",PU$3),Movimientos!$C:$C,"&gt;0")+SUMIFS(Movimientos!$C:$C,Movimientos!$A:$A,$B17,Movimientos!$D:$D,CONCATENATE("&lt;",PU$3),Movimientos!$C:$C,"&lt;0")</f>
        <v>0</v>
      </c>
      <c r="PV17" s="5">
        <f ca="1">SUMIFS(Movimientos!$C:$C,Movimientos!$A:$A,$B17,Movimientos!$D:$D,CONCATENATE("&lt;=",PV$3),Movimientos!$C:$C,"&gt;0")+SUMIFS(Movimientos!$C:$C,Movimientos!$A:$A,$B17,Movimientos!$D:$D,CONCATENATE("&lt;",PV$3),Movimientos!$C:$C,"&lt;0")</f>
        <v>0</v>
      </c>
      <c r="PW17" s="5">
        <f ca="1">SUMIFS(Movimientos!$C:$C,Movimientos!$A:$A,$B17,Movimientos!$D:$D,CONCATENATE("&lt;=",PW$3),Movimientos!$C:$C,"&gt;0")+SUMIFS(Movimientos!$C:$C,Movimientos!$A:$A,$B17,Movimientos!$D:$D,CONCATENATE("&lt;",PW$3),Movimientos!$C:$C,"&lt;0")</f>
        <v>0</v>
      </c>
      <c r="PX17" s="5">
        <f ca="1">SUMIFS(Movimientos!$C:$C,Movimientos!$A:$A,$B17,Movimientos!$D:$D,CONCATENATE("&lt;=",PX$3),Movimientos!$C:$C,"&gt;0")+SUMIFS(Movimientos!$C:$C,Movimientos!$A:$A,$B17,Movimientos!$D:$D,CONCATENATE("&lt;",PX$3),Movimientos!$C:$C,"&lt;0")</f>
        <v>0</v>
      </c>
      <c r="PY17" s="5">
        <f ca="1">SUMIFS(Movimientos!$C:$C,Movimientos!$A:$A,$B17,Movimientos!$D:$D,CONCATENATE("&lt;=",PY$3),Movimientos!$C:$C,"&gt;0")+SUMIFS(Movimientos!$C:$C,Movimientos!$A:$A,$B17,Movimientos!$D:$D,CONCATENATE("&lt;",PY$3),Movimientos!$C:$C,"&lt;0")</f>
        <v>0</v>
      </c>
      <c r="PZ17" s="5">
        <f ca="1">SUMIFS(Movimientos!$C:$C,Movimientos!$A:$A,$B17,Movimientos!$D:$D,CONCATENATE("&lt;=",PZ$3),Movimientos!$C:$C,"&gt;0")+SUMIFS(Movimientos!$C:$C,Movimientos!$A:$A,$B17,Movimientos!$D:$D,CONCATENATE("&lt;",PZ$3),Movimientos!$C:$C,"&lt;0")</f>
        <v>0</v>
      </c>
      <c r="QA17" s="5">
        <f ca="1">SUMIFS(Movimientos!$C:$C,Movimientos!$A:$A,$B17,Movimientos!$D:$D,CONCATENATE("&lt;=",QA$3),Movimientos!$C:$C,"&gt;0")+SUMIFS(Movimientos!$C:$C,Movimientos!$A:$A,$B17,Movimientos!$D:$D,CONCATENATE("&lt;",QA$3),Movimientos!$C:$C,"&lt;0")</f>
        <v>0</v>
      </c>
      <c r="QB17" s="5">
        <f ca="1">SUMIFS(Movimientos!$C:$C,Movimientos!$A:$A,$B17,Movimientos!$D:$D,CONCATENATE("&lt;=",QB$3),Movimientos!$C:$C,"&gt;0")+SUMIFS(Movimientos!$C:$C,Movimientos!$A:$A,$B17,Movimientos!$D:$D,CONCATENATE("&lt;",QB$3),Movimientos!$C:$C,"&lt;0")</f>
        <v>0</v>
      </c>
      <c r="QC17" s="5">
        <f ca="1">SUMIFS(Movimientos!$C:$C,Movimientos!$A:$A,$B17,Movimientos!$D:$D,CONCATENATE("&lt;=",QC$3),Movimientos!$C:$C,"&gt;0")+SUMIFS(Movimientos!$C:$C,Movimientos!$A:$A,$B17,Movimientos!$D:$D,CONCATENATE("&lt;",QC$3),Movimientos!$C:$C,"&lt;0")</f>
        <v>0</v>
      </c>
      <c r="QD17" s="5">
        <f ca="1">SUMIFS(Movimientos!$C:$C,Movimientos!$A:$A,$B17,Movimientos!$D:$D,CONCATENATE("&lt;=",QD$3),Movimientos!$C:$C,"&gt;0")+SUMIFS(Movimientos!$C:$C,Movimientos!$A:$A,$B17,Movimientos!$D:$D,CONCATENATE("&lt;",QD$3),Movimientos!$C:$C,"&lt;0")</f>
        <v>0</v>
      </c>
      <c r="QE17" s="5">
        <f ca="1">SUMIFS(Movimientos!$C:$C,Movimientos!$A:$A,$B17,Movimientos!$D:$D,CONCATENATE("&lt;=",QE$3),Movimientos!$C:$C,"&gt;0")+SUMIFS(Movimientos!$C:$C,Movimientos!$A:$A,$B17,Movimientos!$D:$D,CONCATENATE("&lt;",QE$3),Movimientos!$C:$C,"&lt;0")</f>
        <v>0</v>
      </c>
      <c r="QF17" s="5">
        <f ca="1">SUMIFS(Movimientos!$C:$C,Movimientos!$A:$A,$B17,Movimientos!$D:$D,CONCATENATE("&lt;=",QF$3),Movimientos!$C:$C,"&gt;0")+SUMIFS(Movimientos!$C:$C,Movimientos!$A:$A,$B17,Movimientos!$D:$D,CONCATENATE("&lt;",QF$3),Movimientos!$C:$C,"&lt;0")</f>
        <v>0</v>
      </c>
      <c r="QG17" s="5">
        <f ca="1">SUMIFS(Movimientos!$C:$C,Movimientos!$A:$A,$B17,Movimientos!$D:$D,CONCATENATE("&lt;=",QG$3),Movimientos!$C:$C,"&gt;0")+SUMIFS(Movimientos!$C:$C,Movimientos!$A:$A,$B17,Movimientos!$D:$D,CONCATENATE("&lt;",QG$3),Movimientos!$C:$C,"&lt;0")</f>
        <v>0</v>
      </c>
      <c r="QH17" s="5">
        <f ca="1">SUMIFS(Movimientos!$C:$C,Movimientos!$A:$A,$B17,Movimientos!$D:$D,CONCATENATE("&lt;=",QH$3),Movimientos!$C:$C,"&gt;0")+SUMIFS(Movimientos!$C:$C,Movimientos!$A:$A,$B17,Movimientos!$D:$D,CONCATENATE("&lt;",QH$3),Movimientos!$C:$C,"&lt;0")</f>
        <v>0</v>
      </c>
      <c r="QI17" s="5">
        <f ca="1">SUMIFS(Movimientos!$C:$C,Movimientos!$A:$A,$B17,Movimientos!$D:$D,CONCATENATE("&lt;=",QI$3),Movimientos!$C:$C,"&gt;0")+SUMIFS(Movimientos!$C:$C,Movimientos!$A:$A,$B17,Movimientos!$D:$D,CONCATENATE("&lt;",QI$3),Movimientos!$C:$C,"&lt;0")</f>
        <v>0</v>
      </c>
      <c r="QJ17" s="5">
        <f ca="1">SUMIFS(Movimientos!$C:$C,Movimientos!$A:$A,$B17,Movimientos!$D:$D,CONCATENATE("&lt;=",QJ$3),Movimientos!$C:$C,"&gt;0")+SUMIFS(Movimientos!$C:$C,Movimientos!$A:$A,$B17,Movimientos!$D:$D,CONCATENATE("&lt;",QJ$3),Movimientos!$C:$C,"&lt;0")</f>
        <v>0</v>
      </c>
      <c r="QK17" s="5">
        <f ca="1">SUMIFS(Movimientos!$C:$C,Movimientos!$A:$A,$B17,Movimientos!$D:$D,CONCATENATE("&lt;=",QK$3),Movimientos!$C:$C,"&gt;0")+SUMIFS(Movimientos!$C:$C,Movimientos!$A:$A,$B17,Movimientos!$D:$D,CONCATENATE("&lt;",QK$3),Movimientos!$C:$C,"&lt;0")</f>
        <v>0</v>
      </c>
      <c r="QL17" s="5">
        <f ca="1">SUMIFS(Movimientos!$C:$C,Movimientos!$A:$A,$B17,Movimientos!$D:$D,CONCATENATE("&lt;=",QL$3),Movimientos!$C:$C,"&gt;0")+SUMIFS(Movimientos!$C:$C,Movimientos!$A:$A,$B17,Movimientos!$D:$D,CONCATENATE("&lt;",QL$3),Movimientos!$C:$C,"&lt;0")</f>
        <v>0</v>
      </c>
      <c r="QM17" s="5">
        <f ca="1">SUMIFS(Movimientos!$C:$C,Movimientos!$A:$A,$B17,Movimientos!$D:$D,CONCATENATE("&lt;=",QM$3),Movimientos!$C:$C,"&gt;0")+SUMIFS(Movimientos!$C:$C,Movimientos!$A:$A,$B17,Movimientos!$D:$D,CONCATENATE("&lt;",QM$3),Movimientos!$C:$C,"&lt;0")</f>
        <v>0</v>
      </c>
      <c r="QN17" s="5">
        <f ca="1">SUMIFS(Movimientos!$C:$C,Movimientos!$A:$A,$B17,Movimientos!$D:$D,CONCATENATE("&lt;=",QN$3),Movimientos!$C:$C,"&gt;0")+SUMIFS(Movimientos!$C:$C,Movimientos!$A:$A,$B17,Movimientos!$D:$D,CONCATENATE("&lt;",QN$3),Movimientos!$C:$C,"&lt;0")</f>
        <v>0</v>
      </c>
      <c r="QO17" s="5">
        <f ca="1">SUMIFS(Movimientos!$C:$C,Movimientos!$A:$A,$B17,Movimientos!$D:$D,CONCATENATE("&lt;=",QO$3),Movimientos!$C:$C,"&gt;0")+SUMIFS(Movimientos!$C:$C,Movimientos!$A:$A,$B17,Movimientos!$D:$D,CONCATENATE("&lt;",QO$3),Movimientos!$C:$C,"&lt;0")</f>
        <v>0</v>
      </c>
      <c r="QP17" s="5">
        <f ca="1">SUMIFS(Movimientos!$C:$C,Movimientos!$A:$A,$B17,Movimientos!$D:$D,CONCATENATE("&lt;=",QP$3),Movimientos!$C:$C,"&gt;0")+SUMIFS(Movimientos!$C:$C,Movimientos!$A:$A,$B17,Movimientos!$D:$D,CONCATENATE("&lt;",QP$3),Movimientos!$C:$C,"&lt;0")</f>
        <v>0</v>
      </c>
      <c r="QQ17" s="5">
        <f ca="1">SUMIFS(Movimientos!$C:$C,Movimientos!$A:$A,$B17,Movimientos!$D:$D,CONCATENATE("&lt;=",QQ$3),Movimientos!$C:$C,"&gt;0")+SUMIFS(Movimientos!$C:$C,Movimientos!$A:$A,$B17,Movimientos!$D:$D,CONCATENATE("&lt;",QQ$3),Movimientos!$C:$C,"&lt;0")</f>
        <v>0</v>
      </c>
      <c r="QR17" s="5">
        <f ca="1">SUMIFS(Movimientos!$C:$C,Movimientos!$A:$A,$B17,Movimientos!$D:$D,CONCATENATE("&lt;=",QR$3),Movimientos!$C:$C,"&gt;0")+SUMIFS(Movimientos!$C:$C,Movimientos!$A:$A,$B17,Movimientos!$D:$D,CONCATENATE("&lt;",QR$3),Movimientos!$C:$C,"&lt;0")</f>
        <v>0</v>
      </c>
      <c r="QS17" s="5">
        <f ca="1">SUMIFS(Movimientos!$C:$C,Movimientos!$A:$A,$B17,Movimientos!$D:$D,CONCATENATE("&lt;=",QS$3),Movimientos!$C:$C,"&gt;0")+SUMIFS(Movimientos!$C:$C,Movimientos!$A:$A,$B17,Movimientos!$D:$D,CONCATENATE("&lt;",QS$3),Movimientos!$C:$C,"&lt;0")</f>
        <v>0</v>
      </c>
      <c r="QT17" s="5">
        <f ca="1">SUMIFS(Movimientos!$C:$C,Movimientos!$A:$A,$B17,Movimientos!$D:$D,CONCATENATE("&lt;=",QT$3),Movimientos!$C:$C,"&gt;0")+SUMIFS(Movimientos!$C:$C,Movimientos!$A:$A,$B17,Movimientos!$D:$D,CONCATENATE("&lt;",QT$3),Movimientos!$C:$C,"&lt;0")</f>
        <v>0</v>
      </c>
      <c r="QU17" s="5">
        <f ca="1">SUMIFS(Movimientos!$C:$C,Movimientos!$A:$A,$B17,Movimientos!$D:$D,CONCATENATE("&lt;=",QU$3),Movimientos!$C:$C,"&gt;0")+SUMIFS(Movimientos!$C:$C,Movimientos!$A:$A,$B17,Movimientos!$D:$D,CONCATENATE("&lt;",QU$3),Movimientos!$C:$C,"&lt;0")</f>
        <v>0</v>
      </c>
      <c r="QV17" s="5">
        <f ca="1">SUMIFS(Movimientos!$C:$C,Movimientos!$A:$A,$B17,Movimientos!$D:$D,CONCATENATE("&lt;=",QV$3),Movimientos!$C:$C,"&gt;0")+SUMIFS(Movimientos!$C:$C,Movimientos!$A:$A,$B17,Movimientos!$D:$D,CONCATENATE("&lt;",QV$3),Movimientos!$C:$C,"&lt;0")</f>
        <v>0</v>
      </c>
      <c r="QW17" s="5">
        <f ca="1">SUMIFS(Movimientos!$C:$C,Movimientos!$A:$A,$B17,Movimientos!$D:$D,CONCATENATE("&lt;=",QW$3),Movimientos!$C:$C,"&gt;0")+SUMIFS(Movimientos!$C:$C,Movimientos!$A:$A,$B17,Movimientos!$D:$D,CONCATENATE("&lt;",QW$3),Movimientos!$C:$C,"&lt;0")</f>
        <v>0</v>
      </c>
      <c r="QX17" s="5">
        <f ca="1">SUMIFS(Movimientos!$C:$C,Movimientos!$A:$A,$B17,Movimientos!$D:$D,CONCATENATE("&lt;=",QX$3),Movimientos!$C:$C,"&gt;0")+SUMIFS(Movimientos!$C:$C,Movimientos!$A:$A,$B17,Movimientos!$D:$D,CONCATENATE("&lt;",QX$3),Movimientos!$C:$C,"&lt;0")</f>
        <v>0</v>
      </c>
      <c r="QY17" s="5">
        <f ca="1">SUMIFS(Movimientos!$C:$C,Movimientos!$A:$A,$B17,Movimientos!$D:$D,CONCATENATE("&lt;=",QY$3),Movimientos!$C:$C,"&gt;0")+SUMIFS(Movimientos!$C:$C,Movimientos!$A:$A,$B17,Movimientos!$D:$D,CONCATENATE("&lt;",QY$3),Movimientos!$C:$C,"&lt;0")</f>
        <v>0</v>
      </c>
      <c r="QZ17" s="5">
        <f ca="1">SUMIFS(Movimientos!$C:$C,Movimientos!$A:$A,$B17,Movimientos!$D:$D,CONCATENATE("&lt;=",QZ$3),Movimientos!$C:$C,"&gt;0")+SUMIFS(Movimientos!$C:$C,Movimientos!$A:$A,$B17,Movimientos!$D:$D,CONCATENATE("&lt;",QZ$3),Movimientos!$C:$C,"&lt;0")</f>
        <v>0</v>
      </c>
      <c r="RA17" s="5">
        <f ca="1">SUMIFS(Movimientos!$C:$C,Movimientos!$A:$A,$B17,Movimientos!$D:$D,CONCATENATE("&lt;=",RA$3),Movimientos!$C:$C,"&gt;0")+SUMIFS(Movimientos!$C:$C,Movimientos!$A:$A,$B17,Movimientos!$D:$D,CONCATENATE("&lt;",RA$3),Movimientos!$C:$C,"&lt;0")</f>
        <v>0</v>
      </c>
      <c r="RB17" s="5">
        <f ca="1">SUMIFS(Movimientos!$C:$C,Movimientos!$A:$A,$B17,Movimientos!$D:$D,CONCATENATE("&lt;=",RB$3),Movimientos!$C:$C,"&gt;0")+SUMIFS(Movimientos!$C:$C,Movimientos!$A:$A,$B17,Movimientos!$D:$D,CONCATENATE("&lt;",RB$3),Movimientos!$C:$C,"&lt;0")</f>
        <v>0</v>
      </c>
      <c r="RC17" s="5">
        <f ca="1">SUMIFS(Movimientos!$C:$C,Movimientos!$A:$A,$B17,Movimientos!$D:$D,CONCATENATE("&lt;=",RC$3),Movimientos!$C:$C,"&gt;0")+SUMIFS(Movimientos!$C:$C,Movimientos!$A:$A,$B17,Movimientos!$D:$D,CONCATENATE("&lt;",RC$3),Movimientos!$C:$C,"&lt;0")</f>
        <v>0</v>
      </c>
      <c r="RD17" s="5">
        <f ca="1">SUMIFS(Movimientos!$C:$C,Movimientos!$A:$A,$B17,Movimientos!$D:$D,CONCATENATE("&lt;=",RD$3),Movimientos!$C:$C,"&gt;0")+SUMIFS(Movimientos!$C:$C,Movimientos!$A:$A,$B17,Movimientos!$D:$D,CONCATENATE("&lt;",RD$3),Movimientos!$C:$C,"&lt;0")</f>
        <v>0</v>
      </c>
      <c r="RE17" s="5">
        <f ca="1">SUMIFS(Movimientos!$C:$C,Movimientos!$A:$A,$B17,Movimientos!$D:$D,CONCATENATE("&lt;=",RE$3),Movimientos!$C:$C,"&gt;0")+SUMIFS(Movimientos!$C:$C,Movimientos!$A:$A,$B17,Movimientos!$D:$D,CONCATENATE("&lt;",RE$3),Movimientos!$C:$C,"&lt;0")</f>
        <v>0</v>
      </c>
      <c r="RF17" s="5">
        <f ca="1">SUMIFS(Movimientos!$C:$C,Movimientos!$A:$A,$B17,Movimientos!$D:$D,CONCATENATE("&lt;=",RF$3),Movimientos!$C:$C,"&gt;0")+SUMIFS(Movimientos!$C:$C,Movimientos!$A:$A,$B17,Movimientos!$D:$D,CONCATENATE("&lt;",RF$3),Movimientos!$C:$C,"&lt;0")</f>
        <v>0</v>
      </c>
      <c r="RG17" s="5">
        <f ca="1">SUMIFS(Movimientos!$C:$C,Movimientos!$A:$A,$B17,Movimientos!$D:$D,CONCATENATE("&lt;=",RG$3),Movimientos!$C:$C,"&gt;0")+SUMIFS(Movimientos!$C:$C,Movimientos!$A:$A,$B17,Movimientos!$D:$D,CONCATENATE("&lt;",RG$3),Movimientos!$C:$C,"&lt;0")</f>
        <v>0</v>
      </c>
      <c r="RH17" s="5">
        <f ca="1">SUMIFS(Movimientos!$C:$C,Movimientos!$A:$A,$B17,Movimientos!$D:$D,CONCATENATE("&lt;=",RH$3),Movimientos!$C:$C,"&gt;0")+SUMIFS(Movimientos!$C:$C,Movimientos!$A:$A,$B17,Movimientos!$D:$D,CONCATENATE("&lt;",RH$3),Movimientos!$C:$C,"&lt;0")</f>
        <v>0</v>
      </c>
      <c r="RI17" s="5">
        <f ca="1">SUMIFS(Movimientos!$C:$C,Movimientos!$A:$A,$B17,Movimientos!$D:$D,CONCATENATE("&lt;=",RI$3),Movimientos!$C:$C,"&gt;0")+SUMIFS(Movimientos!$C:$C,Movimientos!$A:$A,$B17,Movimientos!$D:$D,CONCATENATE("&lt;",RI$3),Movimientos!$C:$C,"&lt;0")</f>
        <v>0</v>
      </c>
      <c r="RJ17" s="5">
        <f ca="1">SUMIFS(Movimientos!$C:$C,Movimientos!$A:$A,$B17,Movimientos!$D:$D,CONCATENATE("&lt;=",RJ$3),Movimientos!$C:$C,"&gt;0")+SUMIFS(Movimientos!$C:$C,Movimientos!$A:$A,$B17,Movimientos!$D:$D,CONCATENATE("&lt;",RJ$3),Movimientos!$C:$C,"&lt;0")</f>
        <v>0</v>
      </c>
      <c r="RK17" s="5">
        <f ca="1">SUMIFS(Movimientos!$C:$C,Movimientos!$A:$A,$B17,Movimientos!$D:$D,CONCATENATE("&lt;=",RK$3),Movimientos!$C:$C,"&gt;0")+SUMIFS(Movimientos!$C:$C,Movimientos!$A:$A,$B17,Movimientos!$D:$D,CONCATENATE("&lt;",RK$3),Movimientos!$C:$C,"&lt;0")</f>
        <v>0</v>
      </c>
      <c r="RL17" s="5">
        <f ca="1">SUMIFS(Movimientos!$C:$C,Movimientos!$A:$A,$B17,Movimientos!$D:$D,CONCATENATE("&lt;=",RL$3),Movimientos!$C:$C,"&gt;0")+SUMIFS(Movimientos!$C:$C,Movimientos!$A:$A,$B17,Movimientos!$D:$D,CONCATENATE("&lt;",RL$3),Movimientos!$C:$C,"&lt;0")</f>
        <v>0</v>
      </c>
      <c r="RM17" s="5">
        <f ca="1">SUMIFS(Movimientos!$C:$C,Movimientos!$A:$A,$B17,Movimientos!$D:$D,CONCATENATE("&lt;=",RM$3),Movimientos!$C:$C,"&gt;0")+SUMIFS(Movimientos!$C:$C,Movimientos!$A:$A,$B17,Movimientos!$D:$D,CONCATENATE("&lt;",RM$3),Movimientos!$C:$C,"&lt;0")</f>
        <v>0</v>
      </c>
      <c r="RN17" s="5">
        <f ca="1">SUMIFS(Movimientos!$C:$C,Movimientos!$A:$A,$B17,Movimientos!$D:$D,CONCATENATE("&lt;=",RN$3),Movimientos!$C:$C,"&gt;0")+SUMIFS(Movimientos!$C:$C,Movimientos!$A:$A,$B17,Movimientos!$D:$D,CONCATENATE("&lt;",RN$3),Movimientos!$C:$C,"&lt;0")</f>
        <v>0</v>
      </c>
      <c r="RO17" s="5">
        <f ca="1">SUMIFS(Movimientos!$C:$C,Movimientos!$A:$A,$B17,Movimientos!$D:$D,CONCATENATE("&lt;=",RO$3),Movimientos!$C:$C,"&gt;0")+SUMIFS(Movimientos!$C:$C,Movimientos!$A:$A,$B17,Movimientos!$D:$D,CONCATENATE("&lt;",RO$3),Movimientos!$C:$C,"&lt;0")</f>
        <v>0</v>
      </c>
      <c r="RP17" s="5">
        <f ca="1">SUMIFS(Movimientos!$C:$C,Movimientos!$A:$A,$B17,Movimientos!$D:$D,CONCATENATE("&lt;=",RP$3),Movimientos!$C:$C,"&gt;0")+SUMIFS(Movimientos!$C:$C,Movimientos!$A:$A,$B17,Movimientos!$D:$D,CONCATENATE("&lt;",RP$3),Movimientos!$C:$C,"&lt;0")</f>
        <v>0</v>
      </c>
      <c r="RQ17" s="5">
        <f ca="1">SUMIFS(Movimientos!$C:$C,Movimientos!$A:$A,$B17,Movimientos!$D:$D,CONCATENATE("&lt;=",RQ$3),Movimientos!$C:$C,"&gt;0")+SUMIFS(Movimientos!$C:$C,Movimientos!$A:$A,$B17,Movimientos!$D:$D,CONCATENATE("&lt;",RQ$3),Movimientos!$C:$C,"&lt;0")</f>
        <v>0</v>
      </c>
      <c r="RR17" s="5">
        <f ca="1">SUMIFS(Movimientos!$C:$C,Movimientos!$A:$A,$B17,Movimientos!$D:$D,CONCATENATE("&lt;=",RR$3),Movimientos!$C:$C,"&gt;0")+SUMIFS(Movimientos!$C:$C,Movimientos!$A:$A,$B17,Movimientos!$D:$D,CONCATENATE("&lt;",RR$3),Movimientos!$C:$C,"&lt;0")</f>
        <v>0</v>
      </c>
      <c r="RS17" s="5">
        <f ca="1">SUMIFS(Movimientos!$C:$C,Movimientos!$A:$A,$B17,Movimientos!$D:$D,CONCATENATE("&lt;=",RS$3),Movimientos!$C:$C,"&gt;0")+SUMIFS(Movimientos!$C:$C,Movimientos!$A:$A,$B17,Movimientos!$D:$D,CONCATENATE("&lt;",RS$3),Movimientos!$C:$C,"&lt;0")</f>
        <v>0</v>
      </c>
      <c r="RT17" s="5">
        <f ca="1">SUMIFS(Movimientos!$C:$C,Movimientos!$A:$A,$B17,Movimientos!$D:$D,CONCATENATE("&lt;=",RT$3),Movimientos!$C:$C,"&gt;0")+SUMIFS(Movimientos!$C:$C,Movimientos!$A:$A,$B17,Movimientos!$D:$D,CONCATENATE("&lt;",RT$3),Movimientos!$C:$C,"&lt;0")</f>
        <v>0</v>
      </c>
      <c r="RU17" s="5">
        <f ca="1">SUMIFS(Movimientos!$C:$C,Movimientos!$A:$A,$B17,Movimientos!$D:$D,CONCATENATE("&lt;=",RU$3),Movimientos!$C:$C,"&gt;0")+SUMIFS(Movimientos!$C:$C,Movimientos!$A:$A,$B17,Movimientos!$D:$D,CONCATENATE("&lt;",RU$3),Movimientos!$C:$C,"&lt;0")</f>
        <v>0</v>
      </c>
      <c r="RV17" s="5">
        <f ca="1">SUMIFS(Movimientos!$C:$C,Movimientos!$A:$A,$B17,Movimientos!$D:$D,CONCATENATE("&lt;=",RV$3),Movimientos!$C:$C,"&gt;0")+SUMIFS(Movimientos!$C:$C,Movimientos!$A:$A,$B17,Movimientos!$D:$D,CONCATENATE("&lt;",RV$3),Movimientos!$C:$C,"&lt;0")</f>
        <v>0</v>
      </c>
      <c r="RW17" s="5">
        <f ca="1">SUMIFS(Movimientos!$C:$C,Movimientos!$A:$A,$B17,Movimientos!$D:$D,CONCATENATE("&lt;=",RW$3),Movimientos!$C:$C,"&gt;0")+SUMIFS(Movimientos!$C:$C,Movimientos!$A:$A,$B17,Movimientos!$D:$D,CONCATENATE("&lt;",RW$3),Movimientos!$C:$C,"&lt;0")</f>
        <v>0</v>
      </c>
      <c r="RX17" s="5">
        <f ca="1">SUMIFS(Movimientos!$C:$C,Movimientos!$A:$A,$B17,Movimientos!$D:$D,CONCATENATE("&lt;=",RX$3),Movimientos!$C:$C,"&gt;0")+SUMIFS(Movimientos!$C:$C,Movimientos!$A:$A,$B17,Movimientos!$D:$D,CONCATENATE("&lt;",RX$3),Movimientos!$C:$C,"&lt;0")</f>
        <v>0</v>
      </c>
      <c r="RY17" s="5">
        <f ca="1">SUMIFS(Movimientos!$C:$C,Movimientos!$A:$A,$B17,Movimientos!$D:$D,CONCATENATE("&lt;=",RY$3),Movimientos!$C:$C,"&gt;0")+SUMIFS(Movimientos!$C:$C,Movimientos!$A:$A,$B17,Movimientos!$D:$D,CONCATENATE("&lt;",RY$3),Movimientos!$C:$C,"&lt;0")</f>
        <v>0</v>
      </c>
      <c r="RZ17" s="5">
        <f ca="1">SUMIFS(Movimientos!$C:$C,Movimientos!$A:$A,$B17,Movimientos!$D:$D,CONCATENATE("&lt;=",RZ$3),Movimientos!$C:$C,"&gt;0")+SUMIFS(Movimientos!$C:$C,Movimientos!$A:$A,$B17,Movimientos!$D:$D,CONCATENATE("&lt;",RZ$3),Movimientos!$C:$C,"&lt;0")</f>
        <v>0</v>
      </c>
      <c r="SA17" s="5">
        <f ca="1">SUMIFS(Movimientos!$C:$C,Movimientos!$A:$A,$B17,Movimientos!$D:$D,CONCATENATE("&lt;=",SA$3),Movimientos!$C:$C,"&gt;0")+SUMIFS(Movimientos!$C:$C,Movimientos!$A:$A,$B17,Movimientos!$D:$D,CONCATENATE("&lt;",SA$3),Movimientos!$C:$C,"&lt;0")</f>
        <v>0</v>
      </c>
      <c r="SB17" s="5">
        <f ca="1">SUMIFS(Movimientos!$C:$C,Movimientos!$A:$A,$B17,Movimientos!$D:$D,CONCATENATE("&lt;=",SB$3),Movimientos!$C:$C,"&gt;0")+SUMIFS(Movimientos!$C:$C,Movimientos!$A:$A,$B17,Movimientos!$D:$D,CONCATENATE("&lt;",SB$3),Movimientos!$C:$C,"&lt;0")</f>
        <v>0</v>
      </c>
      <c r="SC17" s="5">
        <f ca="1">SUMIFS(Movimientos!$C:$C,Movimientos!$A:$A,$B17,Movimientos!$D:$D,CONCATENATE("&lt;=",SC$3),Movimientos!$C:$C,"&gt;0")+SUMIFS(Movimientos!$C:$C,Movimientos!$A:$A,$B17,Movimientos!$D:$D,CONCATENATE("&lt;",SC$3),Movimientos!$C:$C,"&lt;0")</f>
        <v>0</v>
      </c>
      <c r="SD17" s="5">
        <f ca="1">SUMIFS(Movimientos!$C:$C,Movimientos!$A:$A,$B17,Movimientos!$D:$D,CONCATENATE("&lt;=",SD$3),Movimientos!$C:$C,"&gt;0")+SUMIFS(Movimientos!$C:$C,Movimientos!$A:$A,$B17,Movimientos!$D:$D,CONCATENATE("&lt;",SD$3),Movimientos!$C:$C,"&lt;0")</f>
        <v>0</v>
      </c>
      <c r="SE17" s="5">
        <f ca="1">SUMIFS(Movimientos!$C:$C,Movimientos!$A:$A,$B17,Movimientos!$D:$D,CONCATENATE("&lt;=",SE$3),Movimientos!$C:$C,"&gt;0")+SUMIFS(Movimientos!$C:$C,Movimientos!$A:$A,$B17,Movimientos!$D:$D,CONCATENATE("&lt;",SE$3),Movimientos!$C:$C,"&lt;0")</f>
        <v>0</v>
      </c>
      <c r="SF17" s="5">
        <f ca="1">SUMIFS(Movimientos!$C:$C,Movimientos!$A:$A,$B17,Movimientos!$D:$D,CONCATENATE("&lt;=",SF$3),Movimientos!$C:$C,"&gt;0")+SUMIFS(Movimientos!$C:$C,Movimientos!$A:$A,$B17,Movimientos!$D:$D,CONCATENATE("&lt;",SF$3),Movimientos!$C:$C,"&lt;0")</f>
        <v>0</v>
      </c>
      <c r="SG17" s="5">
        <f ca="1">SUMIFS(Movimientos!$C:$C,Movimientos!$A:$A,$B17,Movimientos!$D:$D,CONCATENATE("&lt;=",SG$3),Movimientos!$C:$C,"&gt;0")+SUMIFS(Movimientos!$C:$C,Movimientos!$A:$A,$B17,Movimientos!$D:$D,CONCATENATE("&lt;",SG$3),Movimientos!$C:$C,"&lt;0")</f>
        <v>0</v>
      </c>
      <c r="SH17" s="5">
        <f ca="1">SUMIFS(Movimientos!$C:$C,Movimientos!$A:$A,$B17,Movimientos!$D:$D,CONCATENATE("&lt;=",SH$3),Movimientos!$C:$C,"&gt;0")+SUMIFS(Movimientos!$C:$C,Movimientos!$A:$A,$B17,Movimientos!$D:$D,CONCATENATE("&lt;",SH$3),Movimientos!$C:$C,"&lt;0")</f>
        <v>0</v>
      </c>
      <c r="SI17" s="5">
        <f ca="1">SUMIFS(Movimientos!$C:$C,Movimientos!$A:$A,$B17,Movimientos!$D:$D,CONCATENATE("&lt;=",SI$3),Movimientos!$C:$C,"&gt;0")+SUMIFS(Movimientos!$C:$C,Movimientos!$A:$A,$B17,Movimientos!$D:$D,CONCATENATE("&lt;",SI$3),Movimientos!$C:$C,"&lt;0")</f>
        <v>0</v>
      </c>
      <c r="SJ17" s="5">
        <f ca="1">SUMIFS(Movimientos!$C:$C,Movimientos!$A:$A,$B17,Movimientos!$D:$D,CONCATENATE("&lt;=",SJ$3),Movimientos!$C:$C,"&gt;0")+SUMIFS(Movimientos!$C:$C,Movimientos!$A:$A,$B17,Movimientos!$D:$D,CONCATENATE("&lt;",SJ$3),Movimientos!$C:$C,"&lt;0")</f>
        <v>0</v>
      </c>
      <c r="SK17" s="5">
        <f ca="1">SUMIFS(Movimientos!$C:$C,Movimientos!$A:$A,$B17,Movimientos!$D:$D,CONCATENATE("&lt;=",SK$3),Movimientos!$C:$C,"&gt;0")+SUMIFS(Movimientos!$C:$C,Movimientos!$A:$A,$B17,Movimientos!$D:$D,CONCATENATE("&lt;",SK$3),Movimientos!$C:$C,"&lt;0")</f>
        <v>0</v>
      </c>
      <c r="SL17" s="5">
        <f ca="1">SUMIFS(Movimientos!$C:$C,Movimientos!$A:$A,$B17,Movimientos!$D:$D,CONCATENATE("&lt;=",SL$3),Movimientos!$C:$C,"&gt;0")+SUMIFS(Movimientos!$C:$C,Movimientos!$A:$A,$B17,Movimientos!$D:$D,CONCATENATE("&lt;",SL$3),Movimientos!$C:$C,"&lt;0")</f>
        <v>0</v>
      </c>
      <c r="SM17" s="5">
        <f ca="1">SUMIFS(Movimientos!$C:$C,Movimientos!$A:$A,$B17,Movimientos!$D:$D,CONCATENATE("&lt;=",SM$3),Movimientos!$C:$C,"&gt;0")+SUMIFS(Movimientos!$C:$C,Movimientos!$A:$A,$B17,Movimientos!$D:$D,CONCATENATE("&lt;",SM$3),Movimientos!$C:$C,"&lt;0")</f>
        <v>0</v>
      </c>
      <c r="SN17" s="5">
        <f ca="1">SUMIFS(Movimientos!$C:$C,Movimientos!$A:$A,$B17,Movimientos!$D:$D,CONCATENATE("&lt;=",SN$3),Movimientos!$C:$C,"&gt;0")+SUMIFS(Movimientos!$C:$C,Movimientos!$A:$A,$B17,Movimientos!$D:$D,CONCATENATE("&lt;",SN$3),Movimientos!$C:$C,"&lt;0")</f>
        <v>0</v>
      </c>
      <c r="SO17" s="5">
        <f ca="1">SUMIFS(Movimientos!$C:$C,Movimientos!$A:$A,$B17,Movimientos!$D:$D,CONCATENATE("&lt;=",SO$3),Movimientos!$C:$C,"&gt;0")+SUMIFS(Movimientos!$C:$C,Movimientos!$A:$A,$B17,Movimientos!$D:$D,CONCATENATE("&lt;",SO$3),Movimientos!$C:$C,"&lt;0")</f>
        <v>0</v>
      </c>
      <c r="SP17" s="5">
        <f ca="1">SUMIFS(Movimientos!$C:$C,Movimientos!$A:$A,$B17,Movimientos!$D:$D,CONCATENATE("&lt;=",SP$3),Movimientos!$C:$C,"&gt;0")+SUMIFS(Movimientos!$C:$C,Movimientos!$A:$A,$B17,Movimientos!$D:$D,CONCATENATE("&lt;",SP$3),Movimientos!$C:$C,"&lt;0")</f>
        <v>0</v>
      </c>
      <c r="SQ17" s="5">
        <f ca="1">SUMIFS(Movimientos!$C:$C,Movimientos!$A:$A,$B17,Movimientos!$D:$D,CONCATENATE("&lt;=",SQ$3),Movimientos!$C:$C,"&gt;0")+SUMIFS(Movimientos!$C:$C,Movimientos!$A:$A,$B17,Movimientos!$D:$D,CONCATENATE("&lt;",SQ$3),Movimientos!$C:$C,"&lt;0")</f>
        <v>0</v>
      </c>
      <c r="SR17" s="5">
        <f ca="1">SUMIFS(Movimientos!$C:$C,Movimientos!$A:$A,$B17,Movimientos!$D:$D,CONCATENATE("&lt;=",SR$3),Movimientos!$C:$C,"&gt;0")+SUMIFS(Movimientos!$C:$C,Movimientos!$A:$A,$B17,Movimientos!$D:$D,CONCATENATE("&lt;",SR$3),Movimientos!$C:$C,"&lt;0")</f>
        <v>0</v>
      </c>
      <c r="SS17" s="5">
        <f ca="1">SUMIFS(Movimientos!$C:$C,Movimientos!$A:$A,$B17,Movimientos!$D:$D,CONCATENATE("&lt;=",SS$3),Movimientos!$C:$C,"&gt;0")+SUMIFS(Movimientos!$C:$C,Movimientos!$A:$A,$B17,Movimientos!$D:$D,CONCATENATE("&lt;",SS$3),Movimientos!$C:$C,"&lt;0")</f>
        <v>0</v>
      </c>
      <c r="ST17" s="5">
        <f ca="1">SUMIFS(Movimientos!$C:$C,Movimientos!$A:$A,$B17,Movimientos!$D:$D,CONCATENATE("&lt;=",ST$3),Movimientos!$C:$C,"&gt;0")+SUMIFS(Movimientos!$C:$C,Movimientos!$A:$A,$B17,Movimientos!$D:$D,CONCATENATE("&lt;",ST$3),Movimientos!$C:$C,"&lt;0")</f>
        <v>0</v>
      </c>
      <c r="SU17" s="5">
        <f ca="1">SUMIFS(Movimientos!$C:$C,Movimientos!$A:$A,$B17,Movimientos!$D:$D,CONCATENATE("&lt;=",SU$3),Movimientos!$C:$C,"&gt;0")+SUMIFS(Movimientos!$C:$C,Movimientos!$A:$A,$B17,Movimientos!$D:$D,CONCATENATE("&lt;",SU$3),Movimientos!$C:$C,"&lt;0")</f>
        <v>0</v>
      </c>
      <c r="SV17" s="5">
        <f ca="1">SUMIFS(Movimientos!$C:$C,Movimientos!$A:$A,$B17,Movimientos!$D:$D,CONCATENATE("&lt;=",SV$3),Movimientos!$C:$C,"&gt;0")+SUMIFS(Movimientos!$C:$C,Movimientos!$A:$A,$B17,Movimientos!$D:$D,CONCATENATE("&lt;",SV$3),Movimientos!$C:$C,"&lt;0")</f>
        <v>0</v>
      </c>
      <c r="SW17" s="5">
        <f ca="1">SUMIFS(Movimientos!$C:$C,Movimientos!$A:$A,$B17,Movimientos!$D:$D,CONCATENATE("&lt;=",SW$3),Movimientos!$C:$C,"&gt;0")+SUMIFS(Movimientos!$C:$C,Movimientos!$A:$A,$B17,Movimientos!$D:$D,CONCATENATE("&lt;",SW$3),Movimientos!$C:$C,"&lt;0")</f>
        <v>0</v>
      </c>
      <c r="SX17" s="5">
        <f ca="1">SUMIFS(Movimientos!$C:$C,Movimientos!$A:$A,$B17,Movimientos!$D:$D,CONCATENATE("&lt;=",SX$3),Movimientos!$C:$C,"&gt;0")+SUMIFS(Movimientos!$C:$C,Movimientos!$A:$A,$B17,Movimientos!$D:$D,CONCATENATE("&lt;",SX$3),Movimientos!$C:$C,"&lt;0")</f>
        <v>0</v>
      </c>
      <c r="SY17" s="5">
        <f ca="1">SUMIFS(Movimientos!$C:$C,Movimientos!$A:$A,$B17,Movimientos!$D:$D,CONCATENATE("&lt;=",SY$3),Movimientos!$C:$C,"&gt;0")+SUMIFS(Movimientos!$C:$C,Movimientos!$A:$A,$B17,Movimientos!$D:$D,CONCATENATE("&lt;",SY$3),Movimientos!$C:$C,"&lt;0")</f>
        <v>0</v>
      </c>
      <c r="SZ17" s="5">
        <f ca="1">SUMIFS(Movimientos!$C:$C,Movimientos!$A:$A,$B17,Movimientos!$D:$D,CONCATENATE("&lt;=",SZ$3),Movimientos!$C:$C,"&gt;0")+SUMIFS(Movimientos!$C:$C,Movimientos!$A:$A,$B17,Movimientos!$D:$D,CONCATENATE("&lt;",SZ$3),Movimientos!$C:$C,"&lt;0")</f>
        <v>0</v>
      </c>
      <c r="TA17" s="5">
        <f ca="1">SUMIFS(Movimientos!$C:$C,Movimientos!$A:$A,$B17,Movimientos!$D:$D,CONCATENATE("&lt;=",TA$3),Movimientos!$C:$C,"&gt;0")+SUMIFS(Movimientos!$C:$C,Movimientos!$A:$A,$B17,Movimientos!$D:$D,CONCATENATE("&lt;",TA$3),Movimientos!$C:$C,"&lt;0")</f>
        <v>0</v>
      </c>
      <c r="TB17" s="5">
        <f ca="1">SUMIFS(Movimientos!$C:$C,Movimientos!$A:$A,$B17,Movimientos!$D:$D,CONCATENATE("&lt;=",TB$3),Movimientos!$C:$C,"&gt;0")+SUMIFS(Movimientos!$C:$C,Movimientos!$A:$A,$B17,Movimientos!$D:$D,CONCATENATE("&lt;",TB$3),Movimientos!$C:$C,"&lt;0")</f>
        <v>0</v>
      </c>
      <c r="TC17" s="5">
        <f ca="1">SUMIFS(Movimientos!$C:$C,Movimientos!$A:$A,$B17,Movimientos!$D:$D,CONCATENATE("&lt;=",TC$3),Movimientos!$C:$C,"&gt;0")+SUMIFS(Movimientos!$C:$C,Movimientos!$A:$A,$B17,Movimientos!$D:$D,CONCATENATE("&lt;",TC$3),Movimientos!$C:$C,"&lt;0")</f>
        <v>0</v>
      </c>
      <c r="TD17" s="5">
        <f ca="1">SUMIFS(Movimientos!$C:$C,Movimientos!$A:$A,$B17,Movimientos!$D:$D,CONCATENATE("&lt;=",TD$3),Movimientos!$C:$C,"&gt;0")+SUMIFS(Movimientos!$C:$C,Movimientos!$A:$A,$B17,Movimientos!$D:$D,CONCATENATE("&lt;",TD$3),Movimientos!$C:$C,"&lt;0")</f>
        <v>0</v>
      </c>
      <c r="TE17" s="5">
        <f ca="1">SUMIFS(Movimientos!$C:$C,Movimientos!$A:$A,$B17,Movimientos!$D:$D,CONCATENATE("&lt;=",TE$3),Movimientos!$C:$C,"&gt;0")+SUMIFS(Movimientos!$C:$C,Movimientos!$A:$A,$B17,Movimientos!$D:$D,CONCATENATE("&lt;",TE$3),Movimientos!$C:$C,"&lt;0")</f>
        <v>0</v>
      </c>
      <c r="TF17" s="5">
        <f ca="1">SUMIFS(Movimientos!$C:$C,Movimientos!$A:$A,$B17,Movimientos!$D:$D,CONCATENATE("&lt;=",TF$3),Movimientos!$C:$C,"&gt;0")+SUMIFS(Movimientos!$C:$C,Movimientos!$A:$A,$B17,Movimientos!$D:$D,CONCATENATE("&lt;",TF$3),Movimientos!$C:$C,"&lt;0")</f>
        <v>0</v>
      </c>
    </row>
    <row r="18" spans="1:526">
      <c r="A18" s="31" t="s">
        <v>48</v>
      </c>
      <c r="B18" s="4">
        <f>Cartera!B18</f>
        <v>0</v>
      </c>
      <c r="C18" s="4">
        <f>Cartera!C18</f>
        <v>0</v>
      </c>
      <c r="D18" s="5">
        <f ca="1">SUMIFS(Movimientos!$C:$C,Movimientos!$A:$A,$B18,Movimientos!$D:$D,CONCATENATE("&lt;=",D$3),Movimientos!$C:$C,"&gt;0")+SUMIFS(Movimientos!$C:$C,Movimientos!$A:$A,$B18,Movimientos!$D:$D,CONCATENATE("&lt;",D$3),Movimientos!$C:$C,"&lt;0")</f>
        <v>0</v>
      </c>
      <c r="E18" s="5">
        <f ca="1">SUMIFS(Movimientos!$C:$C,Movimientos!$A:$A,$B18,Movimientos!$D:$D,CONCATENATE("&lt;=",E$3),Movimientos!$C:$C,"&gt;0")+SUMIFS(Movimientos!$C:$C,Movimientos!$A:$A,$B18,Movimientos!$D:$D,CONCATENATE("&lt;",E$3),Movimientos!$C:$C,"&lt;0")</f>
        <v>0</v>
      </c>
      <c r="F18" s="5">
        <f ca="1">SUMIFS(Movimientos!$C:$C,Movimientos!$A:$A,$B18,Movimientos!$D:$D,CONCATENATE("&lt;=",F$3),Movimientos!$C:$C,"&gt;0")+SUMIFS(Movimientos!$C:$C,Movimientos!$A:$A,$B18,Movimientos!$D:$D,CONCATENATE("&lt;",F$3),Movimientos!$C:$C,"&lt;0")</f>
        <v>0</v>
      </c>
      <c r="G18" s="5">
        <f ca="1">SUMIFS(Movimientos!$C:$C,Movimientos!$A:$A,$B18,Movimientos!$D:$D,CONCATENATE("&lt;=",G$3),Movimientos!$C:$C,"&gt;0")+SUMIFS(Movimientos!$C:$C,Movimientos!$A:$A,$B18,Movimientos!$D:$D,CONCATENATE("&lt;",G$3),Movimientos!$C:$C,"&lt;0")</f>
        <v>0</v>
      </c>
      <c r="H18" s="5">
        <f ca="1">SUMIFS(Movimientos!$C:$C,Movimientos!$A:$A,$B18,Movimientos!$D:$D,CONCATENATE("&lt;=",H$3),Movimientos!$C:$C,"&gt;0")+SUMIFS(Movimientos!$C:$C,Movimientos!$A:$A,$B18,Movimientos!$D:$D,CONCATENATE("&lt;",H$3),Movimientos!$C:$C,"&lt;0")</f>
        <v>0</v>
      </c>
      <c r="I18" s="5">
        <f ca="1">SUMIFS(Movimientos!$C:$C,Movimientos!$A:$A,$B18,Movimientos!$D:$D,CONCATENATE("&lt;=",I$3),Movimientos!$C:$C,"&gt;0")+SUMIFS(Movimientos!$C:$C,Movimientos!$A:$A,$B18,Movimientos!$D:$D,CONCATENATE("&lt;",I$3),Movimientos!$C:$C,"&lt;0")</f>
        <v>0</v>
      </c>
      <c r="J18" s="5">
        <f ca="1">SUMIFS(Movimientos!$C:$C,Movimientos!$A:$A,$B18,Movimientos!$D:$D,CONCATENATE("&lt;=",J$3),Movimientos!$C:$C,"&gt;0")+SUMIFS(Movimientos!$C:$C,Movimientos!$A:$A,$B18,Movimientos!$D:$D,CONCATENATE("&lt;",J$3),Movimientos!$C:$C,"&lt;0")</f>
        <v>0</v>
      </c>
      <c r="K18" s="5">
        <f ca="1">SUMIFS(Movimientos!$C:$C,Movimientos!$A:$A,$B18,Movimientos!$D:$D,CONCATENATE("&lt;=",K$3),Movimientos!$C:$C,"&gt;0")+SUMIFS(Movimientos!$C:$C,Movimientos!$A:$A,$B18,Movimientos!$D:$D,CONCATENATE("&lt;",K$3),Movimientos!$C:$C,"&lt;0")</f>
        <v>0</v>
      </c>
      <c r="L18" s="5">
        <f ca="1">SUMIFS(Movimientos!$C:$C,Movimientos!$A:$A,$B18,Movimientos!$D:$D,CONCATENATE("&lt;=",L$3),Movimientos!$C:$C,"&gt;0")+SUMIFS(Movimientos!$C:$C,Movimientos!$A:$A,$B18,Movimientos!$D:$D,CONCATENATE("&lt;",L$3),Movimientos!$C:$C,"&lt;0")</f>
        <v>0</v>
      </c>
      <c r="M18" s="5">
        <f ca="1">SUMIFS(Movimientos!$C:$C,Movimientos!$A:$A,$B18,Movimientos!$D:$D,CONCATENATE("&lt;=",M$3),Movimientos!$C:$C,"&gt;0")+SUMIFS(Movimientos!$C:$C,Movimientos!$A:$A,$B18,Movimientos!$D:$D,CONCATENATE("&lt;",M$3),Movimientos!$C:$C,"&lt;0")</f>
        <v>0</v>
      </c>
      <c r="N18" s="5">
        <f ca="1">SUMIFS(Movimientos!$C:$C,Movimientos!$A:$A,$B18,Movimientos!$D:$D,CONCATENATE("&lt;=",N$3),Movimientos!$C:$C,"&gt;0")+SUMIFS(Movimientos!$C:$C,Movimientos!$A:$A,$B18,Movimientos!$D:$D,CONCATENATE("&lt;",N$3),Movimientos!$C:$C,"&lt;0")</f>
        <v>0</v>
      </c>
      <c r="O18" s="5">
        <f ca="1">SUMIFS(Movimientos!$C:$C,Movimientos!$A:$A,$B18,Movimientos!$D:$D,CONCATENATE("&lt;=",O$3),Movimientos!$C:$C,"&gt;0")+SUMIFS(Movimientos!$C:$C,Movimientos!$A:$A,$B18,Movimientos!$D:$D,CONCATENATE("&lt;",O$3),Movimientos!$C:$C,"&lt;0")</f>
        <v>0</v>
      </c>
      <c r="P18" s="5">
        <f ca="1">SUMIFS(Movimientos!$C:$C,Movimientos!$A:$A,$B18,Movimientos!$D:$D,CONCATENATE("&lt;=",P$3),Movimientos!$C:$C,"&gt;0")+SUMIFS(Movimientos!$C:$C,Movimientos!$A:$A,$B18,Movimientos!$D:$D,CONCATENATE("&lt;",P$3),Movimientos!$C:$C,"&lt;0")</f>
        <v>0</v>
      </c>
      <c r="Q18" s="5">
        <f ca="1">SUMIFS(Movimientos!$C:$C,Movimientos!$A:$A,$B18,Movimientos!$D:$D,CONCATENATE("&lt;=",Q$3),Movimientos!$C:$C,"&gt;0")+SUMIFS(Movimientos!$C:$C,Movimientos!$A:$A,$B18,Movimientos!$D:$D,CONCATENATE("&lt;",Q$3),Movimientos!$C:$C,"&lt;0")</f>
        <v>0</v>
      </c>
      <c r="R18" s="5">
        <f ca="1">SUMIFS(Movimientos!$C:$C,Movimientos!$A:$A,$B18,Movimientos!$D:$D,CONCATENATE("&lt;=",R$3),Movimientos!$C:$C,"&gt;0")+SUMIFS(Movimientos!$C:$C,Movimientos!$A:$A,$B18,Movimientos!$D:$D,CONCATENATE("&lt;",R$3),Movimientos!$C:$C,"&lt;0")</f>
        <v>0</v>
      </c>
      <c r="S18" s="5">
        <f ca="1">SUMIFS(Movimientos!$C:$C,Movimientos!$A:$A,$B18,Movimientos!$D:$D,CONCATENATE("&lt;=",S$3),Movimientos!$C:$C,"&gt;0")+SUMIFS(Movimientos!$C:$C,Movimientos!$A:$A,$B18,Movimientos!$D:$D,CONCATENATE("&lt;",S$3),Movimientos!$C:$C,"&lt;0")</f>
        <v>0</v>
      </c>
      <c r="T18" s="5">
        <f ca="1">SUMIFS(Movimientos!$C:$C,Movimientos!$A:$A,$B18,Movimientos!$D:$D,CONCATENATE("&lt;=",T$3),Movimientos!$C:$C,"&gt;0")+SUMIFS(Movimientos!$C:$C,Movimientos!$A:$A,$B18,Movimientos!$D:$D,CONCATENATE("&lt;",T$3),Movimientos!$C:$C,"&lt;0")</f>
        <v>0</v>
      </c>
      <c r="U18" s="5">
        <f ca="1">SUMIFS(Movimientos!$C:$C,Movimientos!$A:$A,$B18,Movimientos!$D:$D,CONCATENATE("&lt;=",U$3),Movimientos!$C:$C,"&gt;0")+SUMIFS(Movimientos!$C:$C,Movimientos!$A:$A,$B18,Movimientos!$D:$D,CONCATENATE("&lt;",U$3),Movimientos!$C:$C,"&lt;0")</f>
        <v>0</v>
      </c>
      <c r="V18" s="5">
        <f ca="1">SUMIFS(Movimientos!$C:$C,Movimientos!$A:$A,$B18,Movimientos!$D:$D,CONCATENATE("&lt;=",V$3),Movimientos!$C:$C,"&gt;0")+SUMIFS(Movimientos!$C:$C,Movimientos!$A:$A,$B18,Movimientos!$D:$D,CONCATENATE("&lt;",V$3),Movimientos!$C:$C,"&lt;0")</f>
        <v>0</v>
      </c>
      <c r="W18" s="5">
        <f ca="1">SUMIFS(Movimientos!$C:$C,Movimientos!$A:$A,$B18,Movimientos!$D:$D,CONCATENATE("&lt;=",W$3),Movimientos!$C:$C,"&gt;0")+SUMIFS(Movimientos!$C:$C,Movimientos!$A:$A,$B18,Movimientos!$D:$D,CONCATENATE("&lt;",W$3),Movimientos!$C:$C,"&lt;0")</f>
        <v>0</v>
      </c>
      <c r="X18" s="5">
        <f ca="1">SUMIFS(Movimientos!$C:$C,Movimientos!$A:$A,$B18,Movimientos!$D:$D,CONCATENATE("&lt;=",X$3),Movimientos!$C:$C,"&gt;0")+SUMIFS(Movimientos!$C:$C,Movimientos!$A:$A,$B18,Movimientos!$D:$D,CONCATENATE("&lt;",X$3),Movimientos!$C:$C,"&lt;0")</f>
        <v>0</v>
      </c>
      <c r="Y18" s="5">
        <f ca="1">SUMIFS(Movimientos!$C:$C,Movimientos!$A:$A,$B18,Movimientos!$D:$D,CONCATENATE("&lt;=",Y$3),Movimientos!$C:$C,"&gt;0")+SUMIFS(Movimientos!$C:$C,Movimientos!$A:$A,$B18,Movimientos!$D:$D,CONCATENATE("&lt;",Y$3),Movimientos!$C:$C,"&lt;0")</f>
        <v>0</v>
      </c>
      <c r="Z18" s="5">
        <f ca="1">SUMIFS(Movimientos!$C:$C,Movimientos!$A:$A,$B18,Movimientos!$D:$D,CONCATENATE("&lt;=",Z$3),Movimientos!$C:$C,"&gt;0")+SUMIFS(Movimientos!$C:$C,Movimientos!$A:$A,$B18,Movimientos!$D:$D,CONCATENATE("&lt;",Z$3),Movimientos!$C:$C,"&lt;0")</f>
        <v>0</v>
      </c>
      <c r="AA18" s="5">
        <f ca="1">SUMIFS(Movimientos!$C:$C,Movimientos!$A:$A,$B18,Movimientos!$D:$D,CONCATENATE("&lt;=",AA$3),Movimientos!$C:$C,"&gt;0")+SUMIFS(Movimientos!$C:$C,Movimientos!$A:$A,$B18,Movimientos!$D:$D,CONCATENATE("&lt;",AA$3),Movimientos!$C:$C,"&lt;0")</f>
        <v>0</v>
      </c>
      <c r="AB18" s="5">
        <f ca="1">SUMIFS(Movimientos!$C:$C,Movimientos!$A:$A,$B18,Movimientos!$D:$D,CONCATENATE("&lt;=",AB$3),Movimientos!$C:$C,"&gt;0")+SUMIFS(Movimientos!$C:$C,Movimientos!$A:$A,$B18,Movimientos!$D:$D,CONCATENATE("&lt;",AB$3),Movimientos!$C:$C,"&lt;0")</f>
        <v>0</v>
      </c>
      <c r="AC18" s="5">
        <f ca="1">SUMIFS(Movimientos!$C:$C,Movimientos!$A:$A,$B18,Movimientos!$D:$D,CONCATENATE("&lt;=",AC$3),Movimientos!$C:$C,"&gt;0")+SUMIFS(Movimientos!$C:$C,Movimientos!$A:$A,$B18,Movimientos!$D:$D,CONCATENATE("&lt;",AC$3),Movimientos!$C:$C,"&lt;0")</f>
        <v>0</v>
      </c>
      <c r="AD18" s="5">
        <f ca="1">SUMIFS(Movimientos!$C:$C,Movimientos!$A:$A,$B18,Movimientos!$D:$D,CONCATENATE("&lt;=",AD$3),Movimientos!$C:$C,"&gt;0")+SUMIFS(Movimientos!$C:$C,Movimientos!$A:$A,$B18,Movimientos!$D:$D,CONCATENATE("&lt;",AD$3),Movimientos!$C:$C,"&lt;0")</f>
        <v>0</v>
      </c>
      <c r="AE18" s="5">
        <f ca="1">SUMIFS(Movimientos!$C:$C,Movimientos!$A:$A,$B18,Movimientos!$D:$D,CONCATENATE("&lt;=",AE$3),Movimientos!$C:$C,"&gt;0")+SUMIFS(Movimientos!$C:$C,Movimientos!$A:$A,$B18,Movimientos!$D:$D,CONCATENATE("&lt;",AE$3),Movimientos!$C:$C,"&lt;0")</f>
        <v>0</v>
      </c>
      <c r="AF18" s="5">
        <f ca="1">SUMIFS(Movimientos!$C:$C,Movimientos!$A:$A,$B18,Movimientos!$D:$D,CONCATENATE("&lt;=",AF$3),Movimientos!$C:$C,"&gt;0")+SUMIFS(Movimientos!$C:$C,Movimientos!$A:$A,$B18,Movimientos!$D:$D,CONCATENATE("&lt;",AF$3),Movimientos!$C:$C,"&lt;0")</f>
        <v>0</v>
      </c>
      <c r="AG18" s="5">
        <f ca="1">SUMIFS(Movimientos!$C:$C,Movimientos!$A:$A,$B18,Movimientos!$D:$D,CONCATENATE("&lt;=",AG$3),Movimientos!$C:$C,"&gt;0")+SUMIFS(Movimientos!$C:$C,Movimientos!$A:$A,$B18,Movimientos!$D:$D,CONCATENATE("&lt;",AG$3),Movimientos!$C:$C,"&lt;0")</f>
        <v>0</v>
      </c>
      <c r="AH18" s="5">
        <f ca="1">SUMIFS(Movimientos!$C:$C,Movimientos!$A:$A,$B18,Movimientos!$D:$D,CONCATENATE("&lt;=",AH$3),Movimientos!$C:$C,"&gt;0")+SUMIFS(Movimientos!$C:$C,Movimientos!$A:$A,$B18,Movimientos!$D:$D,CONCATENATE("&lt;",AH$3),Movimientos!$C:$C,"&lt;0")</f>
        <v>0</v>
      </c>
      <c r="AI18" s="5">
        <f ca="1">SUMIFS(Movimientos!$C:$C,Movimientos!$A:$A,$B18,Movimientos!$D:$D,CONCATENATE("&lt;=",AI$3),Movimientos!$C:$C,"&gt;0")+SUMIFS(Movimientos!$C:$C,Movimientos!$A:$A,$B18,Movimientos!$D:$D,CONCATENATE("&lt;",AI$3),Movimientos!$C:$C,"&lt;0")</f>
        <v>0</v>
      </c>
      <c r="AJ18" s="5">
        <f ca="1">SUMIFS(Movimientos!$C:$C,Movimientos!$A:$A,$B18,Movimientos!$D:$D,CONCATENATE("&lt;=",AJ$3),Movimientos!$C:$C,"&gt;0")+SUMIFS(Movimientos!$C:$C,Movimientos!$A:$A,$B18,Movimientos!$D:$D,CONCATENATE("&lt;",AJ$3),Movimientos!$C:$C,"&lt;0")</f>
        <v>0</v>
      </c>
      <c r="AK18" s="5">
        <f ca="1">SUMIFS(Movimientos!$C:$C,Movimientos!$A:$A,$B18,Movimientos!$D:$D,CONCATENATE("&lt;=",AK$3),Movimientos!$C:$C,"&gt;0")+SUMIFS(Movimientos!$C:$C,Movimientos!$A:$A,$B18,Movimientos!$D:$D,CONCATENATE("&lt;",AK$3),Movimientos!$C:$C,"&lt;0")</f>
        <v>0</v>
      </c>
      <c r="AL18" s="5">
        <f ca="1">SUMIFS(Movimientos!$C:$C,Movimientos!$A:$A,$B18,Movimientos!$D:$D,CONCATENATE("&lt;=",AL$3),Movimientos!$C:$C,"&gt;0")+SUMIFS(Movimientos!$C:$C,Movimientos!$A:$A,$B18,Movimientos!$D:$D,CONCATENATE("&lt;",AL$3),Movimientos!$C:$C,"&lt;0")</f>
        <v>0</v>
      </c>
      <c r="AM18" s="5">
        <f ca="1">SUMIFS(Movimientos!$C:$C,Movimientos!$A:$A,$B18,Movimientos!$D:$D,CONCATENATE("&lt;=",AM$3),Movimientos!$C:$C,"&gt;0")+SUMIFS(Movimientos!$C:$C,Movimientos!$A:$A,$B18,Movimientos!$D:$D,CONCATENATE("&lt;",AM$3),Movimientos!$C:$C,"&lt;0")</f>
        <v>0</v>
      </c>
      <c r="AN18" s="5">
        <f ca="1">SUMIFS(Movimientos!$C:$C,Movimientos!$A:$A,$B18,Movimientos!$D:$D,CONCATENATE("&lt;=",AN$3),Movimientos!$C:$C,"&gt;0")+SUMIFS(Movimientos!$C:$C,Movimientos!$A:$A,$B18,Movimientos!$D:$D,CONCATENATE("&lt;",AN$3),Movimientos!$C:$C,"&lt;0")</f>
        <v>0</v>
      </c>
      <c r="AO18" s="5">
        <f ca="1">SUMIFS(Movimientos!$C:$C,Movimientos!$A:$A,$B18,Movimientos!$D:$D,CONCATENATE("&lt;=",AO$3),Movimientos!$C:$C,"&gt;0")+SUMIFS(Movimientos!$C:$C,Movimientos!$A:$A,$B18,Movimientos!$D:$D,CONCATENATE("&lt;",AO$3),Movimientos!$C:$C,"&lt;0")</f>
        <v>0</v>
      </c>
      <c r="AP18" s="5">
        <f ca="1">SUMIFS(Movimientos!$C:$C,Movimientos!$A:$A,$B18,Movimientos!$D:$D,CONCATENATE("&lt;=",AP$3),Movimientos!$C:$C,"&gt;0")+SUMIFS(Movimientos!$C:$C,Movimientos!$A:$A,$B18,Movimientos!$D:$D,CONCATENATE("&lt;",AP$3),Movimientos!$C:$C,"&lt;0")</f>
        <v>0</v>
      </c>
      <c r="AQ18" s="5">
        <f ca="1">SUMIFS(Movimientos!$C:$C,Movimientos!$A:$A,$B18,Movimientos!$D:$D,CONCATENATE("&lt;=",AQ$3),Movimientos!$C:$C,"&gt;0")+SUMIFS(Movimientos!$C:$C,Movimientos!$A:$A,$B18,Movimientos!$D:$D,CONCATENATE("&lt;",AQ$3),Movimientos!$C:$C,"&lt;0")</f>
        <v>0</v>
      </c>
      <c r="AR18" s="5">
        <f ca="1">SUMIFS(Movimientos!$C:$C,Movimientos!$A:$A,$B18,Movimientos!$D:$D,CONCATENATE("&lt;=",AR$3),Movimientos!$C:$C,"&gt;0")+SUMIFS(Movimientos!$C:$C,Movimientos!$A:$A,$B18,Movimientos!$D:$D,CONCATENATE("&lt;",AR$3),Movimientos!$C:$C,"&lt;0")</f>
        <v>0</v>
      </c>
      <c r="AS18" s="5">
        <f ca="1">SUMIFS(Movimientos!$C:$C,Movimientos!$A:$A,$B18,Movimientos!$D:$D,CONCATENATE("&lt;=",AS$3),Movimientos!$C:$C,"&gt;0")+SUMIFS(Movimientos!$C:$C,Movimientos!$A:$A,$B18,Movimientos!$D:$D,CONCATENATE("&lt;",AS$3),Movimientos!$C:$C,"&lt;0")</f>
        <v>0</v>
      </c>
      <c r="AT18" s="5">
        <f ca="1">SUMIFS(Movimientos!$C:$C,Movimientos!$A:$A,$B18,Movimientos!$D:$D,CONCATENATE("&lt;=",AT$3),Movimientos!$C:$C,"&gt;0")+SUMIFS(Movimientos!$C:$C,Movimientos!$A:$A,$B18,Movimientos!$D:$D,CONCATENATE("&lt;",AT$3),Movimientos!$C:$C,"&lt;0")</f>
        <v>0</v>
      </c>
      <c r="AU18" s="5">
        <f ca="1">SUMIFS(Movimientos!$C:$C,Movimientos!$A:$A,$B18,Movimientos!$D:$D,CONCATENATE("&lt;=",AU$3),Movimientos!$C:$C,"&gt;0")+SUMIFS(Movimientos!$C:$C,Movimientos!$A:$A,$B18,Movimientos!$D:$D,CONCATENATE("&lt;",AU$3),Movimientos!$C:$C,"&lt;0")</f>
        <v>0</v>
      </c>
      <c r="AV18" s="5">
        <f ca="1">SUMIFS(Movimientos!$C:$C,Movimientos!$A:$A,$B18,Movimientos!$D:$D,CONCATENATE("&lt;=",AV$3),Movimientos!$C:$C,"&gt;0")+SUMIFS(Movimientos!$C:$C,Movimientos!$A:$A,$B18,Movimientos!$D:$D,CONCATENATE("&lt;",AV$3),Movimientos!$C:$C,"&lt;0")</f>
        <v>0</v>
      </c>
      <c r="AW18" s="5">
        <f ca="1">SUMIFS(Movimientos!$C:$C,Movimientos!$A:$A,$B18,Movimientos!$D:$D,CONCATENATE("&lt;=",AW$3),Movimientos!$C:$C,"&gt;0")+SUMIFS(Movimientos!$C:$C,Movimientos!$A:$A,$B18,Movimientos!$D:$D,CONCATENATE("&lt;",AW$3),Movimientos!$C:$C,"&lt;0")</f>
        <v>0</v>
      </c>
      <c r="AX18" s="5">
        <f ca="1">SUMIFS(Movimientos!$C:$C,Movimientos!$A:$A,$B18,Movimientos!$D:$D,CONCATENATE("&lt;=",AX$3),Movimientos!$C:$C,"&gt;0")+SUMIFS(Movimientos!$C:$C,Movimientos!$A:$A,$B18,Movimientos!$D:$D,CONCATENATE("&lt;",AX$3),Movimientos!$C:$C,"&lt;0")</f>
        <v>0</v>
      </c>
      <c r="AY18" s="5">
        <f ca="1">SUMIFS(Movimientos!$C:$C,Movimientos!$A:$A,$B18,Movimientos!$D:$D,CONCATENATE("&lt;=",AY$3),Movimientos!$C:$C,"&gt;0")+SUMIFS(Movimientos!$C:$C,Movimientos!$A:$A,$B18,Movimientos!$D:$D,CONCATENATE("&lt;",AY$3),Movimientos!$C:$C,"&lt;0")</f>
        <v>0</v>
      </c>
      <c r="AZ18" s="5">
        <f ca="1">SUMIFS(Movimientos!$C:$C,Movimientos!$A:$A,$B18,Movimientos!$D:$D,CONCATENATE("&lt;=",AZ$3),Movimientos!$C:$C,"&gt;0")+SUMIFS(Movimientos!$C:$C,Movimientos!$A:$A,$B18,Movimientos!$D:$D,CONCATENATE("&lt;",AZ$3),Movimientos!$C:$C,"&lt;0")</f>
        <v>0</v>
      </c>
      <c r="BA18" s="5">
        <f ca="1">SUMIFS(Movimientos!$C:$C,Movimientos!$A:$A,$B18,Movimientos!$D:$D,CONCATENATE("&lt;=",BA$3),Movimientos!$C:$C,"&gt;0")+SUMIFS(Movimientos!$C:$C,Movimientos!$A:$A,$B18,Movimientos!$D:$D,CONCATENATE("&lt;",BA$3),Movimientos!$C:$C,"&lt;0")</f>
        <v>0</v>
      </c>
      <c r="BB18" s="5">
        <f ca="1">SUMIFS(Movimientos!$C:$C,Movimientos!$A:$A,$B18,Movimientos!$D:$D,CONCATENATE("&lt;=",BB$3),Movimientos!$C:$C,"&gt;0")+SUMIFS(Movimientos!$C:$C,Movimientos!$A:$A,$B18,Movimientos!$D:$D,CONCATENATE("&lt;",BB$3),Movimientos!$C:$C,"&lt;0")</f>
        <v>0</v>
      </c>
      <c r="BC18" s="5">
        <f ca="1">SUMIFS(Movimientos!$C:$C,Movimientos!$A:$A,$B18,Movimientos!$D:$D,CONCATENATE("&lt;=",BC$3),Movimientos!$C:$C,"&gt;0")+SUMIFS(Movimientos!$C:$C,Movimientos!$A:$A,$B18,Movimientos!$D:$D,CONCATENATE("&lt;",BC$3),Movimientos!$C:$C,"&lt;0")</f>
        <v>0</v>
      </c>
      <c r="BD18" s="5">
        <f ca="1">SUMIFS(Movimientos!$C:$C,Movimientos!$A:$A,$B18,Movimientos!$D:$D,CONCATENATE("&lt;=",BD$3),Movimientos!$C:$C,"&gt;0")+SUMIFS(Movimientos!$C:$C,Movimientos!$A:$A,$B18,Movimientos!$D:$D,CONCATENATE("&lt;",BD$3),Movimientos!$C:$C,"&lt;0")</f>
        <v>0</v>
      </c>
      <c r="BE18" s="5">
        <f ca="1">SUMIFS(Movimientos!$C:$C,Movimientos!$A:$A,$B18,Movimientos!$D:$D,CONCATENATE("&lt;=",BE$3),Movimientos!$C:$C,"&gt;0")+SUMIFS(Movimientos!$C:$C,Movimientos!$A:$A,$B18,Movimientos!$D:$D,CONCATENATE("&lt;",BE$3),Movimientos!$C:$C,"&lt;0")</f>
        <v>0</v>
      </c>
      <c r="BF18" s="5">
        <f ca="1">SUMIFS(Movimientos!$C:$C,Movimientos!$A:$A,$B18,Movimientos!$D:$D,CONCATENATE("&lt;=",BF$3),Movimientos!$C:$C,"&gt;0")+SUMIFS(Movimientos!$C:$C,Movimientos!$A:$A,$B18,Movimientos!$D:$D,CONCATENATE("&lt;",BF$3),Movimientos!$C:$C,"&lt;0")</f>
        <v>0</v>
      </c>
      <c r="BG18" s="5">
        <f ca="1">SUMIFS(Movimientos!$C:$C,Movimientos!$A:$A,$B18,Movimientos!$D:$D,CONCATENATE("&lt;=",BG$3),Movimientos!$C:$C,"&gt;0")+SUMIFS(Movimientos!$C:$C,Movimientos!$A:$A,$B18,Movimientos!$D:$D,CONCATENATE("&lt;",BG$3),Movimientos!$C:$C,"&lt;0")</f>
        <v>0</v>
      </c>
      <c r="BH18" s="5">
        <f ca="1">SUMIFS(Movimientos!$C:$C,Movimientos!$A:$A,$B18,Movimientos!$D:$D,CONCATENATE("&lt;=",BH$3),Movimientos!$C:$C,"&gt;0")+SUMIFS(Movimientos!$C:$C,Movimientos!$A:$A,$B18,Movimientos!$D:$D,CONCATENATE("&lt;",BH$3),Movimientos!$C:$C,"&lt;0")</f>
        <v>0</v>
      </c>
      <c r="BI18" s="5">
        <f ca="1">SUMIFS(Movimientos!$C:$C,Movimientos!$A:$A,$B18,Movimientos!$D:$D,CONCATENATE("&lt;=",BI$3),Movimientos!$C:$C,"&gt;0")+SUMIFS(Movimientos!$C:$C,Movimientos!$A:$A,$B18,Movimientos!$D:$D,CONCATENATE("&lt;",BI$3),Movimientos!$C:$C,"&lt;0")</f>
        <v>0</v>
      </c>
      <c r="BJ18" s="5">
        <f ca="1">SUMIFS(Movimientos!$C:$C,Movimientos!$A:$A,$B18,Movimientos!$D:$D,CONCATENATE("&lt;=",BJ$3),Movimientos!$C:$C,"&gt;0")+SUMIFS(Movimientos!$C:$C,Movimientos!$A:$A,$B18,Movimientos!$D:$D,CONCATENATE("&lt;",BJ$3),Movimientos!$C:$C,"&lt;0")</f>
        <v>0</v>
      </c>
      <c r="BK18" s="5">
        <f ca="1">SUMIFS(Movimientos!$C:$C,Movimientos!$A:$A,$B18,Movimientos!$D:$D,CONCATENATE("&lt;=",BK$3),Movimientos!$C:$C,"&gt;0")+SUMIFS(Movimientos!$C:$C,Movimientos!$A:$A,$B18,Movimientos!$D:$D,CONCATENATE("&lt;",BK$3),Movimientos!$C:$C,"&lt;0")</f>
        <v>0</v>
      </c>
      <c r="BL18" s="5">
        <f ca="1">SUMIFS(Movimientos!$C:$C,Movimientos!$A:$A,$B18,Movimientos!$D:$D,CONCATENATE("&lt;=",BL$3),Movimientos!$C:$C,"&gt;0")+SUMIFS(Movimientos!$C:$C,Movimientos!$A:$A,$B18,Movimientos!$D:$D,CONCATENATE("&lt;",BL$3),Movimientos!$C:$C,"&lt;0")</f>
        <v>0</v>
      </c>
      <c r="BM18" s="5">
        <f ca="1">SUMIFS(Movimientos!$C:$C,Movimientos!$A:$A,$B18,Movimientos!$D:$D,CONCATENATE("&lt;=",BM$3),Movimientos!$C:$C,"&gt;0")+SUMIFS(Movimientos!$C:$C,Movimientos!$A:$A,$B18,Movimientos!$D:$D,CONCATENATE("&lt;",BM$3),Movimientos!$C:$C,"&lt;0")</f>
        <v>0</v>
      </c>
      <c r="BN18" s="5">
        <f ca="1">SUMIFS(Movimientos!$C:$C,Movimientos!$A:$A,$B18,Movimientos!$D:$D,CONCATENATE("&lt;=",BN$3),Movimientos!$C:$C,"&gt;0")+SUMIFS(Movimientos!$C:$C,Movimientos!$A:$A,$B18,Movimientos!$D:$D,CONCATENATE("&lt;",BN$3),Movimientos!$C:$C,"&lt;0")</f>
        <v>0</v>
      </c>
      <c r="BO18" s="5">
        <f ca="1">SUMIFS(Movimientos!$C:$C,Movimientos!$A:$A,$B18,Movimientos!$D:$D,CONCATENATE("&lt;=",BO$3),Movimientos!$C:$C,"&gt;0")+SUMIFS(Movimientos!$C:$C,Movimientos!$A:$A,$B18,Movimientos!$D:$D,CONCATENATE("&lt;",BO$3),Movimientos!$C:$C,"&lt;0")</f>
        <v>0</v>
      </c>
      <c r="BP18" s="5">
        <f ca="1">SUMIFS(Movimientos!$C:$C,Movimientos!$A:$A,$B18,Movimientos!$D:$D,CONCATENATE("&lt;=",BP$3),Movimientos!$C:$C,"&gt;0")+SUMIFS(Movimientos!$C:$C,Movimientos!$A:$A,$B18,Movimientos!$D:$D,CONCATENATE("&lt;",BP$3),Movimientos!$C:$C,"&lt;0")</f>
        <v>0</v>
      </c>
      <c r="BQ18" s="5">
        <f ca="1">SUMIFS(Movimientos!$C:$C,Movimientos!$A:$A,$B18,Movimientos!$D:$D,CONCATENATE("&lt;=",BQ$3),Movimientos!$C:$C,"&gt;0")+SUMIFS(Movimientos!$C:$C,Movimientos!$A:$A,$B18,Movimientos!$D:$D,CONCATENATE("&lt;",BQ$3),Movimientos!$C:$C,"&lt;0")</f>
        <v>0</v>
      </c>
      <c r="BR18" s="5">
        <f ca="1">SUMIFS(Movimientos!$C:$C,Movimientos!$A:$A,$B18,Movimientos!$D:$D,CONCATENATE("&lt;=",BR$3),Movimientos!$C:$C,"&gt;0")+SUMIFS(Movimientos!$C:$C,Movimientos!$A:$A,$B18,Movimientos!$D:$D,CONCATENATE("&lt;",BR$3),Movimientos!$C:$C,"&lt;0")</f>
        <v>0</v>
      </c>
      <c r="BS18" s="5">
        <f ca="1">SUMIFS(Movimientos!$C:$C,Movimientos!$A:$A,$B18,Movimientos!$D:$D,CONCATENATE("&lt;=",BS$3),Movimientos!$C:$C,"&gt;0")+SUMIFS(Movimientos!$C:$C,Movimientos!$A:$A,$B18,Movimientos!$D:$D,CONCATENATE("&lt;",BS$3),Movimientos!$C:$C,"&lt;0")</f>
        <v>0</v>
      </c>
      <c r="BT18" s="5">
        <f ca="1">SUMIFS(Movimientos!$C:$C,Movimientos!$A:$A,$B18,Movimientos!$D:$D,CONCATENATE("&lt;=",BT$3),Movimientos!$C:$C,"&gt;0")+SUMIFS(Movimientos!$C:$C,Movimientos!$A:$A,$B18,Movimientos!$D:$D,CONCATENATE("&lt;",BT$3),Movimientos!$C:$C,"&lt;0")</f>
        <v>0</v>
      </c>
      <c r="BU18" s="5">
        <f ca="1">SUMIFS(Movimientos!$C:$C,Movimientos!$A:$A,$B18,Movimientos!$D:$D,CONCATENATE("&lt;=",BU$3),Movimientos!$C:$C,"&gt;0")+SUMIFS(Movimientos!$C:$C,Movimientos!$A:$A,$B18,Movimientos!$D:$D,CONCATENATE("&lt;",BU$3),Movimientos!$C:$C,"&lt;0")</f>
        <v>0</v>
      </c>
      <c r="BV18" s="5">
        <f ca="1">SUMIFS(Movimientos!$C:$C,Movimientos!$A:$A,$B18,Movimientos!$D:$D,CONCATENATE("&lt;=",BV$3),Movimientos!$C:$C,"&gt;0")+SUMIFS(Movimientos!$C:$C,Movimientos!$A:$A,$B18,Movimientos!$D:$D,CONCATENATE("&lt;",BV$3),Movimientos!$C:$C,"&lt;0")</f>
        <v>0</v>
      </c>
      <c r="BW18" s="5">
        <f ca="1">SUMIFS(Movimientos!$C:$C,Movimientos!$A:$A,$B18,Movimientos!$D:$D,CONCATENATE("&lt;=",BW$3),Movimientos!$C:$C,"&gt;0")+SUMIFS(Movimientos!$C:$C,Movimientos!$A:$A,$B18,Movimientos!$D:$D,CONCATENATE("&lt;",BW$3),Movimientos!$C:$C,"&lt;0")</f>
        <v>0</v>
      </c>
      <c r="BX18" s="5">
        <f ca="1">SUMIFS(Movimientos!$C:$C,Movimientos!$A:$A,$B18,Movimientos!$D:$D,CONCATENATE("&lt;=",BX$3),Movimientos!$C:$C,"&gt;0")+SUMIFS(Movimientos!$C:$C,Movimientos!$A:$A,$B18,Movimientos!$D:$D,CONCATENATE("&lt;",BX$3),Movimientos!$C:$C,"&lt;0")</f>
        <v>0</v>
      </c>
      <c r="BY18" s="5">
        <f ca="1">SUMIFS(Movimientos!$C:$C,Movimientos!$A:$A,$B18,Movimientos!$D:$D,CONCATENATE("&lt;=",BY$3),Movimientos!$C:$C,"&gt;0")+SUMIFS(Movimientos!$C:$C,Movimientos!$A:$A,$B18,Movimientos!$D:$D,CONCATENATE("&lt;",BY$3),Movimientos!$C:$C,"&lt;0")</f>
        <v>0</v>
      </c>
      <c r="BZ18" s="5">
        <f ca="1">SUMIFS(Movimientos!$C:$C,Movimientos!$A:$A,$B18,Movimientos!$D:$D,CONCATENATE("&lt;=",BZ$3),Movimientos!$C:$C,"&gt;0")+SUMIFS(Movimientos!$C:$C,Movimientos!$A:$A,$B18,Movimientos!$D:$D,CONCATENATE("&lt;",BZ$3),Movimientos!$C:$C,"&lt;0")</f>
        <v>0</v>
      </c>
      <c r="CA18" s="5">
        <f ca="1">SUMIFS(Movimientos!$C:$C,Movimientos!$A:$A,$B18,Movimientos!$D:$D,CONCATENATE("&lt;=",CA$3),Movimientos!$C:$C,"&gt;0")+SUMIFS(Movimientos!$C:$C,Movimientos!$A:$A,$B18,Movimientos!$D:$D,CONCATENATE("&lt;",CA$3),Movimientos!$C:$C,"&lt;0")</f>
        <v>0</v>
      </c>
      <c r="CB18" s="5">
        <f ca="1">SUMIFS(Movimientos!$C:$C,Movimientos!$A:$A,$B18,Movimientos!$D:$D,CONCATENATE("&lt;=",CB$3),Movimientos!$C:$C,"&gt;0")+SUMIFS(Movimientos!$C:$C,Movimientos!$A:$A,$B18,Movimientos!$D:$D,CONCATENATE("&lt;",CB$3),Movimientos!$C:$C,"&lt;0")</f>
        <v>0</v>
      </c>
      <c r="CC18" s="5">
        <f ca="1">SUMIFS(Movimientos!$C:$C,Movimientos!$A:$A,$B18,Movimientos!$D:$D,CONCATENATE("&lt;=",CC$3),Movimientos!$C:$C,"&gt;0")+SUMIFS(Movimientos!$C:$C,Movimientos!$A:$A,$B18,Movimientos!$D:$D,CONCATENATE("&lt;",CC$3),Movimientos!$C:$C,"&lt;0")</f>
        <v>0</v>
      </c>
      <c r="CD18" s="5">
        <f ca="1">SUMIFS(Movimientos!$C:$C,Movimientos!$A:$A,$B18,Movimientos!$D:$D,CONCATENATE("&lt;=",CD$3),Movimientos!$C:$C,"&gt;0")+SUMIFS(Movimientos!$C:$C,Movimientos!$A:$A,$B18,Movimientos!$D:$D,CONCATENATE("&lt;",CD$3),Movimientos!$C:$C,"&lt;0")</f>
        <v>0</v>
      </c>
      <c r="CE18" s="5">
        <f ca="1">SUMIFS(Movimientos!$C:$C,Movimientos!$A:$A,$B18,Movimientos!$D:$D,CONCATENATE("&lt;=",CE$3),Movimientos!$C:$C,"&gt;0")+SUMIFS(Movimientos!$C:$C,Movimientos!$A:$A,$B18,Movimientos!$D:$D,CONCATENATE("&lt;",CE$3),Movimientos!$C:$C,"&lt;0")</f>
        <v>0</v>
      </c>
      <c r="CF18" s="5">
        <f ca="1">SUMIFS(Movimientos!$C:$C,Movimientos!$A:$A,$B18,Movimientos!$D:$D,CONCATENATE("&lt;=",CF$3),Movimientos!$C:$C,"&gt;0")+SUMIFS(Movimientos!$C:$C,Movimientos!$A:$A,$B18,Movimientos!$D:$D,CONCATENATE("&lt;",CF$3),Movimientos!$C:$C,"&lt;0")</f>
        <v>0</v>
      </c>
      <c r="CG18" s="5">
        <f ca="1">SUMIFS(Movimientos!$C:$C,Movimientos!$A:$A,$B18,Movimientos!$D:$D,CONCATENATE("&lt;=",CG$3),Movimientos!$C:$C,"&gt;0")+SUMIFS(Movimientos!$C:$C,Movimientos!$A:$A,$B18,Movimientos!$D:$D,CONCATENATE("&lt;",CG$3),Movimientos!$C:$C,"&lt;0")</f>
        <v>0</v>
      </c>
      <c r="CH18" s="5">
        <f ca="1">SUMIFS(Movimientos!$C:$C,Movimientos!$A:$A,$B18,Movimientos!$D:$D,CONCATENATE("&lt;=",CH$3),Movimientos!$C:$C,"&gt;0")+SUMIFS(Movimientos!$C:$C,Movimientos!$A:$A,$B18,Movimientos!$D:$D,CONCATENATE("&lt;",CH$3),Movimientos!$C:$C,"&lt;0")</f>
        <v>0</v>
      </c>
      <c r="CI18" s="5">
        <f ca="1">SUMIFS(Movimientos!$C:$C,Movimientos!$A:$A,$B18,Movimientos!$D:$D,CONCATENATE("&lt;=",CI$3),Movimientos!$C:$C,"&gt;0")+SUMIFS(Movimientos!$C:$C,Movimientos!$A:$A,$B18,Movimientos!$D:$D,CONCATENATE("&lt;",CI$3),Movimientos!$C:$C,"&lt;0")</f>
        <v>0</v>
      </c>
      <c r="CJ18" s="5">
        <f ca="1">SUMIFS(Movimientos!$C:$C,Movimientos!$A:$A,$B18,Movimientos!$D:$D,CONCATENATE("&lt;=",CJ$3),Movimientos!$C:$C,"&gt;0")+SUMIFS(Movimientos!$C:$C,Movimientos!$A:$A,$B18,Movimientos!$D:$D,CONCATENATE("&lt;",CJ$3),Movimientos!$C:$C,"&lt;0")</f>
        <v>0</v>
      </c>
      <c r="CK18" s="5">
        <f ca="1">SUMIFS(Movimientos!$C:$C,Movimientos!$A:$A,$B18,Movimientos!$D:$D,CONCATENATE("&lt;=",CK$3),Movimientos!$C:$C,"&gt;0")+SUMIFS(Movimientos!$C:$C,Movimientos!$A:$A,$B18,Movimientos!$D:$D,CONCATENATE("&lt;",CK$3),Movimientos!$C:$C,"&lt;0")</f>
        <v>0</v>
      </c>
      <c r="CL18" s="5">
        <f ca="1">SUMIFS(Movimientos!$C:$C,Movimientos!$A:$A,$B18,Movimientos!$D:$D,CONCATENATE("&lt;=",CL$3),Movimientos!$C:$C,"&gt;0")+SUMIFS(Movimientos!$C:$C,Movimientos!$A:$A,$B18,Movimientos!$D:$D,CONCATENATE("&lt;",CL$3),Movimientos!$C:$C,"&lt;0")</f>
        <v>0</v>
      </c>
      <c r="CM18" s="5">
        <f ca="1">SUMIFS(Movimientos!$C:$C,Movimientos!$A:$A,$B18,Movimientos!$D:$D,CONCATENATE("&lt;=",CM$3),Movimientos!$C:$C,"&gt;0")+SUMIFS(Movimientos!$C:$C,Movimientos!$A:$A,$B18,Movimientos!$D:$D,CONCATENATE("&lt;",CM$3),Movimientos!$C:$C,"&lt;0")</f>
        <v>0</v>
      </c>
      <c r="CN18" s="5">
        <f ca="1">SUMIFS(Movimientos!$C:$C,Movimientos!$A:$A,$B18,Movimientos!$D:$D,CONCATENATE("&lt;=",CN$3),Movimientos!$C:$C,"&gt;0")+SUMIFS(Movimientos!$C:$C,Movimientos!$A:$A,$B18,Movimientos!$D:$D,CONCATENATE("&lt;",CN$3),Movimientos!$C:$C,"&lt;0")</f>
        <v>0</v>
      </c>
      <c r="CO18" s="5">
        <f ca="1">SUMIFS(Movimientos!$C:$C,Movimientos!$A:$A,$B18,Movimientos!$D:$D,CONCATENATE("&lt;=",CO$3),Movimientos!$C:$C,"&gt;0")+SUMIFS(Movimientos!$C:$C,Movimientos!$A:$A,$B18,Movimientos!$D:$D,CONCATENATE("&lt;",CO$3),Movimientos!$C:$C,"&lt;0")</f>
        <v>0</v>
      </c>
      <c r="CP18" s="5">
        <f ca="1">SUMIFS(Movimientos!$C:$C,Movimientos!$A:$A,$B18,Movimientos!$D:$D,CONCATENATE("&lt;=",CP$3),Movimientos!$C:$C,"&gt;0")+SUMIFS(Movimientos!$C:$C,Movimientos!$A:$A,$B18,Movimientos!$D:$D,CONCATENATE("&lt;",CP$3),Movimientos!$C:$C,"&lt;0")</f>
        <v>0</v>
      </c>
      <c r="CQ18" s="5">
        <f ca="1">SUMIFS(Movimientos!$C:$C,Movimientos!$A:$A,$B18,Movimientos!$D:$D,CONCATENATE("&lt;=",CQ$3),Movimientos!$C:$C,"&gt;0")+SUMIFS(Movimientos!$C:$C,Movimientos!$A:$A,$B18,Movimientos!$D:$D,CONCATENATE("&lt;",CQ$3),Movimientos!$C:$C,"&lt;0")</f>
        <v>0</v>
      </c>
      <c r="CR18" s="5">
        <f ca="1">SUMIFS(Movimientos!$C:$C,Movimientos!$A:$A,$B18,Movimientos!$D:$D,CONCATENATE("&lt;=",CR$3),Movimientos!$C:$C,"&gt;0")+SUMIFS(Movimientos!$C:$C,Movimientos!$A:$A,$B18,Movimientos!$D:$D,CONCATENATE("&lt;",CR$3),Movimientos!$C:$C,"&lt;0")</f>
        <v>0</v>
      </c>
      <c r="CS18" s="5">
        <f ca="1">SUMIFS(Movimientos!$C:$C,Movimientos!$A:$A,$B18,Movimientos!$D:$D,CONCATENATE("&lt;=",CS$3),Movimientos!$C:$C,"&gt;0")+SUMIFS(Movimientos!$C:$C,Movimientos!$A:$A,$B18,Movimientos!$D:$D,CONCATENATE("&lt;",CS$3),Movimientos!$C:$C,"&lt;0")</f>
        <v>0</v>
      </c>
      <c r="CT18" s="5">
        <f ca="1">SUMIFS(Movimientos!$C:$C,Movimientos!$A:$A,$B18,Movimientos!$D:$D,CONCATENATE("&lt;=",CT$3),Movimientos!$C:$C,"&gt;0")+SUMIFS(Movimientos!$C:$C,Movimientos!$A:$A,$B18,Movimientos!$D:$D,CONCATENATE("&lt;",CT$3),Movimientos!$C:$C,"&lt;0")</f>
        <v>0</v>
      </c>
      <c r="CU18" s="5">
        <f ca="1">SUMIFS(Movimientos!$C:$C,Movimientos!$A:$A,$B18,Movimientos!$D:$D,CONCATENATE("&lt;=",CU$3),Movimientos!$C:$C,"&gt;0")+SUMIFS(Movimientos!$C:$C,Movimientos!$A:$A,$B18,Movimientos!$D:$D,CONCATENATE("&lt;",CU$3),Movimientos!$C:$C,"&lt;0")</f>
        <v>0</v>
      </c>
      <c r="CV18" s="5">
        <f ca="1">SUMIFS(Movimientos!$C:$C,Movimientos!$A:$A,$B18,Movimientos!$D:$D,CONCATENATE("&lt;=",CV$3),Movimientos!$C:$C,"&gt;0")+SUMIFS(Movimientos!$C:$C,Movimientos!$A:$A,$B18,Movimientos!$D:$D,CONCATENATE("&lt;",CV$3),Movimientos!$C:$C,"&lt;0")</f>
        <v>0</v>
      </c>
      <c r="CW18" s="5">
        <f ca="1">SUMIFS(Movimientos!$C:$C,Movimientos!$A:$A,$B18,Movimientos!$D:$D,CONCATENATE("&lt;=",CW$3),Movimientos!$C:$C,"&gt;0")+SUMIFS(Movimientos!$C:$C,Movimientos!$A:$A,$B18,Movimientos!$D:$D,CONCATENATE("&lt;",CW$3),Movimientos!$C:$C,"&lt;0")</f>
        <v>0</v>
      </c>
      <c r="CX18" s="5">
        <f ca="1">SUMIFS(Movimientos!$C:$C,Movimientos!$A:$A,$B18,Movimientos!$D:$D,CONCATENATE("&lt;=",CX$3),Movimientos!$C:$C,"&gt;0")+SUMIFS(Movimientos!$C:$C,Movimientos!$A:$A,$B18,Movimientos!$D:$D,CONCATENATE("&lt;",CX$3),Movimientos!$C:$C,"&lt;0")</f>
        <v>0</v>
      </c>
      <c r="CY18" s="5">
        <f ca="1">SUMIFS(Movimientos!$C:$C,Movimientos!$A:$A,$B18,Movimientos!$D:$D,CONCATENATE("&lt;=",CY$3),Movimientos!$C:$C,"&gt;0")+SUMIFS(Movimientos!$C:$C,Movimientos!$A:$A,$B18,Movimientos!$D:$D,CONCATENATE("&lt;",CY$3),Movimientos!$C:$C,"&lt;0")</f>
        <v>0</v>
      </c>
      <c r="CZ18" s="5">
        <f ca="1">SUMIFS(Movimientos!$C:$C,Movimientos!$A:$A,$B18,Movimientos!$D:$D,CONCATENATE("&lt;=",CZ$3),Movimientos!$C:$C,"&gt;0")+SUMIFS(Movimientos!$C:$C,Movimientos!$A:$A,$B18,Movimientos!$D:$D,CONCATENATE("&lt;",CZ$3),Movimientos!$C:$C,"&lt;0")</f>
        <v>0</v>
      </c>
      <c r="DA18" s="5">
        <f ca="1">SUMIFS(Movimientos!$C:$C,Movimientos!$A:$A,$B18,Movimientos!$D:$D,CONCATENATE("&lt;=",DA$3),Movimientos!$C:$C,"&gt;0")+SUMIFS(Movimientos!$C:$C,Movimientos!$A:$A,$B18,Movimientos!$D:$D,CONCATENATE("&lt;",DA$3),Movimientos!$C:$C,"&lt;0")</f>
        <v>0</v>
      </c>
      <c r="DB18" s="5">
        <f ca="1">SUMIFS(Movimientos!$C:$C,Movimientos!$A:$A,$B18,Movimientos!$D:$D,CONCATENATE("&lt;=",DB$3),Movimientos!$C:$C,"&gt;0")+SUMIFS(Movimientos!$C:$C,Movimientos!$A:$A,$B18,Movimientos!$D:$D,CONCATENATE("&lt;",DB$3),Movimientos!$C:$C,"&lt;0")</f>
        <v>0</v>
      </c>
      <c r="DC18" s="5">
        <f ca="1">SUMIFS(Movimientos!$C:$C,Movimientos!$A:$A,$B18,Movimientos!$D:$D,CONCATENATE("&lt;=",DC$3),Movimientos!$C:$C,"&gt;0")+SUMIFS(Movimientos!$C:$C,Movimientos!$A:$A,$B18,Movimientos!$D:$D,CONCATENATE("&lt;",DC$3),Movimientos!$C:$C,"&lt;0")</f>
        <v>0</v>
      </c>
      <c r="DD18" s="5">
        <f ca="1">SUMIFS(Movimientos!$C:$C,Movimientos!$A:$A,$B18,Movimientos!$D:$D,CONCATENATE("&lt;=",DD$3),Movimientos!$C:$C,"&gt;0")+SUMIFS(Movimientos!$C:$C,Movimientos!$A:$A,$B18,Movimientos!$D:$D,CONCATENATE("&lt;",DD$3),Movimientos!$C:$C,"&lt;0")</f>
        <v>0</v>
      </c>
      <c r="DE18" s="5">
        <f ca="1">SUMIFS(Movimientos!$C:$C,Movimientos!$A:$A,$B18,Movimientos!$D:$D,CONCATENATE("&lt;=",DE$3),Movimientos!$C:$C,"&gt;0")+SUMIFS(Movimientos!$C:$C,Movimientos!$A:$A,$B18,Movimientos!$D:$D,CONCATENATE("&lt;",DE$3),Movimientos!$C:$C,"&lt;0")</f>
        <v>0</v>
      </c>
      <c r="DF18" s="5">
        <f ca="1">SUMIFS(Movimientos!$C:$C,Movimientos!$A:$A,$B18,Movimientos!$D:$D,CONCATENATE("&lt;=",DF$3),Movimientos!$C:$C,"&gt;0")+SUMIFS(Movimientos!$C:$C,Movimientos!$A:$A,$B18,Movimientos!$D:$D,CONCATENATE("&lt;",DF$3),Movimientos!$C:$C,"&lt;0")</f>
        <v>0</v>
      </c>
      <c r="DG18" s="5">
        <f ca="1">SUMIFS(Movimientos!$C:$C,Movimientos!$A:$A,$B18,Movimientos!$D:$D,CONCATENATE("&lt;=",DG$3),Movimientos!$C:$C,"&gt;0")+SUMIFS(Movimientos!$C:$C,Movimientos!$A:$A,$B18,Movimientos!$D:$D,CONCATENATE("&lt;",DG$3),Movimientos!$C:$C,"&lt;0")</f>
        <v>0</v>
      </c>
      <c r="DH18" s="5">
        <f ca="1">SUMIFS(Movimientos!$C:$C,Movimientos!$A:$A,$B18,Movimientos!$D:$D,CONCATENATE("&lt;=",DH$3),Movimientos!$C:$C,"&gt;0")+SUMIFS(Movimientos!$C:$C,Movimientos!$A:$A,$B18,Movimientos!$D:$D,CONCATENATE("&lt;",DH$3),Movimientos!$C:$C,"&lt;0")</f>
        <v>0</v>
      </c>
      <c r="DI18" s="5">
        <f ca="1">SUMIFS(Movimientos!$C:$C,Movimientos!$A:$A,$B18,Movimientos!$D:$D,CONCATENATE("&lt;=",DI$3),Movimientos!$C:$C,"&gt;0")+SUMIFS(Movimientos!$C:$C,Movimientos!$A:$A,$B18,Movimientos!$D:$D,CONCATENATE("&lt;",DI$3),Movimientos!$C:$C,"&lt;0")</f>
        <v>0</v>
      </c>
      <c r="DJ18" s="5">
        <f ca="1">SUMIFS(Movimientos!$C:$C,Movimientos!$A:$A,$B18,Movimientos!$D:$D,CONCATENATE("&lt;=",DJ$3),Movimientos!$C:$C,"&gt;0")+SUMIFS(Movimientos!$C:$C,Movimientos!$A:$A,$B18,Movimientos!$D:$D,CONCATENATE("&lt;",DJ$3),Movimientos!$C:$C,"&lt;0")</f>
        <v>0</v>
      </c>
      <c r="DK18" s="5">
        <f ca="1">SUMIFS(Movimientos!$C:$C,Movimientos!$A:$A,$B18,Movimientos!$D:$D,CONCATENATE("&lt;=",DK$3),Movimientos!$C:$C,"&gt;0")+SUMIFS(Movimientos!$C:$C,Movimientos!$A:$A,$B18,Movimientos!$D:$D,CONCATENATE("&lt;",DK$3),Movimientos!$C:$C,"&lt;0")</f>
        <v>0</v>
      </c>
      <c r="DL18" s="5">
        <f ca="1">SUMIFS(Movimientos!$C:$C,Movimientos!$A:$A,$B18,Movimientos!$D:$D,CONCATENATE("&lt;=",DL$3),Movimientos!$C:$C,"&gt;0")+SUMIFS(Movimientos!$C:$C,Movimientos!$A:$A,$B18,Movimientos!$D:$D,CONCATENATE("&lt;",DL$3),Movimientos!$C:$C,"&lt;0")</f>
        <v>0</v>
      </c>
      <c r="DM18" s="5">
        <f ca="1">SUMIFS(Movimientos!$C:$C,Movimientos!$A:$A,$B18,Movimientos!$D:$D,CONCATENATE("&lt;=",DM$3),Movimientos!$C:$C,"&gt;0")+SUMIFS(Movimientos!$C:$C,Movimientos!$A:$A,$B18,Movimientos!$D:$D,CONCATENATE("&lt;",DM$3),Movimientos!$C:$C,"&lt;0")</f>
        <v>0</v>
      </c>
      <c r="DN18" s="5">
        <f ca="1">SUMIFS(Movimientos!$C:$C,Movimientos!$A:$A,$B18,Movimientos!$D:$D,CONCATENATE("&lt;=",DN$3),Movimientos!$C:$C,"&gt;0")+SUMIFS(Movimientos!$C:$C,Movimientos!$A:$A,$B18,Movimientos!$D:$D,CONCATENATE("&lt;",DN$3),Movimientos!$C:$C,"&lt;0")</f>
        <v>0</v>
      </c>
      <c r="DO18" s="5">
        <f ca="1">SUMIFS(Movimientos!$C:$C,Movimientos!$A:$A,$B18,Movimientos!$D:$D,CONCATENATE("&lt;=",DO$3),Movimientos!$C:$C,"&gt;0")+SUMIFS(Movimientos!$C:$C,Movimientos!$A:$A,$B18,Movimientos!$D:$D,CONCATENATE("&lt;",DO$3),Movimientos!$C:$C,"&lt;0")</f>
        <v>0</v>
      </c>
      <c r="DP18" s="5">
        <f ca="1">SUMIFS(Movimientos!$C:$C,Movimientos!$A:$A,$B18,Movimientos!$D:$D,CONCATENATE("&lt;=",DP$3),Movimientos!$C:$C,"&gt;0")+SUMIFS(Movimientos!$C:$C,Movimientos!$A:$A,$B18,Movimientos!$D:$D,CONCATENATE("&lt;",DP$3),Movimientos!$C:$C,"&lt;0")</f>
        <v>0</v>
      </c>
      <c r="DQ18" s="5">
        <f ca="1">SUMIFS(Movimientos!$C:$C,Movimientos!$A:$A,$B18,Movimientos!$D:$D,CONCATENATE("&lt;=",DQ$3),Movimientos!$C:$C,"&gt;0")+SUMIFS(Movimientos!$C:$C,Movimientos!$A:$A,$B18,Movimientos!$D:$D,CONCATENATE("&lt;",DQ$3),Movimientos!$C:$C,"&lt;0")</f>
        <v>0</v>
      </c>
      <c r="DR18" s="5">
        <f ca="1">SUMIFS(Movimientos!$C:$C,Movimientos!$A:$A,$B18,Movimientos!$D:$D,CONCATENATE("&lt;=",DR$3),Movimientos!$C:$C,"&gt;0")+SUMIFS(Movimientos!$C:$C,Movimientos!$A:$A,$B18,Movimientos!$D:$D,CONCATENATE("&lt;",DR$3),Movimientos!$C:$C,"&lt;0")</f>
        <v>0</v>
      </c>
      <c r="DS18" s="5">
        <f ca="1">SUMIFS(Movimientos!$C:$C,Movimientos!$A:$A,$B18,Movimientos!$D:$D,CONCATENATE("&lt;=",DS$3),Movimientos!$C:$C,"&gt;0")+SUMIFS(Movimientos!$C:$C,Movimientos!$A:$A,$B18,Movimientos!$D:$D,CONCATENATE("&lt;",DS$3),Movimientos!$C:$C,"&lt;0")</f>
        <v>0</v>
      </c>
      <c r="DT18" s="5">
        <f ca="1">SUMIFS(Movimientos!$C:$C,Movimientos!$A:$A,$B18,Movimientos!$D:$D,CONCATENATE("&lt;=",DT$3),Movimientos!$C:$C,"&gt;0")+SUMIFS(Movimientos!$C:$C,Movimientos!$A:$A,$B18,Movimientos!$D:$D,CONCATENATE("&lt;",DT$3),Movimientos!$C:$C,"&lt;0")</f>
        <v>0</v>
      </c>
      <c r="DU18" s="5">
        <f ca="1">SUMIFS(Movimientos!$C:$C,Movimientos!$A:$A,$B18,Movimientos!$D:$D,CONCATENATE("&lt;=",DU$3),Movimientos!$C:$C,"&gt;0")+SUMIFS(Movimientos!$C:$C,Movimientos!$A:$A,$B18,Movimientos!$D:$D,CONCATENATE("&lt;",DU$3),Movimientos!$C:$C,"&lt;0")</f>
        <v>0</v>
      </c>
      <c r="DV18" s="5">
        <f ca="1">SUMIFS(Movimientos!$C:$C,Movimientos!$A:$A,$B18,Movimientos!$D:$D,CONCATENATE("&lt;=",DV$3),Movimientos!$C:$C,"&gt;0")+SUMIFS(Movimientos!$C:$C,Movimientos!$A:$A,$B18,Movimientos!$D:$D,CONCATENATE("&lt;",DV$3),Movimientos!$C:$C,"&lt;0")</f>
        <v>0</v>
      </c>
      <c r="DW18" s="5">
        <f ca="1">SUMIFS(Movimientos!$C:$C,Movimientos!$A:$A,$B18,Movimientos!$D:$D,CONCATENATE("&lt;=",DW$3),Movimientos!$C:$C,"&gt;0")+SUMIFS(Movimientos!$C:$C,Movimientos!$A:$A,$B18,Movimientos!$D:$D,CONCATENATE("&lt;",DW$3),Movimientos!$C:$C,"&lt;0")</f>
        <v>0</v>
      </c>
      <c r="DX18" s="5">
        <f ca="1">SUMIFS(Movimientos!$C:$C,Movimientos!$A:$A,$B18,Movimientos!$D:$D,CONCATENATE("&lt;=",DX$3),Movimientos!$C:$C,"&gt;0")+SUMIFS(Movimientos!$C:$C,Movimientos!$A:$A,$B18,Movimientos!$D:$D,CONCATENATE("&lt;",DX$3),Movimientos!$C:$C,"&lt;0")</f>
        <v>0</v>
      </c>
      <c r="DY18" s="5">
        <f ca="1">SUMIFS(Movimientos!$C:$C,Movimientos!$A:$A,$B18,Movimientos!$D:$D,CONCATENATE("&lt;=",DY$3),Movimientos!$C:$C,"&gt;0")+SUMIFS(Movimientos!$C:$C,Movimientos!$A:$A,$B18,Movimientos!$D:$D,CONCATENATE("&lt;",DY$3),Movimientos!$C:$C,"&lt;0")</f>
        <v>0</v>
      </c>
      <c r="DZ18" s="5">
        <f ca="1">SUMIFS(Movimientos!$C:$C,Movimientos!$A:$A,$B18,Movimientos!$D:$D,CONCATENATE("&lt;=",DZ$3),Movimientos!$C:$C,"&gt;0")+SUMIFS(Movimientos!$C:$C,Movimientos!$A:$A,$B18,Movimientos!$D:$D,CONCATENATE("&lt;",DZ$3),Movimientos!$C:$C,"&lt;0")</f>
        <v>0</v>
      </c>
      <c r="EA18" s="5">
        <f ca="1">SUMIFS(Movimientos!$C:$C,Movimientos!$A:$A,$B18,Movimientos!$D:$D,CONCATENATE("&lt;=",EA$3),Movimientos!$C:$C,"&gt;0")+SUMIFS(Movimientos!$C:$C,Movimientos!$A:$A,$B18,Movimientos!$D:$D,CONCATENATE("&lt;",EA$3),Movimientos!$C:$C,"&lt;0")</f>
        <v>0</v>
      </c>
      <c r="EB18" s="5">
        <f ca="1">SUMIFS(Movimientos!$C:$C,Movimientos!$A:$A,$B18,Movimientos!$D:$D,CONCATENATE("&lt;=",EB$3),Movimientos!$C:$C,"&gt;0")+SUMIFS(Movimientos!$C:$C,Movimientos!$A:$A,$B18,Movimientos!$D:$D,CONCATENATE("&lt;",EB$3),Movimientos!$C:$C,"&lt;0")</f>
        <v>0</v>
      </c>
      <c r="EC18" s="5">
        <f ca="1">SUMIFS(Movimientos!$C:$C,Movimientos!$A:$A,$B18,Movimientos!$D:$D,CONCATENATE("&lt;=",EC$3),Movimientos!$C:$C,"&gt;0")+SUMIFS(Movimientos!$C:$C,Movimientos!$A:$A,$B18,Movimientos!$D:$D,CONCATENATE("&lt;",EC$3),Movimientos!$C:$C,"&lt;0")</f>
        <v>0</v>
      </c>
      <c r="ED18" s="5">
        <f ca="1">SUMIFS(Movimientos!$C:$C,Movimientos!$A:$A,$B18,Movimientos!$D:$D,CONCATENATE("&lt;=",ED$3),Movimientos!$C:$C,"&gt;0")+SUMIFS(Movimientos!$C:$C,Movimientos!$A:$A,$B18,Movimientos!$D:$D,CONCATENATE("&lt;",ED$3),Movimientos!$C:$C,"&lt;0")</f>
        <v>0</v>
      </c>
      <c r="EE18" s="5">
        <f ca="1">SUMIFS(Movimientos!$C:$C,Movimientos!$A:$A,$B18,Movimientos!$D:$D,CONCATENATE("&lt;=",EE$3),Movimientos!$C:$C,"&gt;0")+SUMIFS(Movimientos!$C:$C,Movimientos!$A:$A,$B18,Movimientos!$D:$D,CONCATENATE("&lt;",EE$3),Movimientos!$C:$C,"&lt;0")</f>
        <v>0</v>
      </c>
      <c r="EF18" s="5">
        <f ca="1">SUMIFS(Movimientos!$C:$C,Movimientos!$A:$A,$B18,Movimientos!$D:$D,CONCATENATE("&lt;=",EF$3),Movimientos!$C:$C,"&gt;0")+SUMIFS(Movimientos!$C:$C,Movimientos!$A:$A,$B18,Movimientos!$D:$D,CONCATENATE("&lt;",EF$3),Movimientos!$C:$C,"&lt;0")</f>
        <v>0</v>
      </c>
      <c r="EG18" s="5">
        <f ca="1">SUMIFS(Movimientos!$C:$C,Movimientos!$A:$A,$B18,Movimientos!$D:$D,CONCATENATE("&lt;=",EG$3),Movimientos!$C:$C,"&gt;0")+SUMIFS(Movimientos!$C:$C,Movimientos!$A:$A,$B18,Movimientos!$D:$D,CONCATENATE("&lt;",EG$3),Movimientos!$C:$C,"&lt;0")</f>
        <v>0</v>
      </c>
      <c r="EH18" s="5">
        <f ca="1">SUMIFS(Movimientos!$C:$C,Movimientos!$A:$A,$B18,Movimientos!$D:$D,CONCATENATE("&lt;=",EH$3),Movimientos!$C:$C,"&gt;0")+SUMIFS(Movimientos!$C:$C,Movimientos!$A:$A,$B18,Movimientos!$D:$D,CONCATENATE("&lt;",EH$3),Movimientos!$C:$C,"&lt;0")</f>
        <v>0</v>
      </c>
      <c r="EI18" s="5">
        <f ca="1">SUMIFS(Movimientos!$C:$C,Movimientos!$A:$A,$B18,Movimientos!$D:$D,CONCATENATE("&lt;=",EI$3),Movimientos!$C:$C,"&gt;0")+SUMIFS(Movimientos!$C:$C,Movimientos!$A:$A,$B18,Movimientos!$D:$D,CONCATENATE("&lt;",EI$3),Movimientos!$C:$C,"&lt;0")</f>
        <v>0</v>
      </c>
      <c r="EJ18" s="5">
        <f ca="1">SUMIFS(Movimientos!$C:$C,Movimientos!$A:$A,$B18,Movimientos!$D:$D,CONCATENATE("&lt;=",EJ$3),Movimientos!$C:$C,"&gt;0")+SUMIFS(Movimientos!$C:$C,Movimientos!$A:$A,$B18,Movimientos!$D:$D,CONCATENATE("&lt;",EJ$3),Movimientos!$C:$C,"&lt;0")</f>
        <v>0</v>
      </c>
      <c r="EK18" s="5">
        <f ca="1">SUMIFS(Movimientos!$C:$C,Movimientos!$A:$A,$B18,Movimientos!$D:$D,CONCATENATE("&lt;=",EK$3),Movimientos!$C:$C,"&gt;0")+SUMIFS(Movimientos!$C:$C,Movimientos!$A:$A,$B18,Movimientos!$D:$D,CONCATENATE("&lt;",EK$3),Movimientos!$C:$C,"&lt;0")</f>
        <v>0</v>
      </c>
      <c r="EL18" s="5">
        <f ca="1">SUMIFS(Movimientos!$C:$C,Movimientos!$A:$A,$B18,Movimientos!$D:$D,CONCATENATE("&lt;=",EL$3),Movimientos!$C:$C,"&gt;0")+SUMIFS(Movimientos!$C:$C,Movimientos!$A:$A,$B18,Movimientos!$D:$D,CONCATENATE("&lt;",EL$3),Movimientos!$C:$C,"&lt;0")</f>
        <v>0</v>
      </c>
      <c r="EM18" s="5">
        <f ca="1">SUMIFS(Movimientos!$C:$C,Movimientos!$A:$A,$B18,Movimientos!$D:$D,CONCATENATE("&lt;=",EM$3),Movimientos!$C:$C,"&gt;0")+SUMIFS(Movimientos!$C:$C,Movimientos!$A:$A,$B18,Movimientos!$D:$D,CONCATENATE("&lt;",EM$3),Movimientos!$C:$C,"&lt;0")</f>
        <v>0</v>
      </c>
      <c r="EN18" s="5">
        <f ca="1">SUMIFS(Movimientos!$C:$C,Movimientos!$A:$A,$B18,Movimientos!$D:$D,CONCATENATE("&lt;=",EN$3),Movimientos!$C:$C,"&gt;0")+SUMIFS(Movimientos!$C:$C,Movimientos!$A:$A,$B18,Movimientos!$D:$D,CONCATENATE("&lt;",EN$3),Movimientos!$C:$C,"&lt;0")</f>
        <v>0</v>
      </c>
      <c r="EO18" s="5">
        <f ca="1">SUMIFS(Movimientos!$C:$C,Movimientos!$A:$A,$B18,Movimientos!$D:$D,CONCATENATE("&lt;=",EO$3),Movimientos!$C:$C,"&gt;0")+SUMIFS(Movimientos!$C:$C,Movimientos!$A:$A,$B18,Movimientos!$D:$D,CONCATENATE("&lt;",EO$3),Movimientos!$C:$C,"&lt;0")</f>
        <v>0</v>
      </c>
      <c r="EP18" s="5">
        <f ca="1">SUMIFS(Movimientos!$C:$C,Movimientos!$A:$A,$B18,Movimientos!$D:$D,CONCATENATE("&lt;=",EP$3),Movimientos!$C:$C,"&gt;0")+SUMIFS(Movimientos!$C:$C,Movimientos!$A:$A,$B18,Movimientos!$D:$D,CONCATENATE("&lt;",EP$3),Movimientos!$C:$C,"&lt;0")</f>
        <v>0</v>
      </c>
      <c r="EQ18" s="5">
        <f ca="1">SUMIFS(Movimientos!$C:$C,Movimientos!$A:$A,$B18,Movimientos!$D:$D,CONCATENATE("&lt;=",EQ$3),Movimientos!$C:$C,"&gt;0")+SUMIFS(Movimientos!$C:$C,Movimientos!$A:$A,$B18,Movimientos!$D:$D,CONCATENATE("&lt;",EQ$3),Movimientos!$C:$C,"&lt;0")</f>
        <v>0</v>
      </c>
      <c r="ER18" s="5">
        <f ca="1">SUMIFS(Movimientos!$C:$C,Movimientos!$A:$A,$B18,Movimientos!$D:$D,CONCATENATE("&lt;=",ER$3),Movimientos!$C:$C,"&gt;0")+SUMIFS(Movimientos!$C:$C,Movimientos!$A:$A,$B18,Movimientos!$D:$D,CONCATENATE("&lt;",ER$3),Movimientos!$C:$C,"&lt;0")</f>
        <v>0</v>
      </c>
      <c r="ES18" s="5">
        <f ca="1">SUMIFS(Movimientos!$C:$C,Movimientos!$A:$A,$B18,Movimientos!$D:$D,CONCATENATE("&lt;=",ES$3),Movimientos!$C:$C,"&gt;0")+SUMIFS(Movimientos!$C:$C,Movimientos!$A:$A,$B18,Movimientos!$D:$D,CONCATENATE("&lt;",ES$3),Movimientos!$C:$C,"&lt;0")</f>
        <v>0</v>
      </c>
      <c r="ET18" s="5">
        <f ca="1">SUMIFS(Movimientos!$C:$C,Movimientos!$A:$A,$B18,Movimientos!$D:$D,CONCATENATE("&lt;=",ET$3),Movimientos!$C:$C,"&gt;0")+SUMIFS(Movimientos!$C:$C,Movimientos!$A:$A,$B18,Movimientos!$D:$D,CONCATENATE("&lt;",ET$3),Movimientos!$C:$C,"&lt;0")</f>
        <v>0</v>
      </c>
      <c r="EU18" s="5">
        <f ca="1">SUMIFS(Movimientos!$C:$C,Movimientos!$A:$A,$B18,Movimientos!$D:$D,CONCATENATE("&lt;=",EU$3),Movimientos!$C:$C,"&gt;0")+SUMIFS(Movimientos!$C:$C,Movimientos!$A:$A,$B18,Movimientos!$D:$D,CONCATENATE("&lt;",EU$3),Movimientos!$C:$C,"&lt;0")</f>
        <v>0</v>
      </c>
      <c r="EV18" s="5">
        <f ca="1">SUMIFS(Movimientos!$C:$C,Movimientos!$A:$A,$B18,Movimientos!$D:$D,CONCATENATE("&lt;=",EV$3),Movimientos!$C:$C,"&gt;0")+SUMIFS(Movimientos!$C:$C,Movimientos!$A:$A,$B18,Movimientos!$D:$D,CONCATENATE("&lt;",EV$3),Movimientos!$C:$C,"&lt;0")</f>
        <v>0</v>
      </c>
      <c r="EW18" s="5">
        <f ca="1">SUMIFS(Movimientos!$C:$C,Movimientos!$A:$A,$B18,Movimientos!$D:$D,CONCATENATE("&lt;=",EW$3),Movimientos!$C:$C,"&gt;0")+SUMIFS(Movimientos!$C:$C,Movimientos!$A:$A,$B18,Movimientos!$D:$D,CONCATENATE("&lt;",EW$3),Movimientos!$C:$C,"&lt;0")</f>
        <v>0</v>
      </c>
      <c r="EX18" s="5">
        <f ca="1">SUMIFS(Movimientos!$C:$C,Movimientos!$A:$A,$B18,Movimientos!$D:$D,CONCATENATE("&lt;=",EX$3),Movimientos!$C:$C,"&gt;0")+SUMIFS(Movimientos!$C:$C,Movimientos!$A:$A,$B18,Movimientos!$D:$D,CONCATENATE("&lt;",EX$3),Movimientos!$C:$C,"&lt;0")</f>
        <v>0</v>
      </c>
      <c r="EY18" s="5">
        <f ca="1">SUMIFS(Movimientos!$C:$C,Movimientos!$A:$A,$B18,Movimientos!$D:$D,CONCATENATE("&lt;=",EY$3),Movimientos!$C:$C,"&gt;0")+SUMIFS(Movimientos!$C:$C,Movimientos!$A:$A,$B18,Movimientos!$D:$D,CONCATENATE("&lt;",EY$3),Movimientos!$C:$C,"&lt;0")</f>
        <v>0</v>
      </c>
      <c r="EZ18" s="5">
        <f ca="1">SUMIFS(Movimientos!$C:$C,Movimientos!$A:$A,$B18,Movimientos!$D:$D,CONCATENATE("&lt;=",EZ$3),Movimientos!$C:$C,"&gt;0")+SUMIFS(Movimientos!$C:$C,Movimientos!$A:$A,$B18,Movimientos!$D:$D,CONCATENATE("&lt;",EZ$3),Movimientos!$C:$C,"&lt;0")</f>
        <v>0</v>
      </c>
      <c r="FA18" s="5">
        <f ca="1">SUMIFS(Movimientos!$C:$C,Movimientos!$A:$A,$B18,Movimientos!$D:$D,CONCATENATE("&lt;=",FA$3),Movimientos!$C:$C,"&gt;0")+SUMIFS(Movimientos!$C:$C,Movimientos!$A:$A,$B18,Movimientos!$D:$D,CONCATENATE("&lt;",FA$3),Movimientos!$C:$C,"&lt;0")</f>
        <v>0</v>
      </c>
      <c r="FB18" s="5">
        <f ca="1">SUMIFS(Movimientos!$C:$C,Movimientos!$A:$A,$B18,Movimientos!$D:$D,CONCATENATE("&lt;=",FB$3),Movimientos!$C:$C,"&gt;0")+SUMIFS(Movimientos!$C:$C,Movimientos!$A:$A,$B18,Movimientos!$D:$D,CONCATENATE("&lt;",FB$3),Movimientos!$C:$C,"&lt;0")</f>
        <v>0</v>
      </c>
      <c r="FC18" s="5">
        <f ca="1">SUMIFS(Movimientos!$C:$C,Movimientos!$A:$A,$B18,Movimientos!$D:$D,CONCATENATE("&lt;=",FC$3),Movimientos!$C:$C,"&gt;0")+SUMIFS(Movimientos!$C:$C,Movimientos!$A:$A,$B18,Movimientos!$D:$D,CONCATENATE("&lt;",FC$3),Movimientos!$C:$C,"&lt;0")</f>
        <v>0</v>
      </c>
      <c r="FD18" s="5">
        <f ca="1">SUMIFS(Movimientos!$C:$C,Movimientos!$A:$A,$B18,Movimientos!$D:$D,CONCATENATE("&lt;=",FD$3),Movimientos!$C:$C,"&gt;0")+SUMIFS(Movimientos!$C:$C,Movimientos!$A:$A,$B18,Movimientos!$D:$D,CONCATENATE("&lt;",FD$3),Movimientos!$C:$C,"&lt;0")</f>
        <v>0</v>
      </c>
      <c r="FE18" s="5">
        <f ca="1">SUMIFS(Movimientos!$C:$C,Movimientos!$A:$A,$B18,Movimientos!$D:$D,CONCATENATE("&lt;=",FE$3),Movimientos!$C:$C,"&gt;0")+SUMIFS(Movimientos!$C:$C,Movimientos!$A:$A,$B18,Movimientos!$D:$D,CONCATENATE("&lt;",FE$3),Movimientos!$C:$C,"&lt;0")</f>
        <v>0</v>
      </c>
      <c r="FF18" s="5">
        <f ca="1">SUMIFS(Movimientos!$C:$C,Movimientos!$A:$A,$B18,Movimientos!$D:$D,CONCATENATE("&lt;=",FF$3),Movimientos!$C:$C,"&gt;0")+SUMIFS(Movimientos!$C:$C,Movimientos!$A:$A,$B18,Movimientos!$D:$D,CONCATENATE("&lt;",FF$3),Movimientos!$C:$C,"&lt;0")</f>
        <v>0</v>
      </c>
      <c r="FG18" s="5">
        <f ca="1">SUMIFS(Movimientos!$C:$C,Movimientos!$A:$A,$B18,Movimientos!$D:$D,CONCATENATE("&lt;=",FG$3),Movimientos!$C:$C,"&gt;0")+SUMIFS(Movimientos!$C:$C,Movimientos!$A:$A,$B18,Movimientos!$D:$D,CONCATENATE("&lt;",FG$3),Movimientos!$C:$C,"&lt;0")</f>
        <v>0</v>
      </c>
      <c r="FH18" s="5">
        <f ca="1">SUMIFS(Movimientos!$C:$C,Movimientos!$A:$A,$B18,Movimientos!$D:$D,CONCATENATE("&lt;=",FH$3),Movimientos!$C:$C,"&gt;0")+SUMIFS(Movimientos!$C:$C,Movimientos!$A:$A,$B18,Movimientos!$D:$D,CONCATENATE("&lt;",FH$3),Movimientos!$C:$C,"&lt;0")</f>
        <v>0</v>
      </c>
      <c r="FI18" s="5">
        <f ca="1">SUMIFS(Movimientos!$C:$C,Movimientos!$A:$A,$B18,Movimientos!$D:$D,CONCATENATE("&lt;=",FI$3),Movimientos!$C:$C,"&gt;0")+SUMIFS(Movimientos!$C:$C,Movimientos!$A:$A,$B18,Movimientos!$D:$D,CONCATENATE("&lt;",FI$3),Movimientos!$C:$C,"&lt;0")</f>
        <v>0</v>
      </c>
      <c r="FJ18" s="5">
        <f ca="1">SUMIFS(Movimientos!$C:$C,Movimientos!$A:$A,$B18,Movimientos!$D:$D,CONCATENATE("&lt;=",FJ$3),Movimientos!$C:$C,"&gt;0")+SUMIFS(Movimientos!$C:$C,Movimientos!$A:$A,$B18,Movimientos!$D:$D,CONCATENATE("&lt;",FJ$3),Movimientos!$C:$C,"&lt;0")</f>
        <v>0</v>
      </c>
      <c r="FK18" s="5">
        <f ca="1">SUMIFS(Movimientos!$C:$C,Movimientos!$A:$A,$B18,Movimientos!$D:$D,CONCATENATE("&lt;=",FK$3),Movimientos!$C:$C,"&gt;0")+SUMIFS(Movimientos!$C:$C,Movimientos!$A:$A,$B18,Movimientos!$D:$D,CONCATENATE("&lt;",FK$3),Movimientos!$C:$C,"&lt;0")</f>
        <v>0</v>
      </c>
      <c r="FL18" s="5">
        <f ca="1">SUMIFS(Movimientos!$C:$C,Movimientos!$A:$A,$B18,Movimientos!$D:$D,CONCATENATE("&lt;=",FL$3),Movimientos!$C:$C,"&gt;0")+SUMIFS(Movimientos!$C:$C,Movimientos!$A:$A,$B18,Movimientos!$D:$D,CONCATENATE("&lt;",FL$3),Movimientos!$C:$C,"&lt;0")</f>
        <v>0</v>
      </c>
      <c r="FM18" s="5">
        <f ca="1">SUMIFS(Movimientos!$C:$C,Movimientos!$A:$A,$B18,Movimientos!$D:$D,CONCATENATE("&lt;=",FM$3),Movimientos!$C:$C,"&gt;0")+SUMIFS(Movimientos!$C:$C,Movimientos!$A:$A,$B18,Movimientos!$D:$D,CONCATENATE("&lt;",FM$3),Movimientos!$C:$C,"&lt;0")</f>
        <v>0</v>
      </c>
      <c r="FN18" s="5">
        <f ca="1">SUMIFS(Movimientos!$C:$C,Movimientos!$A:$A,$B18,Movimientos!$D:$D,CONCATENATE("&lt;=",FN$3),Movimientos!$C:$C,"&gt;0")+SUMIFS(Movimientos!$C:$C,Movimientos!$A:$A,$B18,Movimientos!$D:$D,CONCATENATE("&lt;",FN$3),Movimientos!$C:$C,"&lt;0")</f>
        <v>0</v>
      </c>
      <c r="FO18" s="5">
        <f ca="1">SUMIFS(Movimientos!$C:$C,Movimientos!$A:$A,$B18,Movimientos!$D:$D,CONCATENATE("&lt;=",FO$3),Movimientos!$C:$C,"&gt;0")+SUMIFS(Movimientos!$C:$C,Movimientos!$A:$A,$B18,Movimientos!$D:$D,CONCATENATE("&lt;",FO$3),Movimientos!$C:$C,"&lt;0")</f>
        <v>0</v>
      </c>
      <c r="FP18" s="5">
        <f ca="1">SUMIFS(Movimientos!$C:$C,Movimientos!$A:$A,$B18,Movimientos!$D:$D,CONCATENATE("&lt;=",FP$3),Movimientos!$C:$C,"&gt;0")+SUMIFS(Movimientos!$C:$C,Movimientos!$A:$A,$B18,Movimientos!$D:$D,CONCATENATE("&lt;",FP$3),Movimientos!$C:$C,"&lt;0")</f>
        <v>0</v>
      </c>
      <c r="FQ18" s="5">
        <f ca="1">SUMIFS(Movimientos!$C:$C,Movimientos!$A:$A,$B18,Movimientos!$D:$D,CONCATENATE("&lt;=",FQ$3),Movimientos!$C:$C,"&gt;0")+SUMIFS(Movimientos!$C:$C,Movimientos!$A:$A,$B18,Movimientos!$D:$D,CONCATENATE("&lt;",FQ$3),Movimientos!$C:$C,"&lt;0")</f>
        <v>0</v>
      </c>
      <c r="FR18" s="5">
        <f ca="1">SUMIFS(Movimientos!$C:$C,Movimientos!$A:$A,$B18,Movimientos!$D:$D,CONCATENATE("&lt;=",FR$3),Movimientos!$C:$C,"&gt;0")+SUMIFS(Movimientos!$C:$C,Movimientos!$A:$A,$B18,Movimientos!$D:$D,CONCATENATE("&lt;",FR$3),Movimientos!$C:$C,"&lt;0")</f>
        <v>0</v>
      </c>
      <c r="FS18" s="5">
        <f ca="1">SUMIFS(Movimientos!$C:$C,Movimientos!$A:$A,$B18,Movimientos!$D:$D,CONCATENATE("&lt;=",FS$3),Movimientos!$C:$C,"&gt;0")+SUMIFS(Movimientos!$C:$C,Movimientos!$A:$A,$B18,Movimientos!$D:$D,CONCATENATE("&lt;",FS$3),Movimientos!$C:$C,"&lt;0")</f>
        <v>0</v>
      </c>
      <c r="FT18" s="5">
        <f ca="1">SUMIFS(Movimientos!$C:$C,Movimientos!$A:$A,$B18,Movimientos!$D:$D,CONCATENATE("&lt;=",FT$3),Movimientos!$C:$C,"&gt;0")+SUMIFS(Movimientos!$C:$C,Movimientos!$A:$A,$B18,Movimientos!$D:$D,CONCATENATE("&lt;",FT$3),Movimientos!$C:$C,"&lt;0")</f>
        <v>0</v>
      </c>
      <c r="FU18" s="5">
        <f ca="1">SUMIFS(Movimientos!$C:$C,Movimientos!$A:$A,$B18,Movimientos!$D:$D,CONCATENATE("&lt;=",FU$3),Movimientos!$C:$C,"&gt;0")+SUMIFS(Movimientos!$C:$C,Movimientos!$A:$A,$B18,Movimientos!$D:$D,CONCATENATE("&lt;",FU$3),Movimientos!$C:$C,"&lt;0")</f>
        <v>0</v>
      </c>
      <c r="FV18" s="5">
        <f ca="1">SUMIFS(Movimientos!$C:$C,Movimientos!$A:$A,$B18,Movimientos!$D:$D,CONCATENATE("&lt;=",FV$3),Movimientos!$C:$C,"&gt;0")+SUMIFS(Movimientos!$C:$C,Movimientos!$A:$A,$B18,Movimientos!$D:$D,CONCATENATE("&lt;",FV$3),Movimientos!$C:$C,"&lt;0")</f>
        <v>0</v>
      </c>
      <c r="FW18" s="5">
        <f ca="1">SUMIFS(Movimientos!$C:$C,Movimientos!$A:$A,$B18,Movimientos!$D:$D,CONCATENATE("&lt;=",FW$3),Movimientos!$C:$C,"&gt;0")+SUMIFS(Movimientos!$C:$C,Movimientos!$A:$A,$B18,Movimientos!$D:$D,CONCATENATE("&lt;",FW$3),Movimientos!$C:$C,"&lt;0")</f>
        <v>0</v>
      </c>
      <c r="FX18" s="5">
        <f ca="1">SUMIFS(Movimientos!$C:$C,Movimientos!$A:$A,$B18,Movimientos!$D:$D,CONCATENATE("&lt;=",FX$3),Movimientos!$C:$C,"&gt;0")+SUMIFS(Movimientos!$C:$C,Movimientos!$A:$A,$B18,Movimientos!$D:$D,CONCATENATE("&lt;",FX$3),Movimientos!$C:$C,"&lt;0")</f>
        <v>0</v>
      </c>
      <c r="FY18" s="5">
        <f ca="1">SUMIFS(Movimientos!$C:$C,Movimientos!$A:$A,$B18,Movimientos!$D:$D,CONCATENATE("&lt;=",FY$3),Movimientos!$C:$C,"&gt;0")+SUMIFS(Movimientos!$C:$C,Movimientos!$A:$A,$B18,Movimientos!$D:$D,CONCATENATE("&lt;",FY$3),Movimientos!$C:$C,"&lt;0")</f>
        <v>0</v>
      </c>
      <c r="FZ18" s="5">
        <f ca="1">SUMIFS(Movimientos!$C:$C,Movimientos!$A:$A,$B18,Movimientos!$D:$D,CONCATENATE("&lt;=",FZ$3),Movimientos!$C:$C,"&gt;0")+SUMIFS(Movimientos!$C:$C,Movimientos!$A:$A,$B18,Movimientos!$D:$D,CONCATENATE("&lt;",FZ$3),Movimientos!$C:$C,"&lt;0")</f>
        <v>0</v>
      </c>
      <c r="GA18" s="5">
        <f ca="1">SUMIFS(Movimientos!$C:$C,Movimientos!$A:$A,$B18,Movimientos!$D:$D,CONCATENATE("&lt;=",GA$3),Movimientos!$C:$C,"&gt;0")+SUMIFS(Movimientos!$C:$C,Movimientos!$A:$A,$B18,Movimientos!$D:$D,CONCATENATE("&lt;",GA$3),Movimientos!$C:$C,"&lt;0")</f>
        <v>0</v>
      </c>
      <c r="GB18" s="5">
        <f ca="1">SUMIFS(Movimientos!$C:$C,Movimientos!$A:$A,$B18,Movimientos!$D:$D,CONCATENATE("&lt;=",GB$3),Movimientos!$C:$C,"&gt;0")+SUMIFS(Movimientos!$C:$C,Movimientos!$A:$A,$B18,Movimientos!$D:$D,CONCATENATE("&lt;",GB$3),Movimientos!$C:$C,"&lt;0")</f>
        <v>0</v>
      </c>
      <c r="GC18" s="5">
        <f ca="1">SUMIFS(Movimientos!$C:$C,Movimientos!$A:$A,$B18,Movimientos!$D:$D,CONCATENATE("&lt;=",GC$3),Movimientos!$C:$C,"&gt;0")+SUMIFS(Movimientos!$C:$C,Movimientos!$A:$A,$B18,Movimientos!$D:$D,CONCATENATE("&lt;",GC$3),Movimientos!$C:$C,"&lt;0")</f>
        <v>0</v>
      </c>
      <c r="GD18" s="5">
        <f ca="1">SUMIFS(Movimientos!$C:$C,Movimientos!$A:$A,$B18,Movimientos!$D:$D,CONCATENATE("&lt;=",GD$3),Movimientos!$C:$C,"&gt;0")+SUMIFS(Movimientos!$C:$C,Movimientos!$A:$A,$B18,Movimientos!$D:$D,CONCATENATE("&lt;",GD$3),Movimientos!$C:$C,"&lt;0")</f>
        <v>0</v>
      </c>
      <c r="GE18" s="5">
        <f ca="1">SUMIFS(Movimientos!$C:$C,Movimientos!$A:$A,$B18,Movimientos!$D:$D,CONCATENATE("&lt;=",GE$3),Movimientos!$C:$C,"&gt;0")+SUMIFS(Movimientos!$C:$C,Movimientos!$A:$A,$B18,Movimientos!$D:$D,CONCATENATE("&lt;",GE$3),Movimientos!$C:$C,"&lt;0")</f>
        <v>0</v>
      </c>
      <c r="GF18" s="5">
        <f ca="1">SUMIFS(Movimientos!$C:$C,Movimientos!$A:$A,$B18,Movimientos!$D:$D,CONCATENATE("&lt;=",GF$3),Movimientos!$C:$C,"&gt;0")+SUMIFS(Movimientos!$C:$C,Movimientos!$A:$A,$B18,Movimientos!$D:$D,CONCATENATE("&lt;",GF$3),Movimientos!$C:$C,"&lt;0")</f>
        <v>0</v>
      </c>
      <c r="GG18" s="5">
        <f ca="1">SUMIFS(Movimientos!$C:$C,Movimientos!$A:$A,$B18,Movimientos!$D:$D,CONCATENATE("&lt;=",GG$3),Movimientos!$C:$C,"&gt;0")+SUMIFS(Movimientos!$C:$C,Movimientos!$A:$A,$B18,Movimientos!$D:$D,CONCATENATE("&lt;",GG$3),Movimientos!$C:$C,"&lt;0")</f>
        <v>0</v>
      </c>
      <c r="GH18" s="5">
        <f ca="1">SUMIFS(Movimientos!$C:$C,Movimientos!$A:$A,$B18,Movimientos!$D:$D,CONCATENATE("&lt;=",GH$3),Movimientos!$C:$C,"&gt;0")+SUMIFS(Movimientos!$C:$C,Movimientos!$A:$A,$B18,Movimientos!$D:$D,CONCATENATE("&lt;",GH$3),Movimientos!$C:$C,"&lt;0")</f>
        <v>0</v>
      </c>
      <c r="GI18" s="5">
        <f ca="1">SUMIFS(Movimientos!$C:$C,Movimientos!$A:$A,$B18,Movimientos!$D:$D,CONCATENATE("&lt;=",GI$3),Movimientos!$C:$C,"&gt;0")+SUMIFS(Movimientos!$C:$C,Movimientos!$A:$A,$B18,Movimientos!$D:$D,CONCATENATE("&lt;",GI$3),Movimientos!$C:$C,"&lt;0")</f>
        <v>0</v>
      </c>
      <c r="GJ18" s="5">
        <f ca="1">SUMIFS(Movimientos!$C:$C,Movimientos!$A:$A,$B18,Movimientos!$D:$D,CONCATENATE("&lt;=",GJ$3),Movimientos!$C:$C,"&gt;0")+SUMIFS(Movimientos!$C:$C,Movimientos!$A:$A,$B18,Movimientos!$D:$D,CONCATENATE("&lt;",GJ$3),Movimientos!$C:$C,"&lt;0")</f>
        <v>0</v>
      </c>
      <c r="GK18" s="5">
        <f ca="1">SUMIFS(Movimientos!$C:$C,Movimientos!$A:$A,$B18,Movimientos!$D:$D,CONCATENATE("&lt;=",GK$3),Movimientos!$C:$C,"&gt;0")+SUMIFS(Movimientos!$C:$C,Movimientos!$A:$A,$B18,Movimientos!$D:$D,CONCATENATE("&lt;",GK$3),Movimientos!$C:$C,"&lt;0")</f>
        <v>0</v>
      </c>
      <c r="GL18" s="5">
        <f ca="1">SUMIFS(Movimientos!$C:$C,Movimientos!$A:$A,$B18,Movimientos!$D:$D,CONCATENATE("&lt;=",GL$3),Movimientos!$C:$C,"&gt;0")+SUMIFS(Movimientos!$C:$C,Movimientos!$A:$A,$B18,Movimientos!$D:$D,CONCATENATE("&lt;",GL$3),Movimientos!$C:$C,"&lt;0")</f>
        <v>0</v>
      </c>
      <c r="GM18" s="5">
        <f ca="1">SUMIFS(Movimientos!$C:$C,Movimientos!$A:$A,$B18,Movimientos!$D:$D,CONCATENATE("&lt;=",GM$3),Movimientos!$C:$C,"&gt;0")+SUMIFS(Movimientos!$C:$C,Movimientos!$A:$A,$B18,Movimientos!$D:$D,CONCATENATE("&lt;",GM$3),Movimientos!$C:$C,"&lt;0")</f>
        <v>0</v>
      </c>
      <c r="GN18" s="5">
        <f ca="1">SUMIFS(Movimientos!$C:$C,Movimientos!$A:$A,$B18,Movimientos!$D:$D,CONCATENATE("&lt;=",GN$3),Movimientos!$C:$C,"&gt;0")+SUMIFS(Movimientos!$C:$C,Movimientos!$A:$A,$B18,Movimientos!$D:$D,CONCATENATE("&lt;",GN$3),Movimientos!$C:$C,"&lt;0")</f>
        <v>0</v>
      </c>
      <c r="GO18" s="5">
        <f ca="1">SUMIFS(Movimientos!$C:$C,Movimientos!$A:$A,$B18,Movimientos!$D:$D,CONCATENATE("&lt;=",GO$3),Movimientos!$C:$C,"&gt;0")+SUMIFS(Movimientos!$C:$C,Movimientos!$A:$A,$B18,Movimientos!$D:$D,CONCATENATE("&lt;",GO$3),Movimientos!$C:$C,"&lt;0")</f>
        <v>0</v>
      </c>
      <c r="GP18" s="5">
        <f ca="1">SUMIFS(Movimientos!$C:$C,Movimientos!$A:$A,$B18,Movimientos!$D:$D,CONCATENATE("&lt;=",GP$3),Movimientos!$C:$C,"&gt;0")+SUMIFS(Movimientos!$C:$C,Movimientos!$A:$A,$B18,Movimientos!$D:$D,CONCATENATE("&lt;",GP$3),Movimientos!$C:$C,"&lt;0")</f>
        <v>0</v>
      </c>
      <c r="GQ18" s="5">
        <f ca="1">SUMIFS(Movimientos!$C:$C,Movimientos!$A:$A,$B18,Movimientos!$D:$D,CONCATENATE("&lt;=",GQ$3),Movimientos!$C:$C,"&gt;0")+SUMIFS(Movimientos!$C:$C,Movimientos!$A:$A,$B18,Movimientos!$D:$D,CONCATENATE("&lt;",GQ$3),Movimientos!$C:$C,"&lt;0")</f>
        <v>0</v>
      </c>
      <c r="GR18" s="5">
        <f ca="1">SUMIFS(Movimientos!$C:$C,Movimientos!$A:$A,$B18,Movimientos!$D:$D,CONCATENATE("&lt;=",GR$3),Movimientos!$C:$C,"&gt;0")+SUMIFS(Movimientos!$C:$C,Movimientos!$A:$A,$B18,Movimientos!$D:$D,CONCATENATE("&lt;",GR$3),Movimientos!$C:$C,"&lt;0")</f>
        <v>0</v>
      </c>
      <c r="GS18" s="5">
        <f ca="1">SUMIFS(Movimientos!$C:$C,Movimientos!$A:$A,$B18,Movimientos!$D:$D,CONCATENATE("&lt;=",GS$3),Movimientos!$C:$C,"&gt;0")+SUMIFS(Movimientos!$C:$C,Movimientos!$A:$A,$B18,Movimientos!$D:$D,CONCATENATE("&lt;",GS$3),Movimientos!$C:$C,"&lt;0")</f>
        <v>0</v>
      </c>
      <c r="GT18" s="5">
        <f ca="1">SUMIFS(Movimientos!$C:$C,Movimientos!$A:$A,$B18,Movimientos!$D:$D,CONCATENATE("&lt;=",GT$3),Movimientos!$C:$C,"&gt;0")+SUMIFS(Movimientos!$C:$C,Movimientos!$A:$A,$B18,Movimientos!$D:$D,CONCATENATE("&lt;",GT$3),Movimientos!$C:$C,"&lt;0")</f>
        <v>0</v>
      </c>
      <c r="GU18" s="5">
        <f ca="1">SUMIFS(Movimientos!$C:$C,Movimientos!$A:$A,$B18,Movimientos!$D:$D,CONCATENATE("&lt;=",GU$3),Movimientos!$C:$C,"&gt;0")+SUMIFS(Movimientos!$C:$C,Movimientos!$A:$A,$B18,Movimientos!$D:$D,CONCATENATE("&lt;",GU$3),Movimientos!$C:$C,"&lt;0")</f>
        <v>0</v>
      </c>
      <c r="GV18" s="5">
        <f ca="1">SUMIFS(Movimientos!$C:$C,Movimientos!$A:$A,$B18,Movimientos!$D:$D,CONCATENATE("&lt;=",GV$3),Movimientos!$C:$C,"&gt;0")+SUMIFS(Movimientos!$C:$C,Movimientos!$A:$A,$B18,Movimientos!$D:$D,CONCATENATE("&lt;",GV$3),Movimientos!$C:$C,"&lt;0")</f>
        <v>0</v>
      </c>
      <c r="GW18" s="5">
        <f ca="1">SUMIFS(Movimientos!$C:$C,Movimientos!$A:$A,$B18,Movimientos!$D:$D,CONCATENATE("&lt;=",GW$3),Movimientos!$C:$C,"&gt;0")+SUMIFS(Movimientos!$C:$C,Movimientos!$A:$A,$B18,Movimientos!$D:$D,CONCATENATE("&lt;",GW$3),Movimientos!$C:$C,"&lt;0")</f>
        <v>0</v>
      </c>
      <c r="GX18" s="5">
        <f ca="1">SUMIFS(Movimientos!$C:$C,Movimientos!$A:$A,$B18,Movimientos!$D:$D,CONCATENATE("&lt;=",GX$3),Movimientos!$C:$C,"&gt;0")+SUMIFS(Movimientos!$C:$C,Movimientos!$A:$A,$B18,Movimientos!$D:$D,CONCATENATE("&lt;",GX$3),Movimientos!$C:$C,"&lt;0")</f>
        <v>0</v>
      </c>
      <c r="GY18" s="5">
        <f ca="1">SUMIFS(Movimientos!$C:$C,Movimientos!$A:$A,$B18,Movimientos!$D:$D,CONCATENATE("&lt;=",GY$3),Movimientos!$C:$C,"&gt;0")+SUMIFS(Movimientos!$C:$C,Movimientos!$A:$A,$B18,Movimientos!$D:$D,CONCATENATE("&lt;",GY$3),Movimientos!$C:$C,"&lt;0")</f>
        <v>0</v>
      </c>
      <c r="GZ18" s="5">
        <f ca="1">SUMIFS(Movimientos!$C:$C,Movimientos!$A:$A,$B18,Movimientos!$D:$D,CONCATENATE("&lt;=",GZ$3),Movimientos!$C:$C,"&gt;0")+SUMIFS(Movimientos!$C:$C,Movimientos!$A:$A,$B18,Movimientos!$D:$D,CONCATENATE("&lt;",GZ$3),Movimientos!$C:$C,"&lt;0")</f>
        <v>0</v>
      </c>
      <c r="HA18" s="5">
        <f ca="1">SUMIFS(Movimientos!$C:$C,Movimientos!$A:$A,$B18,Movimientos!$D:$D,CONCATENATE("&lt;=",HA$3),Movimientos!$C:$C,"&gt;0")+SUMIFS(Movimientos!$C:$C,Movimientos!$A:$A,$B18,Movimientos!$D:$D,CONCATENATE("&lt;",HA$3),Movimientos!$C:$C,"&lt;0")</f>
        <v>0</v>
      </c>
      <c r="HB18" s="5">
        <f ca="1">SUMIFS(Movimientos!$C:$C,Movimientos!$A:$A,$B18,Movimientos!$D:$D,CONCATENATE("&lt;=",HB$3),Movimientos!$C:$C,"&gt;0")+SUMIFS(Movimientos!$C:$C,Movimientos!$A:$A,$B18,Movimientos!$D:$D,CONCATENATE("&lt;",HB$3),Movimientos!$C:$C,"&lt;0")</f>
        <v>0</v>
      </c>
      <c r="HC18" s="5">
        <f ca="1">SUMIFS(Movimientos!$C:$C,Movimientos!$A:$A,$B18,Movimientos!$D:$D,CONCATENATE("&lt;=",HC$3),Movimientos!$C:$C,"&gt;0")+SUMIFS(Movimientos!$C:$C,Movimientos!$A:$A,$B18,Movimientos!$D:$D,CONCATENATE("&lt;",HC$3),Movimientos!$C:$C,"&lt;0")</f>
        <v>0</v>
      </c>
      <c r="HD18" s="5">
        <f ca="1">SUMIFS(Movimientos!$C:$C,Movimientos!$A:$A,$B18,Movimientos!$D:$D,CONCATENATE("&lt;=",HD$3),Movimientos!$C:$C,"&gt;0")+SUMIFS(Movimientos!$C:$C,Movimientos!$A:$A,$B18,Movimientos!$D:$D,CONCATENATE("&lt;",HD$3),Movimientos!$C:$C,"&lt;0")</f>
        <v>0</v>
      </c>
      <c r="HE18" s="5">
        <f ca="1">SUMIFS(Movimientos!$C:$C,Movimientos!$A:$A,$B18,Movimientos!$D:$D,CONCATENATE("&lt;=",HE$3),Movimientos!$C:$C,"&gt;0")+SUMIFS(Movimientos!$C:$C,Movimientos!$A:$A,$B18,Movimientos!$D:$D,CONCATENATE("&lt;",HE$3),Movimientos!$C:$C,"&lt;0")</f>
        <v>0</v>
      </c>
      <c r="HF18" s="5">
        <f ca="1">SUMIFS(Movimientos!$C:$C,Movimientos!$A:$A,$B18,Movimientos!$D:$D,CONCATENATE("&lt;=",HF$3),Movimientos!$C:$C,"&gt;0")+SUMIFS(Movimientos!$C:$C,Movimientos!$A:$A,$B18,Movimientos!$D:$D,CONCATENATE("&lt;",HF$3),Movimientos!$C:$C,"&lt;0")</f>
        <v>0</v>
      </c>
      <c r="HG18" s="5">
        <f ca="1">SUMIFS(Movimientos!$C:$C,Movimientos!$A:$A,$B18,Movimientos!$D:$D,CONCATENATE("&lt;=",HG$3),Movimientos!$C:$C,"&gt;0")+SUMIFS(Movimientos!$C:$C,Movimientos!$A:$A,$B18,Movimientos!$D:$D,CONCATENATE("&lt;",HG$3),Movimientos!$C:$C,"&lt;0")</f>
        <v>0</v>
      </c>
      <c r="HH18" s="5">
        <f ca="1">SUMIFS(Movimientos!$C:$C,Movimientos!$A:$A,$B18,Movimientos!$D:$D,CONCATENATE("&lt;=",HH$3),Movimientos!$C:$C,"&gt;0")+SUMIFS(Movimientos!$C:$C,Movimientos!$A:$A,$B18,Movimientos!$D:$D,CONCATENATE("&lt;",HH$3),Movimientos!$C:$C,"&lt;0")</f>
        <v>0</v>
      </c>
      <c r="HI18" s="5">
        <f ca="1">SUMIFS(Movimientos!$C:$C,Movimientos!$A:$A,$B18,Movimientos!$D:$D,CONCATENATE("&lt;=",HI$3),Movimientos!$C:$C,"&gt;0")+SUMIFS(Movimientos!$C:$C,Movimientos!$A:$A,$B18,Movimientos!$D:$D,CONCATENATE("&lt;",HI$3),Movimientos!$C:$C,"&lt;0")</f>
        <v>0</v>
      </c>
      <c r="HJ18" s="5">
        <f ca="1">SUMIFS(Movimientos!$C:$C,Movimientos!$A:$A,$B18,Movimientos!$D:$D,CONCATENATE("&lt;=",HJ$3),Movimientos!$C:$C,"&gt;0")+SUMIFS(Movimientos!$C:$C,Movimientos!$A:$A,$B18,Movimientos!$D:$D,CONCATENATE("&lt;",HJ$3),Movimientos!$C:$C,"&lt;0")</f>
        <v>0</v>
      </c>
      <c r="HK18" s="5">
        <f ca="1">SUMIFS(Movimientos!$C:$C,Movimientos!$A:$A,$B18,Movimientos!$D:$D,CONCATENATE("&lt;=",HK$3),Movimientos!$C:$C,"&gt;0")+SUMIFS(Movimientos!$C:$C,Movimientos!$A:$A,$B18,Movimientos!$D:$D,CONCATENATE("&lt;",HK$3),Movimientos!$C:$C,"&lt;0")</f>
        <v>0</v>
      </c>
      <c r="HL18" s="5">
        <f ca="1">SUMIFS(Movimientos!$C:$C,Movimientos!$A:$A,$B18,Movimientos!$D:$D,CONCATENATE("&lt;=",HL$3),Movimientos!$C:$C,"&gt;0")+SUMIFS(Movimientos!$C:$C,Movimientos!$A:$A,$B18,Movimientos!$D:$D,CONCATENATE("&lt;",HL$3),Movimientos!$C:$C,"&lt;0")</f>
        <v>0</v>
      </c>
      <c r="HM18" s="5">
        <f ca="1">SUMIFS(Movimientos!$C:$C,Movimientos!$A:$A,$B18,Movimientos!$D:$D,CONCATENATE("&lt;=",HM$3),Movimientos!$C:$C,"&gt;0")+SUMIFS(Movimientos!$C:$C,Movimientos!$A:$A,$B18,Movimientos!$D:$D,CONCATENATE("&lt;",HM$3),Movimientos!$C:$C,"&lt;0")</f>
        <v>0</v>
      </c>
      <c r="HN18" s="5">
        <f ca="1">SUMIFS(Movimientos!$C:$C,Movimientos!$A:$A,$B18,Movimientos!$D:$D,CONCATENATE("&lt;=",HN$3),Movimientos!$C:$C,"&gt;0")+SUMIFS(Movimientos!$C:$C,Movimientos!$A:$A,$B18,Movimientos!$D:$D,CONCATENATE("&lt;",HN$3),Movimientos!$C:$C,"&lt;0")</f>
        <v>0</v>
      </c>
      <c r="HO18" s="5">
        <f ca="1">SUMIFS(Movimientos!$C:$C,Movimientos!$A:$A,$B18,Movimientos!$D:$D,CONCATENATE("&lt;=",HO$3),Movimientos!$C:$C,"&gt;0")+SUMIFS(Movimientos!$C:$C,Movimientos!$A:$A,$B18,Movimientos!$D:$D,CONCATENATE("&lt;",HO$3),Movimientos!$C:$C,"&lt;0")</f>
        <v>0</v>
      </c>
      <c r="HP18" s="5">
        <f ca="1">SUMIFS(Movimientos!$C:$C,Movimientos!$A:$A,$B18,Movimientos!$D:$D,CONCATENATE("&lt;=",HP$3),Movimientos!$C:$C,"&gt;0")+SUMIFS(Movimientos!$C:$C,Movimientos!$A:$A,$B18,Movimientos!$D:$D,CONCATENATE("&lt;",HP$3),Movimientos!$C:$C,"&lt;0")</f>
        <v>0</v>
      </c>
      <c r="HQ18" s="5">
        <f ca="1">SUMIFS(Movimientos!$C:$C,Movimientos!$A:$A,$B18,Movimientos!$D:$D,CONCATENATE("&lt;=",HQ$3),Movimientos!$C:$C,"&gt;0")+SUMIFS(Movimientos!$C:$C,Movimientos!$A:$A,$B18,Movimientos!$D:$D,CONCATENATE("&lt;",HQ$3),Movimientos!$C:$C,"&lt;0")</f>
        <v>0</v>
      </c>
      <c r="HR18" s="5">
        <f ca="1">SUMIFS(Movimientos!$C:$C,Movimientos!$A:$A,$B18,Movimientos!$D:$D,CONCATENATE("&lt;=",HR$3),Movimientos!$C:$C,"&gt;0")+SUMIFS(Movimientos!$C:$C,Movimientos!$A:$A,$B18,Movimientos!$D:$D,CONCATENATE("&lt;",HR$3),Movimientos!$C:$C,"&lt;0")</f>
        <v>0</v>
      </c>
      <c r="HS18" s="5">
        <f ca="1">SUMIFS(Movimientos!$C:$C,Movimientos!$A:$A,$B18,Movimientos!$D:$D,CONCATENATE("&lt;=",HS$3),Movimientos!$C:$C,"&gt;0")+SUMIFS(Movimientos!$C:$C,Movimientos!$A:$A,$B18,Movimientos!$D:$D,CONCATENATE("&lt;",HS$3),Movimientos!$C:$C,"&lt;0")</f>
        <v>0</v>
      </c>
      <c r="HT18" s="5">
        <f ca="1">SUMIFS(Movimientos!$C:$C,Movimientos!$A:$A,$B18,Movimientos!$D:$D,CONCATENATE("&lt;=",HT$3),Movimientos!$C:$C,"&gt;0")+SUMIFS(Movimientos!$C:$C,Movimientos!$A:$A,$B18,Movimientos!$D:$D,CONCATENATE("&lt;",HT$3),Movimientos!$C:$C,"&lt;0")</f>
        <v>0</v>
      </c>
      <c r="HU18" s="5">
        <f ca="1">SUMIFS(Movimientos!$C:$C,Movimientos!$A:$A,$B18,Movimientos!$D:$D,CONCATENATE("&lt;=",HU$3),Movimientos!$C:$C,"&gt;0")+SUMIFS(Movimientos!$C:$C,Movimientos!$A:$A,$B18,Movimientos!$D:$D,CONCATENATE("&lt;",HU$3),Movimientos!$C:$C,"&lt;0")</f>
        <v>0</v>
      </c>
      <c r="HV18" s="5">
        <f ca="1">SUMIFS(Movimientos!$C:$C,Movimientos!$A:$A,$B18,Movimientos!$D:$D,CONCATENATE("&lt;=",HV$3),Movimientos!$C:$C,"&gt;0")+SUMIFS(Movimientos!$C:$C,Movimientos!$A:$A,$B18,Movimientos!$D:$D,CONCATENATE("&lt;",HV$3),Movimientos!$C:$C,"&lt;0")</f>
        <v>0</v>
      </c>
      <c r="HW18" s="5">
        <f ca="1">SUMIFS(Movimientos!$C:$C,Movimientos!$A:$A,$B18,Movimientos!$D:$D,CONCATENATE("&lt;=",HW$3),Movimientos!$C:$C,"&gt;0")+SUMIFS(Movimientos!$C:$C,Movimientos!$A:$A,$B18,Movimientos!$D:$D,CONCATENATE("&lt;",HW$3),Movimientos!$C:$C,"&lt;0")</f>
        <v>0</v>
      </c>
      <c r="HX18" s="5">
        <f ca="1">SUMIFS(Movimientos!$C:$C,Movimientos!$A:$A,$B18,Movimientos!$D:$D,CONCATENATE("&lt;=",HX$3),Movimientos!$C:$C,"&gt;0")+SUMIFS(Movimientos!$C:$C,Movimientos!$A:$A,$B18,Movimientos!$D:$D,CONCATENATE("&lt;",HX$3),Movimientos!$C:$C,"&lt;0")</f>
        <v>0</v>
      </c>
      <c r="HY18" s="5">
        <f ca="1">SUMIFS(Movimientos!$C:$C,Movimientos!$A:$A,$B18,Movimientos!$D:$D,CONCATENATE("&lt;=",HY$3),Movimientos!$C:$C,"&gt;0")+SUMIFS(Movimientos!$C:$C,Movimientos!$A:$A,$B18,Movimientos!$D:$D,CONCATENATE("&lt;",HY$3),Movimientos!$C:$C,"&lt;0")</f>
        <v>0</v>
      </c>
      <c r="HZ18" s="5">
        <f ca="1">SUMIFS(Movimientos!$C:$C,Movimientos!$A:$A,$B18,Movimientos!$D:$D,CONCATENATE("&lt;=",HZ$3),Movimientos!$C:$C,"&gt;0")+SUMIFS(Movimientos!$C:$C,Movimientos!$A:$A,$B18,Movimientos!$D:$D,CONCATENATE("&lt;",HZ$3),Movimientos!$C:$C,"&lt;0")</f>
        <v>0</v>
      </c>
      <c r="IA18" s="5">
        <f ca="1">SUMIFS(Movimientos!$C:$C,Movimientos!$A:$A,$B18,Movimientos!$D:$D,CONCATENATE("&lt;=",IA$3),Movimientos!$C:$C,"&gt;0")+SUMIFS(Movimientos!$C:$C,Movimientos!$A:$A,$B18,Movimientos!$D:$D,CONCATENATE("&lt;",IA$3),Movimientos!$C:$C,"&lt;0")</f>
        <v>0</v>
      </c>
      <c r="IB18" s="5">
        <f ca="1">SUMIFS(Movimientos!$C:$C,Movimientos!$A:$A,$B18,Movimientos!$D:$D,CONCATENATE("&lt;=",IB$3),Movimientos!$C:$C,"&gt;0")+SUMIFS(Movimientos!$C:$C,Movimientos!$A:$A,$B18,Movimientos!$D:$D,CONCATENATE("&lt;",IB$3),Movimientos!$C:$C,"&lt;0")</f>
        <v>0</v>
      </c>
      <c r="IC18" s="5">
        <f ca="1">SUMIFS(Movimientos!$C:$C,Movimientos!$A:$A,$B18,Movimientos!$D:$D,CONCATENATE("&lt;=",IC$3),Movimientos!$C:$C,"&gt;0")+SUMIFS(Movimientos!$C:$C,Movimientos!$A:$A,$B18,Movimientos!$D:$D,CONCATENATE("&lt;",IC$3),Movimientos!$C:$C,"&lt;0")</f>
        <v>0</v>
      </c>
      <c r="ID18" s="5">
        <f ca="1">SUMIFS(Movimientos!$C:$C,Movimientos!$A:$A,$B18,Movimientos!$D:$D,CONCATENATE("&lt;=",ID$3),Movimientos!$C:$C,"&gt;0")+SUMIFS(Movimientos!$C:$C,Movimientos!$A:$A,$B18,Movimientos!$D:$D,CONCATENATE("&lt;",ID$3),Movimientos!$C:$C,"&lt;0")</f>
        <v>0</v>
      </c>
      <c r="IE18" s="5">
        <f ca="1">SUMIFS(Movimientos!$C:$C,Movimientos!$A:$A,$B18,Movimientos!$D:$D,CONCATENATE("&lt;=",IE$3),Movimientos!$C:$C,"&gt;0")+SUMIFS(Movimientos!$C:$C,Movimientos!$A:$A,$B18,Movimientos!$D:$D,CONCATENATE("&lt;",IE$3),Movimientos!$C:$C,"&lt;0")</f>
        <v>0</v>
      </c>
      <c r="IF18" s="5">
        <f ca="1">SUMIFS(Movimientos!$C:$C,Movimientos!$A:$A,$B18,Movimientos!$D:$D,CONCATENATE("&lt;=",IF$3),Movimientos!$C:$C,"&gt;0")+SUMIFS(Movimientos!$C:$C,Movimientos!$A:$A,$B18,Movimientos!$D:$D,CONCATENATE("&lt;",IF$3),Movimientos!$C:$C,"&lt;0")</f>
        <v>0</v>
      </c>
      <c r="IG18" s="5">
        <f ca="1">SUMIFS(Movimientos!$C:$C,Movimientos!$A:$A,$B18,Movimientos!$D:$D,CONCATENATE("&lt;=",IG$3),Movimientos!$C:$C,"&gt;0")+SUMIFS(Movimientos!$C:$C,Movimientos!$A:$A,$B18,Movimientos!$D:$D,CONCATENATE("&lt;",IG$3),Movimientos!$C:$C,"&lt;0")</f>
        <v>0</v>
      </c>
      <c r="IH18" s="5">
        <f ca="1">SUMIFS(Movimientos!$C:$C,Movimientos!$A:$A,$B18,Movimientos!$D:$D,CONCATENATE("&lt;=",IH$3),Movimientos!$C:$C,"&gt;0")+SUMIFS(Movimientos!$C:$C,Movimientos!$A:$A,$B18,Movimientos!$D:$D,CONCATENATE("&lt;",IH$3),Movimientos!$C:$C,"&lt;0")</f>
        <v>0</v>
      </c>
      <c r="II18" s="5">
        <f ca="1">SUMIFS(Movimientos!$C:$C,Movimientos!$A:$A,$B18,Movimientos!$D:$D,CONCATENATE("&lt;=",II$3),Movimientos!$C:$C,"&gt;0")+SUMIFS(Movimientos!$C:$C,Movimientos!$A:$A,$B18,Movimientos!$D:$D,CONCATENATE("&lt;",II$3),Movimientos!$C:$C,"&lt;0")</f>
        <v>0</v>
      </c>
      <c r="IJ18" s="5">
        <f ca="1">SUMIFS(Movimientos!$C:$C,Movimientos!$A:$A,$B18,Movimientos!$D:$D,CONCATENATE("&lt;=",IJ$3),Movimientos!$C:$C,"&gt;0")+SUMIFS(Movimientos!$C:$C,Movimientos!$A:$A,$B18,Movimientos!$D:$D,CONCATENATE("&lt;",IJ$3),Movimientos!$C:$C,"&lt;0")</f>
        <v>0</v>
      </c>
      <c r="IK18" s="5">
        <f ca="1">SUMIFS(Movimientos!$C:$C,Movimientos!$A:$A,$B18,Movimientos!$D:$D,CONCATENATE("&lt;=",IK$3),Movimientos!$C:$C,"&gt;0")+SUMIFS(Movimientos!$C:$C,Movimientos!$A:$A,$B18,Movimientos!$D:$D,CONCATENATE("&lt;",IK$3),Movimientos!$C:$C,"&lt;0")</f>
        <v>0</v>
      </c>
      <c r="IL18" s="5">
        <f ca="1">SUMIFS(Movimientos!$C:$C,Movimientos!$A:$A,$B18,Movimientos!$D:$D,CONCATENATE("&lt;=",IL$3),Movimientos!$C:$C,"&gt;0")+SUMIFS(Movimientos!$C:$C,Movimientos!$A:$A,$B18,Movimientos!$D:$D,CONCATENATE("&lt;",IL$3),Movimientos!$C:$C,"&lt;0")</f>
        <v>0</v>
      </c>
      <c r="IM18" s="5">
        <f ca="1">SUMIFS(Movimientos!$C:$C,Movimientos!$A:$A,$B18,Movimientos!$D:$D,CONCATENATE("&lt;=",IM$3),Movimientos!$C:$C,"&gt;0")+SUMIFS(Movimientos!$C:$C,Movimientos!$A:$A,$B18,Movimientos!$D:$D,CONCATENATE("&lt;",IM$3),Movimientos!$C:$C,"&lt;0")</f>
        <v>0</v>
      </c>
      <c r="IN18" s="5">
        <f ca="1">SUMIFS(Movimientos!$C:$C,Movimientos!$A:$A,$B18,Movimientos!$D:$D,CONCATENATE("&lt;=",IN$3),Movimientos!$C:$C,"&gt;0")+SUMIFS(Movimientos!$C:$C,Movimientos!$A:$A,$B18,Movimientos!$D:$D,CONCATENATE("&lt;",IN$3),Movimientos!$C:$C,"&lt;0")</f>
        <v>0</v>
      </c>
      <c r="IO18" s="5">
        <f ca="1">SUMIFS(Movimientos!$C:$C,Movimientos!$A:$A,$B18,Movimientos!$D:$D,CONCATENATE("&lt;=",IO$3),Movimientos!$C:$C,"&gt;0")+SUMIFS(Movimientos!$C:$C,Movimientos!$A:$A,$B18,Movimientos!$D:$D,CONCATENATE("&lt;",IO$3),Movimientos!$C:$C,"&lt;0")</f>
        <v>0</v>
      </c>
      <c r="IP18" s="5">
        <f ca="1">SUMIFS(Movimientos!$C:$C,Movimientos!$A:$A,$B18,Movimientos!$D:$D,CONCATENATE("&lt;=",IP$3),Movimientos!$C:$C,"&gt;0")+SUMIFS(Movimientos!$C:$C,Movimientos!$A:$A,$B18,Movimientos!$D:$D,CONCATENATE("&lt;",IP$3),Movimientos!$C:$C,"&lt;0")</f>
        <v>0</v>
      </c>
      <c r="IQ18" s="5">
        <f ca="1">SUMIFS(Movimientos!$C:$C,Movimientos!$A:$A,$B18,Movimientos!$D:$D,CONCATENATE("&lt;=",IQ$3),Movimientos!$C:$C,"&gt;0")+SUMIFS(Movimientos!$C:$C,Movimientos!$A:$A,$B18,Movimientos!$D:$D,CONCATENATE("&lt;",IQ$3),Movimientos!$C:$C,"&lt;0")</f>
        <v>0</v>
      </c>
      <c r="IR18" s="5">
        <f ca="1">SUMIFS(Movimientos!$C:$C,Movimientos!$A:$A,$B18,Movimientos!$D:$D,CONCATENATE("&lt;=",IR$3),Movimientos!$C:$C,"&gt;0")+SUMIFS(Movimientos!$C:$C,Movimientos!$A:$A,$B18,Movimientos!$D:$D,CONCATENATE("&lt;",IR$3),Movimientos!$C:$C,"&lt;0")</f>
        <v>0</v>
      </c>
      <c r="IS18" s="5">
        <f ca="1">SUMIFS(Movimientos!$C:$C,Movimientos!$A:$A,$B18,Movimientos!$D:$D,CONCATENATE("&lt;=",IS$3),Movimientos!$C:$C,"&gt;0")+SUMIFS(Movimientos!$C:$C,Movimientos!$A:$A,$B18,Movimientos!$D:$D,CONCATENATE("&lt;",IS$3),Movimientos!$C:$C,"&lt;0")</f>
        <v>0</v>
      </c>
      <c r="IT18" s="5">
        <f ca="1">SUMIFS(Movimientos!$C:$C,Movimientos!$A:$A,$B18,Movimientos!$D:$D,CONCATENATE("&lt;=",IT$3),Movimientos!$C:$C,"&gt;0")+SUMIFS(Movimientos!$C:$C,Movimientos!$A:$A,$B18,Movimientos!$D:$D,CONCATENATE("&lt;",IT$3),Movimientos!$C:$C,"&lt;0")</f>
        <v>0</v>
      </c>
      <c r="IU18" s="5">
        <f ca="1">SUMIFS(Movimientos!$C:$C,Movimientos!$A:$A,$B18,Movimientos!$D:$D,CONCATENATE("&lt;=",IU$3),Movimientos!$C:$C,"&gt;0")+SUMIFS(Movimientos!$C:$C,Movimientos!$A:$A,$B18,Movimientos!$D:$D,CONCATENATE("&lt;",IU$3),Movimientos!$C:$C,"&lt;0")</f>
        <v>0</v>
      </c>
      <c r="IV18" s="5">
        <f ca="1">SUMIFS(Movimientos!$C:$C,Movimientos!$A:$A,$B18,Movimientos!$D:$D,CONCATENATE("&lt;=",IV$3),Movimientos!$C:$C,"&gt;0")+SUMIFS(Movimientos!$C:$C,Movimientos!$A:$A,$B18,Movimientos!$D:$D,CONCATENATE("&lt;",IV$3),Movimientos!$C:$C,"&lt;0")</f>
        <v>0</v>
      </c>
      <c r="IW18" s="5">
        <f ca="1">SUMIFS(Movimientos!$C:$C,Movimientos!$A:$A,$B18,Movimientos!$D:$D,CONCATENATE("&lt;=",IW$3),Movimientos!$C:$C,"&gt;0")+SUMIFS(Movimientos!$C:$C,Movimientos!$A:$A,$B18,Movimientos!$D:$D,CONCATENATE("&lt;",IW$3),Movimientos!$C:$C,"&lt;0")</f>
        <v>0</v>
      </c>
      <c r="IX18" s="5">
        <f ca="1">SUMIFS(Movimientos!$C:$C,Movimientos!$A:$A,$B18,Movimientos!$D:$D,CONCATENATE("&lt;=",IX$3),Movimientos!$C:$C,"&gt;0")+SUMIFS(Movimientos!$C:$C,Movimientos!$A:$A,$B18,Movimientos!$D:$D,CONCATENATE("&lt;",IX$3),Movimientos!$C:$C,"&lt;0")</f>
        <v>0</v>
      </c>
      <c r="IY18" s="5">
        <f ca="1">SUMIFS(Movimientos!$C:$C,Movimientos!$A:$A,$B18,Movimientos!$D:$D,CONCATENATE("&lt;=",IY$3),Movimientos!$C:$C,"&gt;0")+SUMIFS(Movimientos!$C:$C,Movimientos!$A:$A,$B18,Movimientos!$D:$D,CONCATENATE("&lt;",IY$3),Movimientos!$C:$C,"&lt;0")</f>
        <v>0</v>
      </c>
      <c r="IZ18" s="5">
        <f ca="1">SUMIFS(Movimientos!$C:$C,Movimientos!$A:$A,$B18,Movimientos!$D:$D,CONCATENATE("&lt;=",IZ$3),Movimientos!$C:$C,"&gt;0")+SUMIFS(Movimientos!$C:$C,Movimientos!$A:$A,$B18,Movimientos!$D:$D,CONCATENATE("&lt;",IZ$3),Movimientos!$C:$C,"&lt;0")</f>
        <v>0</v>
      </c>
      <c r="JA18" s="5">
        <f ca="1">SUMIFS(Movimientos!$C:$C,Movimientos!$A:$A,$B18,Movimientos!$D:$D,CONCATENATE("&lt;=",JA$3),Movimientos!$C:$C,"&gt;0")+SUMIFS(Movimientos!$C:$C,Movimientos!$A:$A,$B18,Movimientos!$D:$D,CONCATENATE("&lt;",JA$3),Movimientos!$C:$C,"&lt;0")</f>
        <v>0</v>
      </c>
      <c r="JB18" s="5">
        <f ca="1">SUMIFS(Movimientos!$C:$C,Movimientos!$A:$A,$B18,Movimientos!$D:$D,CONCATENATE("&lt;=",JB$3),Movimientos!$C:$C,"&gt;0")+SUMIFS(Movimientos!$C:$C,Movimientos!$A:$A,$B18,Movimientos!$D:$D,CONCATENATE("&lt;",JB$3),Movimientos!$C:$C,"&lt;0")</f>
        <v>0</v>
      </c>
      <c r="JC18" s="5">
        <f ca="1">SUMIFS(Movimientos!$C:$C,Movimientos!$A:$A,$B18,Movimientos!$D:$D,CONCATENATE("&lt;=",JC$3),Movimientos!$C:$C,"&gt;0")+SUMIFS(Movimientos!$C:$C,Movimientos!$A:$A,$B18,Movimientos!$D:$D,CONCATENATE("&lt;",JC$3),Movimientos!$C:$C,"&lt;0")</f>
        <v>0</v>
      </c>
      <c r="JD18" s="5">
        <f ca="1">SUMIFS(Movimientos!$C:$C,Movimientos!$A:$A,$B18,Movimientos!$D:$D,CONCATENATE("&lt;=",JD$3),Movimientos!$C:$C,"&gt;0")+SUMIFS(Movimientos!$C:$C,Movimientos!$A:$A,$B18,Movimientos!$D:$D,CONCATENATE("&lt;",JD$3),Movimientos!$C:$C,"&lt;0")</f>
        <v>0</v>
      </c>
      <c r="JE18" s="5">
        <f ca="1">SUMIFS(Movimientos!$C:$C,Movimientos!$A:$A,$B18,Movimientos!$D:$D,CONCATENATE("&lt;=",JE$3),Movimientos!$C:$C,"&gt;0")+SUMIFS(Movimientos!$C:$C,Movimientos!$A:$A,$B18,Movimientos!$D:$D,CONCATENATE("&lt;",JE$3),Movimientos!$C:$C,"&lt;0")</f>
        <v>0</v>
      </c>
      <c r="JF18" s="5">
        <f ca="1">SUMIFS(Movimientos!$C:$C,Movimientos!$A:$A,$B18,Movimientos!$D:$D,CONCATENATE("&lt;=",JF$3),Movimientos!$C:$C,"&gt;0")+SUMIFS(Movimientos!$C:$C,Movimientos!$A:$A,$B18,Movimientos!$D:$D,CONCATENATE("&lt;",JF$3),Movimientos!$C:$C,"&lt;0")</f>
        <v>0</v>
      </c>
      <c r="JG18" s="5">
        <f ca="1">SUMIFS(Movimientos!$C:$C,Movimientos!$A:$A,$B18,Movimientos!$D:$D,CONCATENATE("&lt;=",JG$3),Movimientos!$C:$C,"&gt;0")+SUMIFS(Movimientos!$C:$C,Movimientos!$A:$A,$B18,Movimientos!$D:$D,CONCATENATE("&lt;",JG$3),Movimientos!$C:$C,"&lt;0")</f>
        <v>0</v>
      </c>
      <c r="JH18" s="5">
        <f ca="1">SUMIFS(Movimientos!$C:$C,Movimientos!$A:$A,$B18,Movimientos!$D:$D,CONCATENATE("&lt;=",JH$3),Movimientos!$C:$C,"&gt;0")+SUMIFS(Movimientos!$C:$C,Movimientos!$A:$A,$B18,Movimientos!$D:$D,CONCATENATE("&lt;",JH$3),Movimientos!$C:$C,"&lt;0")</f>
        <v>0</v>
      </c>
      <c r="JI18" s="5">
        <f ca="1">SUMIFS(Movimientos!$C:$C,Movimientos!$A:$A,$B18,Movimientos!$D:$D,CONCATENATE("&lt;=",JI$3),Movimientos!$C:$C,"&gt;0")+SUMIFS(Movimientos!$C:$C,Movimientos!$A:$A,$B18,Movimientos!$D:$D,CONCATENATE("&lt;",JI$3),Movimientos!$C:$C,"&lt;0")</f>
        <v>0</v>
      </c>
      <c r="JJ18" s="5">
        <f ca="1">SUMIFS(Movimientos!$C:$C,Movimientos!$A:$A,$B18,Movimientos!$D:$D,CONCATENATE("&lt;=",JJ$3),Movimientos!$C:$C,"&gt;0")+SUMIFS(Movimientos!$C:$C,Movimientos!$A:$A,$B18,Movimientos!$D:$D,CONCATENATE("&lt;",JJ$3),Movimientos!$C:$C,"&lt;0")</f>
        <v>0</v>
      </c>
      <c r="JK18" s="5">
        <f ca="1">SUMIFS(Movimientos!$C:$C,Movimientos!$A:$A,$B18,Movimientos!$D:$D,CONCATENATE("&lt;=",JK$3),Movimientos!$C:$C,"&gt;0")+SUMIFS(Movimientos!$C:$C,Movimientos!$A:$A,$B18,Movimientos!$D:$D,CONCATENATE("&lt;",JK$3),Movimientos!$C:$C,"&lt;0")</f>
        <v>0</v>
      </c>
      <c r="JL18" s="5">
        <f ca="1">SUMIFS(Movimientos!$C:$C,Movimientos!$A:$A,$B18,Movimientos!$D:$D,CONCATENATE("&lt;=",JL$3),Movimientos!$C:$C,"&gt;0")+SUMIFS(Movimientos!$C:$C,Movimientos!$A:$A,$B18,Movimientos!$D:$D,CONCATENATE("&lt;",JL$3),Movimientos!$C:$C,"&lt;0")</f>
        <v>0</v>
      </c>
      <c r="JM18" s="5">
        <f ca="1">SUMIFS(Movimientos!$C:$C,Movimientos!$A:$A,$B18,Movimientos!$D:$D,CONCATENATE("&lt;=",JM$3),Movimientos!$C:$C,"&gt;0")+SUMIFS(Movimientos!$C:$C,Movimientos!$A:$A,$B18,Movimientos!$D:$D,CONCATENATE("&lt;",JM$3),Movimientos!$C:$C,"&lt;0")</f>
        <v>0</v>
      </c>
      <c r="JN18" s="5">
        <f ca="1">SUMIFS(Movimientos!$C:$C,Movimientos!$A:$A,$B18,Movimientos!$D:$D,CONCATENATE("&lt;=",JN$3),Movimientos!$C:$C,"&gt;0")+SUMIFS(Movimientos!$C:$C,Movimientos!$A:$A,$B18,Movimientos!$D:$D,CONCATENATE("&lt;",JN$3),Movimientos!$C:$C,"&lt;0")</f>
        <v>0</v>
      </c>
      <c r="JO18" s="5">
        <f ca="1">SUMIFS(Movimientos!$C:$C,Movimientos!$A:$A,$B18,Movimientos!$D:$D,CONCATENATE("&lt;=",JO$3),Movimientos!$C:$C,"&gt;0")+SUMIFS(Movimientos!$C:$C,Movimientos!$A:$A,$B18,Movimientos!$D:$D,CONCATENATE("&lt;",JO$3),Movimientos!$C:$C,"&lt;0")</f>
        <v>0</v>
      </c>
      <c r="JP18" s="5">
        <f ca="1">SUMIFS(Movimientos!$C:$C,Movimientos!$A:$A,$B18,Movimientos!$D:$D,CONCATENATE("&lt;=",JP$3),Movimientos!$C:$C,"&gt;0")+SUMIFS(Movimientos!$C:$C,Movimientos!$A:$A,$B18,Movimientos!$D:$D,CONCATENATE("&lt;",JP$3),Movimientos!$C:$C,"&lt;0")</f>
        <v>0</v>
      </c>
      <c r="JQ18" s="5">
        <f ca="1">SUMIFS(Movimientos!$C:$C,Movimientos!$A:$A,$B18,Movimientos!$D:$D,CONCATENATE("&lt;=",JQ$3),Movimientos!$C:$C,"&gt;0")+SUMIFS(Movimientos!$C:$C,Movimientos!$A:$A,$B18,Movimientos!$D:$D,CONCATENATE("&lt;",JQ$3),Movimientos!$C:$C,"&lt;0")</f>
        <v>0</v>
      </c>
      <c r="JR18" s="5">
        <f ca="1">SUMIFS(Movimientos!$C:$C,Movimientos!$A:$A,$B18,Movimientos!$D:$D,CONCATENATE("&lt;=",JR$3),Movimientos!$C:$C,"&gt;0")+SUMIFS(Movimientos!$C:$C,Movimientos!$A:$A,$B18,Movimientos!$D:$D,CONCATENATE("&lt;",JR$3),Movimientos!$C:$C,"&lt;0")</f>
        <v>0</v>
      </c>
      <c r="JS18" s="5">
        <f ca="1">SUMIFS(Movimientos!$C:$C,Movimientos!$A:$A,$B18,Movimientos!$D:$D,CONCATENATE("&lt;=",JS$3),Movimientos!$C:$C,"&gt;0")+SUMIFS(Movimientos!$C:$C,Movimientos!$A:$A,$B18,Movimientos!$D:$D,CONCATENATE("&lt;",JS$3),Movimientos!$C:$C,"&lt;0")</f>
        <v>0</v>
      </c>
      <c r="JT18" s="5">
        <f ca="1">SUMIFS(Movimientos!$C:$C,Movimientos!$A:$A,$B18,Movimientos!$D:$D,CONCATENATE("&lt;=",JT$3),Movimientos!$C:$C,"&gt;0")+SUMIFS(Movimientos!$C:$C,Movimientos!$A:$A,$B18,Movimientos!$D:$D,CONCATENATE("&lt;",JT$3),Movimientos!$C:$C,"&lt;0")</f>
        <v>0</v>
      </c>
      <c r="JU18" s="5">
        <f ca="1">SUMIFS(Movimientos!$C:$C,Movimientos!$A:$A,$B18,Movimientos!$D:$D,CONCATENATE("&lt;=",JU$3),Movimientos!$C:$C,"&gt;0")+SUMIFS(Movimientos!$C:$C,Movimientos!$A:$A,$B18,Movimientos!$D:$D,CONCATENATE("&lt;",JU$3),Movimientos!$C:$C,"&lt;0")</f>
        <v>0</v>
      </c>
      <c r="JV18" s="5">
        <f ca="1">SUMIFS(Movimientos!$C:$C,Movimientos!$A:$A,$B18,Movimientos!$D:$D,CONCATENATE("&lt;=",JV$3),Movimientos!$C:$C,"&gt;0")+SUMIFS(Movimientos!$C:$C,Movimientos!$A:$A,$B18,Movimientos!$D:$D,CONCATENATE("&lt;",JV$3),Movimientos!$C:$C,"&lt;0")</f>
        <v>0</v>
      </c>
      <c r="JW18" s="5">
        <f ca="1">SUMIFS(Movimientos!$C:$C,Movimientos!$A:$A,$B18,Movimientos!$D:$D,CONCATENATE("&lt;=",JW$3),Movimientos!$C:$C,"&gt;0")+SUMIFS(Movimientos!$C:$C,Movimientos!$A:$A,$B18,Movimientos!$D:$D,CONCATENATE("&lt;",JW$3),Movimientos!$C:$C,"&lt;0")</f>
        <v>0</v>
      </c>
      <c r="JX18" s="5">
        <f ca="1">SUMIFS(Movimientos!$C:$C,Movimientos!$A:$A,$B18,Movimientos!$D:$D,CONCATENATE("&lt;=",JX$3),Movimientos!$C:$C,"&gt;0")+SUMIFS(Movimientos!$C:$C,Movimientos!$A:$A,$B18,Movimientos!$D:$D,CONCATENATE("&lt;",JX$3),Movimientos!$C:$C,"&lt;0")</f>
        <v>0</v>
      </c>
      <c r="JY18" s="5">
        <f ca="1">SUMIFS(Movimientos!$C:$C,Movimientos!$A:$A,$B18,Movimientos!$D:$D,CONCATENATE("&lt;=",JY$3),Movimientos!$C:$C,"&gt;0")+SUMIFS(Movimientos!$C:$C,Movimientos!$A:$A,$B18,Movimientos!$D:$D,CONCATENATE("&lt;",JY$3),Movimientos!$C:$C,"&lt;0")</f>
        <v>0</v>
      </c>
      <c r="JZ18" s="5">
        <f ca="1">SUMIFS(Movimientos!$C:$C,Movimientos!$A:$A,$B18,Movimientos!$D:$D,CONCATENATE("&lt;=",JZ$3),Movimientos!$C:$C,"&gt;0")+SUMIFS(Movimientos!$C:$C,Movimientos!$A:$A,$B18,Movimientos!$D:$D,CONCATENATE("&lt;",JZ$3),Movimientos!$C:$C,"&lt;0")</f>
        <v>0</v>
      </c>
      <c r="KA18" s="5">
        <f ca="1">SUMIFS(Movimientos!$C:$C,Movimientos!$A:$A,$B18,Movimientos!$D:$D,CONCATENATE("&lt;=",KA$3),Movimientos!$C:$C,"&gt;0")+SUMIFS(Movimientos!$C:$C,Movimientos!$A:$A,$B18,Movimientos!$D:$D,CONCATENATE("&lt;",KA$3),Movimientos!$C:$C,"&lt;0")</f>
        <v>0</v>
      </c>
      <c r="KB18" s="5">
        <f ca="1">SUMIFS(Movimientos!$C:$C,Movimientos!$A:$A,$B18,Movimientos!$D:$D,CONCATENATE("&lt;=",KB$3),Movimientos!$C:$C,"&gt;0")+SUMIFS(Movimientos!$C:$C,Movimientos!$A:$A,$B18,Movimientos!$D:$D,CONCATENATE("&lt;",KB$3),Movimientos!$C:$C,"&lt;0")</f>
        <v>0</v>
      </c>
      <c r="KC18" s="5">
        <f ca="1">SUMIFS(Movimientos!$C:$C,Movimientos!$A:$A,$B18,Movimientos!$D:$D,CONCATENATE("&lt;=",KC$3),Movimientos!$C:$C,"&gt;0")+SUMIFS(Movimientos!$C:$C,Movimientos!$A:$A,$B18,Movimientos!$D:$D,CONCATENATE("&lt;",KC$3),Movimientos!$C:$C,"&lt;0")</f>
        <v>0</v>
      </c>
      <c r="KD18" s="5">
        <f ca="1">SUMIFS(Movimientos!$C:$C,Movimientos!$A:$A,$B18,Movimientos!$D:$D,CONCATENATE("&lt;=",KD$3),Movimientos!$C:$C,"&gt;0")+SUMIFS(Movimientos!$C:$C,Movimientos!$A:$A,$B18,Movimientos!$D:$D,CONCATENATE("&lt;",KD$3),Movimientos!$C:$C,"&lt;0")</f>
        <v>0</v>
      </c>
      <c r="KE18" s="5">
        <f ca="1">SUMIFS(Movimientos!$C:$C,Movimientos!$A:$A,$B18,Movimientos!$D:$D,CONCATENATE("&lt;=",KE$3),Movimientos!$C:$C,"&gt;0")+SUMIFS(Movimientos!$C:$C,Movimientos!$A:$A,$B18,Movimientos!$D:$D,CONCATENATE("&lt;",KE$3),Movimientos!$C:$C,"&lt;0")</f>
        <v>0</v>
      </c>
      <c r="KF18" s="5">
        <f ca="1">SUMIFS(Movimientos!$C:$C,Movimientos!$A:$A,$B18,Movimientos!$D:$D,CONCATENATE("&lt;=",KF$3),Movimientos!$C:$C,"&gt;0")+SUMIFS(Movimientos!$C:$C,Movimientos!$A:$A,$B18,Movimientos!$D:$D,CONCATENATE("&lt;",KF$3),Movimientos!$C:$C,"&lt;0")</f>
        <v>0</v>
      </c>
      <c r="KG18" s="5">
        <f ca="1">SUMIFS(Movimientos!$C:$C,Movimientos!$A:$A,$B18,Movimientos!$D:$D,CONCATENATE("&lt;=",KG$3),Movimientos!$C:$C,"&gt;0")+SUMIFS(Movimientos!$C:$C,Movimientos!$A:$A,$B18,Movimientos!$D:$D,CONCATENATE("&lt;",KG$3),Movimientos!$C:$C,"&lt;0")</f>
        <v>0</v>
      </c>
      <c r="KH18" s="5">
        <f ca="1">SUMIFS(Movimientos!$C:$C,Movimientos!$A:$A,$B18,Movimientos!$D:$D,CONCATENATE("&lt;=",KH$3),Movimientos!$C:$C,"&gt;0")+SUMIFS(Movimientos!$C:$C,Movimientos!$A:$A,$B18,Movimientos!$D:$D,CONCATENATE("&lt;",KH$3),Movimientos!$C:$C,"&lt;0")</f>
        <v>0</v>
      </c>
      <c r="KI18" s="5">
        <f ca="1">SUMIFS(Movimientos!$C:$C,Movimientos!$A:$A,$B18,Movimientos!$D:$D,CONCATENATE("&lt;=",KI$3),Movimientos!$C:$C,"&gt;0")+SUMIFS(Movimientos!$C:$C,Movimientos!$A:$A,$B18,Movimientos!$D:$D,CONCATENATE("&lt;",KI$3),Movimientos!$C:$C,"&lt;0")</f>
        <v>0</v>
      </c>
      <c r="KJ18" s="5">
        <f ca="1">SUMIFS(Movimientos!$C:$C,Movimientos!$A:$A,$B18,Movimientos!$D:$D,CONCATENATE("&lt;=",KJ$3),Movimientos!$C:$C,"&gt;0")+SUMIFS(Movimientos!$C:$C,Movimientos!$A:$A,$B18,Movimientos!$D:$D,CONCATENATE("&lt;",KJ$3),Movimientos!$C:$C,"&lt;0")</f>
        <v>0</v>
      </c>
      <c r="KK18" s="5">
        <f ca="1">SUMIFS(Movimientos!$C:$C,Movimientos!$A:$A,$B18,Movimientos!$D:$D,CONCATENATE("&lt;=",KK$3),Movimientos!$C:$C,"&gt;0")+SUMIFS(Movimientos!$C:$C,Movimientos!$A:$A,$B18,Movimientos!$D:$D,CONCATENATE("&lt;",KK$3),Movimientos!$C:$C,"&lt;0")</f>
        <v>0</v>
      </c>
      <c r="KL18" s="5">
        <f ca="1">SUMIFS(Movimientos!$C:$C,Movimientos!$A:$A,$B18,Movimientos!$D:$D,CONCATENATE("&lt;=",KL$3),Movimientos!$C:$C,"&gt;0")+SUMIFS(Movimientos!$C:$C,Movimientos!$A:$A,$B18,Movimientos!$D:$D,CONCATENATE("&lt;",KL$3),Movimientos!$C:$C,"&lt;0")</f>
        <v>0</v>
      </c>
      <c r="KM18" s="5">
        <f ca="1">SUMIFS(Movimientos!$C:$C,Movimientos!$A:$A,$B18,Movimientos!$D:$D,CONCATENATE("&lt;=",KM$3),Movimientos!$C:$C,"&gt;0")+SUMIFS(Movimientos!$C:$C,Movimientos!$A:$A,$B18,Movimientos!$D:$D,CONCATENATE("&lt;",KM$3),Movimientos!$C:$C,"&lt;0")</f>
        <v>0</v>
      </c>
      <c r="KN18" s="5">
        <f ca="1">SUMIFS(Movimientos!$C:$C,Movimientos!$A:$A,$B18,Movimientos!$D:$D,CONCATENATE("&lt;=",KN$3),Movimientos!$C:$C,"&gt;0")+SUMIFS(Movimientos!$C:$C,Movimientos!$A:$A,$B18,Movimientos!$D:$D,CONCATENATE("&lt;",KN$3),Movimientos!$C:$C,"&lt;0")</f>
        <v>0</v>
      </c>
      <c r="KO18" s="5">
        <f ca="1">SUMIFS(Movimientos!$C:$C,Movimientos!$A:$A,$B18,Movimientos!$D:$D,CONCATENATE("&lt;=",KO$3),Movimientos!$C:$C,"&gt;0")+SUMIFS(Movimientos!$C:$C,Movimientos!$A:$A,$B18,Movimientos!$D:$D,CONCATENATE("&lt;",KO$3),Movimientos!$C:$C,"&lt;0")</f>
        <v>0</v>
      </c>
      <c r="KP18" s="5">
        <f ca="1">SUMIFS(Movimientos!$C:$C,Movimientos!$A:$A,$B18,Movimientos!$D:$D,CONCATENATE("&lt;=",KP$3),Movimientos!$C:$C,"&gt;0")+SUMIFS(Movimientos!$C:$C,Movimientos!$A:$A,$B18,Movimientos!$D:$D,CONCATENATE("&lt;",KP$3),Movimientos!$C:$C,"&lt;0")</f>
        <v>0</v>
      </c>
      <c r="KQ18" s="5">
        <f ca="1">SUMIFS(Movimientos!$C:$C,Movimientos!$A:$A,$B18,Movimientos!$D:$D,CONCATENATE("&lt;=",KQ$3),Movimientos!$C:$C,"&gt;0")+SUMIFS(Movimientos!$C:$C,Movimientos!$A:$A,$B18,Movimientos!$D:$D,CONCATENATE("&lt;",KQ$3),Movimientos!$C:$C,"&lt;0")</f>
        <v>0</v>
      </c>
      <c r="KR18" s="5">
        <f ca="1">SUMIFS(Movimientos!$C:$C,Movimientos!$A:$A,$B18,Movimientos!$D:$D,CONCATENATE("&lt;=",KR$3),Movimientos!$C:$C,"&gt;0")+SUMIFS(Movimientos!$C:$C,Movimientos!$A:$A,$B18,Movimientos!$D:$D,CONCATENATE("&lt;",KR$3),Movimientos!$C:$C,"&lt;0")</f>
        <v>0</v>
      </c>
      <c r="KS18" s="5">
        <f ca="1">SUMIFS(Movimientos!$C:$C,Movimientos!$A:$A,$B18,Movimientos!$D:$D,CONCATENATE("&lt;=",KS$3),Movimientos!$C:$C,"&gt;0")+SUMIFS(Movimientos!$C:$C,Movimientos!$A:$A,$B18,Movimientos!$D:$D,CONCATENATE("&lt;",KS$3),Movimientos!$C:$C,"&lt;0")</f>
        <v>0</v>
      </c>
      <c r="KT18" s="5">
        <f ca="1">SUMIFS(Movimientos!$C:$C,Movimientos!$A:$A,$B18,Movimientos!$D:$D,CONCATENATE("&lt;=",KT$3),Movimientos!$C:$C,"&gt;0")+SUMIFS(Movimientos!$C:$C,Movimientos!$A:$A,$B18,Movimientos!$D:$D,CONCATENATE("&lt;",KT$3),Movimientos!$C:$C,"&lt;0")</f>
        <v>0</v>
      </c>
      <c r="KU18" s="5">
        <f ca="1">SUMIFS(Movimientos!$C:$C,Movimientos!$A:$A,$B18,Movimientos!$D:$D,CONCATENATE("&lt;=",KU$3),Movimientos!$C:$C,"&gt;0")+SUMIFS(Movimientos!$C:$C,Movimientos!$A:$A,$B18,Movimientos!$D:$D,CONCATENATE("&lt;",KU$3),Movimientos!$C:$C,"&lt;0")</f>
        <v>0</v>
      </c>
      <c r="KV18" s="5">
        <f ca="1">SUMIFS(Movimientos!$C:$C,Movimientos!$A:$A,$B18,Movimientos!$D:$D,CONCATENATE("&lt;=",KV$3),Movimientos!$C:$C,"&gt;0")+SUMIFS(Movimientos!$C:$C,Movimientos!$A:$A,$B18,Movimientos!$D:$D,CONCATENATE("&lt;",KV$3),Movimientos!$C:$C,"&lt;0")</f>
        <v>0</v>
      </c>
      <c r="KW18" s="5">
        <f ca="1">SUMIFS(Movimientos!$C:$C,Movimientos!$A:$A,$B18,Movimientos!$D:$D,CONCATENATE("&lt;=",KW$3),Movimientos!$C:$C,"&gt;0")+SUMIFS(Movimientos!$C:$C,Movimientos!$A:$A,$B18,Movimientos!$D:$D,CONCATENATE("&lt;",KW$3),Movimientos!$C:$C,"&lt;0")</f>
        <v>0</v>
      </c>
      <c r="KX18" s="5">
        <f ca="1">SUMIFS(Movimientos!$C:$C,Movimientos!$A:$A,$B18,Movimientos!$D:$D,CONCATENATE("&lt;=",KX$3),Movimientos!$C:$C,"&gt;0")+SUMIFS(Movimientos!$C:$C,Movimientos!$A:$A,$B18,Movimientos!$D:$D,CONCATENATE("&lt;",KX$3),Movimientos!$C:$C,"&lt;0")</f>
        <v>0</v>
      </c>
      <c r="KY18" s="5">
        <f ca="1">SUMIFS(Movimientos!$C:$C,Movimientos!$A:$A,$B18,Movimientos!$D:$D,CONCATENATE("&lt;=",KY$3),Movimientos!$C:$C,"&gt;0")+SUMIFS(Movimientos!$C:$C,Movimientos!$A:$A,$B18,Movimientos!$D:$D,CONCATENATE("&lt;",KY$3),Movimientos!$C:$C,"&lt;0")</f>
        <v>0</v>
      </c>
      <c r="KZ18" s="5">
        <f ca="1">SUMIFS(Movimientos!$C:$C,Movimientos!$A:$A,$B18,Movimientos!$D:$D,CONCATENATE("&lt;=",KZ$3),Movimientos!$C:$C,"&gt;0")+SUMIFS(Movimientos!$C:$C,Movimientos!$A:$A,$B18,Movimientos!$D:$D,CONCATENATE("&lt;",KZ$3),Movimientos!$C:$C,"&lt;0")</f>
        <v>0</v>
      </c>
      <c r="LA18" s="5">
        <f ca="1">SUMIFS(Movimientos!$C:$C,Movimientos!$A:$A,$B18,Movimientos!$D:$D,CONCATENATE("&lt;=",LA$3),Movimientos!$C:$C,"&gt;0")+SUMIFS(Movimientos!$C:$C,Movimientos!$A:$A,$B18,Movimientos!$D:$D,CONCATENATE("&lt;",LA$3),Movimientos!$C:$C,"&lt;0")</f>
        <v>0</v>
      </c>
      <c r="LB18" s="5">
        <f ca="1">SUMIFS(Movimientos!$C:$C,Movimientos!$A:$A,$B18,Movimientos!$D:$D,CONCATENATE("&lt;=",LB$3),Movimientos!$C:$C,"&gt;0")+SUMIFS(Movimientos!$C:$C,Movimientos!$A:$A,$B18,Movimientos!$D:$D,CONCATENATE("&lt;",LB$3),Movimientos!$C:$C,"&lt;0")</f>
        <v>0</v>
      </c>
      <c r="LC18" s="5">
        <f ca="1">SUMIFS(Movimientos!$C:$C,Movimientos!$A:$A,$B18,Movimientos!$D:$D,CONCATENATE("&lt;=",LC$3),Movimientos!$C:$C,"&gt;0")+SUMIFS(Movimientos!$C:$C,Movimientos!$A:$A,$B18,Movimientos!$D:$D,CONCATENATE("&lt;",LC$3),Movimientos!$C:$C,"&lt;0")</f>
        <v>0</v>
      </c>
      <c r="LD18" s="5">
        <f ca="1">SUMIFS(Movimientos!$C:$C,Movimientos!$A:$A,$B18,Movimientos!$D:$D,CONCATENATE("&lt;=",LD$3),Movimientos!$C:$C,"&gt;0")+SUMIFS(Movimientos!$C:$C,Movimientos!$A:$A,$B18,Movimientos!$D:$D,CONCATENATE("&lt;",LD$3),Movimientos!$C:$C,"&lt;0")</f>
        <v>0</v>
      </c>
      <c r="LE18" s="5">
        <f ca="1">SUMIFS(Movimientos!$C:$C,Movimientos!$A:$A,$B18,Movimientos!$D:$D,CONCATENATE("&lt;=",LE$3),Movimientos!$C:$C,"&gt;0")+SUMIFS(Movimientos!$C:$C,Movimientos!$A:$A,$B18,Movimientos!$D:$D,CONCATENATE("&lt;",LE$3),Movimientos!$C:$C,"&lt;0")</f>
        <v>0</v>
      </c>
      <c r="LF18" s="5">
        <f ca="1">SUMIFS(Movimientos!$C:$C,Movimientos!$A:$A,$B18,Movimientos!$D:$D,CONCATENATE("&lt;=",LF$3),Movimientos!$C:$C,"&gt;0")+SUMIFS(Movimientos!$C:$C,Movimientos!$A:$A,$B18,Movimientos!$D:$D,CONCATENATE("&lt;",LF$3),Movimientos!$C:$C,"&lt;0")</f>
        <v>0</v>
      </c>
      <c r="LG18" s="5">
        <f ca="1">SUMIFS(Movimientos!$C:$C,Movimientos!$A:$A,$B18,Movimientos!$D:$D,CONCATENATE("&lt;=",LG$3),Movimientos!$C:$C,"&gt;0")+SUMIFS(Movimientos!$C:$C,Movimientos!$A:$A,$B18,Movimientos!$D:$D,CONCATENATE("&lt;",LG$3),Movimientos!$C:$C,"&lt;0")</f>
        <v>0</v>
      </c>
      <c r="LH18" s="5">
        <f ca="1">SUMIFS(Movimientos!$C:$C,Movimientos!$A:$A,$B18,Movimientos!$D:$D,CONCATENATE("&lt;=",LH$3),Movimientos!$C:$C,"&gt;0")+SUMIFS(Movimientos!$C:$C,Movimientos!$A:$A,$B18,Movimientos!$D:$D,CONCATENATE("&lt;",LH$3),Movimientos!$C:$C,"&lt;0")</f>
        <v>0</v>
      </c>
      <c r="LI18" s="5">
        <f ca="1">SUMIFS(Movimientos!$C:$C,Movimientos!$A:$A,$B18,Movimientos!$D:$D,CONCATENATE("&lt;=",LI$3),Movimientos!$C:$C,"&gt;0")+SUMIFS(Movimientos!$C:$C,Movimientos!$A:$A,$B18,Movimientos!$D:$D,CONCATENATE("&lt;",LI$3),Movimientos!$C:$C,"&lt;0")</f>
        <v>0</v>
      </c>
      <c r="LJ18" s="5">
        <f ca="1">SUMIFS(Movimientos!$C:$C,Movimientos!$A:$A,$B18,Movimientos!$D:$D,CONCATENATE("&lt;=",LJ$3),Movimientos!$C:$C,"&gt;0")+SUMIFS(Movimientos!$C:$C,Movimientos!$A:$A,$B18,Movimientos!$D:$D,CONCATENATE("&lt;",LJ$3),Movimientos!$C:$C,"&lt;0")</f>
        <v>0</v>
      </c>
      <c r="LK18" s="5">
        <f ca="1">SUMIFS(Movimientos!$C:$C,Movimientos!$A:$A,$B18,Movimientos!$D:$D,CONCATENATE("&lt;=",LK$3),Movimientos!$C:$C,"&gt;0")+SUMIFS(Movimientos!$C:$C,Movimientos!$A:$A,$B18,Movimientos!$D:$D,CONCATENATE("&lt;",LK$3),Movimientos!$C:$C,"&lt;0")</f>
        <v>0</v>
      </c>
      <c r="LL18" s="5">
        <f ca="1">SUMIFS(Movimientos!$C:$C,Movimientos!$A:$A,$B18,Movimientos!$D:$D,CONCATENATE("&lt;=",LL$3),Movimientos!$C:$C,"&gt;0")+SUMIFS(Movimientos!$C:$C,Movimientos!$A:$A,$B18,Movimientos!$D:$D,CONCATENATE("&lt;",LL$3),Movimientos!$C:$C,"&lt;0")</f>
        <v>0</v>
      </c>
      <c r="LM18" s="5">
        <f ca="1">SUMIFS(Movimientos!$C:$C,Movimientos!$A:$A,$B18,Movimientos!$D:$D,CONCATENATE("&lt;=",LM$3),Movimientos!$C:$C,"&gt;0")+SUMIFS(Movimientos!$C:$C,Movimientos!$A:$A,$B18,Movimientos!$D:$D,CONCATENATE("&lt;",LM$3),Movimientos!$C:$C,"&lt;0")</f>
        <v>0</v>
      </c>
      <c r="LN18" s="5">
        <f ca="1">SUMIFS(Movimientos!$C:$C,Movimientos!$A:$A,$B18,Movimientos!$D:$D,CONCATENATE("&lt;=",LN$3),Movimientos!$C:$C,"&gt;0")+SUMIFS(Movimientos!$C:$C,Movimientos!$A:$A,$B18,Movimientos!$D:$D,CONCATENATE("&lt;",LN$3),Movimientos!$C:$C,"&lt;0")</f>
        <v>0</v>
      </c>
      <c r="LO18" s="5">
        <f ca="1">SUMIFS(Movimientos!$C:$C,Movimientos!$A:$A,$B18,Movimientos!$D:$D,CONCATENATE("&lt;=",LO$3),Movimientos!$C:$C,"&gt;0")+SUMIFS(Movimientos!$C:$C,Movimientos!$A:$A,$B18,Movimientos!$D:$D,CONCATENATE("&lt;",LO$3),Movimientos!$C:$C,"&lt;0")</f>
        <v>0</v>
      </c>
      <c r="LP18" s="5">
        <f ca="1">SUMIFS(Movimientos!$C:$C,Movimientos!$A:$A,$B18,Movimientos!$D:$D,CONCATENATE("&lt;=",LP$3),Movimientos!$C:$C,"&gt;0")+SUMIFS(Movimientos!$C:$C,Movimientos!$A:$A,$B18,Movimientos!$D:$D,CONCATENATE("&lt;",LP$3),Movimientos!$C:$C,"&lt;0")</f>
        <v>0</v>
      </c>
      <c r="LQ18" s="5">
        <f ca="1">SUMIFS(Movimientos!$C:$C,Movimientos!$A:$A,$B18,Movimientos!$D:$D,CONCATENATE("&lt;=",LQ$3),Movimientos!$C:$C,"&gt;0")+SUMIFS(Movimientos!$C:$C,Movimientos!$A:$A,$B18,Movimientos!$D:$D,CONCATENATE("&lt;",LQ$3),Movimientos!$C:$C,"&lt;0")</f>
        <v>0</v>
      </c>
      <c r="LR18" s="5">
        <f ca="1">SUMIFS(Movimientos!$C:$C,Movimientos!$A:$A,$B18,Movimientos!$D:$D,CONCATENATE("&lt;=",LR$3),Movimientos!$C:$C,"&gt;0")+SUMIFS(Movimientos!$C:$C,Movimientos!$A:$A,$B18,Movimientos!$D:$D,CONCATENATE("&lt;",LR$3),Movimientos!$C:$C,"&lt;0")</f>
        <v>0</v>
      </c>
      <c r="LS18" s="5">
        <f ca="1">SUMIFS(Movimientos!$C:$C,Movimientos!$A:$A,$B18,Movimientos!$D:$D,CONCATENATE("&lt;=",LS$3),Movimientos!$C:$C,"&gt;0")+SUMIFS(Movimientos!$C:$C,Movimientos!$A:$A,$B18,Movimientos!$D:$D,CONCATENATE("&lt;",LS$3),Movimientos!$C:$C,"&lt;0")</f>
        <v>0</v>
      </c>
      <c r="LT18" s="5">
        <f ca="1">SUMIFS(Movimientos!$C:$C,Movimientos!$A:$A,$B18,Movimientos!$D:$D,CONCATENATE("&lt;=",LT$3),Movimientos!$C:$C,"&gt;0")+SUMIFS(Movimientos!$C:$C,Movimientos!$A:$A,$B18,Movimientos!$D:$D,CONCATENATE("&lt;",LT$3),Movimientos!$C:$C,"&lt;0")</f>
        <v>0</v>
      </c>
      <c r="LU18" s="5">
        <f ca="1">SUMIFS(Movimientos!$C:$C,Movimientos!$A:$A,$B18,Movimientos!$D:$D,CONCATENATE("&lt;=",LU$3),Movimientos!$C:$C,"&gt;0")+SUMIFS(Movimientos!$C:$C,Movimientos!$A:$A,$B18,Movimientos!$D:$D,CONCATENATE("&lt;",LU$3),Movimientos!$C:$C,"&lt;0")</f>
        <v>0</v>
      </c>
      <c r="LV18" s="5">
        <f ca="1">SUMIFS(Movimientos!$C:$C,Movimientos!$A:$A,$B18,Movimientos!$D:$D,CONCATENATE("&lt;=",LV$3),Movimientos!$C:$C,"&gt;0")+SUMIFS(Movimientos!$C:$C,Movimientos!$A:$A,$B18,Movimientos!$D:$D,CONCATENATE("&lt;",LV$3),Movimientos!$C:$C,"&lt;0")</f>
        <v>0</v>
      </c>
      <c r="LW18" s="5">
        <f ca="1">SUMIFS(Movimientos!$C:$C,Movimientos!$A:$A,$B18,Movimientos!$D:$D,CONCATENATE("&lt;=",LW$3),Movimientos!$C:$C,"&gt;0")+SUMIFS(Movimientos!$C:$C,Movimientos!$A:$A,$B18,Movimientos!$D:$D,CONCATENATE("&lt;",LW$3),Movimientos!$C:$C,"&lt;0")</f>
        <v>0</v>
      </c>
      <c r="LX18" s="5">
        <f ca="1">SUMIFS(Movimientos!$C:$C,Movimientos!$A:$A,$B18,Movimientos!$D:$D,CONCATENATE("&lt;=",LX$3),Movimientos!$C:$C,"&gt;0")+SUMIFS(Movimientos!$C:$C,Movimientos!$A:$A,$B18,Movimientos!$D:$D,CONCATENATE("&lt;",LX$3),Movimientos!$C:$C,"&lt;0")</f>
        <v>0</v>
      </c>
      <c r="LY18" s="5">
        <f ca="1">SUMIFS(Movimientos!$C:$C,Movimientos!$A:$A,$B18,Movimientos!$D:$D,CONCATENATE("&lt;=",LY$3),Movimientos!$C:$C,"&gt;0")+SUMIFS(Movimientos!$C:$C,Movimientos!$A:$A,$B18,Movimientos!$D:$D,CONCATENATE("&lt;",LY$3),Movimientos!$C:$C,"&lt;0")</f>
        <v>0</v>
      </c>
      <c r="LZ18" s="5">
        <f ca="1">SUMIFS(Movimientos!$C:$C,Movimientos!$A:$A,$B18,Movimientos!$D:$D,CONCATENATE("&lt;=",LZ$3),Movimientos!$C:$C,"&gt;0")+SUMIFS(Movimientos!$C:$C,Movimientos!$A:$A,$B18,Movimientos!$D:$D,CONCATENATE("&lt;",LZ$3),Movimientos!$C:$C,"&lt;0")</f>
        <v>0</v>
      </c>
      <c r="MA18" s="5">
        <f ca="1">SUMIFS(Movimientos!$C:$C,Movimientos!$A:$A,$B18,Movimientos!$D:$D,CONCATENATE("&lt;=",MA$3),Movimientos!$C:$C,"&gt;0")+SUMIFS(Movimientos!$C:$C,Movimientos!$A:$A,$B18,Movimientos!$D:$D,CONCATENATE("&lt;",MA$3),Movimientos!$C:$C,"&lt;0")</f>
        <v>0</v>
      </c>
      <c r="MB18" s="5">
        <f ca="1">SUMIFS(Movimientos!$C:$C,Movimientos!$A:$A,$B18,Movimientos!$D:$D,CONCATENATE("&lt;=",MB$3),Movimientos!$C:$C,"&gt;0")+SUMIFS(Movimientos!$C:$C,Movimientos!$A:$A,$B18,Movimientos!$D:$D,CONCATENATE("&lt;",MB$3),Movimientos!$C:$C,"&lt;0")</f>
        <v>0</v>
      </c>
      <c r="MC18" s="5">
        <f ca="1">SUMIFS(Movimientos!$C:$C,Movimientos!$A:$A,$B18,Movimientos!$D:$D,CONCATENATE("&lt;=",MC$3),Movimientos!$C:$C,"&gt;0")+SUMIFS(Movimientos!$C:$C,Movimientos!$A:$A,$B18,Movimientos!$D:$D,CONCATENATE("&lt;",MC$3),Movimientos!$C:$C,"&lt;0")</f>
        <v>0</v>
      </c>
      <c r="MD18" s="5">
        <f ca="1">SUMIFS(Movimientos!$C:$C,Movimientos!$A:$A,$B18,Movimientos!$D:$D,CONCATENATE("&lt;=",MD$3),Movimientos!$C:$C,"&gt;0")+SUMIFS(Movimientos!$C:$C,Movimientos!$A:$A,$B18,Movimientos!$D:$D,CONCATENATE("&lt;",MD$3),Movimientos!$C:$C,"&lt;0")</f>
        <v>0</v>
      </c>
      <c r="ME18" s="5">
        <f ca="1">SUMIFS(Movimientos!$C:$C,Movimientos!$A:$A,$B18,Movimientos!$D:$D,CONCATENATE("&lt;=",ME$3),Movimientos!$C:$C,"&gt;0")+SUMIFS(Movimientos!$C:$C,Movimientos!$A:$A,$B18,Movimientos!$D:$D,CONCATENATE("&lt;",ME$3),Movimientos!$C:$C,"&lt;0")</f>
        <v>0</v>
      </c>
      <c r="MF18" s="5">
        <f ca="1">SUMIFS(Movimientos!$C:$C,Movimientos!$A:$A,$B18,Movimientos!$D:$D,CONCATENATE("&lt;=",MF$3),Movimientos!$C:$C,"&gt;0")+SUMIFS(Movimientos!$C:$C,Movimientos!$A:$A,$B18,Movimientos!$D:$D,CONCATENATE("&lt;",MF$3),Movimientos!$C:$C,"&lt;0")</f>
        <v>0</v>
      </c>
      <c r="MG18" s="5">
        <f ca="1">SUMIFS(Movimientos!$C:$C,Movimientos!$A:$A,$B18,Movimientos!$D:$D,CONCATENATE("&lt;=",MG$3),Movimientos!$C:$C,"&gt;0")+SUMIFS(Movimientos!$C:$C,Movimientos!$A:$A,$B18,Movimientos!$D:$D,CONCATENATE("&lt;",MG$3),Movimientos!$C:$C,"&lt;0")</f>
        <v>0</v>
      </c>
      <c r="MH18" s="5">
        <f ca="1">SUMIFS(Movimientos!$C:$C,Movimientos!$A:$A,$B18,Movimientos!$D:$D,CONCATENATE("&lt;=",MH$3),Movimientos!$C:$C,"&gt;0")+SUMIFS(Movimientos!$C:$C,Movimientos!$A:$A,$B18,Movimientos!$D:$D,CONCATENATE("&lt;",MH$3),Movimientos!$C:$C,"&lt;0")</f>
        <v>0</v>
      </c>
      <c r="MI18" s="5">
        <f ca="1">SUMIFS(Movimientos!$C:$C,Movimientos!$A:$A,$B18,Movimientos!$D:$D,CONCATENATE("&lt;=",MI$3),Movimientos!$C:$C,"&gt;0")+SUMIFS(Movimientos!$C:$C,Movimientos!$A:$A,$B18,Movimientos!$D:$D,CONCATENATE("&lt;",MI$3),Movimientos!$C:$C,"&lt;0")</f>
        <v>0</v>
      </c>
      <c r="MJ18" s="5">
        <f ca="1">SUMIFS(Movimientos!$C:$C,Movimientos!$A:$A,$B18,Movimientos!$D:$D,CONCATENATE("&lt;=",MJ$3),Movimientos!$C:$C,"&gt;0")+SUMIFS(Movimientos!$C:$C,Movimientos!$A:$A,$B18,Movimientos!$D:$D,CONCATENATE("&lt;",MJ$3),Movimientos!$C:$C,"&lt;0")</f>
        <v>0</v>
      </c>
      <c r="MK18" s="5">
        <f ca="1">SUMIFS(Movimientos!$C:$C,Movimientos!$A:$A,$B18,Movimientos!$D:$D,CONCATENATE("&lt;=",MK$3),Movimientos!$C:$C,"&gt;0")+SUMIFS(Movimientos!$C:$C,Movimientos!$A:$A,$B18,Movimientos!$D:$D,CONCATENATE("&lt;",MK$3),Movimientos!$C:$C,"&lt;0")</f>
        <v>0</v>
      </c>
      <c r="ML18" s="5">
        <f ca="1">SUMIFS(Movimientos!$C:$C,Movimientos!$A:$A,$B18,Movimientos!$D:$D,CONCATENATE("&lt;=",ML$3),Movimientos!$C:$C,"&gt;0")+SUMIFS(Movimientos!$C:$C,Movimientos!$A:$A,$B18,Movimientos!$D:$D,CONCATENATE("&lt;",ML$3),Movimientos!$C:$C,"&lt;0")</f>
        <v>0</v>
      </c>
      <c r="MM18" s="5">
        <f ca="1">SUMIFS(Movimientos!$C:$C,Movimientos!$A:$A,$B18,Movimientos!$D:$D,CONCATENATE("&lt;=",MM$3),Movimientos!$C:$C,"&gt;0")+SUMIFS(Movimientos!$C:$C,Movimientos!$A:$A,$B18,Movimientos!$D:$D,CONCATENATE("&lt;",MM$3),Movimientos!$C:$C,"&lt;0")</f>
        <v>0</v>
      </c>
      <c r="MN18" s="5">
        <f ca="1">SUMIFS(Movimientos!$C:$C,Movimientos!$A:$A,$B18,Movimientos!$D:$D,CONCATENATE("&lt;=",MN$3),Movimientos!$C:$C,"&gt;0")+SUMIFS(Movimientos!$C:$C,Movimientos!$A:$A,$B18,Movimientos!$D:$D,CONCATENATE("&lt;",MN$3),Movimientos!$C:$C,"&lt;0")</f>
        <v>0</v>
      </c>
      <c r="MO18" s="5">
        <f ca="1">SUMIFS(Movimientos!$C:$C,Movimientos!$A:$A,$B18,Movimientos!$D:$D,CONCATENATE("&lt;=",MO$3),Movimientos!$C:$C,"&gt;0")+SUMIFS(Movimientos!$C:$C,Movimientos!$A:$A,$B18,Movimientos!$D:$D,CONCATENATE("&lt;",MO$3),Movimientos!$C:$C,"&lt;0")</f>
        <v>0</v>
      </c>
      <c r="MP18" s="5">
        <f ca="1">SUMIFS(Movimientos!$C:$C,Movimientos!$A:$A,$B18,Movimientos!$D:$D,CONCATENATE("&lt;=",MP$3),Movimientos!$C:$C,"&gt;0")+SUMIFS(Movimientos!$C:$C,Movimientos!$A:$A,$B18,Movimientos!$D:$D,CONCATENATE("&lt;",MP$3),Movimientos!$C:$C,"&lt;0")</f>
        <v>0</v>
      </c>
      <c r="MQ18" s="5">
        <f ca="1">SUMIFS(Movimientos!$C:$C,Movimientos!$A:$A,$B18,Movimientos!$D:$D,CONCATENATE("&lt;=",MQ$3),Movimientos!$C:$C,"&gt;0")+SUMIFS(Movimientos!$C:$C,Movimientos!$A:$A,$B18,Movimientos!$D:$D,CONCATENATE("&lt;",MQ$3),Movimientos!$C:$C,"&lt;0")</f>
        <v>0</v>
      </c>
      <c r="MR18" s="5">
        <f ca="1">SUMIFS(Movimientos!$C:$C,Movimientos!$A:$A,$B18,Movimientos!$D:$D,CONCATENATE("&lt;=",MR$3),Movimientos!$C:$C,"&gt;0")+SUMIFS(Movimientos!$C:$C,Movimientos!$A:$A,$B18,Movimientos!$D:$D,CONCATENATE("&lt;",MR$3),Movimientos!$C:$C,"&lt;0")</f>
        <v>0</v>
      </c>
      <c r="MS18" s="5">
        <f ca="1">SUMIFS(Movimientos!$C:$C,Movimientos!$A:$A,$B18,Movimientos!$D:$D,CONCATENATE("&lt;=",MS$3),Movimientos!$C:$C,"&gt;0")+SUMIFS(Movimientos!$C:$C,Movimientos!$A:$A,$B18,Movimientos!$D:$D,CONCATENATE("&lt;",MS$3),Movimientos!$C:$C,"&lt;0")</f>
        <v>0</v>
      </c>
      <c r="MT18" s="5">
        <f ca="1">SUMIFS(Movimientos!$C:$C,Movimientos!$A:$A,$B18,Movimientos!$D:$D,CONCATENATE("&lt;=",MT$3),Movimientos!$C:$C,"&gt;0")+SUMIFS(Movimientos!$C:$C,Movimientos!$A:$A,$B18,Movimientos!$D:$D,CONCATENATE("&lt;",MT$3),Movimientos!$C:$C,"&lt;0")</f>
        <v>0</v>
      </c>
      <c r="MU18" s="5">
        <f ca="1">SUMIFS(Movimientos!$C:$C,Movimientos!$A:$A,$B18,Movimientos!$D:$D,CONCATENATE("&lt;=",MU$3),Movimientos!$C:$C,"&gt;0")+SUMIFS(Movimientos!$C:$C,Movimientos!$A:$A,$B18,Movimientos!$D:$D,CONCATENATE("&lt;",MU$3),Movimientos!$C:$C,"&lt;0")</f>
        <v>0</v>
      </c>
      <c r="MV18" s="5">
        <f ca="1">SUMIFS(Movimientos!$C:$C,Movimientos!$A:$A,$B18,Movimientos!$D:$D,CONCATENATE("&lt;=",MV$3),Movimientos!$C:$C,"&gt;0")+SUMIFS(Movimientos!$C:$C,Movimientos!$A:$A,$B18,Movimientos!$D:$D,CONCATENATE("&lt;",MV$3),Movimientos!$C:$C,"&lt;0")</f>
        <v>0</v>
      </c>
      <c r="MW18" s="5">
        <f ca="1">SUMIFS(Movimientos!$C:$C,Movimientos!$A:$A,$B18,Movimientos!$D:$D,CONCATENATE("&lt;=",MW$3),Movimientos!$C:$C,"&gt;0")+SUMIFS(Movimientos!$C:$C,Movimientos!$A:$A,$B18,Movimientos!$D:$D,CONCATENATE("&lt;",MW$3),Movimientos!$C:$C,"&lt;0")</f>
        <v>0</v>
      </c>
      <c r="MX18" s="5">
        <f ca="1">SUMIFS(Movimientos!$C:$C,Movimientos!$A:$A,$B18,Movimientos!$D:$D,CONCATENATE("&lt;=",MX$3),Movimientos!$C:$C,"&gt;0")+SUMIFS(Movimientos!$C:$C,Movimientos!$A:$A,$B18,Movimientos!$D:$D,CONCATENATE("&lt;",MX$3),Movimientos!$C:$C,"&lt;0")</f>
        <v>0</v>
      </c>
      <c r="MY18" s="5">
        <f ca="1">SUMIFS(Movimientos!$C:$C,Movimientos!$A:$A,$B18,Movimientos!$D:$D,CONCATENATE("&lt;=",MY$3),Movimientos!$C:$C,"&gt;0")+SUMIFS(Movimientos!$C:$C,Movimientos!$A:$A,$B18,Movimientos!$D:$D,CONCATENATE("&lt;",MY$3),Movimientos!$C:$C,"&lt;0")</f>
        <v>0</v>
      </c>
      <c r="MZ18" s="5">
        <f ca="1">SUMIFS(Movimientos!$C:$C,Movimientos!$A:$A,$B18,Movimientos!$D:$D,CONCATENATE("&lt;=",MZ$3),Movimientos!$C:$C,"&gt;0")+SUMIFS(Movimientos!$C:$C,Movimientos!$A:$A,$B18,Movimientos!$D:$D,CONCATENATE("&lt;",MZ$3),Movimientos!$C:$C,"&lt;0")</f>
        <v>0</v>
      </c>
      <c r="NA18" s="5">
        <f ca="1">SUMIFS(Movimientos!$C:$C,Movimientos!$A:$A,$B18,Movimientos!$D:$D,CONCATENATE("&lt;=",NA$3),Movimientos!$C:$C,"&gt;0")+SUMIFS(Movimientos!$C:$C,Movimientos!$A:$A,$B18,Movimientos!$D:$D,CONCATENATE("&lt;",NA$3),Movimientos!$C:$C,"&lt;0")</f>
        <v>0</v>
      </c>
      <c r="NB18" s="5">
        <f ca="1">SUMIFS(Movimientos!$C:$C,Movimientos!$A:$A,$B18,Movimientos!$D:$D,CONCATENATE("&lt;=",NB$3),Movimientos!$C:$C,"&gt;0")+SUMIFS(Movimientos!$C:$C,Movimientos!$A:$A,$B18,Movimientos!$D:$D,CONCATENATE("&lt;",NB$3),Movimientos!$C:$C,"&lt;0")</f>
        <v>0</v>
      </c>
      <c r="NC18" s="5">
        <f ca="1">SUMIFS(Movimientos!$C:$C,Movimientos!$A:$A,$B18,Movimientos!$D:$D,CONCATENATE("&lt;=",NC$3),Movimientos!$C:$C,"&gt;0")+SUMIFS(Movimientos!$C:$C,Movimientos!$A:$A,$B18,Movimientos!$D:$D,CONCATENATE("&lt;",NC$3),Movimientos!$C:$C,"&lt;0")</f>
        <v>0</v>
      </c>
      <c r="ND18" s="5">
        <f ca="1">SUMIFS(Movimientos!$C:$C,Movimientos!$A:$A,$B18,Movimientos!$D:$D,CONCATENATE("&lt;=",ND$3),Movimientos!$C:$C,"&gt;0")+SUMIFS(Movimientos!$C:$C,Movimientos!$A:$A,$B18,Movimientos!$D:$D,CONCATENATE("&lt;",ND$3),Movimientos!$C:$C,"&lt;0")</f>
        <v>0</v>
      </c>
      <c r="NE18" s="5">
        <f ca="1">SUMIFS(Movimientos!$C:$C,Movimientos!$A:$A,$B18,Movimientos!$D:$D,CONCATENATE("&lt;=",NE$3),Movimientos!$C:$C,"&gt;0")+SUMIFS(Movimientos!$C:$C,Movimientos!$A:$A,$B18,Movimientos!$D:$D,CONCATENATE("&lt;",NE$3),Movimientos!$C:$C,"&lt;0")</f>
        <v>0</v>
      </c>
      <c r="NF18" s="5">
        <f ca="1">SUMIFS(Movimientos!$C:$C,Movimientos!$A:$A,$B18,Movimientos!$D:$D,CONCATENATE("&lt;=",NF$3),Movimientos!$C:$C,"&gt;0")+SUMIFS(Movimientos!$C:$C,Movimientos!$A:$A,$B18,Movimientos!$D:$D,CONCATENATE("&lt;",NF$3),Movimientos!$C:$C,"&lt;0")</f>
        <v>0</v>
      </c>
      <c r="NG18" s="5">
        <f ca="1">SUMIFS(Movimientos!$C:$C,Movimientos!$A:$A,$B18,Movimientos!$D:$D,CONCATENATE("&lt;=",NG$3),Movimientos!$C:$C,"&gt;0")+SUMIFS(Movimientos!$C:$C,Movimientos!$A:$A,$B18,Movimientos!$D:$D,CONCATENATE("&lt;",NG$3),Movimientos!$C:$C,"&lt;0")</f>
        <v>0</v>
      </c>
      <c r="NH18" s="5">
        <f ca="1">SUMIFS(Movimientos!$C:$C,Movimientos!$A:$A,$B18,Movimientos!$D:$D,CONCATENATE("&lt;=",NH$3),Movimientos!$C:$C,"&gt;0")+SUMIFS(Movimientos!$C:$C,Movimientos!$A:$A,$B18,Movimientos!$D:$D,CONCATENATE("&lt;",NH$3),Movimientos!$C:$C,"&lt;0")</f>
        <v>0</v>
      </c>
      <c r="NI18" s="5">
        <f ca="1">SUMIFS(Movimientos!$C:$C,Movimientos!$A:$A,$B18,Movimientos!$D:$D,CONCATENATE("&lt;=",NI$3),Movimientos!$C:$C,"&gt;0")+SUMIFS(Movimientos!$C:$C,Movimientos!$A:$A,$B18,Movimientos!$D:$D,CONCATENATE("&lt;",NI$3),Movimientos!$C:$C,"&lt;0")</f>
        <v>0</v>
      </c>
      <c r="NJ18" s="5">
        <f ca="1">SUMIFS(Movimientos!$C:$C,Movimientos!$A:$A,$B18,Movimientos!$D:$D,CONCATENATE("&lt;=",NJ$3),Movimientos!$C:$C,"&gt;0")+SUMIFS(Movimientos!$C:$C,Movimientos!$A:$A,$B18,Movimientos!$D:$D,CONCATENATE("&lt;",NJ$3),Movimientos!$C:$C,"&lt;0")</f>
        <v>0</v>
      </c>
      <c r="NK18" s="5">
        <f ca="1">SUMIFS(Movimientos!$C:$C,Movimientos!$A:$A,$B18,Movimientos!$D:$D,CONCATENATE("&lt;=",NK$3),Movimientos!$C:$C,"&gt;0")+SUMIFS(Movimientos!$C:$C,Movimientos!$A:$A,$B18,Movimientos!$D:$D,CONCATENATE("&lt;",NK$3),Movimientos!$C:$C,"&lt;0")</f>
        <v>0</v>
      </c>
      <c r="NL18" s="5">
        <f ca="1">SUMIFS(Movimientos!$C:$C,Movimientos!$A:$A,$B18,Movimientos!$D:$D,CONCATENATE("&lt;=",NL$3),Movimientos!$C:$C,"&gt;0")+SUMIFS(Movimientos!$C:$C,Movimientos!$A:$A,$B18,Movimientos!$D:$D,CONCATENATE("&lt;",NL$3),Movimientos!$C:$C,"&lt;0")</f>
        <v>0</v>
      </c>
      <c r="NM18" s="5">
        <f ca="1">SUMIFS(Movimientos!$C:$C,Movimientos!$A:$A,$B18,Movimientos!$D:$D,CONCATENATE("&lt;=",NM$3),Movimientos!$C:$C,"&gt;0")+SUMIFS(Movimientos!$C:$C,Movimientos!$A:$A,$B18,Movimientos!$D:$D,CONCATENATE("&lt;",NM$3),Movimientos!$C:$C,"&lt;0")</f>
        <v>0</v>
      </c>
      <c r="NN18" s="5">
        <f ca="1">SUMIFS(Movimientos!$C:$C,Movimientos!$A:$A,$B18,Movimientos!$D:$D,CONCATENATE("&lt;=",NN$3),Movimientos!$C:$C,"&gt;0")+SUMIFS(Movimientos!$C:$C,Movimientos!$A:$A,$B18,Movimientos!$D:$D,CONCATENATE("&lt;",NN$3),Movimientos!$C:$C,"&lt;0")</f>
        <v>0</v>
      </c>
      <c r="NO18" s="5">
        <f ca="1">SUMIFS(Movimientos!$C:$C,Movimientos!$A:$A,$B18,Movimientos!$D:$D,CONCATENATE("&lt;=",NO$3),Movimientos!$C:$C,"&gt;0")+SUMIFS(Movimientos!$C:$C,Movimientos!$A:$A,$B18,Movimientos!$D:$D,CONCATENATE("&lt;",NO$3),Movimientos!$C:$C,"&lt;0")</f>
        <v>0</v>
      </c>
      <c r="NP18" s="5">
        <f ca="1">SUMIFS(Movimientos!$C:$C,Movimientos!$A:$A,$B18,Movimientos!$D:$D,CONCATENATE("&lt;=",NP$3),Movimientos!$C:$C,"&gt;0")+SUMIFS(Movimientos!$C:$C,Movimientos!$A:$A,$B18,Movimientos!$D:$D,CONCATENATE("&lt;",NP$3),Movimientos!$C:$C,"&lt;0")</f>
        <v>0</v>
      </c>
      <c r="NQ18" s="5">
        <f ca="1">SUMIFS(Movimientos!$C:$C,Movimientos!$A:$A,$B18,Movimientos!$D:$D,CONCATENATE("&lt;=",NQ$3),Movimientos!$C:$C,"&gt;0")+SUMIFS(Movimientos!$C:$C,Movimientos!$A:$A,$B18,Movimientos!$D:$D,CONCATENATE("&lt;",NQ$3),Movimientos!$C:$C,"&lt;0")</f>
        <v>0</v>
      </c>
      <c r="NR18" s="5">
        <f ca="1">SUMIFS(Movimientos!$C:$C,Movimientos!$A:$A,$B18,Movimientos!$D:$D,CONCATENATE("&lt;=",NR$3),Movimientos!$C:$C,"&gt;0")+SUMIFS(Movimientos!$C:$C,Movimientos!$A:$A,$B18,Movimientos!$D:$D,CONCATENATE("&lt;",NR$3),Movimientos!$C:$C,"&lt;0")</f>
        <v>0</v>
      </c>
      <c r="NS18" s="5">
        <f ca="1">SUMIFS(Movimientos!$C:$C,Movimientos!$A:$A,$B18,Movimientos!$D:$D,CONCATENATE("&lt;=",NS$3),Movimientos!$C:$C,"&gt;0")+SUMIFS(Movimientos!$C:$C,Movimientos!$A:$A,$B18,Movimientos!$D:$D,CONCATENATE("&lt;",NS$3),Movimientos!$C:$C,"&lt;0")</f>
        <v>0</v>
      </c>
      <c r="NT18" s="5">
        <f ca="1">SUMIFS(Movimientos!$C:$C,Movimientos!$A:$A,$B18,Movimientos!$D:$D,CONCATENATE("&lt;=",NT$3),Movimientos!$C:$C,"&gt;0")+SUMIFS(Movimientos!$C:$C,Movimientos!$A:$A,$B18,Movimientos!$D:$D,CONCATENATE("&lt;",NT$3),Movimientos!$C:$C,"&lt;0")</f>
        <v>0</v>
      </c>
      <c r="NU18" s="5">
        <f ca="1">SUMIFS(Movimientos!$C:$C,Movimientos!$A:$A,$B18,Movimientos!$D:$D,CONCATENATE("&lt;=",NU$3),Movimientos!$C:$C,"&gt;0")+SUMIFS(Movimientos!$C:$C,Movimientos!$A:$A,$B18,Movimientos!$D:$D,CONCATENATE("&lt;",NU$3),Movimientos!$C:$C,"&lt;0")</f>
        <v>0</v>
      </c>
      <c r="NV18" s="5">
        <f ca="1">SUMIFS(Movimientos!$C:$C,Movimientos!$A:$A,$B18,Movimientos!$D:$D,CONCATENATE("&lt;=",NV$3),Movimientos!$C:$C,"&gt;0")+SUMIFS(Movimientos!$C:$C,Movimientos!$A:$A,$B18,Movimientos!$D:$D,CONCATENATE("&lt;",NV$3),Movimientos!$C:$C,"&lt;0")</f>
        <v>0</v>
      </c>
      <c r="NW18" s="5">
        <f ca="1">SUMIFS(Movimientos!$C:$C,Movimientos!$A:$A,$B18,Movimientos!$D:$D,CONCATENATE("&lt;=",NW$3),Movimientos!$C:$C,"&gt;0")+SUMIFS(Movimientos!$C:$C,Movimientos!$A:$A,$B18,Movimientos!$D:$D,CONCATENATE("&lt;",NW$3),Movimientos!$C:$C,"&lt;0")</f>
        <v>0</v>
      </c>
      <c r="NX18" s="5">
        <f ca="1">SUMIFS(Movimientos!$C:$C,Movimientos!$A:$A,$B18,Movimientos!$D:$D,CONCATENATE("&lt;=",NX$3),Movimientos!$C:$C,"&gt;0")+SUMIFS(Movimientos!$C:$C,Movimientos!$A:$A,$B18,Movimientos!$D:$D,CONCATENATE("&lt;",NX$3),Movimientos!$C:$C,"&lt;0")</f>
        <v>0</v>
      </c>
      <c r="NY18" s="5">
        <f ca="1">SUMIFS(Movimientos!$C:$C,Movimientos!$A:$A,$B18,Movimientos!$D:$D,CONCATENATE("&lt;=",NY$3),Movimientos!$C:$C,"&gt;0")+SUMIFS(Movimientos!$C:$C,Movimientos!$A:$A,$B18,Movimientos!$D:$D,CONCATENATE("&lt;",NY$3),Movimientos!$C:$C,"&lt;0")</f>
        <v>0</v>
      </c>
      <c r="NZ18" s="5">
        <f ca="1">SUMIFS(Movimientos!$C:$C,Movimientos!$A:$A,$B18,Movimientos!$D:$D,CONCATENATE("&lt;=",NZ$3),Movimientos!$C:$C,"&gt;0")+SUMIFS(Movimientos!$C:$C,Movimientos!$A:$A,$B18,Movimientos!$D:$D,CONCATENATE("&lt;",NZ$3),Movimientos!$C:$C,"&lt;0")</f>
        <v>0</v>
      </c>
      <c r="OA18" s="5">
        <f ca="1">SUMIFS(Movimientos!$C:$C,Movimientos!$A:$A,$B18,Movimientos!$D:$D,CONCATENATE("&lt;=",OA$3),Movimientos!$C:$C,"&gt;0")+SUMIFS(Movimientos!$C:$C,Movimientos!$A:$A,$B18,Movimientos!$D:$D,CONCATENATE("&lt;",OA$3),Movimientos!$C:$C,"&lt;0")</f>
        <v>0</v>
      </c>
      <c r="OB18" s="5">
        <f ca="1">SUMIFS(Movimientos!$C:$C,Movimientos!$A:$A,$B18,Movimientos!$D:$D,CONCATENATE("&lt;=",OB$3),Movimientos!$C:$C,"&gt;0")+SUMIFS(Movimientos!$C:$C,Movimientos!$A:$A,$B18,Movimientos!$D:$D,CONCATENATE("&lt;",OB$3),Movimientos!$C:$C,"&lt;0")</f>
        <v>0</v>
      </c>
      <c r="OC18" s="5">
        <f ca="1">SUMIFS(Movimientos!$C:$C,Movimientos!$A:$A,$B18,Movimientos!$D:$D,CONCATENATE("&lt;=",OC$3),Movimientos!$C:$C,"&gt;0")+SUMIFS(Movimientos!$C:$C,Movimientos!$A:$A,$B18,Movimientos!$D:$D,CONCATENATE("&lt;",OC$3),Movimientos!$C:$C,"&lt;0")</f>
        <v>0</v>
      </c>
      <c r="OD18" s="5">
        <f ca="1">SUMIFS(Movimientos!$C:$C,Movimientos!$A:$A,$B18,Movimientos!$D:$D,CONCATENATE("&lt;=",OD$3),Movimientos!$C:$C,"&gt;0")+SUMIFS(Movimientos!$C:$C,Movimientos!$A:$A,$B18,Movimientos!$D:$D,CONCATENATE("&lt;",OD$3),Movimientos!$C:$C,"&lt;0")</f>
        <v>0</v>
      </c>
      <c r="OE18" s="5">
        <f ca="1">SUMIFS(Movimientos!$C:$C,Movimientos!$A:$A,$B18,Movimientos!$D:$D,CONCATENATE("&lt;=",OE$3),Movimientos!$C:$C,"&gt;0")+SUMIFS(Movimientos!$C:$C,Movimientos!$A:$A,$B18,Movimientos!$D:$D,CONCATENATE("&lt;",OE$3),Movimientos!$C:$C,"&lt;0")</f>
        <v>0</v>
      </c>
      <c r="OF18" s="5">
        <f ca="1">SUMIFS(Movimientos!$C:$C,Movimientos!$A:$A,$B18,Movimientos!$D:$D,CONCATENATE("&lt;=",OF$3),Movimientos!$C:$C,"&gt;0")+SUMIFS(Movimientos!$C:$C,Movimientos!$A:$A,$B18,Movimientos!$D:$D,CONCATENATE("&lt;",OF$3),Movimientos!$C:$C,"&lt;0")</f>
        <v>0</v>
      </c>
      <c r="OG18" s="5">
        <f ca="1">SUMIFS(Movimientos!$C:$C,Movimientos!$A:$A,$B18,Movimientos!$D:$D,CONCATENATE("&lt;=",OG$3),Movimientos!$C:$C,"&gt;0")+SUMIFS(Movimientos!$C:$C,Movimientos!$A:$A,$B18,Movimientos!$D:$D,CONCATENATE("&lt;",OG$3),Movimientos!$C:$C,"&lt;0")</f>
        <v>0</v>
      </c>
      <c r="OH18" s="5">
        <f ca="1">SUMIFS(Movimientos!$C:$C,Movimientos!$A:$A,$B18,Movimientos!$D:$D,CONCATENATE("&lt;=",OH$3),Movimientos!$C:$C,"&gt;0")+SUMIFS(Movimientos!$C:$C,Movimientos!$A:$A,$B18,Movimientos!$D:$D,CONCATENATE("&lt;",OH$3),Movimientos!$C:$C,"&lt;0")</f>
        <v>0</v>
      </c>
      <c r="OI18" s="5">
        <f ca="1">SUMIFS(Movimientos!$C:$C,Movimientos!$A:$A,$B18,Movimientos!$D:$D,CONCATENATE("&lt;=",OI$3),Movimientos!$C:$C,"&gt;0")+SUMIFS(Movimientos!$C:$C,Movimientos!$A:$A,$B18,Movimientos!$D:$D,CONCATENATE("&lt;",OI$3),Movimientos!$C:$C,"&lt;0")</f>
        <v>0</v>
      </c>
      <c r="OJ18" s="5">
        <f ca="1">SUMIFS(Movimientos!$C:$C,Movimientos!$A:$A,$B18,Movimientos!$D:$D,CONCATENATE("&lt;=",OJ$3),Movimientos!$C:$C,"&gt;0")+SUMIFS(Movimientos!$C:$C,Movimientos!$A:$A,$B18,Movimientos!$D:$D,CONCATENATE("&lt;",OJ$3),Movimientos!$C:$C,"&lt;0")</f>
        <v>0</v>
      </c>
      <c r="OK18" s="5">
        <f ca="1">SUMIFS(Movimientos!$C:$C,Movimientos!$A:$A,$B18,Movimientos!$D:$D,CONCATENATE("&lt;=",OK$3),Movimientos!$C:$C,"&gt;0")+SUMIFS(Movimientos!$C:$C,Movimientos!$A:$A,$B18,Movimientos!$D:$D,CONCATENATE("&lt;",OK$3),Movimientos!$C:$C,"&lt;0")</f>
        <v>0</v>
      </c>
      <c r="OL18" s="5">
        <f ca="1">SUMIFS(Movimientos!$C:$C,Movimientos!$A:$A,$B18,Movimientos!$D:$D,CONCATENATE("&lt;=",OL$3),Movimientos!$C:$C,"&gt;0")+SUMIFS(Movimientos!$C:$C,Movimientos!$A:$A,$B18,Movimientos!$D:$D,CONCATENATE("&lt;",OL$3),Movimientos!$C:$C,"&lt;0")</f>
        <v>0</v>
      </c>
      <c r="OM18" s="5">
        <f ca="1">SUMIFS(Movimientos!$C:$C,Movimientos!$A:$A,$B18,Movimientos!$D:$D,CONCATENATE("&lt;=",OM$3),Movimientos!$C:$C,"&gt;0")+SUMIFS(Movimientos!$C:$C,Movimientos!$A:$A,$B18,Movimientos!$D:$D,CONCATENATE("&lt;",OM$3),Movimientos!$C:$C,"&lt;0")</f>
        <v>0</v>
      </c>
      <c r="ON18" s="5">
        <f ca="1">SUMIFS(Movimientos!$C:$C,Movimientos!$A:$A,$B18,Movimientos!$D:$D,CONCATENATE("&lt;=",ON$3),Movimientos!$C:$C,"&gt;0")+SUMIFS(Movimientos!$C:$C,Movimientos!$A:$A,$B18,Movimientos!$D:$D,CONCATENATE("&lt;",ON$3),Movimientos!$C:$C,"&lt;0")</f>
        <v>0</v>
      </c>
      <c r="OO18" s="5">
        <f ca="1">SUMIFS(Movimientos!$C:$C,Movimientos!$A:$A,$B18,Movimientos!$D:$D,CONCATENATE("&lt;=",OO$3),Movimientos!$C:$C,"&gt;0")+SUMIFS(Movimientos!$C:$C,Movimientos!$A:$A,$B18,Movimientos!$D:$D,CONCATENATE("&lt;",OO$3),Movimientos!$C:$C,"&lt;0")</f>
        <v>0</v>
      </c>
      <c r="OP18" s="5">
        <f ca="1">SUMIFS(Movimientos!$C:$C,Movimientos!$A:$A,$B18,Movimientos!$D:$D,CONCATENATE("&lt;=",OP$3),Movimientos!$C:$C,"&gt;0")+SUMIFS(Movimientos!$C:$C,Movimientos!$A:$A,$B18,Movimientos!$D:$D,CONCATENATE("&lt;",OP$3),Movimientos!$C:$C,"&lt;0")</f>
        <v>0</v>
      </c>
      <c r="OQ18" s="5">
        <f ca="1">SUMIFS(Movimientos!$C:$C,Movimientos!$A:$A,$B18,Movimientos!$D:$D,CONCATENATE("&lt;=",OQ$3),Movimientos!$C:$C,"&gt;0")+SUMIFS(Movimientos!$C:$C,Movimientos!$A:$A,$B18,Movimientos!$D:$D,CONCATENATE("&lt;",OQ$3),Movimientos!$C:$C,"&lt;0")</f>
        <v>0</v>
      </c>
      <c r="OR18" s="5">
        <f ca="1">SUMIFS(Movimientos!$C:$C,Movimientos!$A:$A,$B18,Movimientos!$D:$D,CONCATENATE("&lt;=",OR$3),Movimientos!$C:$C,"&gt;0")+SUMIFS(Movimientos!$C:$C,Movimientos!$A:$A,$B18,Movimientos!$D:$D,CONCATENATE("&lt;",OR$3),Movimientos!$C:$C,"&lt;0")</f>
        <v>0</v>
      </c>
      <c r="OS18" s="5">
        <f ca="1">SUMIFS(Movimientos!$C:$C,Movimientos!$A:$A,$B18,Movimientos!$D:$D,CONCATENATE("&lt;=",OS$3),Movimientos!$C:$C,"&gt;0")+SUMIFS(Movimientos!$C:$C,Movimientos!$A:$A,$B18,Movimientos!$D:$D,CONCATENATE("&lt;",OS$3),Movimientos!$C:$C,"&lt;0")</f>
        <v>0</v>
      </c>
      <c r="OT18" s="5">
        <f ca="1">SUMIFS(Movimientos!$C:$C,Movimientos!$A:$A,$B18,Movimientos!$D:$D,CONCATENATE("&lt;=",OT$3),Movimientos!$C:$C,"&gt;0")+SUMIFS(Movimientos!$C:$C,Movimientos!$A:$A,$B18,Movimientos!$D:$D,CONCATENATE("&lt;",OT$3),Movimientos!$C:$C,"&lt;0")</f>
        <v>0</v>
      </c>
      <c r="OU18" s="5">
        <f ca="1">SUMIFS(Movimientos!$C:$C,Movimientos!$A:$A,$B18,Movimientos!$D:$D,CONCATENATE("&lt;=",OU$3),Movimientos!$C:$C,"&gt;0")+SUMIFS(Movimientos!$C:$C,Movimientos!$A:$A,$B18,Movimientos!$D:$D,CONCATENATE("&lt;",OU$3),Movimientos!$C:$C,"&lt;0")</f>
        <v>0</v>
      </c>
      <c r="OV18" s="5">
        <f ca="1">SUMIFS(Movimientos!$C:$C,Movimientos!$A:$A,$B18,Movimientos!$D:$D,CONCATENATE("&lt;=",OV$3),Movimientos!$C:$C,"&gt;0")+SUMIFS(Movimientos!$C:$C,Movimientos!$A:$A,$B18,Movimientos!$D:$D,CONCATENATE("&lt;",OV$3),Movimientos!$C:$C,"&lt;0")</f>
        <v>0</v>
      </c>
      <c r="OW18" s="5">
        <f ca="1">SUMIFS(Movimientos!$C:$C,Movimientos!$A:$A,$B18,Movimientos!$D:$D,CONCATENATE("&lt;=",OW$3),Movimientos!$C:$C,"&gt;0")+SUMIFS(Movimientos!$C:$C,Movimientos!$A:$A,$B18,Movimientos!$D:$D,CONCATENATE("&lt;",OW$3),Movimientos!$C:$C,"&lt;0")</f>
        <v>0</v>
      </c>
      <c r="OX18" s="5">
        <f ca="1">SUMIFS(Movimientos!$C:$C,Movimientos!$A:$A,$B18,Movimientos!$D:$D,CONCATENATE("&lt;=",OX$3),Movimientos!$C:$C,"&gt;0")+SUMIFS(Movimientos!$C:$C,Movimientos!$A:$A,$B18,Movimientos!$D:$D,CONCATENATE("&lt;",OX$3),Movimientos!$C:$C,"&lt;0")</f>
        <v>0</v>
      </c>
      <c r="OY18" s="5">
        <f ca="1">SUMIFS(Movimientos!$C:$C,Movimientos!$A:$A,$B18,Movimientos!$D:$D,CONCATENATE("&lt;=",OY$3),Movimientos!$C:$C,"&gt;0")+SUMIFS(Movimientos!$C:$C,Movimientos!$A:$A,$B18,Movimientos!$D:$D,CONCATENATE("&lt;",OY$3),Movimientos!$C:$C,"&lt;0")</f>
        <v>0</v>
      </c>
      <c r="OZ18" s="5">
        <f ca="1">SUMIFS(Movimientos!$C:$C,Movimientos!$A:$A,$B18,Movimientos!$D:$D,CONCATENATE("&lt;=",OZ$3),Movimientos!$C:$C,"&gt;0")+SUMIFS(Movimientos!$C:$C,Movimientos!$A:$A,$B18,Movimientos!$D:$D,CONCATENATE("&lt;",OZ$3),Movimientos!$C:$C,"&lt;0")</f>
        <v>0</v>
      </c>
      <c r="PA18" s="5">
        <f ca="1">SUMIFS(Movimientos!$C:$C,Movimientos!$A:$A,$B18,Movimientos!$D:$D,CONCATENATE("&lt;=",PA$3),Movimientos!$C:$C,"&gt;0")+SUMIFS(Movimientos!$C:$C,Movimientos!$A:$A,$B18,Movimientos!$D:$D,CONCATENATE("&lt;",PA$3),Movimientos!$C:$C,"&lt;0")</f>
        <v>0</v>
      </c>
      <c r="PB18" s="5">
        <f ca="1">SUMIFS(Movimientos!$C:$C,Movimientos!$A:$A,$B18,Movimientos!$D:$D,CONCATENATE("&lt;=",PB$3),Movimientos!$C:$C,"&gt;0")+SUMIFS(Movimientos!$C:$C,Movimientos!$A:$A,$B18,Movimientos!$D:$D,CONCATENATE("&lt;",PB$3),Movimientos!$C:$C,"&lt;0")</f>
        <v>0</v>
      </c>
      <c r="PC18" s="5">
        <f ca="1">SUMIFS(Movimientos!$C:$C,Movimientos!$A:$A,$B18,Movimientos!$D:$D,CONCATENATE("&lt;=",PC$3),Movimientos!$C:$C,"&gt;0")+SUMIFS(Movimientos!$C:$C,Movimientos!$A:$A,$B18,Movimientos!$D:$D,CONCATENATE("&lt;",PC$3),Movimientos!$C:$C,"&lt;0")</f>
        <v>0</v>
      </c>
      <c r="PD18" s="5">
        <f ca="1">SUMIFS(Movimientos!$C:$C,Movimientos!$A:$A,$B18,Movimientos!$D:$D,CONCATENATE("&lt;=",PD$3),Movimientos!$C:$C,"&gt;0")+SUMIFS(Movimientos!$C:$C,Movimientos!$A:$A,$B18,Movimientos!$D:$D,CONCATENATE("&lt;",PD$3),Movimientos!$C:$C,"&lt;0")</f>
        <v>0</v>
      </c>
      <c r="PE18" s="5">
        <f ca="1">SUMIFS(Movimientos!$C:$C,Movimientos!$A:$A,$B18,Movimientos!$D:$D,CONCATENATE("&lt;=",PE$3),Movimientos!$C:$C,"&gt;0")+SUMIFS(Movimientos!$C:$C,Movimientos!$A:$A,$B18,Movimientos!$D:$D,CONCATENATE("&lt;",PE$3),Movimientos!$C:$C,"&lt;0")</f>
        <v>0</v>
      </c>
      <c r="PF18" s="5">
        <f ca="1">SUMIFS(Movimientos!$C:$C,Movimientos!$A:$A,$B18,Movimientos!$D:$D,CONCATENATE("&lt;=",PF$3),Movimientos!$C:$C,"&gt;0")+SUMIFS(Movimientos!$C:$C,Movimientos!$A:$A,$B18,Movimientos!$D:$D,CONCATENATE("&lt;",PF$3),Movimientos!$C:$C,"&lt;0")</f>
        <v>0</v>
      </c>
      <c r="PG18" s="5">
        <f ca="1">SUMIFS(Movimientos!$C:$C,Movimientos!$A:$A,$B18,Movimientos!$D:$D,CONCATENATE("&lt;=",PG$3),Movimientos!$C:$C,"&gt;0")+SUMIFS(Movimientos!$C:$C,Movimientos!$A:$A,$B18,Movimientos!$D:$D,CONCATENATE("&lt;",PG$3),Movimientos!$C:$C,"&lt;0")</f>
        <v>0</v>
      </c>
      <c r="PH18" s="5">
        <f ca="1">SUMIFS(Movimientos!$C:$C,Movimientos!$A:$A,$B18,Movimientos!$D:$D,CONCATENATE("&lt;=",PH$3),Movimientos!$C:$C,"&gt;0")+SUMIFS(Movimientos!$C:$C,Movimientos!$A:$A,$B18,Movimientos!$D:$D,CONCATENATE("&lt;",PH$3),Movimientos!$C:$C,"&lt;0")</f>
        <v>0</v>
      </c>
      <c r="PI18" s="5">
        <f ca="1">SUMIFS(Movimientos!$C:$C,Movimientos!$A:$A,$B18,Movimientos!$D:$D,CONCATENATE("&lt;=",PI$3),Movimientos!$C:$C,"&gt;0")+SUMIFS(Movimientos!$C:$C,Movimientos!$A:$A,$B18,Movimientos!$D:$D,CONCATENATE("&lt;",PI$3),Movimientos!$C:$C,"&lt;0")</f>
        <v>0</v>
      </c>
      <c r="PJ18" s="5">
        <f ca="1">SUMIFS(Movimientos!$C:$C,Movimientos!$A:$A,$B18,Movimientos!$D:$D,CONCATENATE("&lt;=",PJ$3),Movimientos!$C:$C,"&gt;0")+SUMIFS(Movimientos!$C:$C,Movimientos!$A:$A,$B18,Movimientos!$D:$D,CONCATENATE("&lt;",PJ$3),Movimientos!$C:$C,"&lt;0")</f>
        <v>0</v>
      </c>
      <c r="PK18" s="5">
        <f ca="1">SUMIFS(Movimientos!$C:$C,Movimientos!$A:$A,$B18,Movimientos!$D:$D,CONCATENATE("&lt;=",PK$3),Movimientos!$C:$C,"&gt;0")+SUMIFS(Movimientos!$C:$C,Movimientos!$A:$A,$B18,Movimientos!$D:$D,CONCATENATE("&lt;",PK$3),Movimientos!$C:$C,"&lt;0")</f>
        <v>0</v>
      </c>
      <c r="PL18" s="5">
        <f ca="1">SUMIFS(Movimientos!$C:$C,Movimientos!$A:$A,$B18,Movimientos!$D:$D,CONCATENATE("&lt;=",PL$3),Movimientos!$C:$C,"&gt;0")+SUMIFS(Movimientos!$C:$C,Movimientos!$A:$A,$B18,Movimientos!$D:$D,CONCATENATE("&lt;",PL$3),Movimientos!$C:$C,"&lt;0")</f>
        <v>0</v>
      </c>
      <c r="PM18" s="5">
        <f ca="1">SUMIFS(Movimientos!$C:$C,Movimientos!$A:$A,$B18,Movimientos!$D:$D,CONCATENATE("&lt;=",PM$3),Movimientos!$C:$C,"&gt;0")+SUMIFS(Movimientos!$C:$C,Movimientos!$A:$A,$B18,Movimientos!$D:$D,CONCATENATE("&lt;",PM$3),Movimientos!$C:$C,"&lt;0")</f>
        <v>0</v>
      </c>
      <c r="PN18" s="5">
        <f ca="1">SUMIFS(Movimientos!$C:$C,Movimientos!$A:$A,$B18,Movimientos!$D:$D,CONCATENATE("&lt;=",PN$3),Movimientos!$C:$C,"&gt;0")+SUMIFS(Movimientos!$C:$C,Movimientos!$A:$A,$B18,Movimientos!$D:$D,CONCATENATE("&lt;",PN$3),Movimientos!$C:$C,"&lt;0")</f>
        <v>0</v>
      </c>
      <c r="PO18" s="5">
        <f ca="1">SUMIFS(Movimientos!$C:$C,Movimientos!$A:$A,$B18,Movimientos!$D:$D,CONCATENATE("&lt;=",PO$3),Movimientos!$C:$C,"&gt;0")+SUMIFS(Movimientos!$C:$C,Movimientos!$A:$A,$B18,Movimientos!$D:$D,CONCATENATE("&lt;",PO$3),Movimientos!$C:$C,"&lt;0")</f>
        <v>0</v>
      </c>
      <c r="PP18" s="5">
        <f ca="1">SUMIFS(Movimientos!$C:$C,Movimientos!$A:$A,$B18,Movimientos!$D:$D,CONCATENATE("&lt;=",PP$3),Movimientos!$C:$C,"&gt;0")+SUMIFS(Movimientos!$C:$C,Movimientos!$A:$A,$B18,Movimientos!$D:$D,CONCATENATE("&lt;",PP$3),Movimientos!$C:$C,"&lt;0")</f>
        <v>0</v>
      </c>
      <c r="PQ18" s="5">
        <f ca="1">SUMIFS(Movimientos!$C:$C,Movimientos!$A:$A,$B18,Movimientos!$D:$D,CONCATENATE("&lt;=",PQ$3),Movimientos!$C:$C,"&gt;0")+SUMIFS(Movimientos!$C:$C,Movimientos!$A:$A,$B18,Movimientos!$D:$D,CONCATENATE("&lt;",PQ$3),Movimientos!$C:$C,"&lt;0")</f>
        <v>0</v>
      </c>
      <c r="PR18" s="5">
        <f ca="1">SUMIFS(Movimientos!$C:$C,Movimientos!$A:$A,$B18,Movimientos!$D:$D,CONCATENATE("&lt;=",PR$3),Movimientos!$C:$C,"&gt;0")+SUMIFS(Movimientos!$C:$C,Movimientos!$A:$A,$B18,Movimientos!$D:$D,CONCATENATE("&lt;",PR$3),Movimientos!$C:$C,"&lt;0")</f>
        <v>0</v>
      </c>
      <c r="PS18" s="5">
        <f ca="1">SUMIFS(Movimientos!$C:$C,Movimientos!$A:$A,$B18,Movimientos!$D:$D,CONCATENATE("&lt;=",PS$3),Movimientos!$C:$C,"&gt;0")+SUMIFS(Movimientos!$C:$C,Movimientos!$A:$A,$B18,Movimientos!$D:$D,CONCATENATE("&lt;",PS$3),Movimientos!$C:$C,"&lt;0")</f>
        <v>0</v>
      </c>
      <c r="PT18" s="5">
        <f ca="1">SUMIFS(Movimientos!$C:$C,Movimientos!$A:$A,$B18,Movimientos!$D:$D,CONCATENATE("&lt;=",PT$3),Movimientos!$C:$C,"&gt;0")+SUMIFS(Movimientos!$C:$C,Movimientos!$A:$A,$B18,Movimientos!$D:$D,CONCATENATE("&lt;",PT$3),Movimientos!$C:$C,"&lt;0")</f>
        <v>0</v>
      </c>
      <c r="PU18" s="5">
        <f ca="1">SUMIFS(Movimientos!$C:$C,Movimientos!$A:$A,$B18,Movimientos!$D:$D,CONCATENATE("&lt;=",PU$3),Movimientos!$C:$C,"&gt;0")+SUMIFS(Movimientos!$C:$C,Movimientos!$A:$A,$B18,Movimientos!$D:$D,CONCATENATE("&lt;",PU$3),Movimientos!$C:$C,"&lt;0")</f>
        <v>0</v>
      </c>
      <c r="PV18" s="5">
        <f ca="1">SUMIFS(Movimientos!$C:$C,Movimientos!$A:$A,$B18,Movimientos!$D:$D,CONCATENATE("&lt;=",PV$3),Movimientos!$C:$C,"&gt;0")+SUMIFS(Movimientos!$C:$C,Movimientos!$A:$A,$B18,Movimientos!$D:$D,CONCATENATE("&lt;",PV$3),Movimientos!$C:$C,"&lt;0")</f>
        <v>0</v>
      </c>
      <c r="PW18" s="5">
        <f ca="1">SUMIFS(Movimientos!$C:$C,Movimientos!$A:$A,$B18,Movimientos!$D:$D,CONCATENATE("&lt;=",PW$3),Movimientos!$C:$C,"&gt;0")+SUMIFS(Movimientos!$C:$C,Movimientos!$A:$A,$B18,Movimientos!$D:$D,CONCATENATE("&lt;",PW$3),Movimientos!$C:$C,"&lt;0")</f>
        <v>0</v>
      </c>
      <c r="PX18" s="5">
        <f ca="1">SUMIFS(Movimientos!$C:$C,Movimientos!$A:$A,$B18,Movimientos!$D:$D,CONCATENATE("&lt;=",PX$3),Movimientos!$C:$C,"&gt;0")+SUMIFS(Movimientos!$C:$C,Movimientos!$A:$A,$B18,Movimientos!$D:$D,CONCATENATE("&lt;",PX$3),Movimientos!$C:$C,"&lt;0")</f>
        <v>0</v>
      </c>
      <c r="PY18" s="5">
        <f ca="1">SUMIFS(Movimientos!$C:$C,Movimientos!$A:$A,$B18,Movimientos!$D:$D,CONCATENATE("&lt;=",PY$3),Movimientos!$C:$C,"&gt;0")+SUMIFS(Movimientos!$C:$C,Movimientos!$A:$A,$B18,Movimientos!$D:$D,CONCATENATE("&lt;",PY$3),Movimientos!$C:$C,"&lt;0")</f>
        <v>0</v>
      </c>
      <c r="PZ18" s="5">
        <f ca="1">SUMIFS(Movimientos!$C:$C,Movimientos!$A:$A,$B18,Movimientos!$D:$D,CONCATENATE("&lt;=",PZ$3),Movimientos!$C:$C,"&gt;0")+SUMIFS(Movimientos!$C:$C,Movimientos!$A:$A,$B18,Movimientos!$D:$D,CONCATENATE("&lt;",PZ$3),Movimientos!$C:$C,"&lt;0")</f>
        <v>0</v>
      </c>
      <c r="QA18" s="5">
        <f ca="1">SUMIFS(Movimientos!$C:$C,Movimientos!$A:$A,$B18,Movimientos!$D:$D,CONCATENATE("&lt;=",QA$3),Movimientos!$C:$C,"&gt;0")+SUMIFS(Movimientos!$C:$C,Movimientos!$A:$A,$B18,Movimientos!$D:$D,CONCATENATE("&lt;",QA$3),Movimientos!$C:$C,"&lt;0")</f>
        <v>0</v>
      </c>
      <c r="QB18" s="5">
        <f ca="1">SUMIFS(Movimientos!$C:$C,Movimientos!$A:$A,$B18,Movimientos!$D:$D,CONCATENATE("&lt;=",QB$3),Movimientos!$C:$C,"&gt;0")+SUMIFS(Movimientos!$C:$C,Movimientos!$A:$A,$B18,Movimientos!$D:$D,CONCATENATE("&lt;",QB$3),Movimientos!$C:$C,"&lt;0")</f>
        <v>0</v>
      </c>
      <c r="QC18" s="5">
        <f ca="1">SUMIFS(Movimientos!$C:$C,Movimientos!$A:$A,$B18,Movimientos!$D:$D,CONCATENATE("&lt;=",QC$3),Movimientos!$C:$C,"&gt;0")+SUMIFS(Movimientos!$C:$C,Movimientos!$A:$A,$B18,Movimientos!$D:$D,CONCATENATE("&lt;",QC$3),Movimientos!$C:$C,"&lt;0")</f>
        <v>0</v>
      </c>
      <c r="QD18" s="5">
        <f ca="1">SUMIFS(Movimientos!$C:$C,Movimientos!$A:$A,$B18,Movimientos!$D:$D,CONCATENATE("&lt;=",QD$3),Movimientos!$C:$C,"&gt;0")+SUMIFS(Movimientos!$C:$C,Movimientos!$A:$A,$B18,Movimientos!$D:$D,CONCATENATE("&lt;",QD$3),Movimientos!$C:$C,"&lt;0")</f>
        <v>0</v>
      </c>
      <c r="QE18" s="5">
        <f ca="1">SUMIFS(Movimientos!$C:$C,Movimientos!$A:$A,$B18,Movimientos!$D:$D,CONCATENATE("&lt;=",QE$3),Movimientos!$C:$C,"&gt;0")+SUMIFS(Movimientos!$C:$C,Movimientos!$A:$A,$B18,Movimientos!$D:$D,CONCATENATE("&lt;",QE$3),Movimientos!$C:$C,"&lt;0")</f>
        <v>0</v>
      </c>
      <c r="QF18" s="5">
        <f ca="1">SUMIFS(Movimientos!$C:$C,Movimientos!$A:$A,$B18,Movimientos!$D:$D,CONCATENATE("&lt;=",QF$3),Movimientos!$C:$C,"&gt;0")+SUMIFS(Movimientos!$C:$C,Movimientos!$A:$A,$B18,Movimientos!$D:$D,CONCATENATE("&lt;",QF$3),Movimientos!$C:$C,"&lt;0")</f>
        <v>0</v>
      </c>
      <c r="QG18" s="5">
        <f ca="1">SUMIFS(Movimientos!$C:$C,Movimientos!$A:$A,$B18,Movimientos!$D:$D,CONCATENATE("&lt;=",QG$3),Movimientos!$C:$C,"&gt;0")+SUMIFS(Movimientos!$C:$C,Movimientos!$A:$A,$B18,Movimientos!$D:$D,CONCATENATE("&lt;",QG$3),Movimientos!$C:$C,"&lt;0")</f>
        <v>0</v>
      </c>
      <c r="QH18" s="5">
        <f ca="1">SUMIFS(Movimientos!$C:$C,Movimientos!$A:$A,$B18,Movimientos!$D:$D,CONCATENATE("&lt;=",QH$3),Movimientos!$C:$C,"&gt;0")+SUMIFS(Movimientos!$C:$C,Movimientos!$A:$A,$B18,Movimientos!$D:$D,CONCATENATE("&lt;",QH$3),Movimientos!$C:$C,"&lt;0")</f>
        <v>0</v>
      </c>
      <c r="QI18" s="5">
        <f ca="1">SUMIFS(Movimientos!$C:$C,Movimientos!$A:$A,$B18,Movimientos!$D:$D,CONCATENATE("&lt;=",QI$3),Movimientos!$C:$C,"&gt;0")+SUMIFS(Movimientos!$C:$C,Movimientos!$A:$A,$B18,Movimientos!$D:$D,CONCATENATE("&lt;",QI$3),Movimientos!$C:$C,"&lt;0")</f>
        <v>0</v>
      </c>
      <c r="QJ18" s="5">
        <f ca="1">SUMIFS(Movimientos!$C:$C,Movimientos!$A:$A,$B18,Movimientos!$D:$D,CONCATENATE("&lt;=",QJ$3),Movimientos!$C:$C,"&gt;0")+SUMIFS(Movimientos!$C:$C,Movimientos!$A:$A,$B18,Movimientos!$D:$D,CONCATENATE("&lt;",QJ$3),Movimientos!$C:$C,"&lt;0")</f>
        <v>0</v>
      </c>
      <c r="QK18" s="5">
        <f ca="1">SUMIFS(Movimientos!$C:$C,Movimientos!$A:$A,$B18,Movimientos!$D:$D,CONCATENATE("&lt;=",QK$3),Movimientos!$C:$C,"&gt;0")+SUMIFS(Movimientos!$C:$C,Movimientos!$A:$A,$B18,Movimientos!$D:$D,CONCATENATE("&lt;",QK$3),Movimientos!$C:$C,"&lt;0")</f>
        <v>0</v>
      </c>
      <c r="QL18" s="5">
        <f ca="1">SUMIFS(Movimientos!$C:$C,Movimientos!$A:$A,$B18,Movimientos!$D:$D,CONCATENATE("&lt;=",QL$3),Movimientos!$C:$C,"&gt;0")+SUMIFS(Movimientos!$C:$C,Movimientos!$A:$A,$B18,Movimientos!$D:$D,CONCATENATE("&lt;",QL$3),Movimientos!$C:$C,"&lt;0")</f>
        <v>0</v>
      </c>
      <c r="QM18" s="5">
        <f ca="1">SUMIFS(Movimientos!$C:$C,Movimientos!$A:$A,$B18,Movimientos!$D:$D,CONCATENATE("&lt;=",QM$3),Movimientos!$C:$C,"&gt;0")+SUMIFS(Movimientos!$C:$C,Movimientos!$A:$A,$B18,Movimientos!$D:$D,CONCATENATE("&lt;",QM$3),Movimientos!$C:$C,"&lt;0")</f>
        <v>0</v>
      </c>
      <c r="QN18" s="5">
        <f ca="1">SUMIFS(Movimientos!$C:$C,Movimientos!$A:$A,$B18,Movimientos!$D:$D,CONCATENATE("&lt;=",QN$3),Movimientos!$C:$C,"&gt;0")+SUMIFS(Movimientos!$C:$C,Movimientos!$A:$A,$B18,Movimientos!$D:$D,CONCATENATE("&lt;",QN$3),Movimientos!$C:$C,"&lt;0")</f>
        <v>0</v>
      </c>
      <c r="QO18" s="5">
        <f ca="1">SUMIFS(Movimientos!$C:$C,Movimientos!$A:$A,$B18,Movimientos!$D:$D,CONCATENATE("&lt;=",QO$3),Movimientos!$C:$C,"&gt;0")+SUMIFS(Movimientos!$C:$C,Movimientos!$A:$A,$B18,Movimientos!$D:$D,CONCATENATE("&lt;",QO$3),Movimientos!$C:$C,"&lt;0")</f>
        <v>0</v>
      </c>
      <c r="QP18" s="5">
        <f ca="1">SUMIFS(Movimientos!$C:$C,Movimientos!$A:$A,$B18,Movimientos!$D:$D,CONCATENATE("&lt;=",QP$3),Movimientos!$C:$C,"&gt;0")+SUMIFS(Movimientos!$C:$C,Movimientos!$A:$A,$B18,Movimientos!$D:$D,CONCATENATE("&lt;",QP$3),Movimientos!$C:$C,"&lt;0")</f>
        <v>0</v>
      </c>
      <c r="QQ18" s="5">
        <f ca="1">SUMIFS(Movimientos!$C:$C,Movimientos!$A:$A,$B18,Movimientos!$D:$D,CONCATENATE("&lt;=",QQ$3),Movimientos!$C:$C,"&gt;0")+SUMIFS(Movimientos!$C:$C,Movimientos!$A:$A,$B18,Movimientos!$D:$D,CONCATENATE("&lt;",QQ$3),Movimientos!$C:$C,"&lt;0")</f>
        <v>0</v>
      </c>
      <c r="QR18" s="5">
        <f ca="1">SUMIFS(Movimientos!$C:$C,Movimientos!$A:$A,$B18,Movimientos!$D:$D,CONCATENATE("&lt;=",QR$3),Movimientos!$C:$C,"&gt;0")+SUMIFS(Movimientos!$C:$C,Movimientos!$A:$A,$B18,Movimientos!$D:$D,CONCATENATE("&lt;",QR$3),Movimientos!$C:$C,"&lt;0")</f>
        <v>0</v>
      </c>
      <c r="QS18" s="5">
        <f ca="1">SUMIFS(Movimientos!$C:$C,Movimientos!$A:$A,$B18,Movimientos!$D:$D,CONCATENATE("&lt;=",QS$3),Movimientos!$C:$C,"&gt;0")+SUMIFS(Movimientos!$C:$C,Movimientos!$A:$A,$B18,Movimientos!$D:$D,CONCATENATE("&lt;",QS$3),Movimientos!$C:$C,"&lt;0")</f>
        <v>0</v>
      </c>
      <c r="QT18" s="5">
        <f ca="1">SUMIFS(Movimientos!$C:$C,Movimientos!$A:$A,$B18,Movimientos!$D:$D,CONCATENATE("&lt;=",QT$3),Movimientos!$C:$C,"&gt;0")+SUMIFS(Movimientos!$C:$C,Movimientos!$A:$A,$B18,Movimientos!$D:$D,CONCATENATE("&lt;",QT$3),Movimientos!$C:$C,"&lt;0")</f>
        <v>0</v>
      </c>
      <c r="QU18" s="5">
        <f ca="1">SUMIFS(Movimientos!$C:$C,Movimientos!$A:$A,$B18,Movimientos!$D:$D,CONCATENATE("&lt;=",QU$3),Movimientos!$C:$C,"&gt;0")+SUMIFS(Movimientos!$C:$C,Movimientos!$A:$A,$B18,Movimientos!$D:$D,CONCATENATE("&lt;",QU$3),Movimientos!$C:$C,"&lt;0")</f>
        <v>0</v>
      </c>
      <c r="QV18" s="5">
        <f ca="1">SUMIFS(Movimientos!$C:$C,Movimientos!$A:$A,$B18,Movimientos!$D:$D,CONCATENATE("&lt;=",QV$3),Movimientos!$C:$C,"&gt;0")+SUMIFS(Movimientos!$C:$C,Movimientos!$A:$A,$B18,Movimientos!$D:$D,CONCATENATE("&lt;",QV$3),Movimientos!$C:$C,"&lt;0")</f>
        <v>0</v>
      </c>
      <c r="QW18" s="5">
        <f ca="1">SUMIFS(Movimientos!$C:$C,Movimientos!$A:$A,$B18,Movimientos!$D:$D,CONCATENATE("&lt;=",QW$3),Movimientos!$C:$C,"&gt;0")+SUMIFS(Movimientos!$C:$C,Movimientos!$A:$A,$B18,Movimientos!$D:$D,CONCATENATE("&lt;",QW$3),Movimientos!$C:$C,"&lt;0")</f>
        <v>0</v>
      </c>
      <c r="QX18" s="5">
        <f ca="1">SUMIFS(Movimientos!$C:$C,Movimientos!$A:$A,$B18,Movimientos!$D:$D,CONCATENATE("&lt;=",QX$3),Movimientos!$C:$C,"&gt;0")+SUMIFS(Movimientos!$C:$C,Movimientos!$A:$A,$B18,Movimientos!$D:$D,CONCATENATE("&lt;",QX$3),Movimientos!$C:$C,"&lt;0")</f>
        <v>0</v>
      </c>
      <c r="QY18" s="5">
        <f ca="1">SUMIFS(Movimientos!$C:$C,Movimientos!$A:$A,$B18,Movimientos!$D:$D,CONCATENATE("&lt;=",QY$3),Movimientos!$C:$C,"&gt;0")+SUMIFS(Movimientos!$C:$C,Movimientos!$A:$A,$B18,Movimientos!$D:$D,CONCATENATE("&lt;",QY$3),Movimientos!$C:$C,"&lt;0")</f>
        <v>0</v>
      </c>
      <c r="QZ18" s="5">
        <f ca="1">SUMIFS(Movimientos!$C:$C,Movimientos!$A:$A,$B18,Movimientos!$D:$D,CONCATENATE("&lt;=",QZ$3),Movimientos!$C:$C,"&gt;0")+SUMIFS(Movimientos!$C:$C,Movimientos!$A:$A,$B18,Movimientos!$D:$D,CONCATENATE("&lt;",QZ$3),Movimientos!$C:$C,"&lt;0")</f>
        <v>0</v>
      </c>
      <c r="RA18" s="5">
        <f ca="1">SUMIFS(Movimientos!$C:$C,Movimientos!$A:$A,$B18,Movimientos!$D:$D,CONCATENATE("&lt;=",RA$3),Movimientos!$C:$C,"&gt;0")+SUMIFS(Movimientos!$C:$C,Movimientos!$A:$A,$B18,Movimientos!$D:$D,CONCATENATE("&lt;",RA$3),Movimientos!$C:$C,"&lt;0")</f>
        <v>0</v>
      </c>
      <c r="RB18" s="5">
        <f ca="1">SUMIFS(Movimientos!$C:$C,Movimientos!$A:$A,$B18,Movimientos!$D:$D,CONCATENATE("&lt;=",RB$3),Movimientos!$C:$C,"&gt;0")+SUMIFS(Movimientos!$C:$C,Movimientos!$A:$A,$B18,Movimientos!$D:$D,CONCATENATE("&lt;",RB$3),Movimientos!$C:$C,"&lt;0")</f>
        <v>0</v>
      </c>
      <c r="RC18" s="5">
        <f ca="1">SUMIFS(Movimientos!$C:$C,Movimientos!$A:$A,$B18,Movimientos!$D:$D,CONCATENATE("&lt;=",RC$3),Movimientos!$C:$C,"&gt;0")+SUMIFS(Movimientos!$C:$C,Movimientos!$A:$A,$B18,Movimientos!$D:$D,CONCATENATE("&lt;",RC$3),Movimientos!$C:$C,"&lt;0")</f>
        <v>0</v>
      </c>
      <c r="RD18" s="5">
        <f ca="1">SUMIFS(Movimientos!$C:$C,Movimientos!$A:$A,$B18,Movimientos!$D:$D,CONCATENATE("&lt;=",RD$3),Movimientos!$C:$C,"&gt;0")+SUMIFS(Movimientos!$C:$C,Movimientos!$A:$A,$B18,Movimientos!$D:$D,CONCATENATE("&lt;",RD$3),Movimientos!$C:$C,"&lt;0")</f>
        <v>0</v>
      </c>
      <c r="RE18" s="5">
        <f ca="1">SUMIFS(Movimientos!$C:$C,Movimientos!$A:$A,$B18,Movimientos!$D:$D,CONCATENATE("&lt;=",RE$3),Movimientos!$C:$C,"&gt;0")+SUMIFS(Movimientos!$C:$C,Movimientos!$A:$A,$B18,Movimientos!$D:$D,CONCATENATE("&lt;",RE$3),Movimientos!$C:$C,"&lt;0")</f>
        <v>0</v>
      </c>
      <c r="RF18" s="5">
        <f ca="1">SUMIFS(Movimientos!$C:$C,Movimientos!$A:$A,$B18,Movimientos!$D:$D,CONCATENATE("&lt;=",RF$3),Movimientos!$C:$C,"&gt;0")+SUMIFS(Movimientos!$C:$C,Movimientos!$A:$A,$B18,Movimientos!$D:$D,CONCATENATE("&lt;",RF$3),Movimientos!$C:$C,"&lt;0")</f>
        <v>0</v>
      </c>
      <c r="RG18" s="5">
        <f ca="1">SUMIFS(Movimientos!$C:$C,Movimientos!$A:$A,$B18,Movimientos!$D:$D,CONCATENATE("&lt;=",RG$3),Movimientos!$C:$C,"&gt;0")+SUMIFS(Movimientos!$C:$C,Movimientos!$A:$A,$B18,Movimientos!$D:$D,CONCATENATE("&lt;",RG$3),Movimientos!$C:$C,"&lt;0")</f>
        <v>0</v>
      </c>
      <c r="RH18" s="5">
        <f ca="1">SUMIFS(Movimientos!$C:$C,Movimientos!$A:$A,$B18,Movimientos!$D:$D,CONCATENATE("&lt;=",RH$3),Movimientos!$C:$C,"&gt;0")+SUMIFS(Movimientos!$C:$C,Movimientos!$A:$A,$B18,Movimientos!$D:$D,CONCATENATE("&lt;",RH$3),Movimientos!$C:$C,"&lt;0")</f>
        <v>0</v>
      </c>
      <c r="RI18" s="5">
        <f ca="1">SUMIFS(Movimientos!$C:$C,Movimientos!$A:$A,$B18,Movimientos!$D:$D,CONCATENATE("&lt;=",RI$3),Movimientos!$C:$C,"&gt;0")+SUMIFS(Movimientos!$C:$C,Movimientos!$A:$A,$B18,Movimientos!$D:$D,CONCATENATE("&lt;",RI$3),Movimientos!$C:$C,"&lt;0")</f>
        <v>0</v>
      </c>
      <c r="RJ18" s="5">
        <f ca="1">SUMIFS(Movimientos!$C:$C,Movimientos!$A:$A,$B18,Movimientos!$D:$D,CONCATENATE("&lt;=",RJ$3),Movimientos!$C:$C,"&gt;0")+SUMIFS(Movimientos!$C:$C,Movimientos!$A:$A,$B18,Movimientos!$D:$D,CONCATENATE("&lt;",RJ$3),Movimientos!$C:$C,"&lt;0")</f>
        <v>0</v>
      </c>
      <c r="RK18" s="5">
        <f ca="1">SUMIFS(Movimientos!$C:$C,Movimientos!$A:$A,$B18,Movimientos!$D:$D,CONCATENATE("&lt;=",RK$3),Movimientos!$C:$C,"&gt;0")+SUMIFS(Movimientos!$C:$C,Movimientos!$A:$A,$B18,Movimientos!$D:$D,CONCATENATE("&lt;",RK$3),Movimientos!$C:$C,"&lt;0")</f>
        <v>0</v>
      </c>
      <c r="RL18" s="5">
        <f ca="1">SUMIFS(Movimientos!$C:$C,Movimientos!$A:$A,$B18,Movimientos!$D:$D,CONCATENATE("&lt;=",RL$3),Movimientos!$C:$C,"&gt;0")+SUMIFS(Movimientos!$C:$C,Movimientos!$A:$A,$B18,Movimientos!$D:$D,CONCATENATE("&lt;",RL$3),Movimientos!$C:$C,"&lt;0")</f>
        <v>0</v>
      </c>
      <c r="RM18" s="5">
        <f ca="1">SUMIFS(Movimientos!$C:$C,Movimientos!$A:$A,$B18,Movimientos!$D:$D,CONCATENATE("&lt;=",RM$3),Movimientos!$C:$C,"&gt;0")+SUMIFS(Movimientos!$C:$C,Movimientos!$A:$A,$B18,Movimientos!$D:$D,CONCATENATE("&lt;",RM$3),Movimientos!$C:$C,"&lt;0")</f>
        <v>0</v>
      </c>
      <c r="RN18" s="5">
        <f ca="1">SUMIFS(Movimientos!$C:$C,Movimientos!$A:$A,$B18,Movimientos!$D:$D,CONCATENATE("&lt;=",RN$3),Movimientos!$C:$C,"&gt;0")+SUMIFS(Movimientos!$C:$C,Movimientos!$A:$A,$B18,Movimientos!$D:$D,CONCATENATE("&lt;",RN$3),Movimientos!$C:$C,"&lt;0")</f>
        <v>0</v>
      </c>
      <c r="RO18" s="5">
        <f ca="1">SUMIFS(Movimientos!$C:$C,Movimientos!$A:$A,$B18,Movimientos!$D:$D,CONCATENATE("&lt;=",RO$3),Movimientos!$C:$C,"&gt;0")+SUMIFS(Movimientos!$C:$C,Movimientos!$A:$A,$B18,Movimientos!$D:$D,CONCATENATE("&lt;",RO$3),Movimientos!$C:$C,"&lt;0")</f>
        <v>0</v>
      </c>
      <c r="RP18" s="5">
        <f ca="1">SUMIFS(Movimientos!$C:$C,Movimientos!$A:$A,$B18,Movimientos!$D:$D,CONCATENATE("&lt;=",RP$3),Movimientos!$C:$C,"&gt;0")+SUMIFS(Movimientos!$C:$C,Movimientos!$A:$A,$B18,Movimientos!$D:$D,CONCATENATE("&lt;",RP$3),Movimientos!$C:$C,"&lt;0")</f>
        <v>0</v>
      </c>
      <c r="RQ18" s="5">
        <f ca="1">SUMIFS(Movimientos!$C:$C,Movimientos!$A:$A,$B18,Movimientos!$D:$D,CONCATENATE("&lt;=",RQ$3),Movimientos!$C:$C,"&gt;0")+SUMIFS(Movimientos!$C:$C,Movimientos!$A:$A,$B18,Movimientos!$D:$D,CONCATENATE("&lt;",RQ$3),Movimientos!$C:$C,"&lt;0")</f>
        <v>0</v>
      </c>
      <c r="RR18" s="5">
        <f ca="1">SUMIFS(Movimientos!$C:$C,Movimientos!$A:$A,$B18,Movimientos!$D:$D,CONCATENATE("&lt;=",RR$3),Movimientos!$C:$C,"&gt;0")+SUMIFS(Movimientos!$C:$C,Movimientos!$A:$A,$B18,Movimientos!$D:$D,CONCATENATE("&lt;",RR$3),Movimientos!$C:$C,"&lt;0")</f>
        <v>0</v>
      </c>
      <c r="RS18" s="5">
        <f ca="1">SUMIFS(Movimientos!$C:$C,Movimientos!$A:$A,$B18,Movimientos!$D:$D,CONCATENATE("&lt;=",RS$3),Movimientos!$C:$C,"&gt;0")+SUMIFS(Movimientos!$C:$C,Movimientos!$A:$A,$B18,Movimientos!$D:$D,CONCATENATE("&lt;",RS$3),Movimientos!$C:$C,"&lt;0")</f>
        <v>0</v>
      </c>
      <c r="RT18" s="5">
        <f ca="1">SUMIFS(Movimientos!$C:$C,Movimientos!$A:$A,$B18,Movimientos!$D:$D,CONCATENATE("&lt;=",RT$3),Movimientos!$C:$C,"&gt;0")+SUMIFS(Movimientos!$C:$C,Movimientos!$A:$A,$B18,Movimientos!$D:$D,CONCATENATE("&lt;",RT$3),Movimientos!$C:$C,"&lt;0")</f>
        <v>0</v>
      </c>
      <c r="RU18" s="5">
        <f ca="1">SUMIFS(Movimientos!$C:$C,Movimientos!$A:$A,$B18,Movimientos!$D:$D,CONCATENATE("&lt;=",RU$3),Movimientos!$C:$C,"&gt;0")+SUMIFS(Movimientos!$C:$C,Movimientos!$A:$A,$B18,Movimientos!$D:$D,CONCATENATE("&lt;",RU$3),Movimientos!$C:$C,"&lt;0")</f>
        <v>0</v>
      </c>
      <c r="RV18" s="5">
        <f ca="1">SUMIFS(Movimientos!$C:$C,Movimientos!$A:$A,$B18,Movimientos!$D:$D,CONCATENATE("&lt;=",RV$3),Movimientos!$C:$C,"&gt;0")+SUMIFS(Movimientos!$C:$C,Movimientos!$A:$A,$B18,Movimientos!$D:$D,CONCATENATE("&lt;",RV$3),Movimientos!$C:$C,"&lt;0")</f>
        <v>0</v>
      </c>
      <c r="RW18" s="5">
        <f ca="1">SUMIFS(Movimientos!$C:$C,Movimientos!$A:$A,$B18,Movimientos!$D:$D,CONCATENATE("&lt;=",RW$3),Movimientos!$C:$C,"&gt;0")+SUMIFS(Movimientos!$C:$C,Movimientos!$A:$A,$B18,Movimientos!$D:$D,CONCATENATE("&lt;",RW$3),Movimientos!$C:$C,"&lt;0")</f>
        <v>0</v>
      </c>
      <c r="RX18" s="5">
        <f ca="1">SUMIFS(Movimientos!$C:$C,Movimientos!$A:$A,$B18,Movimientos!$D:$D,CONCATENATE("&lt;=",RX$3),Movimientos!$C:$C,"&gt;0")+SUMIFS(Movimientos!$C:$C,Movimientos!$A:$A,$B18,Movimientos!$D:$D,CONCATENATE("&lt;",RX$3),Movimientos!$C:$C,"&lt;0")</f>
        <v>0</v>
      </c>
      <c r="RY18" s="5">
        <f ca="1">SUMIFS(Movimientos!$C:$C,Movimientos!$A:$A,$B18,Movimientos!$D:$D,CONCATENATE("&lt;=",RY$3),Movimientos!$C:$C,"&gt;0")+SUMIFS(Movimientos!$C:$C,Movimientos!$A:$A,$B18,Movimientos!$D:$D,CONCATENATE("&lt;",RY$3),Movimientos!$C:$C,"&lt;0")</f>
        <v>0</v>
      </c>
      <c r="RZ18" s="5">
        <f ca="1">SUMIFS(Movimientos!$C:$C,Movimientos!$A:$A,$B18,Movimientos!$D:$D,CONCATENATE("&lt;=",RZ$3),Movimientos!$C:$C,"&gt;0")+SUMIFS(Movimientos!$C:$C,Movimientos!$A:$A,$B18,Movimientos!$D:$D,CONCATENATE("&lt;",RZ$3),Movimientos!$C:$C,"&lt;0")</f>
        <v>0</v>
      </c>
      <c r="SA18" s="5">
        <f ca="1">SUMIFS(Movimientos!$C:$C,Movimientos!$A:$A,$B18,Movimientos!$D:$D,CONCATENATE("&lt;=",SA$3),Movimientos!$C:$C,"&gt;0")+SUMIFS(Movimientos!$C:$C,Movimientos!$A:$A,$B18,Movimientos!$D:$D,CONCATENATE("&lt;",SA$3),Movimientos!$C:$C,"&lt;0")</f>
        <v>0</v>
      </c>
      <c r="SB18" s="5">
        <f ca="1">SUMIFS(Movimientos!$C:$C,Movimientos!$A:$A,$B18,Movimientos!$D:$D,CONCATENATE("&lt;=",SB$3),Movimientos!$C:$C,"&gt;0")+SUMIFS(Movimientos!$C:$C,Movimientos!$A:$A,$B18,Movimientos!$D:$D,CONCATENATE("&lt;",SB$3),Movimientos!$C:$C,"&lt;0")</f>
        <v>0</v>
      </c>
      <c r="SC18" s="5">
        <f ca="1">SUMIFS(Movimientos!$C:$C,Movimientos!$A:$A,$B18,Movimientos!$D:$D,CONCATENATE("&lt;=",SC$3),Movimientos!$C:$C,"&gt;0")+SUMIFS(Movimientos!$C:$C,Movimientos!$A:$A,$B18,Movimientos!$D:$D,CONCATENATE("&lt;",SC$3),Movimientos!$C:$C,"&lt;0")</f>
        <v>0</v>
      </c>
      <c r="SD18" s="5">
        <f ca="1">SUMIFS(Movimientos!$C:$C,Movimientos!$A:$A,$B18,Movimientos!$D:$D,CONCATENATE("&lt;=",SD$3),Movimientos!$C:$C,"&gt;0")+SUMIFS(Movimientos!$C:$C,Movimientos!$A:$A,$B18,Movimientos!$D:$D,CONCATENATE("&lt;",SD$3),Movimientos!$C:$C,"&lt;0")</f>
        <v>0</v>
      </c>
      <c r="SE18" s="5">
        <f ca="1">SUMIFS(Movimientos!$C:$C,Movimientos!$A:$A,$B18,Movimientos!$D:$D,CONCATENATE("&lt;=",SE$3),Movimientos!$C:$C,"&gt;0")+SUMIFS(Movimientos!$C:$C,Movimientos!$A:$A,$B18,Movimientos!$D:$D,CONCATENATE("&lt;",SE$3),Movimientos!$C:$C,"&lt;0")</f>
        <v>0</v>
      </c>
      <c r="SF18" s="5">
        <f ca="1">SUMIFS(Movimientos!$C:$C,Movimientos!$A:$A,$B18,Movimientos!$D:$D,CONCATENATE("&lt;=",SF$3),Movimientos!$C:$C,"&gt;0")+SUMIFS(Movimientos!$C:$C,Movimientos!$A:$A,$B18,Movimientos!$D:$D,CONCATENATE("&lt;",SF$3),Movimientos!$C:$C,"&lt;0")</f>
        <v>0</v>
      </c>
      <c r="SG18" s="5">
        <f ca="1">SUMIFS(Movimientos!$C:$C,Movimientos!$A:$A,$B18,Movimientos!$D:$D,CONCATENATE("&lt;=",SG$3),Movimientos!$C:$C,"&gt;0")+SUMIFS(Movimientos!$C:$C,Movimientos!$A:$A,$B18,Movimientos!$D:$D,CONCATENATE("&lt;",SG$3),Movimientos!$C:$C,"&lt;0")</f>
        <v>0</v>
      </c>
      <c r="SH18" s="5">
        <f ca="1">SUMIFS(Movimientos!$C:$C,Movimientos!$A:$A,$B18,Movimientos!$D:$D,CONCATENATE("&lt;=",SH$3),Movimientos!$C:$C,"&gt;0")+SUMIFS(Movimientos!$C:$C,Movimientos!$A:$A,$B18,Movimientos!$D:$D,CONCATENATE("&lt;",SH$3),Movimientos!$C:$C,"&lt;0")</f>
        <v>0</v>
      </c>
      <c r="SI18" s="5">
        <f ca="1">SUMIFS(Movimientos!$C:$C,Movimientos!$A:$A,$B18,Movimientos!$D:$D,CONCATENATE("&lt;=",SI$3),Movimientos!$C:$C,"&gt;0")+SUMIFS(Movimientos!$C:$C,Movimientos!$A:$A,$B18,Movimientos!$D:$D,CONCATENATE("&lt;",SI$3),Movimientos!$C:$C,"&lt;0")</f>
        <v>0</v>
      </c>
      <c r="SJ18" s="5">
        <f ca="1">SUMIFS(Movimientos!$C:$C,Movimientos!$A:$A,$B18,Movimientos!$D:$D,CONCATENATE("&lt;=",SJ$3),Movimientos!$C:$C,"&gt;0")+SUMIFS(Movimientos!$C:$C,Movimientos!$A:$A,$B18,Movimientos!$D:$D,CONCATENATE("&lt;",SJ$3),Movimientos!$C:$C,"&lt;0")</f>
        <v>0</v>
      </c>
      <c r="SK18" s="5">
        <f ca="1">SUMIFS(Movimientos!$C:$C,Movimientos!$A:$A,$B18,Movimientos!$D:$D,CONCATENATE("&lt;=",SK$3),Movimientos!$C:$C,"&gt;0")+SUMIFS(Movimientos!$C:$C,Movimientos!$A:$A,$B18,Movimientos!$D:$D,CONCATENATE("&lt;",SK$3),Movimientos!$C:$C,"&lt;0")</f>
        <v>0</v>
      </c>
      <c r="SL18" s="5">
        <f ca="1">SUMIFS(Movimientos!$C:$C,Movimientos!$A:$A,$B18,Movimientos!$D:$D,CONCATENATE("&lt;=",SL$3),Movimientos!$C:$C,"&gt;0")+SUMIFS(Movimientos!$C:$C,Movimientos!$A:$A,$B18,Movimientos!$D:$D,CONCATENATE("&lt;",SL$3),Movimientos!$C:$C,"&lt;0")</f>
        <v>0</v>
      </c>
      <c r="SM18" s="5">
        <f ca="1">SUMIFS(Movimientos!$C:$C,Movimientos!$A:$A,$B18,Movimientos!$D:$D,CONCATENATE("&lt;=",SM$3),Movimientos!$C:$C,"&gt;0")+SUMIFS(Movimientos!$C:$C,Movimientos!$A:$A,$B18,Movimientos!$D:$D,CONCATENATE("&lt;",SM$3),Movimientos!$C:$C,"&lt;0")</f>
        <v>0</v>
      </c>
      <c r="SN18" s="5">
        <f ca="1">SUMIFS(Movimientos!$C:$C,Movimientos!$A:$A,$B18,Movimientos!$D:$D,CONCATENATE("&lt;=",SN$3),Movimientos!$C:$C,"&gt;0")+SUMIFS(Movimientos!$C:$C,Movimientos!$A:$A,$B18,Movimientos!$D:$D,CONCATENATE("&lt;",SN$3),Movimientos!$C:$C,"&lt;0")</f>
        <v>0</v>
      </c>
      <c r="SO18" s="5">
        <f ca="1">SUMIFS(Movimientos!$C:$C,Movimientos!$A:$A,$B18,Movimientos!$D:$D,CONCATENATE("&lt;=",SO$3),Movimientos!$C:$C,"&gt;0")+SUMIFS(Movimientos!$C:$C,Movimientos!$A:$A,$B18,Movimientos!$D:$D,CONCATENATE("&lt;",SO$3),Movimientos!$C:$C,"&lt;0")</f>
        <v>0</v>
      </c>
      <c r="SP18" s="5">
        <f ca="1">SUMIFS(Movimientos!$C:$C,Movimientos!$A:$A,$B18,Movimientos!$D:$D,CONCATENATE("&lt;=",SP$3),Movimientos!$C:$C,"&gt;0")+SUMIFS(Movimientos!$C:$C,Movimientos!$A:$A,$B18,Movimientos!$D:$D,CONCATENATE("&lt;",SP$3),Movimientos!$C:$C,"&lt;0")</f>
        <v>0</v>
      </c>
      <c r="SQ18" s="5">
        <f ca="1">SUMIFS(Movimientos!$C:$C,Movimientos!$A:$A,$B18,Movimientos!$D:$D,CONCATENATE("&lt;=",SQ$3),Movimientos!$C:$C,"&gt;0")+SUMIFS(Movimientos!$C:$C,Movimientos!$A:$A,$B18,Movimientos!$D:$D,CONCATENATE("&lt;",SQ$3),Movimientos!$C:$C,"&lt;0")</f>
        <v>0</v>
      </c>
      <c r="SR18" s="5">
        <f ca="1">SUMIFS(Movimientos!$C:$C,Movimientos!$A:$A,$B18,Movimientos!$D:$D,CONCATENATE("&lt;=",SR$3),Movimientos!$C:$C,"&gt;0")+SUMIFS(Movimientos!$C:$C,Movimientos!$A:$A,$B18,Movimientos!$D:$D,CONCATENATE("&lt;",SR$3),Movimientos!$C:$C,"&lt;0")</f>
        <v>0</v>
      </c>
      <c r="SS18" s="5">
        <f ca="1">SUMIFS(Movimientos!$C:$C,Movimientos!$A:$A,$B18,Movimientos!$D:$D,CONCATENATE("&lt;=",SS$3),Movimientos!$C:$C,"&gt;0")+SUMIFS(Movimientos!$C:$C,Movimientos!$A:$A,$B18,Movimientos!$D:$D,CONCATENATE("&lt;",SS$3),Movimientos!$C:$C,"&lt;0")</f>
        <v>0</v>
      </c>
      <c r="ST18" s="5">
        <f ca="1">SUMIFS(Movimientos!$C:$C,Movimientos!$A:$A,$B18,Movimientos!$D:$D,CONCATENATE("&lt;=",ST$3),Movimientos!$C:$C,"&gt;0")+SUMIFS(Movimientos!$C:$C,Movimientos!$A:$A,$B18,Movimientos!$D:$D,CONCATENATE("&lt;",ST$3),Movimientos!$C:$C,"&lt;0")</f>
        <v>0</v>
      </c>
      <c r="SU18" s="5">
        <f ca="1">SUMIFS(Movimientos!$C:$C,Movimientos!$A:$A,$B18,Movimientos!$D:$D,CONCATENATE("&lt;=",SU$3),Movimientos!$C:$C,"&gt;0")+SUMIFS(Movimientos!$C:$C,Movimientos!$A:$A,$B18,Movimientos!$D:$D,CONCATENATE("&lt;",SU$3),Movimientos!$C:$C,"&lt;0")</f>
        <v>0</v>
      </c>
      <c r="SV18" s="5">
        <f ca="1">SUMIFS(Movimientos!$C:$C,Movimientos!$A:$A,$B18,Movimientos!$D:$D,CONCATENATE("&lt;=",SV$3),Movimientos!$C:$C,"&gt;0")+SUMIFS(Movimientos!$C:$C,Movimientos!$A:$A,$B18,Movimientos!$D:$D,CONCATENATE("&lt;",SV$3),Movimientos!$C:$C,"&lt;0")</f>
        <v>0</v>
      </c>
      <c r="SW18" s="5">
        <f ca="1">SUMIFS(Movimientos!$C:$C,Movimientos!$A:$A,$B18,Movimientos!$D:$D,CONCATENATE("&lt;=",SW$3),Movimientos!$C:$C,"&gt;0")+SUMIFS(Movimientos!$C:$C,Movimientos!$A:$A,$B18,Movimientos!$D:$D,CONCATENATE("&lt;",SW$3),Movimientos!$C:$C,"&lt;0")</f>
        <v>0</v>
      </c>
      <c r="SX18" s="5">
        <f ca="1">SUMIFS(Movimientos!$C:$C,Movimientos!$A:$A,$B18,Movimientos!$D:$D,CONCATENATE("&lt;=",SX$3),Movimientos!$C:$C,"&gt;0")+SUMIFS(Movimientos!$C:$C,Movimientos!$A:$A,$B18,Movimientos!$D:$D,CONCATENATE("&lt;",SX$3),Movimientos!$C:$C,"&lt;0")</f>
        <v>0</v>
      </c>
      <c r="SY18" s="5">
        <f ca="1">SUMIFS(Movimientos!$C:$C,Movimientos!$A:$A,$B18,Movimientos!$D:$D,CONCATENATE("&lt;=",SY$3),Movimientos!$C:$C,"&gt;0")+SUMIFS(Movimientos!$C:$C,Movimientos!$A:$A,$B18,Movimientos!$D:$D,CONCATENATE("&lt;",SY$3),Movimientos!$C:$C,"&lt;0")</f>
        <v>0</v>
      </c>
      <c r="SZ18" s="5">
        <f ca="1">SUMIFS(Movimientos!$C:$C,Movimientos!$A:$A,$B18,Movimientos!$D:$D,CONCATENATE("&lt;=",SZ$3),Movimientos!$C:$C,"&gt;0")+SUMIFS(Movimientos!$C:$C,Movimientos!$A:$A,$B18,Movimientos!$D:$D,CONCATENATE("&lt;",SZ$3),Movimientos!$C:$C,"&lt;0")</f>
        <v>0</v>
      </c>
      <c r="TA18" s="5">
        <f ca="1">SUMIFS(Movimientos!$C:$C,Movimientos!$A:$A,$B18,Movimientos!$D:$D,CONCATENATE("&lt;=",TA$3),Movimientos!$C:$C,"&gt;0")+SUMIFS(Movimientos!$C:$C,Movimientos!$A:$A,$B18,Movimientos!$D:$D,CONCATENATE("&lt;",TA$3),Movimientos!$C:$C,"&lt;0")</f>
        <v>0</v>
      </c>
      <c r="TB18" s="5">
        <f ca="1">SUMIFS(Movimientos!$C:$C,Movimientos!$A:$A,$B18,Movimientos!$D:$D,CONCATENATE("&lt;=",TB$3),Movimientos!$C:$C,"&gt;0")+SUMIFS(Movimientos!$C:$C,Movimientos!$A:$A,$B18,Movimientos!$D:$D,CONCATENATE("&lt;",TB$3),Movimientos!$C:$C,"&lt;0")</f>
        <v>0</v>
      </c>
      <c r="TC18" s="5">
        <f ca="1">SUMIFS(Movimientos!$C:$C,Movimientos!$A:$A,$B18,Movimientos!$D:$D,CONCATENATE("&lt;=",TC$3),Movimientos!$C:$C,"&gt;0")+SUMIFS(Movimientos!$C:$C,Movimientos!$A:$A,$B18,Movimientos!$D:$D,CONCATENATE("&lt;",TC$3),Movimientos!$C:$C,"&lt;0")</f>
        <v>0</v>
      </c>
      <c r="TD18" s="5">
        <f ca="1">SUMIFS(Movimientos!$C:$C,Movimientos!$A:$A,$B18,Movimientos!$D:$D,CONCATENATE("&lt;=",TD$3),Movimientos!$C:$C,"&gt;0")+SUMIFS(Movimientos!$C:$C,Movimientos!$A:$A,$B18,Movimientos!$D:$D,CONCATENATE("&lt;",TD$3),Movimientos!$C:$C,"&lt;0")</f>
        <v>0</v>
      </c>
      <c r="TE18" s="5">
        <f ca="1">SUMIFS(Movimientos!$C:$C,Movimientos!$A:$A,$B18,Movimientos!$D:$D,CONCATENATE("&lt;=",TE$3),Movimientos!$C:$C,"&gt;0")+SUMIFS(Movimientos!$C:$C,Movimientos!$A:$A,$B18,Movimientos!$D:$D,CONCATENATE("&lt;",TE$3),Movimientos!$C:$C,"&lt;0")</f>
        <v>0</v>
      </c>
      <c r="TF18" s="5">
        <f ca="1">SUMIFS(Movimientos!$C:$C,Movimientos!$A:$A,$B18,Movimientos!$D:$D,CONCATENATE("&lt;=",TF$3),Movimientos!$C:$C,"&gt;0")+SUMIFS(Movimientos!$C:$C,Movimientos!$A:$A,$B18,Movimientos!$D:$D,CONCATENATE("&lt;",TF$3),Movimientos!$C:$C,"&lt;0")</f>
        <v>0</v>
      </c>
    </row>
    <row r="19" spans="1:526">
      <c r="A19" s="31" t="s">
        <v>48</v>
      </c>
      <c r="B19" s="4">
        <f>Cartera!B19</f>
        <v>0</v>
      </c>
      <c r="C19" s="4">
        <f>Cartera!C19</f>
        <v>0</v>
      </c>
      <c r="D19" s="5">
        <f ca="1">SUMIFS(Movimientos!$C:$C,Movimientos!$A:$A,$B19,Movimientos!$D:$D,CONCATENATE("&lt;=",D$3),Movimientos!$C:$C,"&gt;0")+SUMIFS(Movimientos!$C:$C,Movimientos!$A:$A,$B19,Movimientos!$D:$D,CONCATENATE("&lt;",D$3),Movimientos!$C:$C,"&lt;0")</f>
        <v>0</v>
      </c>
      <c r="E19" s="5">
        <f ca="1">SUMIFS(Movimientos!$C:$C,Movimientos!$A:$A,$B19,Movimientos!$D:$D,CONCATENATE("&lt;=",E$3),Movimientos!$C:$C,"&gt;0")+SUMIFS(Movimientos!$C:$C,Movimientos!$A:$A,$B19,Movimientos!$D:$D,CONCATENATE("&lt;",E$3),Movimientos!$C:$C,"&lt;0")</f>
        <v>0</v>
      </c>
      <c r="F19" s="5">
        <f ca="1">SUMIFS(Movimientos!$C:$C,Movimientos!$A:$A,$B19,Movimientos!$D:$D,CONCATENATE("&lt;=",F$3),Movimientos!$C:$C,"&gt;0")+SUMIFS(Movimientos!$C:$C,Movimientos!$A:$A,$B19,Movimientos!$D:$D,CONCATENATE("&lt;",F$3),Movimientos!$C:$C,"&lt;0")</f>
        <v>0</v>
      </c>
      <c r="G19" s="5">
        <f ca="1">SUMIFS(Movimientos!$C:$C,Movimientos!$A:$A,$B19,Movimientos!$D:$D,CONCATENATE("&lt;=",G$3),Movimientos!$C:$C,"&gt;0")+SUMIFS(Movimientos!$C:$C,Movimientos!$A:$A,$B19,Movimientos!$D:$D,CONCATENATE("&lt;",G$3),Movimientos!$C:$C,"&lt;0")</f>
        <v>0</v>
      </c>
      <c r="H19" s="5">
        <f ca="1">SUMIFS(Movimientos!$C:$C,Movimientos!$A:$A,$B19,Movimientos!$D:$D,CONCATENATE("&lt;=",H$3),Movimientos!$C:$C,"&gt;0")+SUMIFS(Movimientos!$C:$C,Movimientos!$A:$A,$B19,Movimientos!$D:$D,CONCATENATE("&lt;",H$3),Movimientos!$C:$C,"&lt;0")</f>
        <v>0</v>
      </c>
      <c r="I19" s="5">
        <f ca="1">SUMIFS(Movimientos!$C:$C,Movimientos!$A:$A,$B19,Movimientos!$D:$D,CONCATENATE("&lt;=",I$3),Movimientos!$C:$C,"&gt;0")+SUMIFS(Movimientos!$C:$C,Movimientos!$A:$A,$B19,Movimientos!$D:$D,CONCATENATE("&lt;",I$3),Movimientos!$C:$C,"&lt;0")</f>
        <v>0</v>
      </c>
      <c r="J19" s="5">
        <f ca="1">SUMIFS(Movimientos!$C:$C,Movimientos!$A:$A,$B19,Movimientos!$D:$D,CONCATENATE("&lt;=",J$3),Movimientos!$C:$C,"&gt;0")+SUMIFS(Movimientos!$C:$C,Movimientos!$A:$A,$B19,Movimientos!$D:$D,CONCATENATE("&lt;",J$3),Movimientos!$C:$C,"&lt;0")</f>
        <v>0</v>
      </c>
      <c r="K19" s="5">
        <f ca="1">SUMIFS(Movimientos!$C:$C,Movimientos!$A:$A,$B19,Movimientos!$D:$D,CONCATENATE("&lt;=",K$3),Movimientos!$C:$C,"&gt;0")+SUMIFS(Movimientos!$C:$C,Movimientos!$A:$A,$B19,Movimientos!$D:$D,CONCATENATE("&lt;",K$3),Movimientos!$C:$C,"&lt;0")</f>
        <v>0</v>
      </c>
      <c r="L19" s="5">
        <f ca="1">SUMIFS(Movimientos!$C:$C,Movimientos!$A:$A,$B19,Movimientos!$D:$D,CONCATENATE("&lt;=",L$3),Movimientos!$C:$C,"&gt;0")+SUMIFS(Movimientos!$C:$C,Movimientos!$A:$A,$B19,Movimientos!$D:$D,CONCATENATE("&lt;",L$3),Movimientos!$C:$C,"&lt;0")</f>
        <v>0</v>
      </c>
      <c r="M19" s="5">
        <f ca="1">SUMIFS(Movimientos!$C:$C,Movimientos!$A:$A,$B19,Movimientos!$D:$D,CONCATENATE("&lt;=",M$3),Movimientos!$C:$C,"&gt;0")+SUMIFS(Movimientos!$C:$C,Movimientos!$A:$A,$B19,Movimientos!$D:$D,CONCATENATE("&lt;",M$3),Movimientos!$C:$C,"&lt;0")</f>
        <v>0</v>
      </c>
      <c r="N19" s="5">
        <f ca="1">SUMIFS(Movimientos!$C:$C,Movimientos!$A:$A,$B19,Movimientos!$D:$D,CONCATENATE("&lt;=",N$3),Movimientos!$C:$C,"&gt;0")+SUMIFS(Movimientos!$C:$C,Movimientos!$A:$A,$B19,Movimientos!$D:$D,CONCATENATE("&lt;",N$3),Movimientos!$C:$C,"&lt;0")</f>
        <v>0</v>
      </c>
      <c r="O19" s="5">
        <f ca="1">SUMIFS(Movimientos!$C:$C,Movimientos!$A:$A,$B19,Movimientos!$D:$D,CONCATENATE("&lt;=",O$3),Movimientos!$C:$C,"&gt;0")+SUMIFS(Movimientos!$C:$C,Movimientos!$A:$A,$B19,Movimientos!$D:$D,CONCATENATE("&lt;",O$3),Movimientos!$C:$C,"&lt;0")</f>
        <v>0</v>
      </c>
      <c r="P19" s="5">
        <f ca="1">SUMIFS(Movimientos!$C:$C,Movimientos!$A:$A,$B19,Movimientos!$D:$D,CONCATENATE("&lt;=",P$3),Movimientos!$C:$C,"&gt;0")+SUMIFS(Movimientos!$C:$C,Movimientos!$A:$A,$B19,Movimientos!$D:$D,CONCATENATE("&lt;",P$3),Movimientos!$C:$C,"&lt;0")</f>
        <v>0</v>
      </c>
      <c r="Q19" s="5">
        <f ca="1">SUMIFS(Movimientos!$C:$C,Movimientos!$A:$A,$B19,Movimientos!$D:$D,CONCATENATE("&lt;=",Q$3),Movimientos!$C:$C,"&gt;0")+SUMIFS(Movimientos!$C:$C,Movimientos!$A:$A,$B19,Movimientos!$D:$D,CONCATENATE("&lt;",Q$3),Movimientos!$C:$C,"&lt;0")</f>
        <v>0</v>
      </c>
      <c r="R19" s="5">
        <f ca="1">SUMIFS(Movimientos!$C:$C,Movimientos!$A:$A,$B19,Movimientos!$D:$D,CONCATENATE("&lt;=",R$3),Movimientos!$C:$C,"&gt;0")+SUMIFS(Movimientos!$C:$C,Movimientos!$A:$A,$B19,Movimientos!$D:$D,CONCATENATE("&lt;",R$3),Movimientos!$C:$C,"&lt;0")</f>
        <v>0</v>
      </c>
      <c r="S19" s="5">
        <f ca="1">SUMIFS(Movimientos!$C:$C,Movimientos!$A:$A,$B19,Movimientos!$D:$D,CONCATENATE("&lt;=",S$3),Movimientos!$C:$C,"&gt;0")+SUMIFS(Movimientos!$C:$C,Movimientos!$A:$A,$B19,Movimientos!$D:$D,CONCATENATE("&lt;",S$3),Movimientos!$C:$C,"&lt;0")</f>
        <v>0</v>
      </c>
      <c r="T19" s="5">
        <f ca="1">SUMIFS(Movimientos!$C:$C,Movimientos!$A:$A,$B19,Movimientos!$D:$D,CONCATENATE("&lt;=",T$3),Movimientos!$C:$C,"&gt;0")+SUMIFS(Movimientos!$C:$C,Movimientos!$A:$A,$B19,Movimientos!$D:$D,CONCATENATE("&lt;",T$3),Movimientos!$C:$C,"&lt;0")</f>
        <v>0</v>
      </c>
      <c r="U19" s="5">
        <f ca="1">SUMIFS(Movimientos!$C:$C,Movimientos!$A:$A,$B19,Movimientos!$D:$D,CONCATENATE("&lt;=",U$3),Movimientos!$C:$C,"&gt;0")+SUMIFS(Movimientos!$C:$C,Movimientos!$A:$A,$B19,Movimientos!$D:$D,CONCATENATE("&lt;",U$3),Movimientos!$C:$C,"&lt;0")</f>
        <v>0</v>
      </c>
      <c r="V19" s="5">
        <f ca="1">SUMIFS(Movimientos!$C:$C,Movimientos!$A:$A,$B19,Movimientos!$D:$D,CONCATENATE("&lt;=",V$3),Movimientos!$C:$C,"&gt;0")+SUMIFS(Movimientos!$C:$C,Movimientos!$A:$A,$B19,Movimientos!$D:$D,CONCATENATE("&lt;",V$3),Movimientos!$C:$C,"&lt;0")</f>
        <v>0</v>
      </c>
      <c r="W19" s="5">
        <f ca="1">SUMIFS(Movimientos!$C:$C,Movimientos!$A:$A,$B19,Movimientos!$D:$D,CONCATENATE("&lt;=",W$3),Movimientos!$C:$C,"&gt;0")+SUMIFS(Movimientos!$C:$C,Movimientos!$A:$A,$B19,Movimientos!$D:$D,CONCATENATE("&lt;",W$3),Movimientos!$C:$C,"&lt;0")</f>
        <v>0</v>
      </c>
      <c r="X19" s="5">
        <f ca="1">SUMIFS(Movimientos!$C:$C,Movimientos!$A:$A,$B19,Movimientos!$D:$D,CONCATENATE("&lt;=",X$3),Movimientos!$C:$C,"&gt;0")+SUMIFS(Movimientos!$C:$C,Movimientos!$A:$A,$B19,Movimientos!$D:$D,CONCATENATE("&lt;",X$3),Movimientos!$C:$C,"&lt;0")</f>
        <v>0</v>
      </c>
      <c r="Y19" s="5">
        <f ca="1">SUMIFS(Movimientos!$C:$C,Movimientos!$A:$A,$B19,Movimientos!$D:$D,CONCATENATE("&lt;=",Y$3),Movimientos!$C:$C,"&gt;0")+SUMIFS(Movimientos!$C:$C,Movimientos!$A:$A,$B19,Movimientos!$D:$D,CONCATENATE("&lt;",Y$3),Movimientos!$C:$C,"&lt;0")</f>
        <v>0</v>
      </c>
      <c r="Z19" s="5">
        <f ca="1">SUMIFS(Movimientos!$C:$C,Movimientos!$A:$A,$B19,Movimientos!$D:$D,CONCATENATE("&lt;=",Z$3),Movimientos!$C:$C,"&gt;0")+SUMIFS(Movimientos!$C:$C,Movimientos!$A:$A,$B19,Movimientos!$D:$D,CONCATENATE("&lt;",Z$3),Movimientos!$C:$C,"&lt;0")</f>
        <v>0</v>
      </c>
      <c r="AA19" s="5">
        <f ca="1">SUMIFS(Movimientos!$C:$C,Movimientos!$A:$A,$B19,Movimientos!$D:$D,CONCATENATE("&lt;=",AA$3),Movimientos!$C:$C,"&gt;0")+SUMIFS(Movimientos!$C:$C,Movimientos!$A:$A,$B19,Movimientos!$D:$D,CONCATENATE("&lt;",AA$3),Movimientos!$C:$C,"&lt;0")</f>
        <v>0</v>
      </c>
      <c r="AB19" s="5">
        <f ca="1">SUMIFS(Movimientos!$C:$C,Movimientos!$A:$A,$B19,Movimientos!$D:$D,CONCATENATE("&lt;=",AB$3),Movimientos!$C:$C,"&gt;0")+SUMIFS(Movimientos!$C:$C,Movimientos!$A:$A,$B19,Movimientos!$D:$D,CONCATENATE("&lt;",AB$3),Movimientos!$C:$C,"&lt;0")</f>
        <v>0</v>
      </c>
      <c r="AC19" s="5">
        <f ca="1">SUMIFS(Movimientos!$C:$C,Movimientos!$A:$A,$B19,Movimientos!$D:$D,CONCATENATE("&lt;=",AC$3),Movimientos!$C:$C,"&gt;0")+SUMIFS(Movimientos!$C:$C,Movimientos!$A:$A,$B19,Movimientos!$D:$D,CONCATENATE("&lt;",AC$3),Movimientos!$C:$C,"&lt;0")</f>
        <v>0</v>
      </c>
      <c r="AD19" s="5">
        <f ca="1">SUMIFS(Movimientos!$C:$C,Movimientos!$A:$A,$B19,Movimientos!$D:$D,CONCATENATE("&lt;=",AD$3),Movimientos!$C:$C,"&gt;0")+SUMIFS(Movimientos!$C:$C,Movimientos!$A:$A,$B19,Movimientos!$D:$D,CONCATENATE("&lt;",AD$3),Movimientos!$C:$C,"&lt;0")</f>
        <v>0</v>
      </c>
      <c r="AE19" s="5">
        <f ca="1">SUMIFS(Movimientos!$C:$C,Movimientos!$A:$A,$B19,Movimientos!$D:$D,CONCATENATE("&lt;=",AE$3),Movimientos!$C:$C,"&gt;0")+SUMIFS(Movimientos!$C:$C,Movimientos!$A:$A,$B19,Movimientos!$D:$D,CONCATENATE("&lt;",AE$3),Movimientos!$C:$C,"&lt;0")</f>
        <v>0</v>
      </c>
      <c r="AF19" s="5">
        <f ca="1">SUMIFS(Movimientos!$C:$C,Movimientos!$A:$A,$B19,Movimientos!$D:$D,CONCATENATE("&lt;=",AF$3),Movimientos!$C:$C,"&gt;0")+SUMIFS(Movimientos!$C:$C,Movimientos!$A:$A,$B19,Movimientos!$D:$D,CONCATENATE("&lt;",AF$3),Movimientos!$C:$C,"&lt;0")</f>
        <v>0</v>
      </c>
      <c r="AG19" s="5">
        <f ca="1">SUMIFS(Movimientos!$C:$C,Movimientos!$A:$A,$B19,Movimientos!$D:$D,CONCATENATE("&lt;=",AG$3),Movimientos!$C:$C,"&gt;0")+SUMIFS(Movimientos!$C:$C,Movimientos!$A:$A,$B19,Movimientos!$D:$D,CONCATENATE("&lt;",AG$3),Movimientos!$C:$C,"&lt;0")</f>
        <v>0</v>
      </c>
      <c r="AH19" s="5">
        <f ca="1">SUMIFS(Movimientos!$C:$C,Movimientos!$A:$A,$B19,Movimientos!$D:$D,CONCATENATE("&lt;=",AH$3),Movimientos!$C:$C,"&gt;0")+SUMIFS(Movimientos!$C:$C,Movimientos!$A:$A,$B19,Movimientos!$D:$D,CONCATENATE("&lt;",AH$3),Movimientos!$C:$C,"&lt;0")</f>
        <v>0</v>
      </c>
      <c r="AI19" s="5">
        <f ca="1">SUMIFS(Movimientos!$C:$C,Movimientos!$A:$A,$B19,Movimientos!$D:$D,CONCATENATE("&lt;=",AI$3),Movimientos!$C:$C,"&gt;0")+SUMIFS(Movimientos!$C:$C,Movimientos!$A:$A,$B19,Movimientos!$D:$D,CONCATENATE("&lt;",AI$3),Movimientos!$C:$C,"&lt;0")</f>
        <v>0</v>
      </c>
      <c r="AJ19" s="5">
        <f ca="1">SUMIFS(Movimientos!$C:$C,Movimientos!$A:$A,$B19,Movimientos!$D:$D,CONCATENATE("&lt;=",AJ$3),Movimientos!$C:$C,"&gt;0")+SUMIFS(Movimientos!$C:$C,Movimientos!$A:$A,$B19,Movimientos!$D:$D,CONCATENATE("&lt;",AJ$3),Movimientos!$C:$C,"&lt;0")</f>
        <v>0</v>
      </c>
      <c r="AK19" s="5">
        <f ca="1">SUMIFS(Movimientos!$C:$C,Movimientos!$A:$A,$B19,Movimientos!$D:$D,CONCATENATE("&lt;=",AK$3),Movimientos!$C:$C,"&gt;0")+SUMIFS(Movimientos!$C:$C,Movimientos!$A:$A,$B19,Movimientos!$D:$D,CONCATENATE("&lt;",AK$3),Movimientos!$C:$C,"&lt;0")</f>
        <v>0</v>
      </c>
      <c r="AL19" s="5">
        <f ca="1">SUMIFS(Movimientos!$C:$C,Movimientos!$A:$A,$B19,Movimientos!$D:$D,CONCATENATE("&lt;=",AL$3),Movimientos!$C:$C,"&gt;0")+SUMIFS(Movimientos!$C:$C,Movimientos!$A:$A,$B19,Movimientos!$D:$D,CONCATENATE("&lt;",AL$3),Movimientos!$C:$C,"&lt;0")</f>
        <v>0</v>
      </c>
      <c r="AM19" s="5">
        <f ca="1">SUMIFS(Movimientos!$C:$C,Movimientos!$A:$A,$B19,Movimientos!$D:$D,CONCATENATE("&lt;=",AM$3),Movimientos!$C:$C,"&gt;0")+SUMIFS(Movimientos!$C:$C,Movimientos!$A:$A,$B19,Movimientos!$D:$D,CONCATENATE("&lt;",AM$3),Movimientos!$C:$C,"&lt;0")</f>
        <v>0</v>
      </c>
      <c r="AN19" s="5">
        <f ca="1">SUMIFS(Movimientos!$C:$C,Movimientos!$A:$A,$B19,Movimientos!$D:$D,CONCATENATE("&lt;=",AN$3),Movimientos!$C:$C,"&gt;0")+SUMIFS(Movimientos!$C:$C,Movimientos!$A:$A,$B19,Movimientos!$D:$D,CONCATENATE("&lt;",AN$3),Movimientos!$C:$C,"&lt;0")</f>
        <v>0</v>
      </c>
      <c r="AO19" s="5">
        <f ca="1">SUMIFS(Movimientos!$C:$C,Movimientos!$A:$A,$B19,Movimientos!$D:$D,CONCATENATE("&lt;=",AO$3),Movimientos!$C:$C,"&gt;0")+SUMIFS(Movimientos!$C:$C,Movimientos!$A:$A,$B19,Movimientos!$D:$D,CONCATENATE("&lt;",AO$3),Movimientos!$C:$C,"&lt;0")</f>
        <v>0</v>
      </c>
      <c r="AP19" s="5">
        <f ca="1">SUMIFS(Movimientos!$C:$C,Movimientos!$A:$A,$B19,Movimientos!$D:$D,CONCATENATE("&lt;=",AP$3),Movimientos!$C:$C,"&gt;0")+SUMIFS(Movimientos!$C:$C,Movimientos!$A:$A,$B19,Movimientos!$D:$D,CONCATENATE("&lt;",AP$3),Movimientos!$C:$C,"&lt;0")</f>
        <v>0</v>
      </c>
      <c r="AQ19" s="5">
        <f ca="1">SUMIFS(Movimientos!$C:$C,Movimientos!$A:$A,$B19,Movimientos!$D:$D,CONCATENATE("&lt;=",AQ$3),Movimientos!$C:$C,"&gt;0")+SUMIFS(Movimientos!$C:$C,Movimientos!$A:$A,$B19,Movimientos!$D:$D,CONCATENATE("&lt;",AQ$3),Movimientos!$C:$C,"&lt;0")</f>
        <v>0</v>
      </c>
      <c r="AR19" s="5">
        <f ca="1">SUMIFS(Movimientos!$C:$C,Movimientos!$A:$A,$B19,Movimientos!$D:$D,CONCATENATE("&lt;=",AR$3),Movimientos!$C:$C,"&gt;0")+SUMIFS(Movimientos!$C:$C,Movimientos!$A:$A,$B19,Movimientos!$D:$D,CONCATENATE("&lt;",AR$3),Movimientos!$C:$C,"&lt;0")</f>
        <v>0</v>
      </c>
      <c r="AS19" s="5">
        <f ca="1">SUMIFS(Movimientos!$C:$C,Movimientos!$A:$A,$B19,Movimientos!$D:$D,CONCATENATE("&lt;=",AS$3),Movimientos!$C:$C,"&gt;0")+SUMIFS(Movimientos!$C:$C,Movimientos!$A:$A,$B19,Movimientos!$D:$D,CONCATENATE("&lt;",AS$3),Movimientos!$C:$C,"&lt;0")</f>
        <v>0</v>
      </c>
      <c r="AT19" s="5">
        <f ca="1">SUMIFS(Movimientos!$C:$C,Movimientos!$A:$A,$B19,Movimientos!$D:$D,CONCATENATE("&lt;=",AT$3),Movimientos!$C:$C,"&gt;0")+SUMIFS(Movimientos!$C:$C,Movimientos!$A:$A,$B19,Movimientos!$D:$D,CONCATENATE("&lt;",AT$3),Movimientos!$C:$C,"&lt;0")</f>
        <v>0</v>
      </c>
      <c r="AU19" s="5">
        <f ca="1">SUMIFS(Movimientos!$C:$C,Movimientos!$A:$A,$B19,Movimientos!$D:$D,CONCATENATE("&lt;=",AU$3),Movimientos!$C:$C,"&gt;0")+SUMIFS(Movimientos!$C:$C,Movimientos!$A:$A,$B19,Movimientos!$D:$D,CONCATENATE("&lt;",AU$3),Movimientos!$C:$C,"&lt;0")</f>
        <v>0</v>
      </c>
      <c r="AV19" s="5">
        <f ca="1">SUMIFS(Movimientos!$C:$C,Movimientos!$A:$A,$B19,Movimientos!$D:$D,CONCATENATE("&lt;=",AV$3),Movimientos!$C:$C,"&gt;0")+SUMIFS(Movimientos!$C:$C,Movimientos!$A:$A,$B19,Movimientos!$D:$D,CONCATENATE("&lt;",AV$3),Movimientos!$C:$C,"&lt;0")</f>
        <v>0</v>
      </c>
      <c r="AW19" s="5">
        <f ca="1">SUMIFS(Movimientos!$C:$C,Movimientos!$A:$A,$B19,Movimientos!$D:$D,CONCATENATE("&lt;=",AW$3),Movimientos!$C:$C,"&gt;0")+SUMIFS(Movimientos!$C:$C,Movimientos!$A:$A,$B19,Movimientos!$D:$D,CONCATENATE("&lt;",AW$3),Movimientos!$C:$C,"&lt;0")</f>
        <v>0</v>
      </c>
      <c r="AX19" s="5">
        <f ca="1">SUMIFS(Movimientos!$C:$C,Movimientos!$A:$A,$B19,Movimientos!$D:$D,CONCATENATE("&lt;=",AX$3),Movimientos!$C:$C,"&gt;0")+SUMIFS(Movimientos!$C:$C,Movimientos!$A:$A,$B19,Movimientos!$D:$D,CONCATENATE("&lt;",AX$3),Movimientos!$C:$C,"&lt;0")</f>
        <v>0</v>
      </c>
      <c r="AY19" s="5">
        <f ca="1">SUMIFS(Movimientos!$C:$C,Movimientos!$A:$A,$B19,Movimientos!$D:$D,CONCATENATE("&lt;=",AY$3),Movimientos!$C:$C,"&gt;0")+SUMIFS(Movimientos!$C:$C,Movimientos!$A:$A,$B19,Movimientos!$D:$D,CONCATENATE("&lt;",AY$3),Movimientos!$C:$C,"&lt;0")</f>
        <v>0</v>
      </c>
      <c r="AZ19" s="5">
        <f ca="1">SUMIFS(Movimientos!$C:$C,Movimientos!$A:$A,$B19,Movimientos!$D:$D,CONCATENATE("&lt;=",AZ$3),Movimientos!$C:$C,"&gt;0")+SUMIFS(Movimientos!$C:$C,Movimientos!$A:$A,$B19,Movimientos!$D:$D,CONCATENATE("&lt;",AZ$3),Movimientos!$C:$C,"&lt;0")</f>
        <v>0</v>
      </c>
      <c r="BA19" s="5">
        <f ca="1">SUMIFS(Movimientos!$C:$C,Movimientos!$A:$A,$B19,Movimientos!$D:$D,CONCATENATE("&lt;=",BA$3),Movimientos!$C:$C,"&gt;0")+SUMIFS(Movimientos!$C:$C,Movimientos!$A:$A,$B19,Movimientos!$D:$D,CONCATENATE("&lt;",BA$3),Movimientos!$C:$C,"&lt;0")</f>
        <v>0</v>
      </c>
      <c r="BB19" s="5">
        <f ca="1">SUMIFS(Movimientos!$C:$C,Movimientos!$A:$A,$B19,Movimientos!$D:$D,CONCATENATE("&lt;=",BB$3),Movimientos!$C:$C,"&gt;0")+SUMIFS(Movimientos!$C:$C,Movimientos!$A:$A,$B19,Movimientos!$D:$D,CONCATENATE("&lt;",BB$3),Movimientos!$C:$C,"&lt;0")</f>
        <v>0</v>
      </c>
      <c r="BC19" s="5">
        <f ca="1">SUMIFS(Movimientos!$C:$C,Movimientos!$A:$A,$B19,Movimientos!$D:$D,CONCATENATE("&lt;=",BC$3),Movimientos!$C:$C,"&gt;0")+SUMIFS(Movimientos!$C:$C,Movimientos!$A:$A,$B19,Movimientos!$D:$D,CONCATENATE("&lt;",BC$3),Movimientos!$C:$C,"&lt;0")</f>
        <v>0</v>
      </c>
      <c r="BD19" s="5">
        <f ca="1">SUMIFS(Movimientos!$C:$C,Movimientos!$A:$A,$B19,Movimientos!$D:$D,CONCATENATE("&lt;=",BD$3),Movimientos!$C:$C,"&gt;0")+SUMIFS(Movimientos!$C:$C,Movimientos!$A:$A,$B19,Movimientos!$D:$D,CONCATENATE("&lt;",BD$3),Movimientos!$C:$C,"&lt;0")</f>
        <v>0</v>
      </c>
      <c r="BE19" s="5">
        <f ca="1">SUMIFS(Movimientos!$C:$C,Movimientos!$A:$A,$B19,Movimientos!$D:$D,CONCATENATE("&lt;=",BE$3),Movimientos!$C:$C,"&gt;0")+SUMIFS(Movimientos!$C:$C,Movimientos!$A:$A,$B19,Movimientos!$D:$D,CONCATENATE("&lt;",BE$3),Movimientos!$C:$C,"&lt;0")</f>
        <v>0</v>
      </c>
      <c r="BF19" s="5">
        <f ca="1">SUMIFS(Movimientos!$C:$C,Movimientos!$A:$A,$B19,Movimientos!$D:$D,CONCATENATE("&lt;=",BF$3),Movimientos!$C:$C,"&gt;0")+SUMIFS(Movimientos!$C:$C,Movimientos!$A:$A,$B19,Movimientos!$D:$D,CONCATENATE("&lt;",BF$3),Movimientos!$C:$C,"&lt;0")</f>
        <v>0</v>
      </c>
      <c r="BG19" s="5">
        <f ca="1">SUMIFS(Movimientos!$C:$C,Movimientos!$A:$A,$B19,Movimientos!$D:$D,CONCATENATE("&lt;=",BG$3),Movimientos!$C:$C,"&gt;0")+SUMIFS(Movimientos!$C:$C,Movimientos!$A:$A,$B19,Movimientos!$D:$D,CONCATENATE("&lt;",BG$3),Movimientos!$C:$C,"&lt;0")</f>
        <v>0</v>
      </c>
      <c r="BH19" s="5">
        <f ca="1">SUMIFS(Movimientos!$C:$C,Movimientos!$A:$A,$B19,Movimientos!$D:$D,CONCATENATE("&lt;=",BH$3),Movimientos!$C:$C,"&gt;0")+SUMIFS(Movimientos!$C:$C,Movimientos!$A:$A,$B19,Movimientos!$D:$D,CONCATENATE("&lt;",BH$3),Movimientos!$C:$C,"&lt;0")</f>
        <v>0</v>
      </c>
      <c r="BI19" s="5">
        <f ca="1">SUMIFS(Movimientos!$C:$C,Movimientos!$A:$A,$B19,Movimientos!$D:$D,CONCATENATE("&lt;=",BI$3),Movimientos!$C:$C,"&gt;0")+SUMIFS(Movimientos!$C:$C,Movimientos!$A:$A,$B19,Movimientos!$D:$D,CONCATENATE("&lt;",BI$3),Movimientos!$C:$C,"&lt;0")</f>
        <v>0</v>
      </c>
      <c r="BJ19" s="5">
        <f ca="1">SUMIFS(Movimientos!$C:$C,Movimientos!$A:$A,$B19,Movimientos!$D:$D,CONCATENATE("&lt;=",BJ$3),Movimientos!$C:$C,"&gt;0")+SUMIFS(Movimientos!$C:$C,Movimientos!$A:$A,$B19,Movimientos!$D:$D,CONCATENATE("&lt;",BJ$3),Movimientos!$C:$C,"&lt;0")</f>
        <v>0</v>
      </c>
      <c r="BK19" s="5">
        <f ca="1">SUMIFS(Movimientos!$C:$C,Movimientos!$A:$A,$B19,Movimientos!$D:$D,CONCATENATE("&lt;=",BK$3),Movimientos!$C:$C,"&gt;0")+SUMIFS(Movimientos!$C:$C,Movimientos!$A:$A,$B19,Movimientos!$D:$D,CONCATENATE("&lt;",BK$3),Movimientos!$C:$C,"&lt;0")</f>
        <v>0</v>
      </c>
      <c r="BL19" s="5">
        <f ca="1">SUMIFS(Movimientos!$C:$C,Movimientos!$A:$A,$B19,Movimientos!$D:$D,CONCATENATE("&lt;=",BL$3),Movimientos!$C:$C,"&gt;0")+SUMIFS(Movimientos!$C:$C,Movimientos!$A:$A,$B19,Movimientos!$D:$D,CONCATENATE("&lt;",BL$3),Movimientos!$C:$C,"&lt;0")</f>
        <v>0</v>
      </c>
      <c r="BM19" s="5">
        <f ca="1">SUMIFS(Movimientos!$C:$C,Movimientos!$A:$A,$B19,Movimientos!$D:$D,CONCATENATE("&lt;=",BM$3),Movimientos!$C:$C,"&gt;0")+SUMIFS(Movimientos!$C:$C,Movimientos!$A:$A,$B19,Movimientos!$D:$D,CONCATENATE("&lt;",BM$3),Movimientos!$C:$C,"&lt;0")</f>
        <v>0</v>
      </c>
      <c r="BN19" s="5">
        <f ca="1">SUMIFS(Movimientos!$C:$C,Movimientos!$A:$A,$B19,Movimientos!$D:$D,CONCATENATE("&lt;=",BN$3),Movimientos!$C:$C,"&gt;0")+SUMIFS(Movimientos!$C:$C,Movimientos!$A:$A,$B19,Movimientos!$D:$D,CONCATENATE("&lt;",BN$3),Movimientos!$C:$C,"&lt;0")</f>
        <v>0</v>
      </c>
      <c r="BO19" s="5">
        <f ca="1">SUMIFS(Movimientos!$C:$C,Movimientos!$A:$A,$B19,Movimientos!$D:$D,CONCATENATE("&lt;=",BO$3),Movimientos!$C:$C,"&gt;0")+SUMIFS(Movimientos!$C:$C,Movimientos!$A:$A,$B19,Movimientos!$D:$D,CONCATENATE("&lt;",BO$3),Movimientos!$C:$C,"&lt;0")</f>
        <v>0</v>
      </c>
      <c r="BP19" s="5">
        <f ca="1">SUMIFS(Movimientos!$C:$C,Movimientos!$A:$A,$B19,Movimientos!$D:$D,CONCATENATE("&lt;=",BP$3),Movimientos!$C:$C,"&gt;0")+SUMIFS(Movimientos!$C:$C,Movimientos!$A:$A,$B19,Movimientos!$D:$D,CONCATENATE("&lt;",BP$3),Movimientos!$C:$C,"&lt;0")</f>
        <v>0</v>
      </c>
      <c r="BQ19" s="5">
        <f ca="1">SUMIFS(Movimientos!$C:$C,Movimientos!$A:$A,$B19,Movimientos!$D:$D,CONCATENATE("&lt;=",BQ$3),Movimientos!$C:$C,"&gt;0")+SUMIFS(Movimientos!$C:$C,Movimientos!$A:$A,$B19,Movimientos!$D:$D,CONCATENATE("&lt;",BQ$3),Movimientos!$C:$C,"&lt;0")</f>
        <v>0</v>
      </c>
      <c r="BR19" s="5">
        <f ca="1">SUMIFS(Movimientos!$C:$C,Movimientos!$A:$A,$B19,Movimientos!$D:$D,CONCATENATE("&lt;=",BR$3),Movimientos!$C:$C,"&gt;0")+SUMIFS(Movimientos!$C:$C,Movimientos!$A:$A,$B19,Movimientos!$D:$D,CONCATENATE("&lt;",BR$3),Movimientos!$C:$C,"&lt;0")</f>
        <v>0</v>
      </c>
      <c r="BS19" s="5">
        <f ca="1">SUMIFS(Movimientos!$C:$C,Movimientos!$A:$A,$B19,Movimientos!$D:$D,CONCATENATE("&lt;=",BS$3),Movimientos!$C:$C,"&gt;0")+SUMIFS(Movimientos!$C:$C,Movimientos!$A:$A,$B19,Movimientos!$D:$D,CONCATENATE("&lt;",BS$3),Movimientos!$C:$C,"&lt;0")</f>
        <v>0</v>
      </c>
      <c r="BT19" s="5">
        <f ca="1">SUMIFS(Movimientos!$C:$C,Movimientos!$A:$A,$B19,Movimientos!$D:$D,CONCATENATE("&lt;=",BT$3),Movimientos!$C:$C,"&gt;0")+SUMIFS(Movimientos!$C:$C,Movimientos!$A:$A,$B19,Movimientos!$D:$D,CONCATENATE("&lt;",BT$3),Movimientos!$C:$C,"&lt;0")</f>
        <v>0</v>
      </c>
      <c r="BU19" s="5">
        <f ca="1">SUMIFS(Movimientos!$C:$C,Movimientos!$A:$A,$B19,Movimientos!$D:$D,CONCATENATE("&lt;=",BU$3),Movimientos!$C:$C,"&gt;0")+SUMIFS(Movimientos!$C:$C,Movimientos!$A:$A,$B19,Movimientos!$D:$D,CONCATENATE("&lt;",BU$3),Movimientos!$C:$C,"&lt;0")</f>
        <v>0</v>
      </c>
      <c r="BV19" s="5">
        <f ca="1">SUMIFS(Movimientos!$C:$C,Movimientos!$A:$A,$B19,Movimientos!$D:$D,CONCATENATE("&lt;=",BV$3),Movimientos!$C:$C,"&gt;0")+SUMIFS(Movimientos!$C:$C,Movimientos!$A:$A,$B19,Movimientos!$D:$D,CONCATENATE("&lt;",BV$3),Movimientos!$C:$C,"&lt;0")</f>
        <v>0</v>
      </c>
      <c r="BW19" s="5">
        <f ca="1">SUMIFS(Movimientos!$C:$C,Movimientos!$A:$A,$B19,Movimientos!$D:$D,CONCATENATE("&lt;=",BW$3),Movimientos!$C:$C,"&gt;0")+SUMIFS(Movimientos!$C:$C,Movimientos!$A:$A,$B19,Movimientos!$D:$D,CONCATENATE("&lt;",BW$3),Movimientos!$C:$C,"&lt;0")</f>
        <v>0</v>
      </c>
      <c r="BX19" s="5">
        <f ca="1">SUMIFS(Movimientos!$C:$C,Movimientos!$A:$A,$B19,Movimientos!$D:$D,CONCATENATE("&lt;=",BX$3),Movimientos!$C:$C,"&gt;0")+SUMIFS(Movimientos!$C:$C,Movimientos!$A:$A,$B19,Movimientos!$D:$D,CONCATENATE("&lt;",BX$3),Movimientos!$C:$C,"&lt;0")</f>
        <v>0</v>
      </c>
      <c r="BY19" s="5">
        <f ca="1">SUMIFS(Movimientos!$C:$C,Movimientos!$A:$A,$B19,Movimientos!$D:$D,CONCATENATE("&lt;=",BY$3),Movimientos!$C:$C,"&gt;0")+SUMIFS(Movimientos!$C:$C,Movimientos!$A:$A,$B19,Movimientos!$D:$D,CONCATENATE("&lt;",BY$3),Movimientos!$C:$C,"&lt;0")</f>
        <v>0</v>
      </c>
      <c r="BZ19" s="5">
        <f ca="1">SUMIFS(Movimientos!$C:$C,Movimientos!$A:$A,$B19,Movimientos!$D:$D,CONCATENATE("&lt;=",BZ$3),Movimientos!$C:$C,"&gt;0")+SUMIFS(Movimientos!$C:$C,Movimientos!$A:$A,$B19,Movimientos!$D:$D,CONCATENATE("&lt;",BZ$3),Movimientos!$C:$C,"&lt;0")</f>
        <v>0</v>
      </c>
      <c r="CA19" s="5">
        <f ca="1">SUMIFS(Movimientos!$C:$C,Movimientos!$A:$A,$B19,Movimientos!$D:$D,CONCATENATE("&lt;=",CA$3),Movimientos!$C:$C,"&gt;0")+SUMIFS(Movimientos!$C:$C,Movimientos!$A:$A,$B19,Movimientos!$D:$D,CONCATENATE("&lt;",CA$3),Movimientos!$C:$C,"&lt;0")</f>
        <v>0</v>
      </c>
      <c r="CB19" s="5">
        <f ca="1">SUMIFS(Movimientos!$C:$C,Movimientos!$A:$A,$B19,Movimientos!$D:$D,CONCATENATE("&lt;=",CB$3),Movimientos!$C:$C,"&gt;0")+SUMIFS(Movimientos!$C:$C,Movimientos!$A:$A,$B19,Movimientos!$D:$D,CONCATENATE("&lt;",CB$3),Movimientos!$C:$C,"&lt;0")</f>
        <v>0</v>
      </c>
      <c r="CC19" s="5">
        <f ca="1">SUMIFS(Movimientos!$C:$C,Movimientos!$A:$A,$B19,Movimientos!$D:$D,CONCATENATE("&lt;=",CC$3),Movimientos!$C:$C,"&gt;0")+SUMIFS(Movimientos!$C:$C,Movimientos!$A:$A,$B19,Movimientos!$D:$D,CONCATENATE("&lt;",CC$3),Movimientos!$C:$C,"&lt;0")</f>
        <v>0</v>
      </c>
      <c r="CD19" s="5">
        <f ca="1">SUMIFS(Movimientos!$C:$C,Movimientos!$A:$A,$B19,Movimientos!$D:$D,CONCATENATE("&lt;=",CD$3),Movimientos!$C:$C,"&gt;0")+SUMIFS(Movimientos!$C:$C,Movimientos!$A:$A,$B19,Movimientos!$D:$D,CONCATENATE("&lt;",CD$3),Movimientos!$C:$C,"&lt;0")</f>
        <v>0</v>
      </c>
      <c r="CE19" s="5">
        <f ca="1">SUMIFS(Movimientos!$C:$C,Movimientos!$A:$A,$B19,Movimientos!$D:$D,CONCATENATE("&lt;=",CE$3),Movimientos!$C:$C,"&gt;0")+SUMIFS(Movimientos!$C:$C,Movimientos!$A:$A,$B19,Movimientos!$D:$D,CONCATENATE("&lt;",CE$3),Movimientos!$C:$C,"&lt;0")</f>
        <v>0</v>
      </c>
      <c r="CF19" s="5">
        <f ca="1">SUMIFS(Movimientos!$C:$C,Movimientos!$A:$A,$B19,Movimientos!$D:$D,CONCATENATE("&lt;=",CF$3),Movimientos!$C:$C,"&gt;0")+SUMIFS(Movimientos!$C:$C,Movimientos!$A:$A,$B19,Movimientos!$D:$D,CONCATENATE("&lt;",CF$3),Movimientos!$C:$C,"&lt;0")</f>
        <v>0</v>
      </c>
      <c r="CG19" s="5">
        <f ca="1">SUMIFS(Movimientos!$C:$C,Movimientos!$A:$A,$B19,Movimientos!$D:$D,CONCATENATE("&lt;=",CG$3),Movimientos!$C:$C,"&gt;0")+SUMIFS(Movimientos!$C:$C,Movimientos!$A:$A,$B19,Movimientos!$D:$D,CONCATENATE("&lt;",CG$3),Movimientos!$C:$C,"&lt;0")</f>
        <v>0</v>
      </c>
      <c r="CH19" s="5">
        <f ca="1">SUMIFS(Movimientos!$C:$C,Movimientos!$A:$A,$B19,Movimientos!$D:$D,CONCATENATE("&lt;=",CH$3),Movimientos!$C:$C,"&gt;0")+SUMIFS(Movimientos!$C:$C,Movimientos!$A:$A,$B19,Movimientos!$D:$D,CONCATENATE("&lt;",CH$3),Movimientos!$C:$C,"&lt;0")</f>
        <v>0</v>
      </c>
      <c r="CI19" s="5">
        <f ca="1">SUMIFS(Movimientos!$C:$C,Movimientos!$A:$A,$B19,Movimientos!$D:$D,CONCATENATE("&lt;=",CI$3),Movimientos!$C:$C,"&gt;0")+SUMIFS(Movimientos!$C:$C,Movimientos!$A:$A,$B19,Movimientos!$D:$D,CONCATENATE("&lt;",CI$3),Movimientos!$C:$C,"&lt;0")</f>
        <v>0</v>
      </c>
      <c r="CJ19" s="5">
        <f ca="1">SUMIFS(Movimientos!$C:$C,Movimientos!$A:$A,$B19,Movimientos!$D:$D,CONCATENATE("&lt;=",CJ$3),Movimientos!$C:$C,"&gt;0")+SUMIFS(Movimientos!$C:$C,Movimientos!$A:$A,$B19,Movimientos!$D:$D,CONCATENATE("&lt;",CJ$3),Movimientos!$C:$C,"&lt;0")</f>
        <v>0</v>
      </c>
      <c r="CK19" s="5">
        <f ca="1">SUMIFS(Movimientos!$C:$C,Movimientos!$A:$A,$B19,Movimientos!$D:$D,CONCATENATE("&lt;=",CK$3),Movimientos!$C:$C,"&gt;0")+SUMIFS(Movimientos!$C:$C,Movimientos!$A:$A,$B19,Movimientos!$D:$D,CONCATENATE("&lt;",CK$3),Movimientos!$C:$C,"&lt;0")</f>
        <v>0</v>
      </c>
      <c r="CL19" s="5">
        <f ca="1">SUMIFS(Movimientos!$C:$C,Movimientos!$A:$A,$B19,Movimientos!$D:$D,CONCATENATE("&lt;=",CL$3),Movimientos!$C:$C,"&gt;0")+SUMIFS(Movimientos!$C:$C,Movimientos!$A:$A,$B19,Movimientos!$D:$D,CONCATENATE("&lt;",CL$3),Movimientos!$C:$C,"&lt;0")</f>
        <v>0</v>
      </c>
      <c r="CM19" s="5">
        <f ca="1">SUMIFS(Movimientos!$C:$C,Movimientos!$A:$A,$B19,Movimientos!$D:$D,CONCATENATE("&lt;=",CM$3),Movimientos!$C:$C,"&gt;0")+SUMIFS(Movimientos!$C:$C,Movimientos!$A:$A,$B19,Movimientos!$D:$D,CONCATENATE("&lt;",CM$3),Movimientos!$C:$C,"&lt;0")</f>
        <v>0</v>
      </c>
      <c r="CN19" s="5">
        <f ca="1">SUMIFS(Movimientos!$C:$C,Movimientos!$A:$A,$B19,Movimientos!$D:$D,CONCATENATE("&lt;=",CN$3),Movimientos!$C:$C,"&gt;0")+SUMIFS(Movimientos!$C:$C,Movimientos!$A:$A,$B19,Movimientos!$D:$D,CONCATENATE("&lt;",CN$3),Movimientos!$C:$C,"&lt;0")</f>
        <v>0</v>
      </c>
      <c r="CO19" s="5">
        <f ca="1">SUMIFS(Movimientos!$C:$C,Movimientos!$A:$A,$B19,Movimientos!$D:$D,CONCATENATE("&lt;=",CO$3),Movimientos!$C:$C,"&gt;0")+SUMIFS(Movimientos!$C:$C,Movimientos!$A:$A,$B19,Movimientos!$D:$D,CONCATENATE("&lt;",CO$3),Movimientos!$C:$C,"&lt;0")</f>
        <v>0</v>
      </c>
      <c r="CP19" s="5">
        <f ca="1">SUMIFS(Movimientos!$C:$C,Movimientos!$A:$A,$B19,Movimientos!$D:$D,CONCATENATE("&lt;=",CP$3),Movimientos!$C:$C,"&gt;0")+SUMIFS(Movimientos!$C:$C,Movimientos!$A:$A,$B19,Movimientos!$D:$D,CONCATENATE("&lt;",CP$3),Movimientos!$C:$C,"&lt;0")</f>
        <v>0</v>
      </c>
      <c r="CQ19" s="5">
        <f ca="1">SUMIFS(Movimientos!$C:$C,Movimientos!$A:$A,$B19,Movimientos!$D:$D,CONCATENATE("&lt;=",CQ$3),Movimientos!$C:$C,"&gt;0")+SUMIFS(Movimientos!$C:$C,Movimientos!$A:$A,$B19,Movimientos!$D:$D,CONCATENATE("&lt;",CQ$3),Movimientos!$C:$C,"&lt;0")</f>
        <v>0</v>
      </c>
      <c r="CR19" s="5">
        <f ca="1">SUMIFS(Movimientos!$C:$C,Movimientos!$A:$A,$B19,Movimientos!$D:$D,CONCATENATE("&lt;=",CR$3),Movimientos!$C:$C,"&gt;0")+SUMIFS(Movimientos!$C:$C,Movimientos!$A:$A,$B19,Movimientos!$D:$D,CONCATENATE("&lt;",CR$3),Movimientos!$C:$C,"&lt;0")</f>
        <v>0</v>
      </c>
      <c r="CS19" s="5">
        <f ca="1">SUMIFS(Movimientos!$C:$C,Movimientos!$A:$A,$B19,Movimientos!$D:$D,CONCATENATE("&lt;=",CS$3),Movimientos!$C:$C,"&gt;0")+SUMIFS(Movimientos!$C:$C,Movimientos!$A:$A,$B19,Movimientos!$D:$D,CONCATENATE("&lt;",CS$3),Movimientos!$C:$C,"&lt;0")</f>
        <v>0</v>
      </c>
      <c r="CT19" s="5">
        <f ca="1">SUMIFS(Movimientos!$C:$C,Movimientos!$A:$A,$B19,Movimientos!$D:$D,CONCATENATE("&lt;=",CT$3),Movimientos!$C:$C,"&gt;0")+SUMIFS(Movimientos!$C:$C,Movimientos!$A:$A,$B19,Movimientos!$D:$D,CONCATENATE("&lt;",CT$3),Movimientos!$C:$C,"&lt;0")</f>
        <v>0</v>
      </c>
      <c r="CU19" s="5">
        <f ca="1">SUMIFS(Movimientos!$C:$C,Movimientos!$A:$A,$B19,Movimientos!$D:$D,CONCATENATE("&lt;=",CU$3),Movimientos!$C:$C,"&gt;0")+SUMIFS(Movimientos!$C:$C,Movimientos!$A:$A,$B19,Movimientos!$D:$D,CONCATENATE("&lt;",CU$3),Movimientos!$C:$C,"&lt;0")</f>
        <v>0</v>
      </c>
      <c r="CV19" s="5">
        <f ca="1">SUMIFS(Movimientos!$C:$C,Movimientos!$A:$A,$B19,Movimientos!$D:$D,CONCATENATE("&lt;=",CV$3),Movimientos!$C:$C,"&gt;0")+SUMIFS(Movimientos!$C:$C,Movimientos!$A:$A,$B19,Movimientos!$D:$D,CONCATENATE("&lt;",CV$3),Movimientos!$C:$C,"&lt;0")</f>
        <v>0</v>
      </c>
      <c r="CW19" s="5">
        <f ca="1">SUMIFS(Movimientos!$C:$C,Movimientos!$A:$A,$B19,Movimientos!$D:$D,CONCATENATE("&lt;=",CW$3),Movimientos!$C:$C,"&gt;0")+SUMIFS(Movimientos!$C:$C,Movimientos!$A:$A,$B19,Movimientos!$D:$D,CONCATENATE("&lt;",CW$3),Movimientos!$C:$C,"&lt;0")</f>
        <v>0</v>
      </c>
      <c r="CX19" s="5">
        <f ca="1">SUMIFS(Movimientos!$C:$C,Movimientos!$A:$A,$B19,Movimientos!$D:$D,CONCATENATE("&lt;=",CX$3),Movimientos!$C:$C,"&gt;0")+SUMIFS(Movimientos!$C:$C,Movimientos!$A:$A,$B19,Movimientos!$D:$D,CONCATENATE("&lt;",CX$3),Movimientos!$C:$C,"&lt;0")</f>
        <v>0</v>
      </c>
      <c r="CY19" s="5">
        <f ca="1">SUMIFS(Movimientos!$C:$C,Movimientos!$A:$A,$B19,Movimientos!$D:$D,CONCATENATE("&lt;=",CY$3),Movimientos!$C:$C,"&gt;0")+SUMIFS(Movimientos!$C:$C,Movimientos!$A:$A,$B19,Movimientos!$D:$D,CONCATENATE("&lt;",CY$3),Movimientos!$C:$C,"&lt;0")</f>
        <v>0</v>
      </c>
      <c r="CZ19" s="5">
        <f ca="1">SUMIFS(Movimientos!$C:$C,Movimientos!$A:$A,$B19,Movimientos!$D:$D,CONCATENATE("&lt;=",CZ$3),Movimientos!$C:$C,"&gt;0")+SUMIFS(Movimientos!$C:$C,Movimientos!$A:$A,$B19,Movimientos!$D:$D,CONCATENATE("&lt;",CZ$3),Movimientos!$C:$C,"&lt;0")</f>
        <v>0</v>
      </c>
      <c r="DA19" s="5">
        <f ca="1">SUMIFS(Movimientos!$C:$C,Movimientos!$A:$A,$B19,Movimientos!$D:$D,CONCATENATE("&lt;=",DA$3),Movimientos!$C:$C,"&gt;0")+SUMIFS(Movimientos!$C:$C,Movimientos!$A:$A,$B19,Movimientos!$D:$D,CONCATENATE("&lt;",DA$3),Movimientos!$C:$C,"&lt;0")</f>
        <v>0</v>
      </c>
      <c r="DB19" s="5">
        <f ca="1">SUMIFS(Movimientos!$C:$C,Movimientos!$A:$A,$B19,Movimientos!$D:$D,CONCATENATE("&lt;=",DB$3),Movimientos!$C:$C,"&gt;0")+SUMIFS(Movimientos!$C:$C,Movimientos!$A:$A,$B19,Movimientos!$D:$D,CONCATENATE("&lt;",DB$3),Movimientos!$C:$C,"&lt;0")</f>
        <v>0</v>
      </c>
      <c r="DC19" s="5">
        <f ca="1">SUMIFS(Movimientos!$C:$C,Movimientos!$A:$A,$B19,Movimientos!$D:$D,CONCATENATE("&lt;=",DC$3),Movimientos!$C:$C,"&gt;0")+SUMIFS(Movimientos!$C:$C,Movimientos!$A:$A,$B19,Movimientos!$D:$D,CONCATENATE("&lt;",DC$3),Movimientos!$C:$C,"&lt;0")</f>
        <v>0</v>
      </c>
      <c r="DD19" s="5">
        <f ca="1">SUMIFS(Movimientos!$C:$C,Movimientos!$A:$A,$B19,Movimientos!$D:$D,CONCATENATE("&lt;=",DD$3),Movimientos!$C:$C,"&gt;0")+SUMIFS(Movimientos!$C:$C,Movimientos!$A:$A,$B19,Movimientos!$D:$D,CONCATENATE("&lt;",DD$3),Movimientos!$C:$C,"&lt;0")</f>
        <v>0</v>
      </c>
      <c r="DE19" s="5">
        <f ca="1">SUMIFS(Movimientos!$C:$C,Movimientos!$A:$A,$B19,Movimientos!$D:$D,CONCATENATE("&lt;=",DE$3),Movimientos!$C:$C,"&gt;0")+SUMIFS(Movimientos!$C:$C,Movimientos!$A:$A,$B19,Movimientos!$D:$D,CONCATENATE("&lt;",DE$3),Movimientos!$C:$C,"&lt;0")</f>
        <v>0</v>
      </c>
      <c r="DF19" s="5">
        <f ca="1">SUMIFS(Movimientos!$C:$C,Movimientos!$A:$A,$B19,Movimientos!$D:$D,CONCATENATE("&lt;=",DF$3),Movimientos!$C:$C,"&gt;0")+SUMIFS(Movimientos!$C:$C,Movimientos!$A:$A,$B19,Movimientos!$D:$D,CONCATENATE("&lt;",DF$3),Movimientos!$C:$C,"&lt;0")</f>
        <v>0</v>
      </c>
      <c r="DG19" s="5">
        <f ca="1">SUMIFS(Movimientos!$C:$C,Movimientos!$A:$A,$B19,Movimientos!$D:$D,CONCATENATE("&lt;=",DG$3),Movimientos!$C:$C,"&gt;0")+SUMIFS(Movimientos!$C:$C,Movimientos!$A:$A,$B19,Movimientos!$D:$D,CONCATENATE("&lt;",DG$3),Movimientos!$C:$C,"&lt;0")</f>
        <v>0</v>
      </c>
      <c r="DH19" s="5">
        <f ca="1">SUMIFS(Movimientos!$C:$C,Movimientos!$A:$A,$B19,Movimientos!$D:$D,CONCATENATE("&lt;=",DH$3),Movimientos!$C:$C,"&gt;0")+SUMIFS(Movimientos!$C:$C,Movimientos!$A:$A,$B19,Movimientos!$D:$D,CONCATENATE("&lt;",DH$3),Movimientos!$C:$C,"&lt;0")</f>
        <v>0</v>
      </c>
      <c r="DI19" s="5">
        <f ca="1">SUMIFS(Movimientos!$C:$C,Movimientos!$A:$A,$B19,Movimientos!$D:$D,CONCATENATE("&lt;=",DI$3),Movimientos!$C:$C,"&gt;0")+SUMIFS(Movimientos!$C:$C,Movimientos!$A:$A,$B19,Movimientos!$D:$D,CONCATENATE("&lt;",DI$3),Movimientos!$C:$C,"&lt;0")</f>
        <v>0</v>
      </c>
      <c r="DJ19" s="5">
        <f ca="1">SUMIFS(Movimientos!$C:$C,Movimientos!$A:$A,$B19,Movimientos!$D:$D,CONCATENATE("&lt;=",DJ$3),Movimientos!$C:$C,"&gt;0")+SUMIFS(Movimientos!$C:$C,Movimientos!$A:$A,$B19,Movimientos!$D:$D,CONCATENATE("&lt;",DJ$3),Movimientos!$C:$C,"&lt;0")</f>
        <v>0</v>
      </c>
      <c r="DK19" s="5">
        <f ca="1">SUMIFS(Movimientos!$C:$C,Movimientos!$A:$A,$B19,Movimientos!$D:$D,CONCATENATE("&lt;=",DK$3),Movimientos!$C:$C,"&gt;0")+SUMIFS(Movimientos!$C:$C,Movimientos!$A:$A,$B19,Movimientos!$D:$D,CONCATENATE("&lt;",DK$3),Movimientos!$C:$C,"&lt;0")</f>
        <v>0</v>
      </c>
      <c r="DL19" s="5">
        <f ca="1">SUMIFS(Movimientos!$C:$C,Movimientos!$A:$A,$B19,Movimientos!$D:$D,CONCATENATE("&lt;=",DL$3),Movimientos!$C:$C,"&gt;0")+SUMIFS(Movimientos!$C:$C,Movimientos!$A:$A,$B19,Movimientos!$D:$D,CONCATENATE("&lt;",DL$3),Movimientos!$C:$C,"&lt;0")</f>
        <v>0</v>
      </c>
      <c r="DM19" s="5">
        <f ca="1">SUMIFS(Movimientos!$C:$C,Movimientos!$A:$A,$B19,Movimientos!$D:$D,CONCATENATE("&lt;=",DM$3),Movimientos!$C:$C,"&gt;0")+SUMIFS(Movimientos!$C:$C,Movimientos!$A:$A,$B19,Movimientos!$D:$D,CONCATENATE("&lt;",DM$3),Movimientos!$C:$C,"&lt;0")</f>
        <v>0</v>
      </c>
      <c r="DN19" s="5">
        <f ca="1">SUMIFS(Movimientos!$C:$C,Movimientos!$A:$A,$B19,Movimientos!$D:$D,CONCATENATE("&lt;=",DN$3),Movimientos!$C:$C,"&gt;0")+SUMIFS(Movimientos!$C:$C,Movimientos!$A:$A,$B19,Movimientos!$D:$D,CONCATENATE("&lt;",DN$3),Movimientos!$C:$C,"&lt;0")</f>
        <v>0</v>
      </c>
      <c r="DO19" s="5">
        <f ca="1">SUMIFS(Movimientos!$C:$C,Movimientos!$A:$A,$B19,Movimientos!$D:$D,CONCATENATE("&lt;=",DO$3),Movimientos!$C:$C,"&gt;0")+SUMIFS(Movimientos!$C:$C,Movimientos!$A:$A,$B19,Movimientos!$D:$D,CONCATENATE("&lt;",DO$3),Movimientos!$C:$C,"&lt;0")</f>
        <v>0</v>
      </c>
      <c r="DP19" s="5">
        <f ca="1">SUMIFS(Movimientos!$C:$C,Movimientos!$A:$A,$B19,Movimientos!$D:$D,CONCATENATE("&lt;=",DP$3),Movimientos!$C:$C,"&gt;0")+SUMIFS(Movimientos!$C:$C,Movimientos!$A:$A,$B19,Movimientos!$D:$D,CONCATENATE("&lt;",DP$3),Movimientos!$C:$C,"&lt;0")</f>
        <v>0</v>
      </c>
      <c r="DQ19" s="5">
        <f ca="1">SUMIFS(Movimientos!$C:$C,Movimientos!$A:$A,$B19,Movimientos!$D:$D,CONCATENATE("&lt;=",DQ$3),Movimientos!$C:$C,"&gt;0")+SUMIFS(Movimientos!$C:$C,Movimientos!$A:$A,$B19,Movimientos!$D:$D,CONCATENATE("&lt;",DQ$3),Movimientos!$C:$C,"&lt;0")</f>
        <v>0</v>
      </c>
      <c r="DR19" s="5">
        <f ca="1">SUMIFS(Movimientos!$C:$C,Movimientos!$A:$A,$B19,Movimientos!$D:$D,CONCATENATE("&lt;=",DR$3),Movimientos!$C:$C,"&gt;0")+SUMIFS(Movimientos!$C:$C,Movimientos!$A:$A,$B19,Movimientos!$D:$D,CONCATENATE("&lt;",DR$3),Movimientos!$C:$C,"&lt;0")</f>
        <v>0</v>
      </c>
      <c r="DS19" s="5">
        <f ca="1">SUMIFS(Movimientos!$C:$C,Movimientos!$A:$A,$B19,Movimientos!$D:$D,CONCATENATE("&lt;=",DS$3),Movimientos!$C:$C,"&gt;0")+SUMIFS(Movimientos!$C:$C,Movimientos!$A:$A,$B19,Movimientos!$D:$D,CONCATENATE("&lt;",DS$3),Movimientos!$C:$C,"&lt;0")</f>
        <v>0</v>
      </c>
      <c r="DT19" s="5">
        <f ca="1">SUMIFS(Movimientos!$C:$C,Movimientos!$A:$A,$B19,Movimientos!$D:$D,CONCATENATE("&lt;=",DT$3),Movimientos!$C:$C,"&gt;0")+SUMIFS(Movimientos!$C:$C,Movimientos!$A:$A,$B19,Movimientos!$D:$D,CONCATENATE("&lt;",DT$3),Movimientos!$C:$C,"&lt;0")</f>
        <v>0</v>
      </c>
      <c r="DU19" s="5">
        <f ca="1">SUMIFS(Movimientos!$C:$C,Movimientos!$A:$A,$B19,Movimientos!$D:$D,CONCATENATE("&lt;=",DU$3),Movimientos!$C:$C,"&gt;0")+SUMIFS(Movimientos!$C:$C,Movimientos!$A:$A,$B19,Movimientos!$D:$D,CONCATENATE("&lt;",DU$3),Movimientos!$C:$C,"&lt;0")</f>
        <v>0</v>
      </c>
      <c r="DV19" s="5">
        <f ca="1">SUMIFS(Movimientos!$C:$C,Movimientos!$A:$A,$B19,Movimientos!$D:$D,CONCATENATE("&lt;=",DV$3),Movimientos!$C:$C,"&gt;0")+SUMIFS(Movimientos!$C:$C,Movimientos!$A:$A,$B19,Movimientos!$D:$D,CONCATENATE("&lt;",DV$3),Movimientos!$C:$C,"&lt;0")</f>
        <v>0</v>
      </c>
      <c r="DW19" s="5">
        <f ca="1">SUMIFS(Movimientos!$C:$C,Movimientos!$A:$A,$B19,Movimientos!$D:$D,CONCATENATE("&lt;=",DW$3),Movimientos!$C:$C,"&gt;0")+SUMIFS(Movimientos!$C:$C,Movimientos!$A:$A,$B19,Movimientos!$D:$D,CONCATENATE("&lt;",DW$3),Movimientos!$C:$C,"&lt;0")</f>
        <v>0</v>
      </c>
      <c r="DX19" s="5">
        <f ca="1">SUMIFS(Movimientos!$C:$C,Movimientos!$A:$A,$B19,Movimientos!$D:$D,CONCATENATE("&lt;=",DX$3),Movimientos!$C:$C,"&gt;0")+SUMIFS(Movimientos!$C:$C,Movimientos!$A:$A,$B19,Movimientos!$D:$D,CONCATENATE("&lt;",DX$3),Movimientos!$C:$C,"&lt;0")</f>
        <v>0</v>
      </c>
      <c r="DY19" s="5">
        <f ca="1">SUMIFS(Movimientos!$C:$C,Movimientos!$A:$A,$B19,Movimientos!$D:$D,CONCATENATE("&lt;=",DY$3),Movimientos!$C:$C,"&gt;0")+SUMIFS(Movimientos!$C:$C,Movimientos!$A:$A,$B19,Movimientos!$D:$D,CONCATENATE("&lt;",DY$3),Movimientos!$C:$C,"&lt;0")</f>
        <v>0</v>
      </c>
      <c r="DZ19" s="5">
        <f ca="1">SUMIFS(Movimientos!$C:$C,Movimientos!$A:$A,$B19,Movimientos!$D:$D,CONCATENATE("&lt;=",DZ$3),Movimientos!$C:$C,"&gt;0")+SUMIFS(Movimientos!$C:$C,Movimientos!$A:$A,$B19,Movimientos!$D:$D,CONCATENATE("&lt;",DZ$3),Movimientos!$C:$C,"&lt;0")</f>
        <v>0</v>
      </c>
      <c r="EA19" s="5">
        <f ca="1">SUMIFS(Movimientos!$C:$C,Movimientos!$A:$A,$B19,Movimientos!$D:$D,CONCATENATE("&lt;=",EA$3),Movimientos!$C:$C,"&gt;0")+SUMIFS(Movimientos!$C:$C,Movimientos!$A:$A,$B19,Movimientos!$D:$D,CONCATENATE("&lt;",EA$3),Movimientos!$C:$C,"&lt;0")</f>
        <v>0</v>
      </c>
      <c r="EB19" s="5">
        <f ca="1">SUMIFS(Movimientos!$C:$C,Movimientos!$A:$A,$B19,Movimientos!$D:$D,CONCATENATE("&lt;=",EB$3),Movimientos!$C:$C,"&gt;0")+SUMIFS(Movimientos!$C:$C,Movimientos!$A:$A,$B19,Movimientos!$D:$D,CONCATENATE("&lt;",EB$3),Movimientos!$C:$C,"&lt;0")</f>
        <v>0</v>
      </c>
      <c r="EC19" s="5">
        <f ca="1">SUMIFS(Movimientos!$C:$C,Movimientos!$A:$A,$B19,Movimientos!$D:$D,CONCATENATE("&lt;=",EC$3),Movimientos!$C:$C,"&gt;0")+SUMIFS(Movimientos!$C:$C,Movimientos!$A:$A,$B19,Movimientos!$D:$D,CONCATENATE("&lt;",EC$3),Movimientos!$C:$C,"&lt;0")</f>
        <v>0</v>
      </c>
      <c r="ED19" s="5">
        <f ca="1">SUMIFS(Movimientos!$C:$C,Movimientos!$A:$A,$B19,Movimientos!$D:$D,CONCATENATE("&lt;=",ED$3),Movimientos!$C:$C,"&gt;0")+SUMIFS(Movimientos!$C:$C,Movimientos!$A:$A,$B19,Movimientos!$D:$D,CONCATENATE("&lt;",ED$3),Movimientos!$C:$C,"&lt;0")</f>
        <v>0</v>
      </c>
      <c r="EE19" s="5">
        <f ca="1">SUMIFS(Movimientos!$C:$C,Movimientos!$A:$A,$B19,Movimientos!$D:$D,CONCATENATE("&lt;=",EE$3),Movimientos!$C:$C,"&gt;0")+SUMIFS(Movimientos!$C:$C,Movimientos!$A:$A,$B19,Movimientos!$D:$D,CONCATENATE("&lt;",EE$3),Movimientos!$C:$C,"&lt;0")</f>
        <v>0</v>
      </c>
      <c r="EF19" s="5">
        <f ca="1">SUMIFS(Movimientos!$C:$C,Movimientos!$A:$A,$B19,Movimientos!$D:$D,CONCATENATE("&lt;=",EF$3),Movimientos!$C:$C,"&gt;0")+SUMIFS(Movimientos!$C:$C,Movimientos!$A:$A,$B19,Movimientos!$D:$D,CONCATENATE("&lt;",EF$3),Movimientos!$C:$C,"&lt;0")</f>
        <v>0</v>
      </c>
      <c r="EG19" s="5">
        <f ca="1">SUMIFS(Movimientos!$C:$C,Movimientos!$A:$A,$B19,Movimientos!$D:$D,CONCATENATE("&lt;=",EG$3),Movimientos!$C:$C,"&gt;0")+SUMIFS(Movimientos!$C:$C,Movimientos!$A:$A,$B19,Movimientos!$D:$D,CONCATENATE("&lt;",EG$3),Movimientos!$C:$C,"&lt;0")</f>
        <v>0</v>
      </c>
      <c r="EH19" s="5">
        <f ca="1">SUMIFS(Movimientos!$C:$C,Movimientos!$A:$A,$B19,Movimientos!$D:$D,CONCATENATE("&lt;=",EH$3),Movimientos!$C:$C,"&gt;0")+SUMIFS(Movimientos!$C:$C,Movimientos!$A:$A,$B19,Movimientos!$D:$D,CONCATENATE("&lt;",EH$3),Movimientos!$C:$C,"&lt;0")</f>
        <v>0</v>
      </c>
      <c r="EI19" s="5">
        <f ca="1">SUMIFS(Movimientos!$C:$C,Movimientos!$A:$A,$B19,Movimientos!$D:$D,CONCATENATE("&lt;=",EI$3),Movimientos!$C:$C,"&gt;0")+SUMIFS(Movimientos!$C:$C,Movimientos!$A:$A,$B19,Movimientos!$D:$D,CONCATENATE("&lt;",EI$3),Movimientos!$C:$C,"&lt;0")</f>
        <v>0</v>
      </c>
      <c r="EJ19" s="5">
        <f ca="1">SUMIFS(Movimientos!$C:$C,Movimientos!$A:$A,$B19,Movimientos!$D:$D,CONCATENATE("&lt;=",EJ$3),Movimientos!$C:$C,"&gt;0")+SUMIFS(Movimientos!$C:$C,Movimientos!$A:$A,$B19,Movimientos!$D:$D,CONCATENATE("&lt;",EJ$3),Movimientos!$C:$C,"&lt;0")</f>
        <v>0</v>
      </c>
      <c r="EK19" s="5">
        <f ca="1">SUMIFS(Movimientos!$C:$C,Movimientos!$A:$A,$B19,Movimientos!$D:$D,CONCATENATE("&lt;=",EK$3),Movimientos!$C:$C,"&gt;0")+SUMIFS(Movimientos!$C:$C,Movimientos!$A:$A,$B19,Movimientos!$D:$D,CONCATENATE("&lt;",EK$3),Movimientos!$C:$C,"&lt;0")</f>
        <v>0</v>
      </c>
      <c r="EL19" s="5">
        <f ca="1">SUMIFS(Movimientos!$C:$C,Movimientos!$A:$A,$B19,Movimientos!$D:$D,CONCATENATE("&lt;=",EL$3),Movimientos!$C:$C,"&gt;0")+SUMIFS(Movimientos!$C:$C,Movimientos!$A:$A,$B19,Movimientos!$D:$D,CONCATENATE("&lt;",EL$3),Movimientos!$C:$C,"&lt;0")</f>
        <v>0</v>
      </c>
      <c r="EM19" s="5">
        <f ca="1">SUMIFS(Movimientos!$C:$C,Movimientos!$A:$A,$B19,Movimientos!$D:$D,CONCATENATE("&lt;=",EM$3),Movimientos!$C:$C,"&gt;0")+SUMIFS(Movimientos!$C:$C,Movimientos!$A:$A,$B19,Movimientos!$D:$D,CONCATENATE("&lt;",EM$3),Movimientos!$C:$C,"&lt;0")</f>
        <v>0</v>
      </c>
      <c r="EN19" s="5">
        <f ca="1">SUMIFS(Movimientos!$C:$C,Movimientos!$A:$A,$B19,Movimientos!$D:$D,CONCATENATE("&lt;=",EN$3),Movimientos!$C:$C,"&gt;0")+SUMIFS(Movimientos!$C:$C,Movimientos!$A:$A,$B19,Movimientos!$D:$D,CONCATENATE("&lt;",EN$3),Movimientos!$C:$C,"&lt;0")</f>
        <v>0</v>
      </c>
      <c r="EO19" s="5">
        <f ca="1">SUMIFS(Movimientos!$C:$C,Movimientos!$A:$A,$B19,Movimientos!$D:$D,CONCATENATE("&lt;=",EO$3),Movimientos!$C:$C,"&gt;0")+SUMIFS(Movimientos!$C:$C,Movimientos!$A:$A,$B19,Movimientos!$D:$D,CONCATENATE("&lt;",EO$3),Movimientos!$C:$C,"&lt;0")</f>
        <v>0</v>
      </c>
      <c r="EP19" s="5">
        <f ca="1">SUMIFS(Movimientos!$C:$C,Movimientos!$A:$A,$B19,Movimientos!$D:$D,CONCATENATE("&lt;=",EP$3),Movimientos!$C:$C,"&gt;0")+SUMIFS(Movimientos!$C:$C,Movimientos!$A:$A,$B19,Movimientos!$D:$D,CONCATENATE("&lt;",EP$3),Movimientos!$C:$C,"&lt;0")</f>
        <v>0</v>
      </c>
      <c r="EQ19" s="5">
        <f ca="1">SUMIFS(Movimientos!$C:$C,Movimientos!$A:$A,$B19,Movimientos!$D:$D,CONCATENATE("&lt;=",EQ$3),Movimientos!$C:$C,"&gt;0")+SUMIFS(Movimientos!$C:$C,Movimientos!$A:$A,$B19,Movimientos!$D:$D,CONCATENATE("&lt;",EQ$3),Movimientos!$C:$C,"&lt;0")</f>
        <v>0</v>
      </c>
      <c r="ER19" s="5">
        <f ca="1">SUMIFS(Movimientos!$C:$C,Movimientos!$A:$A,$B19,Movimientos!$D:$D,CONCATENATE("&lt;=",ER$3),Movimientos!$C:$C,"&gt;0")+SUMIFS(Movimientos!$C:$C,Movimientos!$A:$A,$B19,Movimientos!$D:$D,CONCATENATE("&lt;",ER$3),Movimientos!$C:$C,"&lt;0")</f>
        <v>0</v>
      </c>
      <c r="ES19" s="5">
        <f ca="1">SUMIFS(Movimientos!$C:$C,Movimientos!$A:$A,$B19,Movimientos!$D:$D,CONCATENATE("&lt;=",ES$3),Movimientos!$C:$C,"&gt;0")+SUMIFS(Movimientos!$C:$C,Movimientos!$A:$A,$B19,Movimientos!$D:$D,CONCATENATE("&lt;",ES$3),Movimientos!$C:$C,"&lt;0")</f>
        <v>0</v>
      </c>
      <c r="ET19" s="5">
        <f ca="1">SUMIFS(Movimientos!$C:$C,Movimientos!$A:$A,$B19,Movimientos!$D:$D,CONCATENATE("&lt;=",ET$3),Movimientos!$C:$C,"&gt;0")+SUMIFS(Movimientos!$C:$C,Movimientos!$A:$A,$B19,Movimientos!$D:$D,CONCATENATE("&lt;",ET$3),Movimientos!$C:$C,"&lt;0")</f>
        <v>0</v>
      </c>
      <c r="EU19" s="5">
        <f ca="1">SUMIFS(Movimientos!$C:$C,Movimientos!$A:$A,$B19,Movimientos!$D:$D,CONCATENATE("&lt;=",EU$3),Movimientos!$C:$C,"&gt;0")+SUMIFS(Movimientos!$C:$C,Movimientos!$A:$A,$B19,Movimientos!$D:$D,CONCATENATE("&lt;",EU$3),Movimientos!$C:$C,"&lt;0")</f>
        <v>0</v>
      </c>
      <c r="EV19" s="5">
        <f ca="1">SUMIFS(Movimientos!$C:$C,Movimientos!$A:$A,$B19,Movimientos!$D:$D,CONCATENATE("&lt;=",EV$3),Movimientos!$C:$C,"&gt;0")+SUMIFS(Movimientos!$C:$C,Movimientos!$A:$A,$B19,Movimientos!$D:$D,CONCATENATE("&lt;",EV$3),Movimientos!$C:$C,"&lt;0")</f>
        <v>0</v>
      </c>
      <c r="EW19" s="5">
        <f ca="1">SUMIFS(Movimientos!$C:$C,Movimientos!$A:$A,$B19,Movimientos!$D:$D,CONCATENATE("&lt;=",EW$3),Movimientos!$C:$C,"&gt;0")+SUMIFS(Movimientos!$C:$C,Movimientos!$A:$A,$B19,Movimientos!$D:$D,CONCATENATE("&lt;",EW$3),Movimientos!$C:$C,"&lt;0")</f>
        <v>0</v>
      </c>
      <c r="EX19" s="5">
        <f ca="1">SUMIFS(Movimientos!$C:$C,Movimientos!$A:$A,$B19,Movimientos!$D:$D,CONCATENATE("&lt;=",EX$3),Movimientos!$C:$C,"&gt;0")+SUMIFS(Movimientos!$C:$C,Movimientos!$A:$A,$B19,Movimientos!$D:$D,CONCATENATE("&lt;",EX$3),Movimientos!$C:$C,"&lt;0")</f>
        <v>0</v>
      </c>
      <c r="EY19" s="5">
        <f ca="1">SUMIFS(Movimientos!$C:$C,Movimientos!$A:$A,$B19,Movimientos!$D:$D,CONCATENATE("&lt;=",EY$3),Movimientos!$C:$C,"&gt;0")+SUMIFS(Movimientos!$C:$C,Movimientos!$A:$A,$B19,Movimientos!$D:$D,CONCATENATE("&lt;",EY$3),Movimientos!$C:$C,"&lt;0")</f>
        <v>0</v>
      </c>
      <c r="EZ19" s="5">
        <f ca="1">SUMIFS(Movimientos!$C:$C,Movimientos!$A:$A,$B19,Movimientos!$D:$D,CONCATENATE("&lt;=",EZ$3),Movimientos!$C:$C,"&gt;0")+SUMIFS(Movimientos!$C:$C,Movimientos!$A:$A,$B19,Movimientos!$D:$D,CONCATENATE("&lt;",EZ$3),Movimientos!$C:$C,"&lt;0")</f>
        <v>0</v>
      </c>
      <c r="FA19" s="5">
        <f ca="1">SUMIFS(Movimientos!$C:$C,Movimientos!$A:$A,$B19,Movimientos!$D:$D,CONCATENATE("&lt;=",FA$3),Movimientos!$C:$C,"&gt;0")+SUMIFS(Movimientos!$C:$C,Movimientos!$A:$A,$B19,Movimientos!$D:$D,CONCATENATE("&lt;",FA$3),Movimientos!$C:$C,"&lt;0")</f>
        <v>0</v>
      </c>
      <c r="FB19" s="5">
        <f ca="1">SUMIFS(Movimientos!$C:$C,Movimientos!$A:$A,$B19,Movimientos!$D:$D,CONCATENATE("&lt;=",FB$3),Movimientos!$C:$C,"&gt;0")+SUMIFS(Movimientos!$C:$C,Movimientos!$A:$A,$B19,Movimientos!$D:$D,CONCATENATE("&lt;",FB$3),Movimientos!$C:$C,"&lt;0")</f>
        <v>0</v>
      </c>
      <c r="FC19" s="5">
        <f ca="1">SUMIFS(Movimientos!$C:$C,Movimientos!$A:$A,$B19,Movimientos!$D:$D,CONCATENATE("&lt;=",FC$3),Movimientos!$C:$C,"&gt;0")+SUMIFS(Movimientos!$C:$C,Movimientos!$A:$A,$B19,Movimientos!$D:$D,CONCATENATE("&lt;",FC$3),Movimientos!$C:$C,"&lt;0")</f>
        <v>0</v>
      </c>
      <c r="FD19" s="5">
        <f ca="1">SUMIFS(Movimientos!$C:$C,Movimientos!$A:$A,$B19,Movimientos!$D:$D,CONCATENATE("&lt;=",FD$3),Movimientos!$C:$C,"&gt;0")+SUMIFS(Movimientos!$C:$C,Movimientos!$A:$A,$B19,Movimientos!$D:$D,CONCATENATE("&lt;",FD$3),Movimientos!$C:$C,"&lt;0")</f>
        <v>0</v>
      </c>
      <c r="FE19" s="5">
        <f ca="1">SUMIFS(Movimientos!$C:$C,Movimientos!$A:$A,$B19,Movimientos!$D:$D,CONCATENATE("&lt;=",FE$3),Movimientos!$C:$C,"&gt;0")+SUMIFS(Movimientos!$C:$C,Movimientos!$A:$A,$B19,Movimientos!$D:$D,CONCATENATE("&lt;",FE$3),Movimientos!$C:$C,"&lt;0")</f>
        <v>0</v>
      </c>
      <c r="FF19" s="5">
        <f ca="1">SUMIFS(Movimientos!$C:$C,Movimientos!$A:$A,$B19,Movimientos!$D:$D,CONCATENATE("&lt;=",FF$3),Movimientos!$C:$C,"&gt;0")+SUMIFS(Movimientos!$C:$C,Movimientos!$A:$A,$B19,Movimientos!$D:$D,CONCATENATE("&lt;",FF$3),Movimientos!$C:$C,"&lt;0")</f>
        <v>0</v>
      </c>
      <c r="FG19" s="5">
        <f ca="1">SUMIFS(Movimientos!$C:$C,Movimientos!$A:$A,$B19,Movimientos!$D:$D,CONCATENATE("&lt;=",FG$3),Movimientos!$C:$C,"&gt;0")+SUMIFS(Movimientos!$C:$C,Movimientos!$A:$A,$B19,Movimientos!$D:$D,CONCATENATE("&lt;",FG$3),Movimientos!$C:$C,"&lt;0")</f>
        <v>0</v>
      </c>
      <c r="FH19" s="5">
        <f ca="1">SUMIFS(Movimientos!$C:$C,Movimientos!$A:$A,$B19,Movimientos!$D:$D,CONCATENATE("&lt;=",FH$3),Movimientos!$C:$C,"&gt;0")+SUMIFS(Movimientos!$C:$C,Movimientos!$A:$A,$B19,Movimientos!$D:$D,CONCATENATE("&lt;",FH$3),Movimientos!$C:$C,"&lt;0")</f>
        <v>0</v>
      </c>
      <c r="FI19" s="5">
        <f ca="1">SUMIFS(Movimientos!$C:$C,Movimientos!$A:$A,$B19,Movimientos!$D:$D,CONCATENATE("&lt;=",FI$3),Movimientos!$C:$C,"&gt;0")+SUMIFS(Movimientos!$C:$C,Movimientos!$A:$A,$B19,Movimientos!$D:$D,CONCATENATE("&lt;",FI$3),Movimientos!$C:$C,"&lt;0")</f>
        <v>0</v>
      </c>
      <c r="FJ19" s="5">
        <f ca="1">SUMIFS(Movimientos!$C:$C,Movimientos!$A:$A,$B19,Movimientos!$D:$D,CONCATENATE("&lt;=",FJ$3),Movimientos!$C:$C,"&gt;0")+SUMIFS(Movimientos!$C:$C,Movimientos!$A:$A,$B19,Movimientos!$D:$D,CONCATENATE("&lt;",FJ$3),Movimientos!$C:$C,"&lt;0")</f>
        <v>0</v>
      </c>
      <c r="FK19" s="5">
        <f ca="1">SUMIFS(Movimientos!$C:$C,Movimientos!$A:$A,$B19,Movimientos!$D:$D,CONCATENATE("&lt;=",FK$3),Movimientos!$C:$C,"&gt;0")+SUMIFS(Movimientos!$C:$C,Movimientos!$A:$A,$B19,Movimientos!$D:$D,CONCATENATE("&lt;",FK$3),Movimientos!$C:$C,"&lt;0")</f>
        <v>0</v>
      </c>
      <c r="FL19" s="5">
        <f ca="1">SUMIFS(Movimientos!$C:$C,Movimientos!$A:$A,$B19,Movimientos!$D:$D,CONCATENATE("&lt;=",FL$3),Movimientos!$C:$C,"&gt;0")+SUMIFS(Movimientos!$C:$C,Movimientos!$A:$A,$B19,Movimientos!$D:$D,CONCATENATE("&lt;",FL$3),Movimientos!$C:$C,"&lt;0")</f>
        <v>0</v>
      </c>
      <c r="FM19" s="5">
        <f ca="1">SUMIFS(Movimientos!$C:$C,Movimientos!$A:$A,$B19,Movimientos!$D:$D,CONCATENATE("&lt;=",FM$3),Movimientos!$C:$C,"&gt;0")+SUMIFS(Movimientos!$C:$C,Movimientos!$A:$A,$B19,Movimientos!$D:$D,CONCATENATE("&lt;",FM$3),Movimientos!$C:$C,"&lt;0")</f>
        <v>0</v>
      </c>
      <c r="FN19" s="5">
        <f ca="1">SUMIFS(Movimientos!$C:$C,Movimientos!$A:$A,$B19,Movimientos!$D:$D,CONCATENATE("&lt;=",FN$3),Movimientos!$C:$C,"&gt;0")+SUMIFS(Movimientos!$C:$C,Movimientos!$A:$A,$B19,Movimientos!$D:$D,CONCATENATE("&lt;",FN$3),Movimientos!$C:$C,"&lt;0")</f>
        <v>0</v>
      </c>
      <c r="FO19" s="5">
        <f ca="1">SUMIFS(Movimientos!$C:$C,Movimientos!$A:$A,$B19,Movimientos!$D:$D,CONCATENATE("&lt;=",FO$3),Movimientos!$C:$C,"&gt;0")+SUMIFS(Movimientos!$C:$C,Movimientos!$A:$A,$B19,Movimientos!$D:$D,CONCATENATE("&lt;",FO$3),Movimientos!$C:$C,"&lt;0")</f>
        <v>0</v>
      </c>
      <c r="FP19" s="5">
        <f ca="1">SUMIFS(Movimientos!$C:$C,Movimientos!$A:$A,$B19,Movimientos!$D:$D,CONCATENATE("&lt;=",FP$3),Movimientos!$C:$C,"&gt;0")+SUMIFS(Movimientos!$C:$C,Movimientos!$A:$A,$B19,Movimientos!$D:$D,CONCATENATE("&lt;",FP$3),Movimientos!$C:$C,"&lt;0")</f>
        <v>0</v>
      </c>
      <c r="FQ19" s="5">
        <f ca="1">SUMIFS(Movimientos!$C:$C,Movimientos!$A:$A,$B19,Movimientos!$D:$D,CONCATENATE("&lt;=",FQ$3),Movimientos!$C:$C,"&gt;0")+SUMIFS(Movimientos!$C:$C,Movimientos!$A:$A,$B19,Movimientos!$D:$D,CONCATENATE("&lt;",FQ$3),Movimientos!$C:$C,"&lt;0")</f>
        <v>0</v>
      </c>
      <c r="FR19" s="5">
        <f ca="1">SUMIFS(Movimientos!$C:$C,Movimientos!$A:$A,$B19,Movimientos!$D:$D,CONCATENATE("&lt;=",FR$3),Movimientos!$C:$C,"&gt;0")+SUMIFS(Movimientos!$C:$C,Movimientos!$A:$A,$B19,Movimientos!$D:$D,CONCATENATE("&lt;",FR$3),Movimientos!$C:$C,"&lt;0")</f>
        <v>0</v>
      </c>
      <c r="FS19" s="5">
        <f ca="1">SUMIFS(Movimientos!$C:$C,Movimientos!$A:$A,$B19,Movimientos!$D:$D,CONCATENATE("&lt;=",FS$3),Movimientos!$C:$C,"&gt;0")+SUMIFS(Movimientos!$C:$C,Movimientos!$A:$A,$B19,Movimientos!$D:$D,CONCATENATE("&lt;",FS$3),Movimientos!$C:$C,"&lt;0")</f>
        <v>0</v>
      </c>
      <c r="FT19" s="5">
        <f ca="1">SUMIFS(Movimientos!$C:$C,Movimientos!$A:$A,$B19,Movimientos!$D:$D,CONCATENATE("&lt;=",FT$3),Movimientos!$C:$C,"&gt;0")+SUMIFS(Movimientos!$C:$C,Movimientos!$A:$A,$B19,Movimientos!$D:$D,CONCATENATE("&lt;",FT$3),Movimientos!$C:$C,"&lt;0")</f>
        <v>0</v>
      </c>
      <c r="FU19" s="5">
        <f ca="1">SUMIFS(Movimientos!$C:$C,Movimientos!$A:$A,$B19,Movimientos!$D:$D,CONCATENATE("&lt;=",FU$3),Movimientos!$C:$C,"&gt;0")+SUMIFS(Movimientos!$C:$C,Movimientos!$A:$A,$B19,Movimientos!$D:$D,CONCATENATE("&lt;",FU$3),Movimientos!$C:$C,"&lt;0")</f>
        <v>0</v>
      </c>
      <c r="FV19" s="5">
        <f ca="1">SUMIFS(Movimientos!$C:$C,Movimientos!$A:$A,$B19,Movimientos!$D:$D,CONCATENATE("&lt;=",FV$3),Movimientos!$C:$C,"&gt;0")+SUMIFS(Movimientos!$C:$C,Movimientos!$A:$A,$B19,Movimientos!$D:$D,CONCATENATE("&lt;",FV$3),Movimientos!$C:$C,"&lt;0")</f>
        <v>0</v>
      </c>
      <c r="FW19" s="5">
        <f ca="1">SUMIFS(Movimientos!$C:$C,Movimientos!$A:$A,$B19,Movimientos!$D:$D,CONCATENATE("&lt;=",FW$3),Movimientos!$C:$C,"&gt;0")+SUMIFS(Movimientos!$C:$C,Movimientos!$A:$A,$B19,Movimientos!$D:$D,CONCATENATE("&lt;",FW$3),Movimientos!$C:$C,"&lt;0")</f>
        <v>0</v>
      </c>
      <c r="FX19" s="5">
        <f ca="1">SUMIFS(Movimientos!$C:$C,Movimientos!$A:$A,$B19,Movimientos!$D:$D,CONCATENATE("&lt;=",FX$3),Movimientos!$C:$C,"&gt;0")+SUMIFS(Movimientos!$C:$C,Movimientos!$A:$A,$B19,Movimientos!$D:$D,CONCATENATE("&lt;",FX$3),Movimientos!$C:$C,"&lt;0")</f>
        <v>0</v>
      </c>
      <c r="FY19" s="5">
        <f ca="1">SUMIFS(Movimientos!$C:$C,Movimientos!$A:$A,$B19,Movimientos!$D:$D,CONCATENATE("&lt;=",FY$3),Movimientos!$C:$C,"&gt;0")+SUMIFS(Movimientos!$C:$C,Movimientos!$A:$A,$B19,Movimientos!$D:$D,CONCATENATE("&lt;",FY$3),Movimientos!$C:$C,"&lt;0")</f>
        <v>0</v>
      </c>
      <c r="FZ19" s="5">
        <f ca="1">SUMIFS(Movimientos!$C:$C,Movimientos!$A:$A,$B19,Movimientos!$D:$D,CONCATENATE("&lt;=",FZ$3),Movimientos!$C:$C,"&gt;0")+SUMIFS(Movimientos!$C:$C,Movimientos!$A:$A,$B19,Movimientos!$D:$D,CONCATENATE("&lt;",FZ$3),Movimientos!$C:$C,"&lt;0")</f>
        <v>0</v>
      </c>
      <c r="GA19" s="5">
        <f ca="1">SUMIFS(Movimientos!$C:$C,Movimientos!$A:$A,$B19,Movimientos!$D:$D,CONCATENATE("&lt;=",GA$3),Movimientos!$C:$C,"&gt;0")+SUMIFS(Movimientos!$C:$C,Movimientos!$A:$A,$B19,Movimientos!$D:$D,CONCATENATE("&lt;",GA$3),Movimientos!$C:$C,"&lt;0")</f>
        <v>0</v>
      </c>
      <c r="GB19" s="5">
        <f ca="1">SUMIFS(Movimientos!$C:$C,Movimientos!$A:$A,$B19,Movimientos!$D:$D,CONCATENATE("&lt;=",GB$3),Movimientos!$C:$C,"&gt;0")+SUMIFS(Movimientos!$C:$C,Movimientos!$A:$A,$B19,Movimientos!$D:$D,CONCATENATE("&lt;",GB$3),Movimientos!$C:$C,"&lt;0")</f>
        <v>0</v>
      </c>
      <c r="GC19" s="5">
        <f ca="1">SUMIFS(Movimientos!$C:$C,Movimientos!$A:$A,$B19,Movimientos!$D:$D,CONCATENATE("&lt;=",GC$3),Movimientos!$C:$C,"&gt;0")+SUMIFS(Movimientos!$C:$C,Movimientos!$A:$A,$B19,Movimientos!$D:$D,CONCATENATE("&lt;",GC$3),Movimientos!$C:$C,"&lt;0")</f>
        <v>0</v>
      </c>
      <c r="GD19" s="5">
        <f ca="1">SUMIFS(Movimientos!$C:$C,Movimientos!$A:$A,$B19,Movimientos!$D:$D,CONCATENATE("&lt;=",GD$3),Movimientos!$C:$C,"&gt;0")+SUMIFS(Movimientos!$C:$C,Movimientos!$A:$A,$B19,Movimientos!$D:$D,CONCATENATE("&lt;",GD$3),Movimientos!$C:$C,"&lt;0")</f>
        <v>0</v>
      </c>
      <c r="GE19" s="5">
        <f ca="1">SUMIFS(Movimientos!$C:$C,Movimientos!$A:$A,$B19,Movimientos!$D:$D,CONCATENATE("&lt;=",GE$3),Movimientos!$C:$C,"&gt;0")+SUMIFS(Movimientos!$C:$C,Movimientos!$A:$A,$B19,Movimientos!$D:$D,CONCATENATE("&lt;",GE$3),Movimientos!$C:$C,"&lt;0")</f>
        <v>0</v>
      </c>
      <c r="GF19" s="5">
        <f ca="1">SUMIFS(Movimientos!$C:$C,Movimientos!$A:$A,$B19,Movimientos!$D:$D,CONCATENATE("&lt;=",GF$3),Movimientos!$C:$C,"&gt;0")+SUMIFS(Movimientos!$C:$C,Movimientos!$A:$A,$B19,Movimientos!$D:$D,CONCATENATE("&lt;",GF$3),Movimientos!$C:$C,"&lt;0")</f>
        <v>0</v>
      </c>
      <c r="GG19" s="5">
        <f ca="1">SUMIFS(Movimientos!$C:$C,Movimientos!$A:$A,$B19,Movimientos!$D:$D,CONCATENATE("&lt;=",GG$3),Movimientos!$C:$C,"&gt;0")+SUMIFS(Movimientos!$C:$C,Movimientos!$A:$A,$B19,Movimientos!$D:$D,CONCATENATE("&lt;",GG$3),Movimientos!$C:$C,"&lt;0")</f>
        <v>0</v>
      </c>
      <c r="GH19" s="5">
        <f ca="1">SUMIFS(Movimientos!$C:$C,Movimientos!$A:$A,$B19,Movimientos!$D:$D,CONCATENATE("&lt;=",GH$3),Movimientos!$C:$C,"&gt;0")+SUMIFS(Movimientos!$C:$C,Movimientos!$A:$A,$B19,Movimientos!$D:$D,CONCATENATE("&lt;",GH$3),Movimientos!$C:$C,"&lt;0")</f>
        <v>0</v>
      </c>
      <c r="GI19" s="5">
        <f ca="1">SUMIFS(Movimientos!$C:$C,Movimientos!$A:$A,$B19,Movimientos!$D:$D,CONCATENATE("&lt;=",GI$3),Movimientos!$C:$C,"&gt;0")+SUMIFS(Movimientos!$C:$C,Movimientos!$A:$A,$B19,Movimientos!$D:$D,CONCATENATE("&lt;",GI$3),Movimientos!$C:$C,"&lt;0")</f>
        <v>0</v>
      </c>
      <c r="GJ19" s="5">
        <f ca="1">SUMIFS(Movimientos!$C:$C,Movimientos!$A:$A,$B19,Movimientos!$D:$D,CONCATENATE("&lt;=",GJ$3),Movimientos!$C:$C,"&gt;0")+SUMIFS(Movimientos!$C:$C,Movimientos!$A:$A,$B19,Movimientos!$D:$D,CONCATENATE("&lt;",GJ$3),Movimientos!$C:$C,"&lt;0")</f>
        <v>0</v>
      </c>
      <c r="GK19" s="5">
        <f ca="1">SUMIFS(Movimientos!$C:$C,Movimientos!$A:$A,$B19,Movimientos!$D:$D,CONCATENATE("&lt;=",GK$3),Movimientos!$C:$C,"&gt;0")+SUMIFS(Movimientos!$C:$C,Movimientos!$A:$A,$B19,Movimientos!$D:$D,CONCATENATE("&lt;",GK$3),Movimientos!$C:$C,"&lt;0")</f>
        <v>0</v>
      </c>
      <c r="GL19" s="5">
        <f ca="1">SUMIFS(Movimientos!$C:$C,Movimientos!$A:$A,$B19,Movimientos!$D:$D,CONCATENATE("&lt;=",GL$3),Movimientos!$C:$C,"&gt;0")+SUMIFS(Movimientos!$C:$C,Movimientos!$A:$A,$B19,Movimientos!$D:$D,CONCATENATE("&lt;",GL$3),Movimientos!$C:$C,"&lt;0")</f>
        <v>0</v>
      </c>
      <c r="GM19" s="5">
        <f ca="1">SUMIFS(Movimientos!$C:$C,Movimientos!$A:$A,$B19,Movimientos!$D:$D,CONCATENATE("&lt;=",GM$3),Movimientos!$C:$C,"&gt;0")+SUMIFS(Movimientos!$C:$C,Movimientos!$A:$A,$B19,Movimientos!$D:$D,CONCATENATE("&lt;",GM$3),Movimientos!$C:$C,"&lt;0")</f>
        <v>0</v>
      </c>
      <c r="GN19" s="5">
        <f ca="1">SUMIFS(Movimientos!$C:$C,Movimientos!$A:$A,$B19,Movimientos!$D:$D,CONCATENATE("&lt;=",GN$3),Movimientos!$C:$C,"&gt;0")+SUMIFS(Movimientos!$C:$C,Movimientos!$A:$A,$B19,Movimientos!$D:$D,CONCATENATE("&lt;",GN$3),Movimientos!$C:$C,"&lt;0")</f>
        <v>0</v>
      </c>
      <c r="GO19" s="5">
        <f ca="1">SUMIFS(Movimientos!$C:$C,Movimientos!$A:$A,$B19,Movimientos!$D:$D,CONCATENATE("&lt;=",GO$3),Movimientos!$C:$C,"&gt;0")+SUMIFS(Movimientos!$C:$C,Movimientos!$A:$A,$B19,Movimientos!$D:$D,CONCATENATE("&lt;",GO$3),Movimientos!$C:$C,"&lt;0")</f>
        <v>0</v>
      </c>
      <c r="GP19" s="5">
        <f ca="1">SUMIFS(Movimientos!$C:$C,Movimientos!$A:$A,$B19,Movimientos!$D:$D,CONCATENATE("&lt;=",GP$3),Movimientos!$C:$C,"&gt;0")+SUMIFS(Movimientos!$C:$C,Movimientos!$A:$A,$B19,Movimientos!$D:$D,CONCATENATE("&lt;",GP$3),Movimientos!$C:$C,"&lt;0")</f>
        <v>0</v>
      </c>
      <c r="GQ19" s="5">
        <f ca="1">SUMIFS(Movimientos!$C:$C,Movimientos!$A:$A,$B19,Movimientos!$D:$D,CONCATENATE("&lt;=",GQ$3),Movimientos!$C:$C,"&gt;0")+SUMIFS(Movimientos!$C:$C,Movimientos!$A:$A,$B19,Movimientos!$D:$D,CONCATENATE("&lt;",GQ$3),Movimientos!$C:$C,"&lt;0")</f>
        <v>0</v>
      </c>
      <c r="GR19" s="5">
        <f ca="1">SUMIFS(Movimientos!$C:$C,Movimientos!$A:$A,$B19,Movimientos!$D:$D,CONCATENATE("&lt;=",GR$3),Movimientos!$C:$C,"&gt;0")+SUMIFS(Movimientos!$C:$C,Movimientos!$A:$A,$B19,Movimientos!$D:$D,CONCATENATE("&lt;",GR$3),Movimientos!$C:$C,"&lt;0")</f>
        <v>0</v>
      </c>
      <c r="GS19" s="5">
        <f ca="1">SUMIFS(Movimientos!$C:$C,Movimientos!$A:$A,$B19,Movimientos!$D:$D,CONCATENATE("&lt;=",GS$3),Movimientos!$C:$C,"&gt;0")+SUMIFS(Movimientos!$C:$C,Movimientos!$A:$A,$B19,Movimientos!$D:$D,CONCATENATE("&lt;",GS$3),Movimientos!$C:$C,"&lt;0")</f>
        <v>0</v>
      </c>
      <c r="GT19" s="5">
        <f ca="1">SUMIFS(Movimientos!$C:$C,Movimientos!$A:$A,$B19,Movimientos!$D:$D,CONCATENATE("&lt;=",GT$3),Movimientos!$C:$C,"&gt;0")+SUMIFS(Movimientos!$C:$C,Movimientos!$A:$A,$B19,Movimientos!$D:$D,CONCATENATE("&lt;",GT$3),Movimientos!$C:$C,"&lt;0")</f>
        <v>0</v>
      </c>
      <c r="GU19" s="5">
        <f ca="1">SUMIFS(Movimientos!$C:$C,Movimientos!$A:$A,$B19,Movimientos!$D:$D,CONCATENATE("&lt;=",GU$3),Movimientos!$C:$C,"&gt;0")+SUMIFS(Movimientos!$C:$C,Movimientos!$A:$A,$B19,Movimientos!$D:$D,CONCATENATE("&lt;",GU$3),Movimientos!$C:$C,"&lt;0")</f>
        <v>0</v>
      </c>
      <c r="GV19" s="5">
        <f ca="1">SUMIFS(Movimientos!$C:$C,Movimientos!$A:$A,$B19,Movimientos!$D:$D,CONCATENATE("&lt;=",GV$3),Movimientos!$C:$C,"&gt;0")+SUMIFS(Movimientos!$C:$C,Movimientos!$A:$A,$B19,Movimientos!$D:$D,CONCATENATE("&lt;",GV$3),Movimientos!$C:$C,"&lt;0")</f>
        <v>0</v>
      </c>
      <c r="GW19" s="5">
        <f ca="1">SUMIFS(Movimientos!$C:$C,Movimientos!$A:$A,$B19,Movimientos!$D:$D,CONCATENATE("&lt;=",GW$3),Movimientos!$C:$C,"&gt;0")+SUMIFS(Movimientos!$C:$C,Movimientos!$A:$A,$B19,Movimientos!$D:$D,CONCATENATE("&lt;",GW$3),Movimientos!$C:$C,"&lt;0")</f>
        <v>0</v>
      </c>
      <c r="GX19" s="5">
        <f ca="1">SUMIFS(Movimientos!$C:$C,Movimientos!$A:$A,$B19,Movimientos!$D:$D,CONCATENATE("&lt;=",GX$3),Movimientos!$C:$C,"&gt;0")+SUMIFS(Movimientos!$C:$C,Movimientos!$A:$A,$B19,Movimientos!$D:$D,CONCATENATE("&lt;",GX$3),Movimientos!$C:$C,"&lt;0")</f>
        <v>0</v>
      </c>
      <c r="GY19" s="5">
        <f ca="1">SUMIFS(Movimientos!$C:$C,Movimientos!$A:$A,$B19,Movimientos!$D:$D,CONCATENATE("&lt;=",GY$3),Movimientos!$C:$C,"&gt;0")+SUMIFS(Movimientos!$C:$C,Movimientos!$A:$A,$B19,Movimientos!$D:$D,CONCATENATE("&lt;",GY$3),Movimientos!$C:$C,"&lt;0")</f>
        <v>0</v>
      </c>
      <c r="GZ19" s="5">
        <f ca="1">SUMIFS(Movimientos!$C:$C,Movimientos!$A:$A,$B19,Movimientos!$D:$D,CONCATENATE("&lt;=",GZ$3),Movimientos!$C:$C,"&gt;0")+SUMIFS(Movimientos!$C:$C,Movimientos!$A:$A,$B19,Movimientos!$D:$D,CONCATENATE("&lt;",GZ$3),Movimientos!$C:$C,"&lt;0")</f>
        <v>0</v>
      </c>
      <c r="HA19" s="5">
        <f ca="1">SUMIFS(Movimientos!$C:$C,Movimientos!$A:$A,$B19,Movimientos!$D:$D,CONCATENATE("&lt;=",HA$3),Movimientos!$C:$C,"&gt;0")+SUMIFS(Movimientos!$C:$C,Movimientos!$A:$A,$B19,Movimientos!$D:$D,CONCATENATE("&lt;",HA$3),Movimientos!$C:$C,"&lt;0")</f>
        <v>0</v>
      </c>
      <c r="HB19" s="5">
        <f ca="1">SUMIFS(Movimientos!$C:$C,Movimientos!$A:$A,$B19,Movimientos!$D:$D,CONCATENATE("&lt;=",HB$3),Movimientos!$C:$C,"&gt;0")+SUMIFS(Movimientos!$C:$C,Movimientos!$A:$A,$B19,Movimientos!$D:$D,CONCATENATE("&lt;",HB$3),Movimientos!$C:$C,"&lt;0")</f>
        <v>0</v>
      </c>
      <c r="HC19" s="5">
        <f ca="1">SUMIFS(Movimientos!$C:$C,Movimientos!$A:$A,$B19,Movimientos!$D:$D,CONCATENATE("&lt;=",HC$3),Movimientos!$C:$C,"&gt;0")+SUMIFS(Movimientos!$C:$C,Movimientos!$A:$A,$B19,Movimientos!$D:$D,CONCATENATE("&lt;",HC$3),Movimientos!$C:$C,"&lt;0")</f>
        <v>0</v>
      </c>
      <c r="HD19" s="5">
        <f ca="1">SUMIFS(Movimientos!$C:$C,Movimientos!$A:$A,$B19,Movimientos!$D:$D,CONCATENATE("&lt;=",HD$3),Movimientos!$C:$C,"&gt;0")+SUMIFS(Movimientos!$C:$C,Movimientos!$A:$A,$B19,Movimientos!$D:$D,CONCATENATE("&lt;",HD$3),Movimientos!$C:$C,"&lt;0")</f>
        <v>0</v>
      </c>
      <c r="HE19" s="5">
        <f ca="1">SUMIFS(Movimientos!$C:$C,Movimientos!$A:$A,$B19,Movimientos!$D:$D,CONCATENATE("&lt;=",HE$3),Movimientos!$C:$C,"&gt;0")+SUMIFS(Movimientos!$C:$C,Movimientos!$A:$A,$B19,Movimientos!$D:$D,CONCATENATE("&lt;",HE$3),Movimientos!$C:$C,"&lt;0")</f>
        <v>0</v>
      </c>
      <c r="HF19" s="5">
        <f ca="1">SUMIFS(Movimientos!$C:$C,Movimientos!$A:$A,$B19,Movimientos!$D:$D,CONCATENATE("&lt;=",HF$3),Movimientos!$C:$C,"&gt;0")+SUMIFS(Movimientos!$C:$C,Movimientos!$A:$A,$B19,Movimientos!$D:$D,CONCATENATE("&lt;",HF$3),Movimientos!$C:$C,"&lt;0")</f>
        <v>0</v>
      </c>
      <c r="HG19" s="5">
        <f ca="1">SUMIFS(Movimientos!$C:$C,Movimientos!$A:$A,$B19,Movimientos!$D:$D,CONCATENATE("&lt;=",HG$3),Movimientos!$C:$C,"&gt;0")+SUMIFS(Movimientos!$C:$C,Movimientos!$A:$A,$B19,Movimientos!$D:$D,CONCATENATE("&lt;",HG$3),Movimientos!$C:$C,"&lt;0")</f>
        <v>0</v>
      </c>
      <c r="HH19" s="5">
        <f ca="1">SUMIFS(Movimientos!$C:$C,Movimientos!$A:$A,$B19,Movimientos!$D:$D,CONCATENATE("&lt;=",HH$3),Movimientos!$C:$C,"&gt;0")+SUMIFS(Movimientos!$C:$C,Movimientos!$A:$A,$B19,Movimientos!$D:$D,CONCATENATE("&lt;",HH$3),Movimientos!$C:$C,"&lt;0")</f>
        <v>0</v>
      </c>
      <c r="HI19" s="5">
        <f ca="1">SUMIFS(Movimientos!$C:$C,Movimientos!$A:$A,$B19,Movimientos!$D:$D,CONCATENATE("&lt;=",HI$3),Movimientos!$C:$C,"&gt;0")+SUMIFS(Movimientos!$C:$C,Movimientos!$A:$A,$B19,Movimientos!$D:$D,CONCATENATE("&lt;",HI$3),Movimientos!$C:$C,"&lt;0")</f>
        <v>0</v>
      </c>
      <c r="HJ19" s="5">
        <f ca="1">SUMIFS(Movimientos!$C:$C,Movimientos!$A:$A,$B19,Movimientos!$D:$D,CONCATENATE("&lt;=",HJ$3),Movimientos!$C:$C,"&gt;0")+SUMIFS(Movimientos!$C:$C,Movimientos!$A:$A,$B19,Movimientos!$D:$D,CONCATENATE("&lt;",HJ$3),Movimientos!$C:$C,"&lt;0")</f>
        <v>0</v>
      </c>
      <c r="HK19" s="5">
        <f ca="1">SUMIFS(Movimientos!$C:$C,Movimientos!$A:$A,$B19,Movimientos!$D:$D,CONCATENATE("&lt;=",HK$3),Movimientos!$C:$C,"&gt;0")+SUMIFS(Movimientos!$C:$C,Movimientos!$A:$A,$B19,Movimientos!$D:$D,CONCATENATE("&lt;",HK$3),Movimientos!$C:$C,"&lt;0")</f>
        <v>0</v>
      </c>
      <c r="HL19" s="5">
        <f ca="1">SUMIFS(Movimientos!$C:$C,Movimientos!$A:$A,$B19,Movimientos!$D:$D,CONCATENATE("&lt;=",HL$3),Movimientos!$C:$C,"&gt;0")+SUMIFS(Movimientos!$C:$C,Movimientos!$A:$A,$B19,Movimientos!$D:$D,CONCATENATE("&lt;",HL$3),Movimientos!$C:$C,"&lt;0")</f>
        <v>0</v>
      </c>
      <c r="HM19" s="5">
        <f ca="1">SUMIFS(Movimientos!$C:$C,Movimientos!$A:$A,$B19,Movimientos!$D:$D,CONCATENATE("&lt;=",HM$3),Movimientos!$C:$C,"&gt;0")+SUMIFS(Movimientos!$C:$C,Movimientos!$A:$A,$B19,Movimientos!$D:$D,CONCATENATE("&lt;",HM$3),Movimientos!$C:$C,"&lt;0")</f>
        <v>0</v>
      </c>
      <c r="HN19" s="5">
        <f ca="1">SUMIFS(Movimientos!$C:$C,Movimientos!$A:$A,$B19,Movimientos!$D:$D,CONCATENATE("&lt;=",HN$3),Movimientos!$C:$C,"&gt;0")+SUMIFS(Movimientos!$C:$C,Movimientos!$A:$A,$B19,Movimientos!$D:$D,CONCATENATE("&lt;",HN$3),Movimientos!$C:$C,"&lt;0")</f>
        <v>0</v>
      </c>
      <c r="HO19" s="5">
        <f ca="1">SUMIFS(Movimientos!$C:$C,Movimientos!$A:$A,$B19,Movimientos!$D:$D,CONCATENATE("&lt;=",HO$3),Movimientos!$C:$C,"&gt;0")+SUMIFS(Movimientos!$C:$C,Movimientos!$A:$A,$B19,Movimientos!$D:$D,CONCATENATE("&lt;",HO$3),Movimientos!$C:$C,"&lt;0")</f>
        <v>0</v>
      </c>
      <c r="HP19" s="5">
        <f ca="1">SUMIFS(Movimientos!$C:$C,Movimientos!$A:$A,$B19,Movimientos!$D:$D,CONCATENATE("&lt;=",HP$3),Movimientos!$C:$C,"&gt;0")+SUMIFS(Movimientos!$C:$C,Movimientos!$A:$A,$B19,Movimientos!$D:$D,CONCATENATE("&lt;",HP$3),Movimientos!$C:$C,"&lt;0")</f>
        <v>0</v>
      </c>
      <c r="HQ19" s="5">
        <f ca="1">SUMIFS(Movimientos!$C:$C,Movimientos!$A:$A,$B19,Movimientos!$D:$D,CONCATENATE("&lt;=",HQ$3),Movimientos!$C:$C,"&gt;0")+SUMIFS(Movimientos!$C:$C,Movimientos!$A:$A,$B19,Movimientos!$D:$D,CONCATENATE("&lt;",HQ$3),Movimientos!$C:$C,"&lt;0")</f>
        <v>0</v>
      </c>
      <c r="HR19" s="5">
        <f ca="1">SUMIFS(Movimientos!$C:$C,Movimientos!$A:$A,$B19,Movimientos!$D:$D,CONCATENATE("&lt;=",HR$3),Movimientos!$C:$C,"&gt;0")+SUMIFS(Movimientos!$C:$C,Movimientos!$A:$A,$B19,Movimientos!$D:$D,CONCATENATE("&lt;",HR$3),Movimientos!$C:$C,"&lt;0")</f>
        <v>0</v>
      </c>
      <c r="HS19" s="5">
        <f ca="1">SUMIFS(Movimientos!$C:$C,Movimientos!$A:$A,$B19,Movimientos!$D:$D,CONCATENATE("&lt;=",HS$3),Movimientos!$C:$C,"&gt;0")+SUMIFS(Movimientos!$C:$C,Movimientos!$A:$A,$B19,Movimientos!$D:$D,CONCATENATE("&lt;",HS$3),Movimientos!$C:$C,"&lt;0")</f>
        <v>0</v>
      </c>
      <c r="HT19" s="5">
        <f ca="1">SUMIFS(Movimientos!$C:$C,Movimientos!$A:$A,$B19,Movimientos!$D:$D,CONCATENATE("&lt;=",HT$3),Movimientos!$C:$C,"&gt;0")+SUMIFS(Movimientos!$C:$C,Movimientos!$A:$A,$B19,Movimientos!$D:$D,CONCATENATE("&lt;",HT$3),Movimientos!$C:$C,"&lt;0")</f>
        <v>0</v>
      </c>
      <c r="HU19" s="5">
        <f ca="1">SUMIFS(Movimientos!$C:$C,Movimientos!$A:$A,$B19,Movimientos!$D:$D,CONCATENATE("&lt;=",HU$3),Movimientos!$C:$C,"&gt;0")+SUMIFS(Movimientos!$C:$C,Movimientos!$A:$A,$B19,Movimientos!$D:$D,CONCATENATE("&lt;",HU$3),Movimientos!$C:$C,"&lt;0")</f>
        <v>0</v>
      </c>
      <c r="HV19" s="5">
        <f ca="1">SUMIFS(Movimientos!$C:$C,Movimientos!$A:$A,$B19,Movimientos!$D:$D,CONCATENATE("&lt;=",HV$3),Movimientos!$C:$C,"&gt;0")+SUMIFS(Movimientos!$C:$C,Movimientos!$A:$A,$B19,Movimientos!$D:$D,CONCATENATE("&lt;",HV$3),Movimientos!$C:$C,"&lt;0")</f>
        <v>0</v>
      </c>
      <c r="HW19" s="5">
        <f ca="1">SUMIFS(Movimientos!$C:$C,Movimientos!$A:$A,$B19,Movimientos!$D:$D,CONCATENATE("&lt;=",HW$3),Movimientos!$C:$C,"&gt;0")+SUMIFS(Movimientos!$C:$C,Movimientos!$A:$A,$B19,Movimientos!$D:$D,CONCATENATE("&lt;",HW$3),Movimientos!$C:$C,"&lt;0")</f>
        <v>0</v>
      </c>
      <c r="HX19" s="5">
        <f ca="1">SUMIFS(Movimientos!$C:$C,Movimientos!$A:$A,$B19,Movimientos!$D:$D,CONCATENATE("&lt;=",HX$3),Movimientos!$C:$C,"&gt;0")+SUMIFS(Movimientos!$C:$C,Movimientos!$A:$A,$B19,Movimientos!$D:$D,CONCATENATE("&lt;",HX$3),Movimientos!$C:$C,"&lt;0")</f>
        <v>0</v>
      </c>
      <c r="HY19" s="5">
        <f ca="1">SUMIFS(Movimientos!$C:$C,Movimientos!$A:$A,$B19,Movimientos!$D:$D,CONCATENATE("&lt;=",HY$3),Movimientos!$C:$C,"&gt;0")+SUMIFS(Movimientos!$C:$C,Movimientos!$A:$A,$B19,Movimientos!$D:$D,CONCATENATE("&lt;",HY$3),Movimientos!$C:$C,"&lt;0")</f>
        <v>0</v>
      </c>
      <c r="HZ19" s="5">
        <f ca="1">SUMIFS(Movimientos!$C:$C,Movimientos!$A:$A,$B19,Movimientos!$D:$D,CONCATENATE("&lt;=",HZ$3),Movimientos!$C:$C,"&gt;0")+SUMIFS(Movimientos!$C:$C,Movimientos!$A:$A,$B19,Movimientos!$D:$D,CONCATENATE("&lt;",HZ$3),Movimientos!$C:$C,"&lt;0")</f>
        <v>0</v>
      </c>
      <c r="IA19" s="5">
        <f ca="1">SUMIFS(Movimientos!$C:$C,Movimientos!$A:$A,$B19,Movimientos!$D:$D,CONCATENATE("&lt;=",IA$3),Movimientos!$C:$C,"&gt;0")+SUMIFS(Movimientos!$C:$C,Movimientos!$A:$A,$B19,Movimientos!$D:$D,CONCATENATE("&lt;",IA$3),Movimientos!$C:$C,"&lt;0")</f>
        <v>0</v>
      </c>
      <c r="IB19" s="5">
        <f ca="1">SUMIFS(Movimientos!$C:$C,Movimientos!$A:$A,$B19,Movimientos!$D:$D,CONCATENATE("&lt;=",IB$3),Movimientos!$C:$C,"&gt;0")+SUMIFS(Movimientos!$C:$C,Movimientos!$A:$A,$B19,Movimientos!$D:$D,CONCATENATE("&lt;",IB$3),Movimientos!$C:$C,"&lt;0")</f>
        <v>0</v>
      </c>
      <c r="IC19" s="5">
        <f ca="1">SUMIFS(Movimientos!$C:$C,Movimientos!$A:$A,$B19,Movimientos!$D:$D,CONCATENATE("&lt;=",IC$3),Movimientos!$C:$C,"&gt;0")+SUMIFS(Movimientos!$C:$C,Movimientos!$A:$A,$B19,Movimientos!$D:$D,CONCATENATE("&lt;",IC$3),Movimientos!$C:$C,"&lt;0")</f>
        <v>0</v>
      </c>
      <c r="ID19" s="5">
        <f ca="1">SUMIFS(Movimientos!$C:$C,Movimientos!$A:$A,$B19,Movimientos!$D:$D,CONCATENATE("&lt;=",ID$3),Movimientos!$C:$C,"&gt;0")+SUMIFS(Movimientos!$C:$C,Movimientos!$A:$A,$B19,Movimientos!$D:$D,CONCATENATE("&lt;",ID$3),Movimientos!$C:$C,"&lt;0")</f>
        <v>0</v>
      </c>
      <c r="IE19" s="5">
        <f ca="1">SUMIFS(Movimientos!$C:$C,Movimientos!$A:$A,$B19,Movimientos!$D:$D,CONCATENATE("&lt;=",IE$3),Movimientos!$C:$C,"&gt;0")+SUMIFS(Movimientos!$C:$C,Movimientos!$A:$A,$B19,Movimientos!$D:$D,CONCATENATE("&lt;",IE$3),Movimientos!$C:$C,"&lt;0")</f>
        <v>0</v>
      </c>
      <c r="IF19" s="5">
        <f ca="1">SUMIFS(Movimientos!$C:$C,Movimientos!$A:$A,$B19,Movimientos!$D:$D,CONCATENATE("&lt;=",IF$3),Movimientos!$C:$C,"&gt;0")+SUMIFS(Movimientos!$C:$C,Movimientos!$A:$A,$B19,Movimientos!$D:$D,CONCATENATE("&lt;",IF$3),Movimientos!$C:$C,"&lt;0")</f>
        <v>0</v>
      </c>
      <c r="IG19" s="5">
        <f ca="1">SUMIFS(Movimientos!$C:$C,Movimientos!$A:$A,$B19,Movimientos!$D:$D,CONCATENATE("&lt;=",IG$3),Movimientos!$C:$C,"&gt;0")+SUMIFS(Movimientos!$C:$C,Movimientos!$A:$A,$B19,Movimientos!$D:$D,CONCATENATE("&lt;",IG$3),Movimientos!$C:$C,"&lt;0")</f>
        <v>0</v>
      </c>
      <c r="IH19" s="5">
        <f ca="1">SUMIFS(Movimientos!$C:$C,Movimientos!$A:$A,$B19,Movimientos!$D:$D,CONCATENATE("&lt;=",IH$3),Movimientos!$C:$C,"&gt;0")+SUMIFS(Movimientos!$C:$C,Movimientos!$A:$A,$B19,Movimientos!$D:$D,CONCATENATE("&lt;",IH$3),Movimientos!$C:$C,"&lt;0")</f>
        <v>0</v>
      </c>
      <c r="II19" s="5">
        <f ca="1">SUMIFS(Movimientos!$C:$C,Movimientos!$A:$A,$B19,Movimientos!$D:$D,CONCATENATE("&lt;=",II$3),Movimientos!$C:$C,"&gt;0")+SUMIFS(Movimientos!$C:$C,Movimientos!$A:$A,$B19,Movimientos!$D:$D,CONCATENATE("&lt;",II$3),Movimientos!$C:$C,"&lt;0")</f>
        <v>0</v>
      </c>
      <c r="IJ19" s="5">
        <f ca="1">SUMIFS(Movimientos!$C:$C,Movimientos!$A:$A,$B19,Movimientos!$D:$D,CONCATENATE("&lt;=",IJ$3),Movimientos!$C:$C,"&gt;0")+SUMIFS(Movimientos!$C:$C,Movimientos!$A:$A,$B19,Movimientos!$D:$D,CONCATENATE("&lt;",IJ$3),Movimientos!$C:$C,"&lt;0")</f>
        <v>0</v>
      </c>
      <c r="IK19" s="5">
        <f ca="1">SUMIFS(Movimientos!$C:$C,Movimientos!$A:$A,$B19,Movimientos!$D:$D,CONCATENATE("&lt;=",IK$3),Movimientos!$C:$C,"&gt;0")+SUMIFS(Movimientos!$C:$C,Movimientos!$A:$A,$B19,Movimientos!$D:$D,CONCATENATE("&lt;",IK$3),Movimientos!$C:$C,"&lt;0")</f>
        <v>0</v>
      </c>
      <c r="IL19" s="5">
        <f ca="1">SUMIFS(Movimientos!$C:$C,Movimientos!$A:$A,$B19,Movimientos!$D:$D,CONCATENATE("&lt;=",IL$3),Movimientos!$C:$C,"&gt;0")+SUMIFS(Movimientos!$C:$C,Movimientos!$A:$A,$B19,Movimientos!$D:$D,CONCATENATE("&lt;",IL$3),Movimientos!$C:$C,"&lt;0")</f>
        <v>0</v>
      </c>
      <c r="IM19" s="5">
        <f ca="1">SUMIFS(Movimientos!$C:$C,Movimientos!$A:$A,$B19,Movimientos!$D:$D,CONCATENATE("&lt;=",IM$3),Movimientos!$C:$C,"&gt;0")+SUMIFS(Movimientos!$C:$C,Movimientos!$A:$A,$B19,Movimientos!$D:$D,CONCATENATE("&lt;",IM$3),Movimientos!$C:$C,"&lt;0")</f>
        <v>0</v>
      </c>
      <c r="IN19" s="5">
        <f ca="1">SUMIFS(Movimientos!$C:$C,Movimientos!$A:$A,$B19,Movimientos!$D:$D,CONCATENATE("&lt;=",IN$3),Movimientos!$C:$C,"&gt;0")+SUMIFS(Movimientos!$C:$C,Movimientos!$A:$A,$B19,Movimientos!$D:$D,CONCATENATE("&lt;",IN$3),Movimientos!$C:$C,"&lt;0")</f>
        <v>0</v>
      </c>
      <c r="IO19" s="5">
        <f ca="1">SUMIFS(Movimientos!$C:$C,Movimientos!$A:$A,$B19,Movimientos!$D:$D,CONCATENATE("&lt;=",IO$3),Movimientos!$C:$C,"&gt;0")+SUMIFS(Movimientos!$C:$C,Movimientos!$A:$A,$B19,Movimientos!$D:$D,CONCATENATE("&lt;",IO$3),Movimientos!$C:$C,"&lt;0")</f>
        <v>0</v>
      </c>
      <c r="IP19" s="5">
        <f ca="1">SUMIFS(Movimientos!$C:$C,Movimientos!$A:$A,$B19,Movimientos!$D:$D,CONCATENATE("&lt;=",IP$3),Movimientos!$C:$C,"&gt;0")+SUMIFS(Movimientos!$C:$C,Movimientos!$A:$A,$B19,Movimientos!$D:$D,CONCATENATE("&lt;",IP$3),Movimientos!$C:$C,"&lt;0")</f>
        <v>0</v>
      </c>
      <c r="IQ19" s="5">
        <f ca="1">SUMIFS(Movimientos!$C:$C,Movimientos!$A:$A,$B19,Movimientos!$D:$D,CONCATENATE("&lt;=",IQ$3),Movimientos!$C:$C,"&gt;0")+SUMIFS(Movimientos!$C:$C,Movimientos!$A:$A,$B19,Movimientos!$D:$D,CONCATENATE("&lt;",IQ$3),Movimientos!$C:$C,"&lt;0")</f>
        <v>0</v>
      </c>
      <c r="IR19" s="5">
        <f ca="1">SUMIFS(Movimientos!$C:$C,Movimientos!$A:$A,$B19,Movimientos!$D:$D,CONCATENATE("&lt;=",IR$3),Movimientos!$C:$C,"&gt;0")+SUMIFS(Movimientos!$C:$C,Movimientos!$A:$A,$B19,Movimientos!$D:$D,CONCATENATE("&lt;",IR$3),Movimientos!$C:$C,"&lt;0")</f>
        <v>0</v>
      </c>
      <c r="IS19" s="5">
        <f ca="1">SUMIFS(Movimientos!$C:$C,Movimientos!$A:$A,$B19,Movimientos!$D:$D,CONCATENATE("&lt;=",IS$3),Movimientos!$C:$C,"&gt;0")+SUMIFS(Movimientos!$C:$C,Movimientos!$A:$A,$B19,Movimientos!$D:$D,CONCATENATE("&lt;",IS$3),Movimientos!$C:$C,"&lt;0")</f>
        <v>0</v>
      </c>
      <c r="IT19" s="5">
        <f ca="1">SUMIFS(Movimientos!$C:$C,Movimientos!$A:$A,$B19,Movimientos!$D:$D,CONCATENATE("&lt;=",IT$3),Movimientos!$C:$C,"&gt;0")+SUMIFS(Movimientos!$C:$C,Movimientos!$A:$A,$B19,Movimientos!$D:$D,CONCATENATE("&lt;",IT$3),Movimientos!$C:$C,"&lt;0")</f>
        <v>0</v>
      </c>
      <c r="IU19" s="5">
        <f ca="1">SUMIFS(Movimientos!$C:$C,Movimientos!$A:$A,$B19,Movimientos!$D:$D,CONCATENATE("&lt;=",IU$3),Movimientos!$C:$C,"&gt;0")+SUMIFS(Movimientos!$C:$C,Movimientos!$A:$A,$B19,Movimientos!$D:$D,CONCATENATE("&lt;",IU$3),Movimientos!$C:$C,"&lt;0")</f>
        <v>0</v>
      </c>
      <c r="IV19" s="5">
        <f ca="1">SUMIFS(Movimientos!$C:$C,Movimientos!$A:$A,$B19,Movimientos!$D:$D,CONCATENATE("&lt;=",IV$3),Movimientos!$C:$C,"&gt;0")+SUMIFS(Movimientos!$C:$C,Movimientos!$A:$A,$B19,Movimientos!$D:$D,CONCATENATE("&lt;",IV$3),Movimientos!$C:$C,"&lt;0")</f>
        <v>0</v>
      </c>
      <c r="IW19" s="5">
        <f ca="1">SUMIFS(Movimientos!$C:$C,Movimientos!$A:$A,$B19,Movimientos!$D:$D,CONCATENATE("&lt;=",IW$3),Movimientos!$C:$C,"&gt;0")+SUMIFS(Movimientos!$C:$C,Movimientos!$A:$A,$B19,Movimientos!$D:$D,CONCATENATE("&lt;",IW$3),Movimientos!$C:$C,"&lt;0")</f>
        <v>0</v>
      </c>
      <c r="IX19" s="5">
        <f ca="1">SUMIFS(Movimientos!$C:$C,Movimientos!$A:$A,$B19,Movimientos!$D:$D,CONCATENATE("&lt;=",IX$3),Movimientos!$C:$C,"&gt;0")+SUMIFS(Movimientos!$C:$C,Movimientos!$A:$A,$B19,Movimientos!$D:$D,CONCATENATE("&lt;",IX$3),Movimientos!$C:$C,"&lt;0")</f>
        <v>0</v>
      </c>
      <c r="IY19" s="5">
        <f ca="1">SUMIFS(Movimientos!$C:$C,Movimientos!$A:$A,$B19,Movimientos!$D:$D,CONCATENATE("&lt;=",IY$3),Movimientos!$C:$C,"&gt;0")+SUMIFS(Movimientos!$C:$C,Movimientos!$A:$A,$B19,Movimientos!$D:$D,CONCATENATE("&lt;",IY$3),Movimientos!$C:$C,"&lt;0")</f>
        <v>0</v>
      </c>
      <c r="IZ19" s="5">
        <f ca="1">SUMIFS(Movimientos!$C:$C,Movimientos!$A:$A,$B19,Movimientos!$D:$D,CONCATENATE("&lt;=",IZ$3),Movimientos!$C:$C,"&gt;0")+SUMIFS(Movimientos!$C:$C,Movimientos!$A:$A,$B19,Movimientos!$D:$D,CONCATENATE("&lt;",IZ$3),Movimientos!$C:$C,"&lt;0")</f>
        <v>0</v>
      </c>
      <c r="JA19" s="5">
        <f ca="1">SUMIFS(Movimientos!$C:$C,Movimientos!$A:$A,$B19,Movimientos!$D:$D,CONCATENATE("&lt;=",JA$3),Movimientos!$C:$C,"&gt;0")+SUMIFS(Movimientos!$C:$C,Movimientos!$A:$A,$B19,Movimientos!$D:$D,CONCATENATE("&lt;",JA$3),Movimientos!$C:$C,"&lt;0")</f>
        <v>0</v>
      </c>
      <c r="JB19" s="5">
        <f ca="1">SUMIFS(Movimientos!$C:$C,Movimientos!$A:$A,$B19,Movimientos!$D:$D,CONCATENATE("&lt;=",JB$3),Movimientos!$C:$C,"&gt;0")+SUMIFS(Movimientos!$C:$C,Movimientos!$A:$A,$B19,Movimientos!$D:$D,CONCATENATE("&lt;",JB$3),Movimientos!$C:$C,"&lt;0")</f>
        <v>0</v>
      </c>
      <c r="JC19" s="5">
        <f ca="1">SUMIFS(Movimientos!$C:$C,Movimientos!$A:$A,$B19,Movimientos!$D:$D,CONCATENATE("&lt;=",JC$3),Movimientos!$C:$C,"&gt;0")+SUMIFS(Movimientos!$C:$C,Movimientos!$A:$A,$B19,Movimientos!$D:$D,CONCATENATE("&lt;",JC$3),Movimientos!$C:$C,"&lt;0")</f>
        <v>0</v>
      </c>
      <c r="JD19" s="5">
        <f ca="1">SUMIFS(Movimientos!$C:$C,Movimientos!$A:$A,$B19,Movimientos!$D:$D,CONCATENATE("&lt;=",JD$3),Movimientos!$C:$C,"&gt;0")+SUMIFS(Movimientos!$C:$C,Movimientos!$A:$A,$B19,Movimientos!$D:$D,CONCATENATE("&lt;",JD$3),Movimientos!$C:$C,"&lt;0")</f>
        <v>0</v>
      </c>
      <c r="JE19" s="5">
        <f ca="1">SUMIFS(Movimientos!$C:$C,Movimientos!$A:$A,$B19,Movimientos!$D:$D,CONCATENATE("&lt;=",JE$3),Movimientos!$C:$C,"&gt;0")+SUMIFS(Movimientos!$C:$C,Movimientos!$A:$A,$B19,Movimientos!$D:$D,CONCATENATE("&lt;",JE$3),Movimientos!$C:$C,"&lt;0")</f>
        <v>0</v>
      </c>
      <c r="JF19" s="5">
        <f ca="1">SUMIFS(Movimientos!$C:$C,Movimientos!$A:$A,$B19,Movimientos!$D:$D,CONCATENATE("&lt;=",JF$3),Movimientos!$C:$C,"&gt;0")+SUMIFS(Movimientos!$C:$C,Movimientos!$A:$A,$B19,Movimientos!$D:$D,CONCATENATE("&lt;",JF$3),Movimientos!$C:$C,"&lt;0")</f>
        <v>0</v>
      </c>
      <c r="JG19" s="5">
        <f ca="1">SUMIFS(Movimientos!$C:$C,Movimientos!$A:$A,$B19,Movimientos!$D:$D,CONCATENATE("&lt;=",JG$3),Movimientos!$C:$C,"&gt;0")+SUMIFS(Movimientos!$C:$C,Movimientos!$A:$A,$B19,Movimientos!$D:$D,CONCATENATE("&lt;",JG$3),Movimientos!$C:$C,"&lt;0")</f>
        <v>0</v>
      </c>
      <c r="JH19" s="5">
        <f ca="1">SUMIFS(Movimientos!$C:$C,Movimientos!$A:$A,$B19,Movimientos!$D:$D,CONCATENATE("&lt;=",JH$3),Movimientos!$C:$C,"&gt;0")+SUMIFS(Movimientos!$C:$C,Movimientos!$A:$A,$B19,Movimientos!$D:$D,CONCATENATE("&lt;",JH$3),Movimientos!$C:$C,"&lt;0")</f>
        <v>0</v>
      </c>
      <c r="JI19" s="5">
        <f ca="1">SUMIFS(Movimientos!$C:$C,Movimientos!$A:$A,$B19,Movimientos!$D:$D,CONCATENATE("&lt;=",JI$3),Movimientos!$C:$C,"&gt;0")+SUMIFS(Movimientos!$C:$C,Movimientos!$A:$A,$B19,Movimientos!$D:$D,CONCATENATE("&lt;",JI$3),Movimientos!$C:$C,"&lt;0")</f>
        <v>0</v>
      </c>
      <c r="JJ19" s="5">
        <f ca="1">SUMIFS(Movimientos!$C:$C,Movimientos!$A:$A,$B19,Movimientos!$D:$D,CONCATENATE("&lt;=",JJ$3),Movimientos!$C:$C,"&gt;0")+SUMIFS(Movimientos!$C:$C,Movimientos!$A:$A,$B19,Movimientos!$D:$D,CONCATENATE("&lt;",JJ$3),Movimientos!$C:$C,"&lt;0")</f>
        <v>0</v>
      </c>
      <c r="JK19" s="5">
        <f ca="1">SUMIFS(Movimientos!$C:$C,Movimientos!$A:$A,$B19,Movimientos!$D:$D,CONCATENATE("&lt;=",JK$3),Movimientos!$C:$C,"&gt;0")+SUMIFS(Movimientos!$C:$C,Movimientos!$A:$A,$B19,Movimientos!$D:$D,CONCATENATE("&lt;",JK$3),Movimientos!$C:$C,"&lt;0")</f>
        <v>0</v>
      </c>
      <c r="JL19" s="5">
        <f ca="1">SUMIFS(Movimientos!$C:$C,Movimientos!$A:$A,$B19,Movimientos!$D:$D,CONCATENATE("&lt;=",JL$3),Movimientos!$C:$C,"&gt;0")+SUMIFS(Movimientos!$C:$C,Movimientos!$A:$A,$B19,Movimientos!$D:$D,CONCATENATE("&lt;",JL$3),Movimientos!$C:$C,"&lt;0")</f>
        <v>0</v>
      </c>
      <c r="JM19" s="5">
        <f ca="1">SUMIFS(Movimientos!$C:$C,Movimientos!$A:$A,$B19,Movimientos!$D:$D,CONCATENATE("&lt;=",JM$3),Movimientos!$C:$C,"&gt;0")+SUMIFS(Movimientos!$C:$C,Movimientos!$A:$A,$B19,Movimientos!$D:$D,CONCATENATE("&lt;",JM$3),Movimientos!$C:$C,"&lt;0")</f>
        <v>0</v>
      </c>
      <c r="JN19" s="5">
        <f ca="1">SUMIFS(Movimientos!$C:$C,Movimientos!$A:$A,$B19,Movimientos!$D:$D,CONCATENATE("&lt;=",JN$3),Movimientos!$C:$C,"&gt;0")+SUMIFS(Movimientos!$C:$C,Movimientos!$A:$A,$B19,Movimientos!$D:$D,CONCATENATE("&lt;",JN$3),Movimientos!$C:$C,"&lt;0")</f>
        <v>0</v>
      </c>
      <c r="JO19" s="5">
        <f ca="1">SUMIFS(Movimientos!$C:$C,Movimientos!$A:$A,$B19,Movimientos!$D:$D,CONCATENATE("&lt;=",JO$3),Movimientos!$C:$C,"&gt;0")+SUMIFS(Movimientos!$C:$C,Movimientos!$A:$A,$B19,Movimientos!$D:$D,CONCATENATE("&lt;",JO$3),Movimientos!$C:$C,"&lt;0")</f>
        <v>0</v>
      </c>
      <c r="JP19" s="5">
        <f ca="1">SUMIFS(Movimientos!$C:$C,Movimientos!$A:$A,$B19,Movimientos!$D:$D,CONCATENATE("&lt;=",JP$3),Movimientos!$C:$C,"&gt;0")+SUMIFS(Movimientos!$C:$C,Movimientos!$A:$A,$B19,Movimientos!$D:$D,CONCATENATE("&lt;",JP$3),Movimientos!$C:$C,"&lt;0")</f>
        <v>0</v>
      </c>
      <c r="JQ19" s="5">
        <f ca="1">SUMIFS(Movimientos!$C:$C,Movimientos!$A:$A,$B19,Movimientos!$D:$D,CONCATENATE("&lt;=",JQ$3),Movimientos!$C:$C,"&gt;0")+SUMIFS(Movimientos!$C:$C,Movimientos!$A:$A,$B19,Movimientos!$D:$D,CONCATENATE("&lt;",JQ$3),Movimientos!$C:$C,"&lt;0")</f>
        <v>0</v>
      </c>
      <c r="JR19" s="5">
        <f ca="1">SUMIFS(Movimientos!$C:$C,Movimientos!$A:$A,$B19,Movimientos!$D:$D,CONCATENATE("&lt;=",JR$3),Movimientos!$C:$C,"&gt;0")+SUMIFS(Movimientos!$C:$C,Movimientos!$A:$A,$B19,Movimientos!$D:$D,CONCATENATE("&lt;",JR$3),Movimientos!$C:$C,"&lt;0")</f>
        <v>0</v>
      </c>
      <c r="JS19" s="5">
        <f ca="1">SUMIFS(Movimientos!$C:$C,Movimientos!$A:$A,$B19,Movimientos!$D:$D,CONCATENATE("&lt;=",JS$3),Movimientos!$C:$C,"&gt;0")+SUMIFS(Movimientos!$C:$C,Movimientos!$A:$A,$B19,Movimientos!$D:$D,CONCATENATE("&lt;",JS$3),Movimientos!$C:$C,"&lt;0")</f>
        <v>0</v>
      </c>
      <c r="JT19" s="5">
        <f ca="1">SUMIFS(Movimientos!$C:$C,Movimientos!$A:$A,$B19,Movimientos!$D:$D,CONCATENATE("&lt;=",JT$3),Movimientos!$C:$C,"&gt;0")+SUMIFS(Movimientos!$C:$C,Movimientos!$A:$A,$B19,Movimientos!$D:$D,CONCATENATE("&lt;",JT$3),Movimientos!$C:$C,"&lt;0")</f>
        <v>0</v>
      </c>
      <c r="JU19" s="5">
        <f ca="1">SUMIFS(Movimientos!$C:$C,Movimientos!$A:$A,$B19,Movimientos!$D:$D,CONCATENATE("&lt;=",JU$3),Movimientos!$C:$C,"&gt;0")+SUMIFS(Movimientos!$C:$C,Movimientos!$A:$A,$B19,Movimientos!$D:$D,CONCATENATE("&lt;",JU$3),Movimientos!$C:$C,"&lt;0")</f>
        <v>0</v>
      </c>
      <c r="JV19" s="5">
        <f ca="1">SUMIFS(Movimientos!$C:$C,Movimientos!$A:$A,$B19,Movimientos!$D:$D,CONCATENATE("&lt;=",JV$3),Movimientos!$C:$C,"&gt;0")+SUMIFS(Movimientos!$C:$C,Movimientos!$A:$A,$B19,Movimientos!$D:$D,CONCATENATE("&lt;",JV$3),Movimientos!$C:$C,"&lt;0")</f>
        <v>0</v>
      </c>
      <c r="JW19" s="5">
        <f ca="1">SUMIFS(Movimientos!$C:$C,Movimientos!$A:$A,$B19,Movimientos!$D:$D,CONCATENATE("&lt;=",JW$3),Movimientos!$C:$C,"&gt;0")+SUMIFS(Movimientos!$C:$C,Movimientos!$A:$A,$B19,Movimientos!$D:$D,CONCATENATE("&lt;",JW$3),Movimientos!$C:$C,"&lt;0")</f>
        <v>0</v>
      </c>
      <c r="JX19" s="5">
        <f ca="1">SUMIFS(Movimientos!$C:$C,Movimientos!$A:$A,$B19,Movimientos!$D:$D,CONCATENATE("&lt;=",JX$3),Movimientos!$C:$C,"&gt;0")+SUMIFS(Movimientos!$C:$C,Movimientos!$A:$A,$B19,Movimientos!$D:$D,CONCATENATE("&lt;",JX$3),Movimientos!$C:$C,"&lt;0")</f>
        <v>0</v>
      </c>
      <c r="JY19" s="5">
        <f ca="1">SUMIFS(Movimientos!$C:$C,Movimientos!$A:$A,$B19,Movimientos!$D:$D,CONCATENATE("&lt;=",JY$3),Movimientos!$C:$C,"&gt;0")+SUMIFS(Movimientos!$C:$C,Movimientos!$A:$A,$B19,Movimientos!$D:$D,CONCATENATE("&lt;",JY$3),Movimientos!$C:$C,"&lt;0")</f>
        <v>0</v>
      </c>
      <c r="JZ19" s="5">
        <f ca="1">SUMIFS(Movimientos!$C:$C,Movimientos!$A:$A,$B19,Movimientos!$D:$D,CONCATENATE("&lt;=",JZ$3),Movimientos!$C:$C,"&gt;0")+SUMIFS(Movimientos!$C:$C,Movimientos!$A:$A,$B19,Movimientos!$D:$D,CONCATENATE("&lt;",JZ$3),Movimientos!$C:$C,"&lt;0")</f>
        <v>0</v>
      </c>
      <c r="KA19" s="5">
        <f ca="1">SUMIFS(Movimientos!$C:$C,Movimientos!$A:$A,$B19,Movimientos!$D:$D,CONCATENATE("&lt;=",KA$3),Movimientos!$C:$C,"&gt;0")+SUMIFS(Movimientos!$C:$C,Movimientos!$A:$A,$B19,Movimientos!$D:$D,CONCATENATE("&lt;",KA$3),Movimientos!$C:$C,"&lt;0")</f>
        <v>0</v>
      </c>
      <c r="KB19" s="5">
        <f ca="1">SUMIFS(Movimientos!$C:$C,Movimientos!$A:$A,$B19,Movimientos!$D:$D,CONCATENATE("&lt;=",KB$3),Movimientos!$C:$C,"&gt;0")+SUMIFS(Movimientos!$C:$C,Movimientos!$A:$A,$B19,Movimientos!$D:$D,CONCATENATE("&lt;",KB$3),Movimientos!$C:$C,"&lt;0")</f>
        <v>0</v>
      </c>
      <c r="KC19" s="5">
        <f ca="1">SUMIFS(Movimientos!$C:$C,Movimientos!$A:$A,$B19,Movimientos!$D:$D,CONCATENATE("&lt;=",KC$3),Movimientos!$C:$C,"&gt;0")+SUMIFS(Movimientos!$C:$C,Movimientos!$A:$A,$B19,Movimientos!$D:$D,CONCATENATE("&lt;",KC$3),Movimientos!$C:$C,"&lt;0")</f>
        <v>0</v>
      </c>
      <c r="KD19" s="5">
        <f ca="1">SUMIFS(Movimientos!$C:$C,Movimientos!$A:$A,$B19,Movimientos!$D:$D,CONCATENATE("&lt;=",KD$3),Movimientos!$C:$C,"&gt;0")+SUMIFS(Movimientos!$C:$C,Movimientos!$A:$A,$B19,Movimientos!$D:$D,CONCATENATE("&lt;",KD$3),Movimientos!$C:$C,"&lt;0")</f>
        <v>0</v>
      </c>
      <c r="KE19" s="5">
        <f ca="1">SUMIFS(Movimientos!$C:$C,Movimientos!$A:$A,$B19,Movimientos!$D:$D,CONCATENATE("&lt;=",KE$3),Movimientos!$C:$C,"&gt;0")+SUMIFS(Movimientos!$C:$C,Movimientos!$A:$A,$B19,Movimientos!$D:$D,CONCATENATE("&lt;",KE$3),Movimientos!$C:$C,"&lt;0")</f>
        <v>0</v>
      </c>
      <c r="KF19" s="5">
        <f ca="1">SUMIFS(Movimientos!$C:$C,Movimientos!$A:$A,$B19,Movimientos!$D:$D,CONCATENATE("&lt;=",KF$3),Movimientos!$C:$C,"&gt;0")+SUMIFS(Movimientos!$C:$C,Movimientos!$A:$A,$B19,Movimientos!$D:$D,CONCATENATE("&lt;",KF$3),Movimientos!$C:$C,"&lt;0")</f>
        <v>0</v>
      </c>
      <c r="KG19" s="5">
        <f ca="1">SUMIFS(Movimientos!$C:$C,Movimientos!$A:$A,$B19,Movimientos!$D:$D,CONCATENATE("&lt;=",KG$3),Movimientos!$C:$C,"&gt;0")+SUMIFS(Movimientos!$C:$C,Movimientos!$A:$A,$B19,Movimientos!$D:$D,CONCATENATE("&lt;",KG$3),Movimientos!$C:$C,"&lt;0")</f>
        <v>0</v>
      </c>
      <c r="KH19" s="5">
        <f ca="1">SUMIFS(Movimientos!$C:$C,Movimientos!$A:$A,$B19,Movimientos!$D:$D,CONCATENATE("&lt;=",KH$3),Movimientos!$C:$C,"&gt;0")+SUMIFS(Movimientos!$C:$C,Movimientos!$A:$A,$B19,Movimientos!$D:$D,CONCATENATE("&lt;",KH$3),Movimientos!$C:$C,"&lt;0")</f>
        <v>0</v>
      </c>
      <c r="KI19" s="5">
        <f ca="1">SUMIFS(Movimientos!$C:$C,Movimientos!$A:$A,$B19,Movimientos!$D:$D,CONCATENATE("&lt;=",KI$3),Movimientos!$C:$C,"&gt;0")+SUMIFS(Movimientos!$C:$C,Movimientos!$A:$A,$B19,Movimientos!$D:$D,CONCATENATE("&lt;",KI$3),Movimientos!$C:$C,"&lt;0")</f>
        <v>0</v>
      </c>
      <c r="KJ19" s="5">
        <f ca="1">SUMIFS(Movimientos!$C:$C,Movimientos!$A:$A,$B19,Movimientos!$D:$D,CONCATENATE("&lt;=",KJ$3),Movimientos!$C:$C,"&gt;0")+SUMIFS(Movimientos!$C:$C,Movimientos!$A:$A,$B19,Movimientos!$D:$D,CONCATENATE("&lt;",KJ$3),Movimientos!$C:$C,"&lt;0")</f>
        <v>0</v>
      </c>
      <c r="KK19" s="5">
        <f ca="1">SUMIFS(Movimientos!$C:$C,Movimientos!$A:$A,$B19,Movimientos!$D:$D,CONCATENATE("&lt;=",KK$3),Movimientos!$C:$C,"&gt;0")+SUMIFS(Movimientos!$C:$C,Movimientos!$A:$A,$B19,Movimientos!$D:$D,CONCATENATE("&lt;",KK$3),Movimientos!$C:$C,"&lt;0")</f>
        <v>0</v>
      </c>
      <c r="KL19" s="5">
        <f ca="1">SUMIFS(Movimientos!$C:$C,Movimientos!$A:$A,$B19,Movimientos!$D:$D,CONCATENATE("&lt;=",KL$3),Movimientos!$C:$C,"&gt;0")+SUMIFS(Movimientos!$C:$C,Movimientos!$A:$A,$B19,Movimientos!$D:$D,CONCATENATE("&lt;",KL$3),Movimientos!$C:$C,"&lt;0")</f>
        <v>0</v>
      </c>
      <c r="KM19" s="5">
        <f ca="1">SUMIFS(Movimientos!$C:$C,Movimientos!$A:$A,$B19,Movimientos!$D:$D,CONCATENATE("&lt;=",KM$3),Movimientos!$C:$C,"&gt;0")+SUMIFS(Movimientos!$C:$C,Movimientos!$A:$A,$B19,Movimientos!$D:$D,CONCATENATE("&lt;",KM$3),Movimientos!$C:$C,"&lt;0")</f>
        <v>0</v>
      </c>
      <c r="KN19" s="5">
        <f ca="1">SUMIFS(Movimientos!$C:$C,Movimientos!$A:$A,$B19,Movimientos!$D:$D,CONCATENATE("&lt;=",KN$3),Movimientos!$C:$C,"&gt;0")+SUMIFS(Movimientos!$C:$C,Movimientos!$A:$A,$B19,Movimientos!$D:$D,CONCATENATE("&lt;",KN$3),Movimientos!$C:$C,"&lt;0")</f>
        <v>0</v>
      </c>
      <c r="KO19" s="5">
        <f ca="1">SUMIFS(Movimientos!$C:$C,Movimientos!$A:$A,$B19,Movimientos!$D:$D,CONCATENATE("&lt;=",KO$3),Movimientos!$C:$C,"&gt;0")+SUMIFS(Movimientos!$C:$C,Movimientos!$A:$A,$B19,Movimientos!$D:$D,CONCATENATE("&lt;",KO$3),Movimientos!$C:$C,"&lt;0")</f>
        <v>0</v>
      </c>
      <c r="KP19" s="5">
        <f ca="1">SUMIFS(Movimientos!$C:$C,Movimientos!$A:$A,$B19,Movimientos!$D:$D,CONCATENATE("&lt;=",KP$3),Movimientos!$C:$C,"&gt;0")+SUMIFS(Movimientos!$C:$C,Movimientos!$A:$A,$B19,Movimientos!$D:$D,CONCATENATE("&lt;",KP$3),Movimientos!$C:$C,"&lt;0")</f>
        <v>0</v>
      </c>
      <c r="KQ19" s="5">
        <f ca="1">SUMIFS(Movimientos!$C:$C,Movimientos!$A:$A,$B19,Movimientos!$D:$D,CONCATENATE("&lt;=",KQ$3),Movimientos!$C:$C,"&gt;0")+SUMIFS(Movimientos!$C:$C,Movimientos!$A:$A,$B19,Movimientos!$D:$D,CONCATENATE("&lt;",KQ$3),Movimientos!$C:$C,"&lt;0")</f>
        <v>0</v>
      </c>
      <c r="KR19" s="5">
        <f ca="1">SUMIFS(Movimientos!$C:$C,Movimientos!$A:$A,$B19,Movimientos!$D:$D,CONCATENATE("&lt;=",KR$3),Movimientos!$C:$C,"&gt;0")+SUMIFS(Movimientos!$C:$C,Movimientos!$A:$A,$B19,Movimientos!$D:$D,CONCATENATE("&lt;",KR$3),Movimientos!$C:$C,"&lt;0")</f>
        <v>0</v>
      </c>
      <c r="KS19" s="5">
        <f ca="1">SUMIFS(Movimientos!$C:$C,Movimientos!$A:$A,$B19,Movimientos!$D:$D,CONCATENATE("&lt;=",KS$3),Movimientos!$C:$C,"&gt;0")+SUMIFS(Movimientos!$C:$C,Movimientos!$A:$A,$B19,Movimientos!$D:$D,CONCATENATE("&lt;",KS$3),Movimientos!$C:$C,"&lt;0")</f>
        <v>0</v>
      </c>
      <c r="KT19" s="5">
        <f ca="1">SUMIFS(Movimientos!$C:$C,Movimientos!$A:$A,$B19,Movimientos!$D:$D,CONCATENATE("&lt;=",KT$3),Movimientos!$C:$C,"&gt;0")+SUMIFS(Movimientos!$C:$C,Movimientos!$A:$A,$B19,Movimientos!$D:$D,CONCATENATE("&lt;",KT$3),Movimientos!$C:$C,"&lt;0")</f>
        <v>0</v>
      </c>
      <c r="KU19" s="5">
        <f ca="1">SUMIFS(Movimientos!$C:$C,Movimientos!$A:$A,$B19,Movimientos!$D:$D,CONCATENATE("&lt;=",KU$3),Movimientos!$C:$C,"&gt;0")+SUMIFS(Movimientos!$C:$C,Movimientos!$A:$A,$B19,Movimientos!$D:$D,CONCATENATE("&lt;",KU$3),Movimientos!$C:$C,"&lt;0")</f>
        <v>0</v>
      </c>
      <c r="KV19" s="5">
        <f ca="1">SUMIFS(Movimientos!$C:$C,Movimientos!$A:$A,$B19,Movimientos!$D:$D,CONCATENATE("&lt;=",KV$3),Movimientos!$C:$C,"&gt;0")+SUMIFS(Movimientos!$C:$C,Movimientos!$A:$A,$B19,Movimientos!$D:$D,CONCATENATE("&lt;",KV$3),Movimientos!$C:$C,"&lt;0")</f>
        <v>0</v>
      </c>
      <c r="KW19" s="5">
        <f ca="1">SUMIFS(Movimientos!$C:$C,Movimientos!$A:$A,$B19,Movimientos!$D:$D,CONCATENATE("&lt;=",KW$3),Movimientos!$C:$C,"&gt;0")+SUMIFS(Movimientos!$C:$C,Movimientos!$A:$A,$B19,Movimientos!$D:$D,CONCATENATE("&lt;",KW$3),Movimientos!$C:$C,"&lt;0")</f>
        <v>0</v>
      </c>
      <c r="KX19" s="5">
        <f ca="1">SUMIFS(Movimientos!$C:$C,Movimientos!$A:$A,$B19,Movimientos!$D:$D,CONCATENATE("&lt;=",KX$3),Movimientos!$C:$C,"&gt;0")+SUMIFS(Movimientos!$C:$C,Movimientos!$A:$A,$B19,Movimientos!$D:$D,CONCATENATE("&lt;",KX$3),Movimientos!$C:$C,"&lt;0")</f>
        <v>0</v>
      </c>
      <c r="KY19" s="5">
        <f ca="1">SUMIFS(Movimientos!$C:$C,Movimientos!$A:$A,$B19,Movimientos!$D:$D,CONCATENATE("&lt;=",KY$3),Movimientos!$C:$C,"&gt;0")+SUMIFS(Movimientos!$C:$C,Movimientos!$A:$A,$B19,Movimientos!$D:$D,CONCATENATE("&lt;",KY$3),Movimientos!$C:$C,"&lt;0")</f>
        <v>0</v>
      </c>
      <c r="KZ19" s="5">
        <f ca="1">SUMIFS(Movimientos!$C:$C,Movimientos!$A:$A,$B19,Movimientos!$D:$D,CONCATENATE("&lt;=",KZ$3),Movimientos!$C:$C,"&gt;0")+SUMIFS(Movimientos!$C:$C,Movimientos!$A:$A,$B19,Movimientos!$D:$D,CONCATENATE("&lt;",KZ$3),Movimientos!$C:$C,"&lt;0")</f>
        <v>0</v>
      </c>
      <c r="LA19" s="5">
        <f ca="1">SUMIFS(Movimientos!$C:$C,Movimientos!$A:$A,$B19,Movimientos!$D:$D,CONCATENATE("&lt;=",LA$3),Movimientos!$C:$C,"&gt;0")+SUMIFS(Movimientos!$C:$C,Movimientos!$A:$A,$B19,Movimientos!$D:$D,CONCATENATE("&lt;",LA$3),Movimientos!$C:$C,"&lt;0")</f>
        <v>0</v>
      </c>
      <c r="LB19" s="5">
        <f ca="1">SUMIFS(Movimientos!$C:$C,Movimientos!$A:$A,$B19,Movimientos!$D:$D,CONCATENATE("&lt;=",LB$3),Movimientos!$C:$C,"&gt;0")+SUMIFS(Movimientos!$C:$C,Movimientos!$A:$A,$B19,Movimientos!$D:$D,CONCATENATE("&lt;",LB$3),Movimientos!$C:$C,"&lt;0")</f>
        <v>0</v>
      </c>
      <c r="LC19" s="5">
        <f ca="1">SUMIFS(Movimientos!$C:$C,Movimientos!$A:$A,$B19,Movimientos!$D:$D,CONCATENATE("&lt;=",LC$3),Movimientos!$C:$C,"&gt;0")+SUMIFS(Movimientos!$C:$C,Movimientos!$A:$A,$B19,Movimientos!$D:$D,CONCATENATE("&lt;",LC$3),Movimientos!$C:$C,"&lt;0")</f>
        <v>0</v>
      </c>
      <c r="LD19" s="5">
        <f ca="1">SUMIFS(Movimientos!$C:$C,Movimientos!$A:$A,$B19,Movimientos!$D:$D,CONCATENATE("&lt;=",LD$3),Movimientos!$C:$C,"&gt;0")+SUMIFS(Movimientos!$C:$C,Movimientos!$A:$A,$B19,Movimientos!$D:$D,CONCATENATE("&lt;",LD$3),Movimientos!$C:$C,"&lt;0")</f>
        <v>0</v>
      </c>
      <c r="LE19" s="5">
        <f ca="1">SUMIFS(Movimientos!$C:$C,Movimientos!$A:$A,$B19,Movimientos!$D:$D,CONCATENATE("&lt;=",LE$3),Movimientos!$C:$C,"&gt;0")+SUMIFS(Movimientos!$C:$C,Movimientos!$A:$A,$B19,Movimientos!$D:$D,CONCATENATE("&lt;",LE$3),Movimientos!$C:$C,"&lt;0")</f>
        <v>0</v>
      </c>
      <c r="LF19" s="5">
        <f ca="1">SUMIFS(Movimientos!$C:$C,Movimientos!$A:$A,$B19,Movimientos!$D:$D,CONCATENATE("&lt;=",LF$3),Movimientos!$C:$C,"&gt;0")+SUMIFS(Movimientos!$C:$C,Movimientos!$A:$A,$B19,Movimientos!$D:$D,CONCATENATE("&lt;",LF$3),Movimientos!$C:$C,"&lt;0")</f>
        <v>0</v>
      </c>
      <c r="LG19" s="5">
        <f ca="1">SUMIFS(Movimientos!$C:$C,Movimientos!$A:$A,$B19,Movimientos!$D:$D,CONCATENATE("&lt;=",LG$3),Movimientos!$C:$C,"&gt;0")+SUMIFS(Movimientos!$C:$C,Movimientos!$A:$A,$B19,Movimientos!$D:$D,CONCATENATE("&lt;",LG$3),Movimientos!$C:$C,"&lt;0")</f>
        <v>0</v>
      </c>
      <c r="LH19" s="5">
        <f ca="1">SUMIFS(Movimientos!$C:$C,Movimientos!$A:$A,$B19,Movimientos!$D:$D,CONCATENATE("&lt;=",LH$3),Movimientos!$C:$C,"&gt;0")+SUMIFS(Movimientos!$C:$C,Movimientos!$A:$A,$B19,Movimientos!$D:$D,CONCATENATE("&lt;",LH$3),Movimientos!$C:$C,"&lt;0")</f>
        <v>0</v>
      </c>
      <c r="LI19" s="5">
        <f ca="1">SUMIFS(Movimientos!$C:$C,Movimientos!$A:$A,$B19,Movimientos!$D:$D,CONCATENATE("&lt;=",LI$3),Movimientos!$C:$C,"&gt;0")+SUMIFS(Movimientos!$C:$C,Movimientos!$A:$A,$B19,Movimientos!$D:$D,CONCATENATE("&lt;",LI$3),Movimientos!$C:$C,"&lt;0")</f>
        <v>0</v>
      </c>
      <c r="LJ19" s="5">
        <f ca="1">SUMIFS(Movimientos!$C:$C,Movimientos!$A:$A,$B19,Movimientos!$D:$D,CONCATENATE("&lt;=",LJ$3),Movimientos!$C:$C,"&gt;0")+SUMIFS(Movimientos!$C:$C,Movimientos!$A:$A,$B19,Movimientos!$D:$D,CONCATENATE("&lt;",LJ$3),Movimientos!$C:$C,"&lt;0")</f>
        <v>0</v>
      </c>
      <c r="LK19" s="5">
        <f ca="1">SUMIFS(Movimientos!$C:$C,Movimientos!$A:$A,$B19,Movimientos!$D:$D,CONCATENATE("&lt;=",LK$3),Movimientos!$C:$C,"&gt;0")+SUMIFS(Movimientos!$C:$C,Movimientos!$A:$A,$B19,Movimientos!$D:$D,CONCATENATE("&lt;",LK$3),Movimientos!$C:$C,"&lt;0")</f>
        <v>0</v>
      </c>
      <c r="LL19" s="5">
        <f ca="1">SUMIFS(Movimientos!$C:$C,Movimientos!$A:$A,$B19,Movimientos!$D:$D,CONCATENATE("&lt;=",LL$3),Movimientos!$C:$C,"&gt;0")+SUMIFS(Movimientos!$C:$C,Movimientos!$A:$A,$B19,Movimientos!$D:$D,CONCATENATE("&lt;",LL$3),Movimientos!$C:$C,"&lt;0")</f>
        <v>0</v>
      </c>
      <c r="LM19" s="5">
        <f ca="1">SUMIFS(Movimientos!$C:$C,Movimientos!$A:$A,$B19,Movimientos!$D:$D,CONCATENATE("&lt;=",LM$3),Movimientos!$C:$C,"&gt;0")+SUMIFS(Movimientos!$C:$C,Movimientos!$A:$A,$B19,Movimientos!$D:$D,CONCATENATE("&lt;",LM$3),Movimientos!$C:$C,"&lt;0")</f>
        <v>0</v>
      </c>
      <c r="LN19" s="5">
        <f ca="1">SUMIFS(Movimientos!$C:$C,Movimientos!$A:$A,$B19,Movimientos!$D:$D,CONCATENATE("&lt;=",LN$3),Movimientos!$C:$C,"&gt;0")+SUMIFS(Movimientos!$C:$C,Movimientos!$A:$A,$B19,Movimientos!$D:$D,CONCATENATE("&lt;",LN$3),Movimientos!$C:$C,"&lt;0")</f>
        <v>0</v>
      </c>
      <c r="LO19" s="5">
        <f ca="1">SUMIFS(Movimientos!$C:$C,Movimientos!$A:$A,$B19,Movimientos!$D:$D,CONCATENATE("&lt;=",LO$3),Movimientos!$C:$C,"&gt;0")+SUMIFS(Movimientos!$C:$C,Movimientos!$A:$A,$B19,Movimientos!$D:$D,CONCATENATE("&lt;",LO$3),Movimientos!$C:$C,"&lt;0")</f>
        <v>0</v>
      </c>
      <c r="LP19" s="5">
        <f ca="1">SUMIFS(Movimientos!$C:$C,Movimientos!$A:$A,$B19,Movimientos!$D:$D,CONCATENATE("&lt;=",LP$3),Movimientos!$C:$C,"&gt;0")+SUMIFS(Movimientos!$C:$C,Movimientos!$A:$A,$B19,Movimientos!$D:$D,CONCATENATE("&lt;",LP$3),Movimientos!$C:$C,"&lt;0")</f>
        <v>0</v>
      </c>
      <c r="LQ19" s="5">
        <f ca="1">SUMIFS(Movimientos!$C:$C,Movimientos!$A:$A,$B19,Movimientos!$D:$D,CONCATENATE("&lt;=",LQ$3),Movimientos!$C:$C,"&gt;0")+SUMIFS(Movimientos!$C:$C,Movimientos!$A:$A,$B19,Movimientos!$D:$D,CONCATENATE("&lt;",LQ$3),Movimientos!$C:$C,"&lt;0")</f>
        <v>0</v>
      </c>
      <c r="LR19" s="5">
        <f ca="1">SUMIFS(Movimientos!$C:$C,Movimientos!$A:$A,$B19,Movimientos!$D:$D,CONCATENATE("&lt;=",LR$3),Movimientos!$C:$C,"&gt;0")+SUMIFS(Movimientos!$C:$C,Movimientos!$A:$A,$B19,Movimientos!$D:$D,CONCATENATE("&lt;",LR$3),Movimientos!$C:$C,"&lt;0")</f>
        <v>0</v>
      </c>
      <c r="LS19" s="5">
        <f ca="1">SUMIFS(Movimientos!$C:$C,Movimientos!$A:$A,$B19,Movimientos!$D:$D,CONCATENATE("&lt;=",LS$3),Movimientos!$C:$C,"&gt;0")+SUMIFS(Movimientos!$C:$C,Movimientos!$A:$A,$B19,Movimientos!$D:$D,CONCATENATE("&lt;",LS$3),Movimientos!$C:$C,"&lt;0")</f>
        <v>0</v>
      </c>
      <c r="LT19" s="5">
        <f ca="1">SUMIFS(Movimientos!$C:$C,Movimientos!$A:$A,$B19,Movimientos!$D:$D,CONCATENATE("&lt;=",LT$3),Movimientos!$C:$C,"&gt;0")+SUMIFS(Movimientos!$C:$C,Movimientos!$A:$A,$B19,Movimientos!$D:$D,CONCATENATE("&lt;",LT$3),Movimientos!$C:$C,"&lt;0")</f>
        <v>0</v>
      </c>
      <c r="LU19" s="5">
        <f ca="1">SUMIFS(Movimientos!$C:$C,Movimientos!$A:$A,$B19,Movimientos!$D:$D,CONCATENATE("&lt;=",LU$3),Movimientos!$C:$C,"&gt;0")+SUMIFS(Movimientos!$C:$C,Movimientos!$A:$A,$B19,Movimientos!$D:$D,CONCATENATE("&lt;",LU$3),Movimientos!$C:$C,"&lt;0")</f>
        <v>0</v>
      </c>
      <c r="LV19" s="5">
        <f ca="1">SUMIFS(Movimientos!$C:$C,Movimientos!$A:$A,$B19,Movimientos!$D:$D,CONCATENATE("&lt;=",LV$3),Movimientos!$C:$C,"&gt;0")+SUMIFS(Movimientos!$C:$C,Movimientos!$A:$A,$B19,Movimientos!$D:$D,CONCATENATE("&lt;",LV$3),Movimientos!$C:$C,"&lt;0")</f>
        <v>0</v>
      </c>
      <c r="LW19" s="5">
        <f ca="1">SUMIFS(Movimientos!$C:$C,Movimientos!$A:$A,$B19,Movimientos!$D:$D,CONCATENATE("&lt;=",LW$3),Movimientos!$C:$C,"&gt;0")+SUMIFS(Movimientos!$C:$C,Movimientos!$A:$A,$B19,Movimientos!$D:$D,CONCATENATE("&lt;",LW$3),Movimientos!$C:$C,"&lt;0")</f>
        <v>0</v>
      </c>
      <c r="LX19" s="5">
        <f ca="1">SUMIFS(Movimientos!$C:$C,Movimientos!$A:$A,$B19,Movimientos!$D:$D,CONCATENATE("&lt;=",LX$3),Movimientos!$C:$C,"&gt;0")+SUMIFS(Movimientos!$C:$C,Movimientos!$A:$A,$B19,Movimientos!$D:$D,CONCATENATE("&lt;",LX$3),Movimientos!$C:$C,"&lt;0")</f>
        <v>0</v>
      </c>
      <c r="LY19" s="5">
        <f ca="1">SUMIFS(Movimientos!$C:$C,Movimientos!$A:$A,$B19,Movimientos!$D:$D,CONCATENATE("&lt;=",LY$3),Movimientos!$C:$C,"&gt;0")+SUMIFS(Movimientos!$C:$C,Movimientos!$A:$A,$B19,Movimientos!$D:$D,CONCATENATE("&lt;",LY$3),Movimientos!$C:$C,"&lt;0")</f>
        <v>0</v>
      </c>
      <c r="LZ19" s="5">
        <f ca="1">SUMIFS(Movimientos!$C:$C,Movimientos!$A:$A,$B19,Movimientos!$D:$D,CONCATENATE("&lt;=",LZ$3),Movimientos!$C:$C,"&gt;0")+SUMIFS(Movimientos!$C:$C,Movimientos!$A:$A,$B19,Movimientos!$D:$D,CONCATENATE("&lt;",LZ$3),Movimientos!$C:$C,"&lt;0")</f>
        <v>0</v>
      </c>
      <c r="MA19" s="5">
        <f ca="1">SUMIFS(Movimientos!$C:$C,Movimientos!$A:$A,$B19,Movimientos!$D:$D,CONCATENATE("&lt;=",MA$3),Movimientos!$C:$C,"&gt;0")+SUMIFS(Movimientos!$C:$C,Movimientos!$A:$A,$B19,Movimientos!$D:$D,CONCATENATE("&lt;",MA$3),Movimientos!$C:$C,"&lt;0")</f>
        <v>0</v>
      </c>
      <c r="MB19" s="5">
        <f ca="1">SUMIFS(Movimientos!$C:$C,Movimientos!$A:$A,$B19,Movimientos!$D:$D,CONCATENATE("&lt;=",MB$3),Movimientos!$C:$C,"&gt;0")+SUMIFS(Movimientos!$C:$C,Movimientos!$A:$A,$B19,Movimientos!$D:$D,CONCATENATE("&lt;",MB$3),Movimientos!$C:$C,"&lt;0")</f>
        <v>0</v>
      </c>
      <c r="MC19" s="5">
        <f ca="1">SUMIFS(Movimientos!$C:$C,Movimientos!$A:$A,$B19,Movimientos!$D:$D,CONCATENATE("&lt;=",MC$3),Movimientos!$C:$C,"&gt;0")+SUMIFS(Movimientos!$C:$C,Movimientos!$A:$A,$B19,Movimientos!$D:$D,CONCATENATE("&lt;",MC$3),Movimientos!$C:$C,"&lt;0")</f>
        <v>0</v>
      </c>
      <c r="MD19" s="5">
        <f ca="1">SUMIFS(Movimientos!$C:$C,Movimientos!$A:$A,$B19,Movimientos!$D:$D,CONCATENATE("&lt;=",MD$3),Movimientos!$C:$C,"&gt;0")+SUMIFS(Movimientos!$C:$C,Movimientos!$A:$A,$B19,Movimientos!$D:$D,CONCATENATE("&lt;",MD$3),Movimientos!$C:$C,"&lt;0")</f>
        <v>0</v>
      </c>
      <c r="ME19" s="5">
        <f ca="1">SUMIFS(Movimientos!$C:$C,Movimientos!$A:$A,$B19,Movimientos!$D:$D,CONCATENATE("&lt;=",ME$3),Movimientos!$C:$C,"&gt;0")+SUMIFS(Movimientos!$C:$C,Movimientos!$A:$A,$B19,Movimientos!$D:$D,CONCATENATE("&lt;",ME$3),Movimientos!$C:$C,"&lt;0")</f>
        <v>0</v>
      </c>
      <c r="MF19" s="5">
        <f ca="1">SUMIFS(Movimientos!$C:$C,Movimientos!$A:$A,$B19,Movimientos!$D:$D,CONCATENATE("&lt;=",MF$3),Movimientos!$C:$C,"&gt;0")+SUMIFS(Movimientos!$C:$C,Movimientos!$A:$A,$B19,Movimientos!$D:$D,CONCATENATE("&lt;",MF$3),Movimientos!$C:$C,"&lt;0")</f>
        <v>0</v>
      </c>
      <c r="MG19" s="5">
        <f ca="1">SUMIFS(Movimientos!$C:$C,Movimientos!$A:$A,$B19,Movimientos!$D:$D,CONCATENATE("&lt;=",MG$3),Movimientos!$C:$C,"&gt;0")+SUMIFS(Movimientos!$C:$C,Movimientos!$A:$A,$B19,Movimientos!$D:$D,CONCATENATE("&lt;",MG$3),Movimientos!$C:$C,"&lt;0")</f>
        <v>0</v>
      </c>
      <c r="MH19" s="5">
        <f ca="1">SUMIFS(Movimientos!$C:$C,Movimientos!$A:$A,$B19,Movimientos!$D:$D,CONCATENATE("&lt;=",MH$3),Movimientos!$C:$C,"&gt;0")+SUMIFS(Movimientos!$C:$C,Movimientos!$A:$A,$B19,Movimientos!$D:$D,CONCATENATE("&lt;",MH$3),Movimientos!$C:$C,"&lt;0")</f>
        <v>0</v>
      </c>
      <c r="MI19" s="5">
        <f ca="1">SUMIFS(Movimientos!$C:$C,Movimientos!$A:$A,$B19,Movimientos!$D:$D,CONCATENATE("&lt;=",MI$3),Movimientos!$C:$C,"&gt;0")+SUMIFS(Movimientos!$C:$C,Movimientos!$A:$A,$B19,Movimientos!$D:$D,CONCATENATE("&lt;",MI$3),Movimientos!$C:$C,"&lt;0")</f>
        <v>0</v>
      </c>
      <c r="MJ19" s="5">
        <f ca="1">SUMIFS(Movimientos!$C:$C,Movimientos!$A:$A,$B19,Movimientos!$D:$D,CONCATENATE("&lt;=",MJ$3),Movimientos!$C:$C,"&gt;0")+SUMIFS(Movimientos!$C:$C,Movimientos!$A:$A,$B19,Movimientos!$D:$D,CONCATENATE("&lt;",MJ$3),Movimientos!$C:$C,"&lt;0")</f>
        <v>0</v>
      </c>
      <c r="MK19" s="5">
        <f ca="1">SUMIFS(Movimientos!$C:$C,Movimientos!$A:$A,$B19,Movimientos!$D:$D,CONCATENATE("&lt;=",MK$3),Movimientos!$C:$C,"&gt;0")+SUMIFS(Movimientos!$C:$C,Movimientos!$A:$A,$B19,Movimientos!$D:$D,CONCATENATE("&lt;",MK$3),Movimientos!$C:$C,"&lt;0")</f>
        <v>0</v>
      </c>
      <c r="ML19" s="5">
        <f ca="1">SUMIFS(Movimientos!$C:$C,Movimientos!$A:$A,$B19,Movimientos!$D:$D,CONCATENATE("&lt;=",ML$3),Movimientos!$C:$C,"&gt;0")+SUMIFS(Movimientos!$C:$C,Movimientos!$A:$A,$B19,Movimientos!$D:$D,CONCATENATE("&lt;",ML$3),Movimientos!$C:$C,"&lt;0")</f>
        <v>0</v>
      </c>
      <c r="MM19" s="5">
        <f ca="1">SUMIFS(Movimientos!$C:$C,Movimientos!$A:$A,$B19,Movimientos!$D:$D,CONCATENATE("&lt;=",MM$3),Movimientos!$C:$C,"&gt;0")+SUMIFS(Movimientos!$C:$C,Movimientos!$A:$A,$B19,Movimientos!$D:$D,CONCATENATE("&lt;",MM$3),Movimientos!$C:$C,"&lt;0")</f>
        <v>0</v>
      </c>
      <c r="MN19" s="5">
        <f ca="1">SUMIFS(Movimientos!$C:$C,Movimientos!$A:$A,$B19,Movimientos!$D:$D,CONCATENATE("&lt;=",MN$3),Movimientos!$C:$C,"&gt;0")+SUMIFS(Movimientos!$C:$C,Movimientos!$A:$A,$B19,Movimientos!$D:$D,CONCATENATE("&lt;",MN$3),Movimientos!$C:$C,"&lt;0")</f>
        <v>0</v>
      </c>
      <c r="MO19" s="5">
        <f ca="1">SUMIFS(Movimientos!$C:$C,Movimientos!$A:$A,$B19,Movimientos!$D:$D,CONCATENATE("&lt;=",MO$3),Movimientos!$C:$C,"&gt;0")+SUMIFS(Movimientos!$C:$C,Movimientos!$A:$A,$B19,Movimientos!$D:$D,CONCATENATE("&lt;",MO$3),Movimientos!$C:$C,"&lt;0")</f>
        <v>0</v>
      </c>
      <c r="MP19" s="5">
        <f ca="1">SUMIFS(Movimientos!$C:$C,Movimientos!$A:$A,$B19,Movimientos!$D:$D,CONCATENATE("&lt;=",MP$3),Movimientos!$C:$C,"&gt;0")+SUMIFS(Movimientos!$C:$C,Movimientos!$A:$A,$B19,Movimientos!$D:$D,CONCATENATE("&lt;",MP$3),Movimientos!$C:$C,"&lt;0")</f>
        <v>0</v>
      </c>
      <c r="MQ19" s="5">
        <f ca="1">SUMIFS(Movimientos!$C:$C,Movimientos!$A:$A,$B19,Movimientos!$D:$D,CONCATENATE("&lt;=",MQ$3),Movimientos!$C:$C,"&gt;0")+SUMIFS(Movimientos!$C:$C,Movimientos!$A:$A,$B19,Movimientos!$D:$D,CONCATENATE("&lt;",MQ$3),Movimientos!$C:$C,"&lt;0")</f>
        <v>0</v>
      </c>
      <c r="MR19" s="5">
        <f ca="1">SUMIFS(Movimientos!$C:$C,Movimientos!$A:$A,$B19,Movimientos!$D:$D,CONCATENATE("&lt;=",MR$3),Movimientos!$C:$C,"&gt;0")+SUMIFS(Movimientos!$C:$C,Movimientos!$A:$A,$B19,Movimientos!$D:$D,CONCATENATE("&lt;",MR$3),Movimientos!$C:$C,"&lt;0")</f>
        <v>0</v>
      </c>
      <c r="MS19" s="5">
        <f ca="1">SUMIFS(Movimientos!$C:$C,Movimientos!$A:$A,$B19,Movimientos!$D:$D,CONCATENATE("&lt;=",MS$3),Movimientos!$C:$C,"&gt;0")+SUMIFS(Movimientos!$C:$C,Movimientos!$A:$A,$B19,Movimientos!$D:$D,CONCATENATE("&lt;",MS$3),Movimientos!$C:$C,"&lt;0")</f>
        <v>0</v>
      </c>
      <c r="MT19" s="5">
        <f ca="1">SUMIFS(Movimientos!$C:$C,Movimientos!$A:$A,$B19,Movimientos!$D:$D,CONCATENATE("&lt;=",MT$3),Movimientos!$C:$C,"&gt;0")+SUMIFS(Movimientos!$C:$C,Movimientos!$A:$A,$B19,Movimientos!$D:$D,CONCATENATE("&lt;",MT$3),Movimientos!$C:$C,"&lt;0")</f>
        <v>0</v>
      </c>
      <c r="MU19" s="5">
        <f ca="1">SUMIFS(Movimientos!$C:$C,Movimientos!$A:$A,$B19,Movimientos!$D:$D,CONCATENATE("&lt;=",MU$3),Movimientos!$C:$C,"&gt;0")+SUMIFS(Movimientos!$C:$C,Movimientos!$A:$A,$B19,Movimientos!$D:$D,CONCATENATE("&lt;",MU$3),Movimientos!$C:$C,"&lt;0")</f>
        <v>0</v>
      </c>
      <c r="MV19" s="5">
        <f ca="1">SUMIFS(Movimientos!$C:$C,Movimientos!$A:$A,$B19,Movimientos!$D:$D,CONCATENATE("&lt;=",MV$3),Movimientos!$C:$C,"&gt;0")+SUMIFS(Movimientos!$C:$C,Movimientos!$A:$A,$B19,Movimientos!$D:$D,CONCATENATE("&lt;",MV$3),Movimientos!$C:$C,"&lt;0")</f>
        <v>0</v>
      </c>
      <c r="MW19" s="5">
        <f ca="1">SUMIFS(Movimientos!$C:$C,Movimientos!$A:$A,$B19,Movimientos!$D:$D,CONCATENATE("&lt;=",MW$3),Movimientos!$C:$C,"&gt;0")+SUMIFS(Movimientos!$C:$C,Movimientos!$A:$A,$B19,Movimientos!$D:$D,CONCATENATE("&lt;",MW$3),Movimientos!$C:$C,"&lt;0")</f>
        <v>0</v>
      </c>
      <c r="MX19" s="5">
        <f ca="1">SUMIFS(Movimientos!$C:$C,Movimientos!$A:$A,$B19,Movimientos!$D:$D,CONCATENATE("&lt;=",MX$3),Movimientos!$C:$C,"&gt;0")+SUMIFS(Movimientos!$C:$C,Movimientos!$A:$A,$B19,Movimientos!$D:$D,CONCATENATE("&lt;",MX$3),Movimientos!$C:$C,"&lt;0")</f>
        <v>0</v>
      </c>
      <c r="MY19" s="5">
        <f ca="1">SUMIFS(Movimientos!$C:$C,Movimientos!$A:$A,$B19,Movimientos!$D:$D,CONCATENATE("&lt;=",MY$3),Movimientos!$C:$C,"&gt;0")+SUMIFS(Movimientos!$C:$C,Movimientos!$A:$A,$B19,Movimientos!$D:$D,CONCATENATE("&lt;",MY$3),Movimientos!$C:$C,"&lt;0")</f>
        <v>0</v>
      </c>
      <c r="MZ19" s="5">
        <f ca="1">SUMIFS(Movimientos!$C:$C,Movimientos!$A:$A,$B19,Movimientos!$D:$D,CONCATENATE("&lt;=",MZ$3),Movimientos!$C:$C,"&gt;0")+SUMIFS(Movimientos!$C:$C,Movimientos!$A:$A,$B19,Movimientos!$D:$D,CONCATENATE("&lt;",MZ$3),Movimientos!$C:$C,"&lt;0")</f>
        <v>0</v>
      </c>
      <c r="NA19" s="5">
        <f ca="1">SUMIFS(Movimientos!$C:$C,Movimientos!$A:$A,$B19,Movimientos!$D:$D,CONCATENATE("&lt;=",NA$3),Movimientos!$C:$C,"&gt;0")+SUMIFS(Movimientos!$C:$C,Movimientos!$A:$A,$B19,Movimientos!$D:$D,CONCATENATE("&lt;",NA$3),Movimientos!$C:$C,"&lt;0")</f>
        <v>0</v>
      </c>
      <c r="NB19" s="5">
        <f ca="1">SUMIFS(Movimientos!$C:$C,Movimientos!$A:$A,$B19,Movimientos!$D:$D,CONCATENATE("&lt;=",NB$3),Movimientos!$C:$C,"&gt;0")+SUMIFS(Movimientos!$C:$C,Movimientos!$A:$A,$B19,Movimientos!$D:$D,CONCATENATE("&lt;",NB$3),Movimientos!$C:$C,"&lt;0")</f>
        <v>0</v>
      </c>
      <c r="NC19" s="5">
        <f ca="1">SUMIFS(Movimientos!$C:$C,Movimientos!$A:$A,$B19,Movimientos!$D:$D,CONCATENATE("&lt;=",NC$3),Movimientos!$C:$C,"&gt;0")+SUMIFS(Movimientos!$C:$C,Movimientos!$A:$A,$B19,Movimientos!$D:$D,CONCATENATE("&lt;",NC$3),Movimientos!$C:$C,"&lt;0")</f>
        <v>0</v>
      </c>
      <c r="ND19" s="5">
        <f ca="1">SUMIFS(Movimientos!$C:$C,Movimientos!$A:$A,$B19,Movimientos!$D:$D,CONCATENATE("&lt;=",ND$3),Movimientos!$C:$C,"&gt;0")+SUMIFS(Movimientos!$C:$C,Movimientos!$A:$A,$B19,Movimientos!$D:$D,CONCATENATE("&lt;",ND$3),Movimientos!$C:$C,"&lt;0")</f>
        <v>0</v>
      </c>
      <c r="NE19" s="5">
        <f ca="1">SUMIFS(Movimientos!$C:$C,Movimientos!$A:$A,$B19,Movimientos!$D:$D,CONCATENATE("&lt;=",NE$3),Movimientos!$C:$C,"&gt;0")+SUMIFS(Movimientos!$C:$C,Movimientos!$A:$A,$B19,Movimientos!$D:$D,CONCATENATE("&lt;",NE$3),Movimientos!$C:$C,"&lt;0")</f>
        <v>0</v>
      </c>
      <c r="NF19" s="5">
        <f ca="1">SUMIFS(Movimientos!$C:$C,Movimientos!$A:$A,$B19,Movimientos!$D:$D,CONCATENATE("&lt;=",NF$3),Movimientos!$C:$C,"&gt;0")+SUMIFS(Movimientos!$C:$C,Movimientos!$A:$A,$B19,Movimientos!$D:$D,CONCATENATE("&lt;",NF$3),Movimientos!$C:$C,"&lt;0")</f>
        <v>0</v>
      </c>
      <c r="NG19" s="5">
        <f ca="1">SUMIFS(Movimientos!$C:$C,Movimientos!$A:$A,$B19,Movimientos!$D:$D,CONCATENATE("&lt;=",NG$3),Movimientos!$C:$C,"&gt;0")+SUMIFS(Movimientos!$C:$C,Movimientos!$A:$A,$B19,Movimientos!$D:$D,CONCATENATE("&lt;",NG$3),Movimientos!$C:$C,"&lt;0")</f>
        <v>0</v>
      </c>
      <c r="NH19" s="5">
        <f ca="1">SUMIFS(Movimientos!$C:$C,Movimientos!$A:$A,$B19,Movimientos!$D:$D,CONCATENATE("&lt;=",NH$3),Movimientos!$C:$C,"&gt;0")+SUMIFS(Movimientos!$C:$C,Movimientos!$A:$A,$B19,Movimientos!$D:$D,CONCATENATE("&lt;",NH$3),Movimientos!$C:$C,"&lt;0")</f>
        <v>0</v>
      </c>
      <c r="NI19" s="5">
        <f ca="1">SUMIFS(Movimientos!$C:$C,Movimientos!$A:$A,$B19,Movimientos!$D:$D,CONCATENATE("&lt;=",NI$3),Movimientos!$C:$C,"&gt;0")+SUMIFS(Movimientos!$C:$C,Movimientos!$A:$A,$B19,Movimientos!$D:$D,CONCATENATE("&lt;",NI$3),Movimientos!$C:$C,"&lt;0")</f>
        <v>0</v>
      </c>
      <c r="NJ19" s="5">
        <f ca="1">SUMIFS(Movimientos!$C:$C,Movimientos!$A:$A,$B19,Movimientos!$D:$D,CONCATENATE("&lt;=",NJ$3),Movimientos!$C:$C,"&gt;0")+SUMIFS(Movimientos!$C:$C,Movimientos!$A:$A,$B19,Movimientos!$D:$D,CONCATENATE("&lt;",NJ$3),Movimientos!$C:$C,"&lt;0")</f>
        <v>0</v>
      </c>
      <c r="NK19" s="5">
        <f ca="1">SUMIFS(Movimientos!$C:$C,Movimientos!$A:$A,$B19,Movimientos!$D:$D,CONCATENATE("&lt;=",NK$3),Movimientos!$C:$C,"&gt;0")+SUMIFS(Movimientos!$C:$C,Movimientos!$A:$A,$B19,Movimientos!$D:$D,CONCATENATE("&lt;",NK$3),Movimientos!$C:$C,"&lt;0")</f>
        <v>0</v>
      </c>
      <c r="NL19" s="5">
        <f ca="1">SUMIFS(Movimientos!$C:$C,Movimientos!$A:$A,$B19,Movimientos!$D:$D,CONCATENATE("&lt;=",NL$3),Movimientos!$C:$C,"&gt;0")+SUMIFS(Movimientos!$C:$C,Movimientos!$A:$A,$B19,Movimientos!$D:$D,CONCATENATE("&lt;",NL$3),Movimientos!$C:$C,"&lt;0")</f>
        <v>0</v>
      </c>
      <c r="NM19" s="5">
        <f ca="1">SUMIFS(Movimientos!$C:$C,Movimientos!$A:$A,$B19,Movimientos!$D:$D,CONCATENATE("&lt;=",NM$3),Movimientos!$C:$C,"&gt;0")+SUMIFS(Movimientos!$C:$C,Movimientos!$A:$A,$B19,Movimientos!$D:$D,CONCATENATE("&lt;",NM$3),Movimientos!$C:$C,"&lt;0")</f>
        <v>0</v>
      </c>
      <c r="NN19" s="5">
        <f ca="1">SUMIFS(Movimientos!$C:$C,Movimientos!$A:$A,$B19,Movimientos!$D:$D,CONCATENATE("&lt;=",NN$3),Movimientos!$C:$C,"&gt;0")+SUMIFS(Movimientos!$C:$C,Movimientos!$A:$A,$B19,Movimientos!$D:$D,CONCATENATE("&lt;",NN$3),Movimientos!$C:$C,"&lt;0")</f>
        <v>0</v>
      </c>
      <c r="NO19" s="5">
        <f ca="1">SUMIFS(Movimientos!$C:$C,Movimientos!$A:$A,$B19,Movimientos!$D:$D,CONCATENATE("&lt;=",NO$3),Movimientos!$C:$C,"&gt;0")+SUMIFS(Movimientos!$C:$C,Movimientos!$A:$A,$B19,Movimientos!$D:$D,CONCATENATE("&lt;",NO$3),Movimientos!$C:$C,"&lt;0")</f>
        <v>0</v>
      </c>
      <c r="NP19" s="5">
        <f ca="1">SUMIFS(Movimientos!$C:$C,Movimientos!$A:$A,$B19,Movimientos!$D:$D,CONCATENATE("&lt;=",NP$3),Movimientos!$C:$C,"&gt;0")+SUMIFS(Movimientos!$C:$C,Movimientos!$A:$A,$B19,Movimientos!$D:$D,CONCATENATE("&lt;",NP$3),Movimientos!$C:$C,"&lt;0")</f>
        <v>0</v>
      </c>
      <c r="NQ19" s="5">
        <f ca="1">SUMIFS(Movimientos!$C:$C,Movimientos!$A:$A,$B19,Movimientos!$D:$D,CONCATENATE("&lt;=",NQ$3),Movimientos!$C:$C,"&gt;0")+SUMIFS(Movimientos!$C:$C,Movimientos!$A:$A,$B19,Movimientos!$D:$D,CONCATENATE("&lt;",NQ$3),Movimientos!$C:$C,"&lt;0")</f>
        <v>0</v>
      </c>
      <c r="NR19" s="5">
        <f ca="1">SUMIFS(Movimientos!$C:$C,Movimientos!$A:$A,$B19,Movimientos!$D:$D,CONCATENATE("&lt;=",NR$3),Movimientos!$C:$C,"&gt;0")+SUMIFS(Movimientos!$C:$C,Movimientos!$A:$A,$B19,Movimientos!$D:$D,CONCATENATE("&lt;",NR$3),Movimientos!$C:$C,"&lt;0")</f>
        <v>0</v>
      </c>
      <c r="NS19" s="5">
        <f ca="1">SUMIFS(Movimientos!$C:$C,Movimientos!$A:$A,$B19,Movimientos!$D:$D,CONCATENATE("&lt;=",NS$3),Movimientos!$C:$C,"&gt;0")+SUMIFS(Movimientos!$C:$C,Movimientos!$A:$A,$B19,Movimientos!$D:$D,CONCATENATE("&lt;",NS$3),Movimientos!$C:$C,"&lt;0")</f>
        <v>0</v>
      </c>
      <c r="NT19" s="5">
        <f ca="1">SUMIFS(Movimientos!$C:$C,Movimientos!$A:$A,$B19,Movimientos!$D:$D,CONCATENATE("&lt;=",NT$3),Movimientos!$C:$C,"&gt;0")+SUMIFS(Movimientos!$C:$C,Movimientos!$A:$A,$B19,Movimientos!$D:$D,CONCATENATE("&lt;",NT$3),Movimientos!$C:$C,"&lt;0")</f>
        <v>0</v>
      </c>
      <c r="NU19" s="5">
        <f ca="1">SUMIFS(Movimientos!$C:$C,Movimientos!$A:$A,$B19,Movimientos!$D:$D,CONCATENATE("&lt;=",NU$3),Movimientos!$C:$C,"&gt;0")+SUMIFS(Movimientos!$C:$C,Movimientos!$A:$A,$B19,Movimientos!$D:$D,CONCATENATE("&lt;",NU$3),Movimientos!$C:$C,"&lt;0")</f>
        <v>0</v>
      </c>
      <c r="NV19" s="5">
        <f ca="1">SUMIFS(Movimientos!$C:$C,Movimientos!$A:$A,$B19,Movimientos!$D:$D,CONCATENATE("&lt;=",NV$3),Movimientos!$C:$C,"&gt;0")+SUMIFS(Movimientos!$C:$C,Movimientos!$A:$A,$B19,Movimientos!$D:$D,CONCATENATE("&lt;",NV$3),Movimientos!$C:$C,"&lt;0")</f>
        <v>0</v>
      </c>
      <c r="NW19" s="5">
        <f ca="1">SUMIFS(Movimientos!$C:$C,Movimientos!$A:$A,$B19,Movimientos!$D:$D,CONCATENATE("&lt;=",NW$3),Movimientos!$C:$C,"&gt;0")+SUMIFS(Movimientos!$C:$C,Movimientos!$A:$A,$B19,Movimientos!$D:$D,CONCATENATE("&lt;",NW$3),Movimientos!$C:$C,"&lt;0")</f>
        <v>0</v>
      </c>
      <c r="NX19" s="5">
        <f ca="1">SUMIFS(Movimientos!$C:$C,Movimientos!$A:$A,$B19,Movimientos!$D:$D,CONCATENATE("&lt;=",NX$3),Movimientos!$C:$C,"&gt;0")+SUMIFS(Movimientos!$C:$C,Movimientos!$A:$A,$B19,Movimientos!$D:$D,CONCATENATE("&lt;",NX$3),Movimientos!$C:$C,"&lt;0")</f>
        <v>0</v>
      </c>
      <c r="NY19" s="5">
        <f ca="1">SUMIFS(Movimientos!$C:$C,Movimientos!$A:$A,$B19,Movimientos!$D:$D,CONCATENATE("&lt;=",NY$3),Movimientos!$C:$C,"&gt;0")+SUMIFS(Movimientos!$C:$C,Movimientos!$A:$A,$B19,Movimientos!$D:$D,CONCATENATE("&lt;",NY$3),Movimientos!$C:$C,"&lt;0")</f>
        <v>0</v>
      </c>
      <c r="NZ19" s="5">
        <f ca="1">SUMIFS(Movimientos!$C:$C,Movimientos!$A:$A,$B19,Movimientos!$D:$D,CONCATENATE("&lt;=",NZ$3),Movimientos!$C:$C,"&gt;0")+SUMIFS(Movimientos!$C:$C,Movimientos!$A:$A,$B19,Movimientos!$D:$D,CONCATENATE("&lt;",NZ$3),Movimientos!$C:$C,"&lt;0")</f>
        <v>0</v>
      </c>
      <c r="OA19" s="5">
        <f ca="1">SUMIFS(Movimientos!$C:$C,Movimientos!$A:$A,$B19,Movimientos!$D:$D,CONCATENATE("&lt;=",OA$3),Movimientos!$C:$C,"&gt;0")+SUMIFS(Movimientos!$C:$C,Movimientos!$A:$A,$B19,Movimientos!$D:$D,CONCATENATE("&lt;",OA$3),Movimientos!$C:$C,"&lt;0")</f>
        <v>0</v>
      </c>
      <c r="OB19" s="5">
        <f ca="1">SUMIFS(Movimientos!$C:$C,Movimientos!$A:$A,$B19,Movimientos!$D:$D,CONCATENATE("&lt;=",OB$3),Movimientos!$C:$C,"&gt;0")+SUMIFS(Movimientos!$C:$C,Movimientos!$A:$A,$B19,Movimientos!$D:$D,CONCATENATE("&lt;",OB$3),Movimientos!$C:$C,"&lt;0")</f>
        <v>0</v>
      </c>
      <c r="OC19" s="5">
        <f ca="1">SUMIFS(Movimientos!$C:$C,Movimientos!$A:$A,$B19,Movimientos!$D:$D,CONCATENATE("&lt;=",OC$3),Movimientos!$C:$C,"&gt;0")+SUMIFS(Movimientos!$C:$C,Movimientos!$A:$A,$B19,Movimientos!$D:$D,CONCATENATE("&lt;",OC$3),Movimientos!$C:$C,"&lt;0")</f>
        <v>0</v>
      </c>
      <c r="OD19" s="5">
        <f ca="1">SUMIFS(Movimientos!$C:$C,Movimientos!$A:$A,$B19,Movimientos!$D:$D,CONCATENATE("&lt;=",OD$3),Movimientos!$C:$C,"&gt;0")+SUMIFS(Movimientos!$C:$C,Movimientos!$A:$A,$B19,Movimientos!$D:$D,CONCATENATE("&lt;",OD$3),Movimientos!$C:$C,"&lt;0")</f>
        <v>0</v>
      </c>
      <c r="OE19" s="5">
        <f ca="1">SUMIFS(Movimientos!$C:$C,Movimientos!$A:$A,$B19,Movimientos!$D:$D,CONCATENATE("&lt;=",OE$3),Movimientos!$C:$C,"&gt;0")+SUMIFS(Movimientos!$C:$C,Movimientos!$A:$A,$B19,Movimientos!$D:$D,CONCATENATE("&lt;",OE$3),Movimientos!$C:$C,"&lt;0")</f>
        <v>0</v>
      </c>
      <c r="OF19" s="5">
        <f ca="1">SUMIFS(Movimientos!$C:$C,Movimientos!$A:$A,$B19,Movimientos!$D:$D,CONCATENATE("&lt;=",OF$3),Movimientos!$C:$C,"&gt;0")+SUMIFS(Movimientos!$C:$C,Movimientos!$A:$A,$B19,Movimientos!$D:$D,CONCATENATE("&lt;",OF$3),Movimientos!$C:$C,"&lt;0")</f>
        <v>0</v>
      </c>
      <c r="OG19" s="5">
        <f ca="1">SUMIFS(Movimientos!$C:$C,Movimientos!$A:$A,$B19,Movimientos!$D:$D,CONCATENATE("&lt;=",OG$3),Movimientos!$C:$C,"&gt;0")+SUMIFS(Movimientos!$C:$C,Movimientos!$A:$A,$B19,Movimientos!$D:$D,CONCATENATE("&lt;",OG$3),Movimientos!$C:$C,"&lt;0")</f>
        <v>0</v>
      </c>
      <c r="OH19" s="5">
        <f ca="1">SUMIFS(Movimientos!$C:$C,Movimientos!$A:$A,$B19,Movimientos!$D:$D,CONCATENATE("&lt;=",OH$3),Movimientos!$C:$C,"&gt;0")+SUMIFS(Movimientos!$C:$C,Movimientos!$A:$A,$B19,Movimientos!$D:$D,CONCATENATE("&lt;",OH$3),Movimientos!$C:$C,"&lt;0")</f>
        <v>0</v>
      </c>
      <c r="OI19" s="5">
        <f ca="1">SUMIFS(Movimientos!$C:$C,Movimientos!$A:$A,$B19,Movimientos!$D:$D,CONCATENATE("&lt;=",OI$3),Movimientos!$C:$C,"&gt;0")+SUMIFS(Movimientos!$C:$C,Movimientos!$A:$A,$B19,Movimientos!$D:$D,CONCATENATE("&lt;",OI$3),Movimientos!$C:$C,"&lt;0")</f>
        <v>0</v>
      </c>
      <c r="OJ19" s="5">
        <f ca="1">SUMIFS(Movimientos!$C:$C,Movimientos!$A:$A,$B19,Movimientos!$D:$D,CONCATENATE("&lt;=",OJ$3),Movimientos!$C:$C,"&gt;0")+SUMIFS(Movimientos!$C:$C,Movimientos!$A:$A,$B19,Movimientos!$D:$D,CONCATENATE("&lt;",OJ$3),Movimientos!$C:$C,"&lt;0")</f>
        <v>0</v>
      </c>
      <c r="OK19" s="5">
        <f ca="1">SUMIFS(Movimientos!$C:$C,Movimientos!$A:$A,$B19,Movimientos!$D:$D,CONCATENATE("&lt;=",OK$3),Movimientos!$C:$C,"&gt;0")+SUMIFS(Movimientos!$C:$C,Movimientos!$A:$A,$B19,Movimientos!$D:$D,CONCATENATE("&lt;",OK$3),Movimientos!$C:$C,"&lt;0")</f>
        <v>0</v>
      </c>
      <c r="OL19" s="5">
        <f ca="1">SUMIFS(Movimientos!$C:$C,Movimientos!$A:$A,$B19,Movimientos!$D:$D,CONCATENATE("&lt;=",OL$3),Movimientos!$C:$C,"&gt;0")+SUMIFS(Movimientos!$C:$C,Movimientos!$A:$A,$B19,Movimientos!$D:$D,CONCATENATE("&lt;",OL$3),Movimientos!$C:$C,"&lt;0")</f>
        <v>0</v>
      </c>
      <c r="OM19" s="5">
        <f ca="1">SUMIFS(Movimientos!$C:$C,Movimientos!$A:$A,$B19,Movimientos!$D:$D,CONCATENATE("&lt;=",OM$3),Movimientos!$C:$C,"&gt;0")+SUMIFS(Movimientos!$C:$C,Movimientos!$A:$A,$B19,Movimientos!$D:$D,CONCATENATE("&lt;",OM$3),Movimientos!$C:$C,"&lt;0")</f>
        <v>0</v>
      </c>
      <c r="ON19" s="5">
        <f ca="1">SUMIFS(Movimientos!$C:$C,Movimientos!$A:$A,$B19,Movimientos!$D:$D,CONCATENATE("&lt;=",ON$3),Movimientos!$C:$C,"&gt;0")+SUMIFS(Movimientos!$C:$C,Movimientos!$A:$A,$B19,Movimientos!$D:$D,CONCATENATE("&lt;",ON$3),Movimientos!$C:$C,"&lt;0")</f>
        <v>0</v>
      </c>
      <c r="OO19" s="5">
        <f ca="1">SUMIFS(Movimientos!$C:$C,Movimientos!$A:$A,$B19,Movimientos!$D:$D,CONCATENATE("&lt;=",OO$3),Movimientos!$C:$C,"&gt;0")+SUMIFS(Movimientos!$C:$C,Movimientos!$A:$A,$B19,Movimientos!$D:$D,CONCATENATE("&lt;",OO$3),Movimientos!$C:$C,"&lt;0")</f>
        <v>0</v>
      </c>
      <c r="OP19" s="5">
        <f ca="1">SUMIFS(Movimientos!$C:$C,Movimientos!$A:$A,$B19,Movimientos!$D:$D,CONCATENATE("&lt;=",OP$3),Movimientos!$C:$C,"&gt;0")+SUMIFS(Movimientos!$C:$C,Movimientos!$A:$A,$B19,Movimientos!$D:$D,CONCATENATE("&lt;",OP$3),Movimientos!$C:$C,"&lt;0")</f>
        <v>0</v>
      </c>
      <c r="OQ19" s="5">
        <f ca="1">SUMIFS(Movimientos!$C:$C,Movimientos!$A:$A,$B19,Movimientos!$D:$D,CONCATENATE("&lt;=",OQ$3),Movimientos!$C:$C,"&gt;0")+SUMIFS(Movimientos!$C:$C,Movimientos!$A:$A,$B19,Movimientos!$D:$D,CONCATENATE("&lt;",OQ$3),Movimientos!$C:$C,"&lt;0")</f>
        <v>0</v>
      </c>
      <c r="OR19" s="5">
        <f ca="1">SUMIFS(Movimientos!$C:$C,Movimientos!$A:$A,$B19,Movimientos!$D:$D,CONCATENATE("&lt;=",OR$3),Movimientos!$C:$C,"&gt;0")+SUMIFS(Movimientos!$C:$C,Movimientos!$A:$A,$B19,Movimientos!$D:$D,CONCATENATE("&lt;",OR$3),Movimientos!$C:$C,"&lt;0")</f>
        <v>0</v>
      </c>
      <c r="OS19" s="5">
        <f ca="1">SUMIFS(Movimientos!$C:$C,Movimientos!$A:$A,$B19,Movimientos!$D:$D,CONCATENATE("&lt;=",OS$3),Movimientos!$C:$C,"&gt;0")+SUMIFS(Movimientos!$C:$C,Movimientos!$A:$A,$B19,Movimientos!$D:$D,CONCATENATE("&lt;",OS$3),Movimientos!$C:$C,"&lt;0")</f>
        <v>0</v>
      </c>
      <c r="OT19" s="5">
        <f ca="1">SUMIFS(Movimientos!$C:$C,Movimientos!$A:$A,$B19,Movimientos!$D:$D,CONCATENATE("&lt;=",OT$3),Movimientos!$C:$C,"&gt;0")+SUMIFS(Movimientos!$C:$C,Movimientos!$A:$A,$B19,Movimientos!$D:$D,CONCATENATE("&lt;",OT$3),Movimientos!$C:$C,"&lt;0")</f>
        <v>0</v>
      </c>
      <c r="OU19" s="5">
        <f ca="1">SUMIFS(Movimientos!$C:$C,Movimientos!$A:$A,$B19,Movimientos!$D:$D,CONCATENATE("&lt;=",OU$3),Movimientos!$C:$C,"&gt;0")+SUMIFS(Movimientos!$C:$C,Movimientos!$A:$A,$B19,Movimientos!$D:$D,CONCATENATE("&lt;",OU$3),Movimientos!$C:$C,"&lt;0")</f>
        <v>0</v>
      </c>
      <c r="OV19" s="5">
        <f ca="1">SUMIFS(Movimientos!$C:$C,Movimientos!$A:$A,$B19,Movimientos!$D:$D,CONCATENATE("&lt;=",OV$3),Movimientos!$C:$C,"&gt;0")+SUMIFS(Movimientos!$C:$C,Movimientos!$A:$A,$B19,Movimientos!$D:$D,CONCATENATE("&lt;",OV$3),Movimientos!$C:$C,"&lt;0")</f>
        <v>0</v>
      </c>
      <c r="OW19" s="5">
        <f ca="1">SUMIFS(Movimientos!$C:$C,Movimientos!$A:$A,$B19,Movimientos!$D:$D,CONCATENATE("&lt;=",OW$3),Movimientos!$C:$C,"&gt;0")+SUMIFS(Movimientos!$C:$C,Movimientos!$A:$A,$B19,Movimientos!$D:$D,CONCATENATE("&lt;",OW$3),Movimientos!$C:$C,"&lt;0")</f>
        <v>0</v>
      </c>
      <c r="OX19" s="5">
        <f ca="1">SUMIFS(Movimientos!$C:$C,Movimientos!$A:$A,$B19,Movimientos!$D:$D,CONCATENATE("&lt;=",OX$3),Movimientos!$C:$C,"&gt;0")+SUMIFS(Movimientos!$C:$C,Movimientos!$A:$A,$B19,Movimientos!$D:$D,CONCATENATE("&lt;",OX$3),Movimientos!$C:$C,"&lt;0")</f>
        <v>0</v>
      </c>
      <c r="OY19" s="5">
        <f ca="1">SUMIFS(Movimientos!$C:$C,Movimientos!$A:$A,$B19,Movimientos!$D:$D,CONCATENATE("&lt;=",OY$3),Movimientos!$C:$C,"&gt;0")+SUMIFS(Movimientos!$C:$C,Movimientos!$A:$A,$B19,Movimientos!$D:$D,CONCATENATE("&lt;",OY$3),Movimientos!$C:$C,"&lt;0")</f>
        <v>0</v>
      </c>
      <c r="OZ19" s="5">
        <f ca="1">SUMIFS(Movimientos!$C:$C,Movimientos!$A:$A,$B19,Movimientos!$D:$D,CONCATENATE("&lt;=",OZ$3),Movimientos!$C:$C,"&gt;0")+SUMIFS(Movimientos!$C:$C,Movimientos!$A:$A,$B19,Movimientos!$D:$D,CONCATENATE("&lt;",OZ$3),Movimientos!$C:$C,"&lt;0")</f>
        <v>0</v>
      </c>
      <c r="PA19" s="5">
        <f ca="1">SUMIFS(Movimientos!$C:$C,Movimientos!$A:$A,$B19,Movimientos!$D:$D,CONCATENATE("&lt;=",PA$3),Movimientos!$C:$C,"&gt;0")+SUMIFS(Movimientos!$C:$C,Movimientos!$A:$A,$B19,Movimientos!$D:$D,CONCATENATE("&lt;",PA$3),Movimientos!$C:$C,"&lt;0")</f>
        <v>0</v>
      </c>
      <c r="PB19" s="5">
        <f ca="1">SUMIFS(Movimientos!$C:$C,Movimientos!$A:$A,$B19,Movimientos!$D:$D,CONCATENATE("&lt;=",PB$3),Movimientos!$C:$C,"&gt;0")+SUMIFS(Movimientos!$C:$C,Movimientos!$A:$A,$B19,Movimientos!$D:$D,CONCATENATE("&lt;",PB$3),Movimientos!$C:$C,"&lt;0")</f>
        <v>0</v>
      </c>
      <c r="PC19" s="5">
        <f ca="1">SUMIFS(Movimientos!$C:$C,Movimientos!$A:$A,$B19,Movimientos!$D:$D,CONCATENATE("&lt;=",PC$3),Movimientos!$C:$C,"&gt;0")+SUMIFS(Movimientos!$C:$C,Movimientos!$A:$A,$B19,Movimientos!$D:$D,CONCATENATE("&lt;",PC$3),Movimientos!$C:$C,"&lt;0")</f>
        <v>0</v>
      </c>
      <c r="PD19" s="5">
        <f ca="1">SUMIFS(Movimientos!$C:$C,Movimientos!$A:$A,$B19,Movimientos!$D:$D,CONCATENATE("&lt;=",PD$3),Movimientos!$C:$C,"&gt;0")+SUMIFS(Movimientos!$C:$C,Movimientos!$A:$A,$B19,Movimientos!$D:$D,CONCATENATE("&lt;",PD$3),Movimientos!$C:$C,"&lt;0")</f>
        <v>0</v>
      </c>
      <c r="PE19" s="5">
        <f ca="1">SUMIFS(Movimientos!$C:$C,Movimientos!$A:$A,$B19,Movimientos!$D:$D,CONCATENATE("&lt;=",PE$3),Movimientos!$C:$C,"&gt;0")+SUMIFS(Movimientos!$C:$C,Movimientos!$A:$A,$B19,Movimientos!$D:$D,CONCATENATE("&lt;",PE$3),Movimientos!$C:$C,"&lt;0")</f>
        <v>0</v>
      </c>
      <c r="PF19" s="5">
        <f ca="1">SUMIFS(Movimientos!$C:$C,Movimientos!$A:$A,$B19,Movimientos!$D:$D,CONCATENATE("&lt;=",PF$3),Movimientos!$C:$C,"&gt;0")+SUMIFS(Movimientos!$C:$C,Movimientos!$A:$A,$B19,Movimientos!$D:$D,CONCATENATE("&lt;",PF$3),Movimientos!$C:$C,"&lt;0")</f>
        <v>0</v>
      </c>
      <c r="PG19" s="5">
        <f ca="1">SUMIFS(Movimientos!$C:$C,Movimientos!$A:$A,$B19,Movimientos!$D:$D,CONCATENATE("&lt;=",PG$3),Movimientos!$C:$C,"&gt;0")+SUMIFS(Movimientos!$C:$C,Movimientos!$A:$A,$B19,Movimientos!$D:$D,CONCATENATE("&lt;",PG$3),Movimientos!$C:$C,"&lt;0")</f>
        <v>0</v>
      </c>
      <c r="PH19" s="5">
        <f ca="1">SUMIFS(Movimientos!$C:$C,Movimientos!$A:$A,$B19,Movimientos!$D:$D,CONCATENATE("&lt;=",PH$3),Movimientos!$C:$C,"&gt;0")+SUMIFS(Movimientos!$C:$C,Movimientos!$A:$A,$B19,Movimientos!$D:$D,CONCATENATE("&lt;",PH$3),Movimientos!$C:$C,"&lt;0")</f>
        <v>0</v>
      </c>
      <c r="PI19" s="5">
        <f ca="1">SUMIFS(Movimientos!$C:$C,Movimientos!$A:$A,$B19,Movimientos!$D:$D,CONCATENATE("&lt;=",PI$3),Movimientos!$C:$C,"&gt;0")+SUMIFS(Movimientos!$C:$C,Movimientos!$A:$A,$B19,Movimientos!$D:$D,CONCATENATE("&lt;",PI$3),Movimientos!$C:$C,"&lt;0")</f>
        <v>0</v>
      </c>
      <c r="PJ19" s="5">
        <f ca="1">SUMIFS(Movimientos!$C:$C,Movimientos!$A:$A,$B19,Movimientos!$D:$D,CONCATENATE("&lt;=",PJ$3),Movimientos!$C:$C,"&gt;0")+SUMIFS(Movimientos!$C:$C,Movimientos!$A:$A,$B19,Movimientos!$D:$D,CONCATENATE("&lt;",PJ$3),Movimientos!$C:$C,"&lt;0")</f>
        <v>0</v>
      </c>
      <c r="PK19" s="5">
        <f ca="1">SUMIFS(Movimientos!$C:$C,Movimientos!$A:$A,$B19,Movimientos!$D:$D,CONCATENATE("&lt;=",PK$3),Movimientos!$C:$C,"&gt;0")+SUMIFS(Movimientos!$C:$C,Movimientos!$A:$A,$B19,Movimientos!$D:$D,CONCATENATE("&lt;",PK$3),Movimientos!$C:$C,"&lt;0")</f>
        <v>0</v>
      </c>
      <c r="PL19" s="5">
        <f ca="1">SUMIFS(Movimientos!$C:$C,Movimientos!$A:$A,$B19,Movimientos!$D:$D,CONCATENATE("&lt;=",PL$3),Movimientos!$C:$C,"&gt;0")+SUMIFS(Movimientos!$C:$C,Movimientos!$A:$A,$B19,Movimientos!$D:$D,CONCATENATE("&lt;",PL$3),Movimientos!$C:$C,"&lt;0")</f>
        <v>0</v>
      </c>
      <c r="PM19" s="5">
        <f ca="1">SUMIFS(Movimientos!$C:$C,Movimientos!$A:$A,$B19,Movimientos!$D:$D,CONCATENATE("&lt;=",PM$3),Movimientos!$C:$C,"&gt;0")+SUMIFS(Movimientos!$C:$C,Movimientos!$A:$A,$B19,Movimientos!$D:$D,CONCATENATE("&lt;",PM$3),Movimientos!$C:$C,"&lt;0")</f>
        <v>0</v>
      </c>
      <c r="PN19" s="5">
        <f ca="1">SUMIFS(Movimientos!$C:$C,Movimientos!$A:$A,$B19,Movimientos!$D:$D,CONCATENATE("&lt;=",PN$3),Movimientos!$C:$C,"&gt;0")+SUMIFS(Movimientos!$C:$C,Movimientos!$A:$A,$B19,Movimientos!$D:$D,CONCATENATE("&lt;",PN$3),Movimientos!$C:$C,"&lt;0")</f>
        <v>0</v>
      </c>
      <c r="PO19" s="5">
        <f ca="1">SUMIFS(Movimientos!$C:$C,Movimientos!$A:$A,$B19,Movimientos!$D:$D,CONCATENATE("&lt;=",PO$3),Movimientos!$C:$C,"&gt;0")+SUMIFS(Movimientos!$C:$C,Movimientos!$A:$A,$B19,Movimientos!$D:$D,CONCATENATE("&lt;",PO$3),Movimientos!$C:$C,"&lt;0")</f>
        <v>0</v>
      </c>
      <c r="PP19" s="5">
        <f ca="1">SUMIFS(Movimientos!$C:$C,Movimientos!$A:$A,$B19,Movimientos!$D:$D,CONCATENATE("&lt;=",PP$3),Movimientos!$C:$C,"&gt;0")+SUMIFS(Movimientos!$C:$C,Movimientos!$A:$A,$B19,Movimientos!$D:$D,CONCATENATE("&lt;",PP$3),Movimientos!$C:$C,"&lt;0")</f>
        <v>0</v>
      </c>
      <c r="PQ19" s="5">
        <f ca="1">SUMIFS(Movimientos!$C:$C,Movimientos!$A:$A,$B19,Movimientos!$D:$D,CONCATENATE("&lt;=",PQ$3),Movimientos!$C:$C,"&gt;0")+SUMIFS(Movimientos!$C:$C,Movimientos!$A:$A,$B19,Movimientos!$D:$D,CONCATENATE("&lt;",PQ$3),Movimientos!$C:$C,"&lt;0")</f>
        <v>0</v>
      </c>
      <c r="PR19" s="5">
        <f ca="1">SUMIFS(Movimientos!$C:$C,Movimientos!$A:$A,$B19,Movimientos!$D:$D,CONCATENATE("&lt;=",PR$3),Movimientos!$C:$C,"&gt;0")+SUMIFS(Movimientos!$C:$C,Movimientos!$A:$A,$B19,Movimientos!$D:$D,CONCATENATE("&lt;",PR$3),Movimientos!$C:$C,"&lt;0")</f>
        <v>0</v>
      </c>
      <c r="PS19" s="5">
        <f ca="1">SUMIFS(Movimientos!$C:$C,Movimientos!$A:$A,$B19,Movimientos!$D:$D,CONCATENATE("&lt;=",PS$3),Movimientos!$C:$C,"&gt;0")+SUMIFS(Movimientos!$C:$C,Movimientos!$A:$A,$B19,Movimientos!$D:$D,CONCATENATE("&lt;",PS$3),Movimientos!$C:$C,"&lt;0")</f>
        <v>0</v>
      </c>
      <c r="PT19" s="5">
        <f ca="1">SUMIFS(Movimientos!$C:$C,Movimientos!$A:$A,$B19,Movimientos!$D:$D,CONCATENATE("&lt;=",PT$3),Movimientos!$C:$C,"&gt;0")+SUMIFS(Movimientos!$C:$C,Movimientos!$A:$A,$B19,Movimientos!$D:$D,CONCATENATE("&lt;",PT$3),Movimientos!$C:$C,"&lt;0")</f>
        <v>0</v>
      </c>
      <c r="PU19" s="5">
        <f ca="1">SUMIFS(Movimientos!$C:$C,Movimientos!$A:$A,$B19,Movimientos!$D:$D,CONCATENATE("&lt;=",PU$3),Movimientos!$C:$C,"&gt;0")+SUMIFS(Movimientos!$C:$C,Movimientos!$A:$A,$B19,Movimientos!$D:$D,CONCATENATE("&lt;",PU$3),Movimientos!$C:$C,"&lt;0")</f>
        <v>0</v>
      </c>
      <c r="PV19" s="5">
        <f ca="1">SUMIFS(Movimientos!$C:$C,Movimientos!$A:$A,$B19,Movimientos!$D:$D,CONCATENATE("&lt;=",PV$3),Movimientos!$C:$C,"&gt;0")+SUMIFS(Movimientos!$C:$C,Movimientos!$A:$A,$B19,Movimientos!$D:$D,CONCATENATE("&lt;",PV$3),Movimientos!$C:$C,"&lt;0")</f>
        <v>0</v>
      </c>
      <c r="PW19" s="5">
        <f ca="1">SUMIFS(Movimientos!$C:$C,Movimientos!$A:$A,$B19,Movimientos!$D:$D,CONCATENATE("&lt;=",PW$3),Movimientos!$C:$C,"&gt;0")+SUMIFS(Movimientos!$C:$C,Movimientos!$A:$A,$B19,Movimientos!$D:$D,CONCATENATE("&lt;",PW$3),Movimientos!$C:$C,"&lt;0")</f>
        <v>0</v>
      </c>
      <c r="PX19" s="5">
        <f ca="1">SUMIFS(Movimientos!$C:$C,Movimientos!$A:$A,$B19,Movimientos!$D:$D,CONCATENATE("&lt;=",PX$3),Movimientos!$C:$C,"&gt;0")+SUMIFS(Movimientos!$C:$C,Movimientos!$A:$A,$B19,Movimientos!$D:$D,CONCATENATE("&lt;",PX$3),Movimientos!$C:$C,"&lt;0")</f>
        <v>0</v>
      </c>
      <c r="PY19" s="5">
        <f ca="1">SUMIFS(Movimientos!$C:$C,Movimientos!$A:$A,$B19,Movimientos!$D:$D,CONCATENATE("&lt;=",PY$3),Movimientos!$C:$C,"&gt;0")+SUMIFS(Movimientos!$C:$C,Movimientos!$A:$A,$B19,Movimientos!$D:$D,CONCATENATE("&lt;",PY$3),Movimientos!$C:$C,"&lt;0")</f>
        <v>0</v>
      </c>
      <c r="PZ19" s="5">
        <f ca="1">SUMIFS(Movimientos!$C:$C,Movimientos!$A:$A,$B19,Movimientos!$D:$D,CONCATENATE("&lt;=",PZ$3),Movimientos!$C:$C,"&gt;0")+SUMIFS(Movimientos!$C:$C,Movimientos!$A:$A,$B19,Movimientos!$D:$D,CONCATENATE("&lt;",PZ$3),Movimientos!$C:$C,"&lt;0")</f>
        <v>0</v>
      </c>
      <c r="QA19" s="5">
        <f ca="1">SUMIFS(Movimientos!$C:$C,Movimientos!$A:$A,$B19,Movimientos!$D:$D,CONCATENATE("&lt;=",QA$3),Movimientos!$C:$C,"&gt;0")+SUMIFS(Movimientos!$C:$C,Movimientos!$A:$A,$B19,Movimientos!$D:$D,CONCATENATE("&lt;",QA$3),Movimientos!$C:$C,"&lt;0")</f>
        <v>0</v>
      </c>
      <c r="QB19" s="5">
        <f ca="1">SUMIFS(Movimientos!$C:$C,Movimientos!$A:$A,$B19,Movimientos!$D:$D,CONCATENATE("&lt;=",QB$3),Movimientos!$C:$C,"&gt;0")+SUMIFS(Movimientos!$C:$C,Movimientos!$A:$A,$B19,Movimientos!$D:$D,CONCATENATE("&lt;",QB$3),Movimientos!$C:$C,"&lt;0")</f>
        <v>0</v>
      </c>
      <c r="QC19" s="5">
        <f ca="1">SUMIFS(Movimientos!$C:$C,Movimientos!$A:$A,$B19,Movimientos!$D:$D,CONCATENATE("&lt;=",QC$3),Movimientos!$C:$C,"&gt;0")+SUMIFS(Movimientos!$C:$C,Movimientos!$A:$A,$B19,Movimientos!$D:$D,CONCATENATE("&lt;",QC$3),Movimientos!$C:$C,"&lt;0")</f>
        <v>0</v>
      </c>
      <c r="QD19" s="5">
        <f ca="1">SUMIFS(Movimientos!$C:$C,Movimientos!$A:$A,$B19,Movimientos!$D:$D,CONCATENATE("&lt;=",QD$3),Movimientos!$C:$C,"&gt;0")+SUMIFS(Movimientos!$C:$C,Movimientos!$A:$A,$B19,Movimientos!$D:$D,CONCATENATE("&lt;",QD$3),Movimientos!$C:$C,"&lt;0")</f>
        <v>0</v>
      </c>
      <c r="QE19" s="5">
        <f ca="1">SUMIFS(Movimientos!$C:$C,Movimientos!$A:$A,$B19,Movimientos!$D:$D,CONCATENATE("&lt;=",QE$3),Movimientos!$C:$C,"&gt;0")+SUMIFS(Movimientos!$C:$C,Movimientos!$A:$A,$B19,Movimientos!$D:$D,CONCATENATE("&lt;",QE$3),Movimientos!$C:$C,"&lt;0")</f>
        <v>0</v>
      </c>
      <c r="QF19" s="5">
        <f ca="1">SUMIFS(Movimientos!$C:$C,Movimientos!$A:$A,$B19,Movimientos!$D:$D,CONCATENATE("&lt;=",QF$3),Movimientos!$C:$C,"&gt;0")+SUMIFS(Movimientos!$C:$C,Movimientos!$A:$A,$B19,Movimientos!$D:$D,CONCATENATE("&lt;",QF$3),Movimientos!$C:$C,"&lt;0")</f>
        <v>0</v>
      </c>
      <c r="QG19" s="5">
        <f ca="1">SUMIFS(Movimientos!$C:$C,Movimientos!$A:$A,$B19,Movimientos!$D:$D,CONCATENATE("&lt;=",QG$3),Movimientos!$C:$C,"&gt;0")+SUMIFS(Movimientos!$C:$C,Movimientos!$A:$A,$B19,Movimientos!$D:$D,CONCATENATE("&lt;",QG$3),Movimientos!$C:$C,"&lt;0")</f>
        <v>0</v>
      </c>
      <c r="QH19" s="5">
        <f ca="1">SUMIFS(Movimientos!$C:$C,Movimientos!$A:$A,$B19,Movimientos!$D:$D,CONCATENATE("&lt;=",QH$3),Movimientos!$C:$C,"&gt;0")+SUMIFS(Movimientos!$C:$C,Movimientos!$A:$A,$B19,Movimientos!$D:$D,CONCATENATE("&lt;",QH$3),Movimientos!$C:$C,"&lt;0")</f>
        <v>0</v>
      </c>
      <c r="QI19" s="5">
        <f ca="1">SUMIFS(Movimientos!$C:$C,Movimientos!$A:$A,$B19,Movimientos!$D:$D,CONCATENATE("&lt;=",QI$3),Movimientos!$C:$C,"&gt;0")+SUMIFS(Movimientos!$C:$C,Movimientos!$A:$A,$B19,Movimientos!$D:$D,CONCATENATE("&lt;",QI$3),Movimientos!$C:$C,"&lt;0")</f>
        <v>0</v>
      </c>
      <c r="QJ19" s="5">
        <f ca="1">SUMIFS(Movimientos!$C:$C,Movimientos!$A:$A,$B19,Movimientos!$D:$D,CONCATENATE("&lt;=",QJ$3),Movimientos!$C:$C,"&gt;0")+SUMIFS(Movimientos!$C:$C,Movimientos!$A:$A,$B19,Movimientos!$D:$D,CONCATENATE("&lt;",QJ$3),Movimientos!$C:$C,"&lt;0")</f>
        <v>0</v>
      </c>
      <c r="QK19" s="5">
        <f ca="1">SUMIFS(Movimientos!$C:$C,Movimientos!$A:$A,$B19,Movimientos!$D:$D,CONCATENATE("&lt;=",QK$3),Movimientos!$C:$C,"&gt;0")+SUMIFS(Movimientos!$C:$C,Movimientos!$A:$A,$B19,Movimientos!$D:$D,CONCATENATE("&lt;",QK$3),Movimientos!$C:$C,"&lt;0")</f>
        <v>0</v>
      </c>
      <c r="QL19" s="5">
        <f ca="1">SUMIFS(Movimientos!$C:$C,Movimientos!$A:$A,$B19,Movimientos!$D:$D,CONCATENATE("&lt;=",QL$3),Movimientos!$C:$C,"&gt;0")+SUMIFS(Movimientos!$C:$C,Movimientos!$A:$A,$B19,Movimientos!$D:$D,CONCATENATE("&lt;",QL$3),Movimientos!$C:$C,"&lt;0")</f>
        <v>0</v>
      </c>
      <c r="QM19" s="5">
        <f ca="1">SUMIFS(Movimientos!$C:$C,Movimientos!$A:$A,$B19,Movimientos!$D:$D,CONCATENATE("&lt;=",QM$3),Movimientos!$C:$C,"&gt;0")+SUMIFS(Movimientos!$C:$C,Movimientos!$A:$A,$B19,Movimientos!$D:$D,CONCATENATE("&lt;",QM$3),Movimientos!$C:$C,"&lt;0")</f>
        <v>0</v>
      </c>
      <c r="QN19" s="5">
        <f ca="1">SUMIFS(Movimientos!$C:$C,Movimientos!$A:$A,$B19,Movimientos!$D:$D,CONCATENATE("&lt;=",QN$3),Movimientos!$C:$C,"&gt;0")+SUMIFS(Movimientos!$C:$C,Movimientos!$A:$A,$B19,Movimientos!$D:$D,CONCATENATE("&lt;",QN$3),Movimientos!$C:$C,"&lt;0")</f>
        <v>0</v>
      </c>
      <c r="QO19" s="5">
        <f ca="1">SUMIFS(Movimientos!$C:$C,Movimientos!$A:$A,$B19,Movimientos!$D:$D,CONCATENATE("&lt;=",QO$3),Movimientos!$C:$C,"&gt;0")+SUMIFS(Movimientos!$C:$C,Movimientos!$A:$A,$B19,Movimientos!$D:$D,CONCATENATE("&lt;",QO$3),Movimientos!$C:$C,"&lt;0")</f>
        <v>0</v>
      </c>
      <c r="QP19" s="5">
        <f ca="1">SUMIFS(Movimientos!$C:$C,Movimientos!$A:$A,$B19,Movimientos!$D:$D,CONCATENATE("&lt;=",QP$3),Movimientos!$C:$C,"&gt;0")+SUMIFS(Movimientos!$C:$C,Movimientos!$A:$A,$B19,Movimientos!$D:$D,CONCATENATE("&lt;",QP$3),Movimientos!$C:$C,"&lt;0")</f>
        <v>0</v>
      </c>
      <c r="QQ19" s="5">
        <f ca="1">SUMIFS(Movimientos!$C:$C,Movimientos!$A:$A,$B19,Movimientos!$D:$D,CONCATENATE("&lt;=",QQ$3),Movimientos!$C:$C,"&gt;0")+SUMIFS(Movimientos!$C:$C,Movimientos!$A:$A,$B19,Movimientos!$D:$D,CONCATENATE("&lt;",QQ$3),Movimientos!$C:$C,"&lt;0")</f>
        <v>0</v>
      </c>
      <c r="QR19" s="5">
        <f ca="1">SUMIFS(Movimientos!$C:$C,Movimientos!$A:$A,$B19,Movimientos!$D:$D,CONCATENATE("&lt;=",QR$3),Movimientos!$C:$C,"&gt;0")+SUMIFS(Movimientos!$C:$C,Movimientos!$A:$A,$B19,Movimientos!$D:$D,CONCATENATE("&lt;",QR$3),Movimientos!$C:$C,"&lt;0")</f>
        <v>0</v>
      </c>
      <c r="QS19" s="5">
        <f ca="1">SUMIFS(Movimientos!$C:$C,Movimientos!$A:$A,$B19,Movimientos!$D:$D,CONCATENATE("&lt;=",QS$3),Movimientos!$C:$C,"&gt;0")+SUMIFS(Movimientos!$C:$C,Movimientos!$A:$A,$B19,Movimientos!$D:$D,CONCATENATE("&lt;",QS$3),Movimientos!$C:$C,"&lt;0")</f>
        <v>0</v>
      </c>
      <c r="QT19" s="5">
        <f ca="1">SUMIFS(Movimientos!$C:$C,Movimientos!$A:$A,$B19,Movimientos!$D:$D,CONCATENATE("&lt;=",QT$3),Movimientos!$C:$C,"&gt;0")+SUMIFS(Movimientos!$C:$C,Movimientos!$A:$A,$B19,Movimientos!$D:$D,CONCATENATE("&lt;",QT$3),Movimientos!$C:$C,"&lt;0")</f>
        <v>0</v>
      </c>
      <c r="QU19" s="5">
        <f ca="1">SUMIFS(Movimientos!$C:$C,Movimientos!$A:$A,$B19,Movimientos!$D:$D,CONCATENATE("&lt;=",QU$3),Movimientos!$C:$C,"&gt;0")+SUMIFS(Movimientos!$C:$C,Movimientos!$A:$A,$B19,Movimientos!$D:$D,CONCATENATE("&lt;",QU$3),Movimientos!$C:$C,"&lt;0")</f>
        <v>0</v>
      </c>
      <c r="QV19" s="5">
        <f ca="1">SUMIFS(Movimientos!$C:$C,Movimientos!$A:$A,$B19,Movimientos!$D:$D,CONCATENATE("&lt;=",QV$3),Movimientos!$C:$C,"&gt;0")+SUMIFS(Movimientos!$C:$C,Movimientos!$A:$A,$B19,Movimientos!$D:$D,CONCATENATE("&lt;",QV$3),Movimientos!$C:$C,"&lt;0")</f>
        <v>0</v>
      </c>
      <c r="QW19" s="5">
        <f ca="1">SUMIFS(Movimientos!$C:$C,Movimientos!$A:$A,$B19,Movimientos!$D:$D,CONCATENATE("&lt;=",QW$3),Movimientos!$C:$C,"&gt;0")+SUMIFS(Movimientos!$C:$C,Movimientos!$A:$A,$B19,Movimientos!$D:$D,CONCATENATE("&lt;",QW$3),Movimientos!$C:$C,"&lt;0")</f>
        <v>0</v>
      </c>
      <c r="QX19" s="5">
        <f ca="1">SUMIFS(Movimientos!$C:$C,Movimientos!$A:$A,$B19,Movimientos!$D:$D,CONCATENATE("&lt;=",QX$3),Movimientos!$C:$C,"&gt;0")+SUMIFS(Movimientos!$C:$C,Movimientos!$A:$A,$B19,Movimientos!$D:$D,CONCATENATE("&lt;",QX$3),Movimientos!$C:$C,"&lt;0")</f>
        <v>0</v>
      </c>
      <c r="QY19" s="5">
        <f ca="1">SUMIFS(Movimientos!$C:$C,Movimientos!$A:$A,$B19,Movimientos!$D:$D,CONCATENATE("&lt;=",QY$3),Movimientos!$C:$C,"&gt;0")+SUMIFS(Movimientos!$C:$C,Movimientos!$A:$A,$B19,Movimientos!$D:$D,CONCATENATE("&lt;",QY$3),Movimientos!$C:$C,"&lt;0")</f>
        <v>0</v>
      </c>
      <c r="QZ19" s="5">
        <f ca="1">SUMIFS(Movimientos!$C:$C,Movimientos!$A:$A,$B19,Movimientos!$D:$D,CONCATENATE("&lt;=",QZ$3),Movimientos!$C:$C,"&gt;0")+SUMIFS(Movimientos!$C:$C,Movimientos!$A:$A,$B19,Movimientos!$D:$D,CONCATENATE("&lt;",QZ$3),Movimientos!$C:$C,"&lt;0")</f>
        <v>0</v>
      </c>
      <c r="RA19" s="5">
        <f ca="1">SUMIFS(Movimientos!$C:$C,Movimientos!$A:$A,$B19,Movimientos!$D:$D,CONCATENATE("&lt;=",RA$3),Movimientos!$C:$C,"&gt;0")+SUMIFS(Movimientos!$C:$C,Movimientos!$A:$A,$B19,Movimientos!$D:$D,CONCATENATE("&lt;",RA$3),Movimientos!$C:$C,"&lt;0")</f>
        <v>0</v>
      </c>
      <c r="RB19" s="5">
        <f ca="1">SUMIFS(Movimientos!$C:$C,Movimientos!$A:$A,$B19,Movimientos!$D:$D,CONCATENATE("&lt;=",RB$3),Movimientos!$C:$C,"&gt;0")+SUMIFS(Movimientos!$C:$C,Movimientos!$A:$A,$B19,Movimientos!$D:$D,CONCATENATE("&lt;",RB$3),Movimientos!$C:$C,"&lt;0")</f>
        <v>0</v>
      </c>
      <c r="RC19" s="5">
        <f ca="1">SUMIFS(Movimientos!$C:$C,Movimientos!$A:$A,$B19,Movimientos!$D:$D,CONCATENATE("&lt;=",RC$3),Movimientos!$C:$C,"&gt;0")+SUMIFS(Movimientos!$C:$C,Movimientos!$A:$A,$B19,Movimientos!$D:$D,CONCATENATE("&lt;",RC$3),Movimientos!$C:$C,"&lt;0")</f>
        <v>0</v>
      </c>
      <c r="RD19" s="5">
        <f ca="1">SUMIFS(Movimientos!$C:$C,Movimientos!$A:$A,$B19,Movimientos!$D:$D,CONCATENATE("&lt;=",RD$3),Movimientos!$C:$C,"&gt;0")+SUMIFS(Movimientos!$C:$C,Movimientos!$A:$A,$B19,Movimientos!$D:$D,CONCATENATE("&lt;",RD$3),Movimientos!$C:$C,"&lt;0")</f>
        <v>0</v>
      </c>
      <c r="RE19" s="5">
        <f ca="1">SUMIFS(Movimientos!$C:$C,Movimientos!$A:$A,$B19,Movimientos!$D:$D,CONCATENATE("&lt;=",RE$3),Movimientos!$C:$C,"&gt;0")+SUMIFS(Movimientos!$C:$C,Movimientos!$A:$A,$B19,Movimientos!$D:$D,CONCATENATE("&lt;",RE$3),Movimientos!$C:$C,"&lt;0")</f>
        <v>0</v>
      </c>
      <c r="RF19" s="5">
        <f ca="1">SUMIFS(Movimientos!$C:$C,Movimientos!$A:$A,$B19,Movimientos!$D:$D,CONCATENATE("&lt;=",RF$3),Movimientos!$C:$C,"&gt;0")+SUMIFS(Movimientos!$C:$C,Movimientos!$A:$A,$B19,Movimientos!$D:$D,CONCATENATE("&lt;",RF$3),Movimientos!$C:$C,"&lt;0")</f>
        <v>0</v>
      </c>
      <c r="RG19" s="5">
        <f ca="1">SUMIFS(Movimientos!$C:$C,Movimientos!$A:$A,$B19,Movimientos!$D:$D,CONCATENATE("&lt;=",RG$3),Movimientos!$C:$C,"&gt;0")+SUMIFS(Movimientos!$C:$C,Movimientos!$A:$A,$B19,Movimientos!$D:$D,CONCATENATE("&lt;",RG$3),Movimientos!$C:$C,"&lt;0")</f>
        <v>0</v>
      </c>
      <c r="RH19" s="5">
        <f ca="1">SUMIFS(Movimientos!$C:$C,Movimientos!$A:$A,$B19,Movimientos!$D:$D,CONCATENATE("&lt;=",RH$3),Movimientos!$C:$C,"&gt;0")+SUMIFS(Movimientos!$C:$C,Movimientos!$A:$A,$B19,Movimientos!$D:$D,CONCATENATE("&lt;",RH$3),Movimientos!$C:$C,"&lt;0")</f>
        <v>0</v>
      </c>
      <c r="RI19" s="5">
        <f ca="1">SUMIFS(Movimientos!$C:$C,Movimientos!$A:$A,$B19,Movimientos!$D:$D,CONCATENATE("&lt;=",RI$3),Movimientos!$C:$C,"&gt;0")+SUMIFS(Movimientos!$C:$C,Movimientos!$A:$A,$B19,Movimientos!$D:$D,CONCATENATE("&lt;",RI$3),Movimientos!$C:$C,"&lt;0")</f>
        <v>0</v>
      </c>
      <c r="RJ19" s="5">
        <f ca="1">SUMIFS(Movimientos!$C:$C,Movimientos!$A:$A,$B19,Movimientos!$D:$D,CONCATENATE("&lt;=",RJ$3),Movimientos!$C:$C,"&gt;0")+SUMIFS(Movimientos!$C:$C,Movimientos!$A:$A,$B19,Movimientos!$D:$D,CONCATENATE("&lt;",RJ$3),Movimientos!$C:$C,"&lt;0")</f>
        <v>0</v>
      </c>
      <c r="RK19" s="5">
        <f ca="1">SUMIFS(Movimientos!$C:$C,Movimientos!$A:$A,$B19,Movimientos!$D:$D,CONCATENATE("&lt;=",RK$3),Movimientos!$C:$C,"&gt;0")+SUMIFS(Movimientos!$C:$C,Movimientos!$A:$A,$B19,Movimientos!$D:$D,CONCATENATE("&lt;",RK$3),Movimientos!$C:$C,"&lt;0")</f>
        <v>0</v>
      </c>
      <c r="RL19" s="5">
        <f ca="1">SUMIFS(Movimientos!$C:$C,Movimientos!$A:$A,$B19,Movimientos!$D:$D,CONCATENATE("&lt;=",RL$3),Movimientos!$C:$C,"&gt;0")+SUMIFS(Movimientos!$C:$C,Movimientos!$A:$A,$B19,Movimientos!$D:$D,CONCATENATE("&lt;",RL$3),Movimientos!$C:$C,"&lt;0")</f>
        <v>0</v>
      </c>
      <c r="RM19" s="5">
        <f ca="1">SUMIFS(Movimientos!$C:$C,Movimientos!$A:$A,$B19,Movimientos!$D:$D,CONCATENATE("&lt;=",RM$3),Movimientos!$C:$C,"&gt;0")+SUMIFS(Movimientos!$C:$C,Movimientos!$A:$A,$B19,Movimientos!$D:$D,CONCATENATE("&lt;",RM$3),Movimientos!$C:$C,"&lt;0")</f>
        <v>0</v>
      </c>
      <c r="RN19" s="5">
        <f ca="1">SUMIFS(Movimientos!$C:$C,Movimientos!$A:$A,$B19,Movimientos!$D:$D,CONCATENATE("&lt;=",RN$3),Movimientos!$C:$C,"&gt;0")+SUMIFS(Movimientos!$C:$C,Movimientos!$A:$A,$B19,Movimientos!$D:$D,CONCATENATE("&lt;",RN$3),Movimientos!$C:$C,"&lt;0")</f>
        <v>0</v>
      </c>
      <c r="RO19" s="5">
        <f ca="1">SUMIFS(Movimientos!$C:$C,Movimientos!$A:$A,$B19,Movimientos!$D:$D,CONCATENATE("&lt;=",RO$3),Movimientos!$C:$C,"&gt;0")+SUMIFS(Movimientos!$C:$C,Movimientos!$A:$A,$B19,Movimientos!$D:$D,CONCATENATE("&lt;",RO$3),Movimientos!$C:$C,"&lt;0")</f>
        <v>0</v>
      </c>
      <c r="RP19" s="5">
        <f ca="1">SUMIFS(Movimientos!$C:$C,Movimientos!$A:$A,$B19,Movimientos!$D:$D,CONCATENATE("&lt;=",RP$3),Movimientos!$C:$C,"&gt;0")+SUMIFS(Movimientos!$C:$C,Movimientos!$A:$A,$B19,Movimientos!$D:$D,CONCATENATE("&lt;",RP$3),Movimientos!$C:$C,"&lt;0")</f>
        <v>0</v>
      </c>
      <c r="RQ19" s="5">
        <f ca="1">SUMIFS(Movimientos!$C:$C,Movimientos!$A:$A,$B19,Movimientos!$D:$D,CONCATENATE("&lt;=",RQ$3),Movimientos!$C:$C,"&gt;0")+SUMIFS(Movimientos!$C:$C,Movimientos!$A:$A,$B19,Movimientos!$D:$D,CONCATENATE("&lt;",RQ$3),Movimientos!$C:$C,"&lt;0")</f>
        <v>0</v>
      </c>
      <c r="RR19" s="5">
        <f ca="1">SUMIFS(Movimientos!$C:$C,Movimientos!$A:$A,$B19,Movimientos!$D:$D,CONCATENATE("&lt;=",RR$3),Movimientos!$C:$C,"&gt;0")+SUMIFS(Movimientos!$C:$C,Movimientos!$A:$A,$B19,Movimientos!$D:$D,CONCATENATE("&lt;",RR$3),Movimientos!$C:$C,"&lt;0")</f>
        <v>0</v>
      </c>
      <c r="RS19" s="5">
        <f ca="1">SUMIFS(Movimientos!$C:$C,Movimientos!$A:$A,$B19,Movimientos!$D:$D,CONCATENATE("&lt;=",RS$3),Movimientos!$C:$C,"&gt;0")+SUMIFS(Movimientos!$C:$C,Movimientos!$A:$A,$B19,Movimientos!$D:$D,CONCATENATE("&lt;",RS$3),Movimientos!$C:$C,"&lt;0")</f>
        <v>0</v>
      </c>
      <c r="RT19" s="5">
        <f ca="1">SUMIFS(Movimientos!$C:$C,Movimientos!$A:$A,$B19,Movimientos!$D:$D,CONCATENATE("&lt;=",RT$3),Movimientos!$C:$C,"&gt;0")+SUMIFS(Movimientos!$C:$C,Movimientos!$A:$A,$B19,Movimientos!$D:$D,CONCATENATE("&lt;",RT$3),Movimientos!$C:$C,"&lt;0")</f>
        <v>0</v>
      </c>
      <c r="RU19" s="5">
        <f ca="1">SUMIFS(Movimientos!$C:$C,Movimientos!$A:$A,$B19,Movimientos!$D:$D,CONCATENATE("&lt;=",RU$3),Movimientos!$C:$C,"&gt;0")+SUMIFS(Movimientos!$C:$C,Movimientos!$A:$A,$B19,Movimientos!$D:$D,CONCATENATE("&lt;",RU$3),Movimientos!$C:$C,"&lt;0")</f>
        <v>0</v>
      </c>
      <c r="RV19" s="5">
        <f ca="1">SUMIFS(Movimientos!$C:$C,Movimientos!$A:$A,$B19,Movimientos!$D:$D,CONCATENATE("&lt;=",RV$3),Movimientos!$C:$C,"&gt;0")+SUMIFS(Movimientos!$C:$C,Movimientos!$A:$A,$B19,Movimientos!$D:$D,CONCATENATE("&lt;",RV$3),Movimientos!$C:$C,"&lt;0")</f>
        <v>0</v>
      </c>
      <c r="RW19" s="5">
        <f ca="1">SUMIFS(Movimientos!$C:$C,Movimientos!$A:$A,$B19,Movimientos!$D:$D,CONCATENATE("&lt;=",RW$3),Movimientos!$C:$C,"&gt;0")+SUMIFS(Movimientos!$C:$C,Movimientos!$A:$A,$B19,Movimientos!$D:$D,CONCATENATE("&lt;",RW$3),Movimientos!$C:$C,"&lt;0")</f>
        <v>0</v>
      </c>
      <c r="RX19" s="5">
        <f ca="1">SUMIFS(Movimientos!$C:$C,Movimientos!$A:$A,$B19,Movimientos!$D:$D,CONCATENATE("&lt;=",RX$3),Movimientos!$C:$C,"&gt;0")+SUMIFS(Movimientos!$C:$C,Movimientos!$A:$A,$B19,Movimientos!$D:$D,CONCATENATE("&lt;",RX$3),Movimientos!$C:$C,"&lt;0")</f>
        <v>0</v>
      </c>
      <c r="RY19" s="5">
        <f ca="1">SUMIFS(Movimientos!$C:$C,Movimientos!$A:$A,$B19,Movimientos!$D:$D,CONCATENATE("&lt;=",RY$3),Movimientos!$C:$C,"&gt;0")+SUMIFS(Movimientos!$C:$C,Movimientos!$A:$A,$B19,Movimientos!$D:$D,CONCATENATE("&lt;",RY$3),Movimientos!$C:$C,"&lt;0")</f>
        <v>0</v>
      </c>
      <c r="RZ19" s="5">
        <f ca="1">SUMIFS(Movimientos!$C:$C,Movimientos!$A:$A,$B19,Movimientos!$D:$D,CONCATENATE("&lt;=",RZ$3),Movimientos!$C:$C,"&gt;0")+SUMIFS(Movimientos!$C:$C,Movimientos!$A:$A,$B19,Movimientos!$D:$D,CONCATENATE("&lt;",RZ$3),Movimientos!$C:$C,"&lt;0")</f>
        <v>0</v>
      </c>
      <c r="SA19" s="5">
        <f ca="1">SUMIFS(Movimientos!$C:$C,Movimientos!$A:$A,$B19,Movimientos!$D:$D,CONCATENATE("&lt;=",SA$3),Movimientos!$C:$C,"&gt;0")+SUMIFS(Movimientos!$C:$C,Movimientos!$A:$A,$B19,Movimientos!$D:$D,CONCATENATE("&lt;",SA$3),Movimientos!$C:$C,"&lt;0")</f>
        <v>0</v>
      </c>
      <c r="SB19" s="5">
        <f ca="1">SUMIFS(Movimientos!$C:$C,Movimientos!$A:$A,$B19,Movimientos!$D:$D,CONCATENATE("&lt;=",SB$3),Movimientos!$C:$C,"&gt;0")+SUMIFS(Movimientos!$C:$C,Movimientos!$A:$A,$B19,Movimientos!$D:$D,CONCATENATE("&lt;",SB$3),Movimientos!$C:$C,"&lt;0")</f>
        <v>0</v>
      </c>
      <c r="SC19" s="5">
        <f ca="1">SUMIFS(Movimientos!$C:$C,Movimientos!$A:$A,$B19,Movimientos!$D:$D,CONCATENATE("&lt;=",SC$3),Movimientos!$C:$C,"&gt;0")+SUMIFS(Movimientos!$C:$C,Movimientos!$A:$A,$B19,Movimientos!$D:$D,CONCATENATE("&lt;",SC$3),Movimientos!$C:$C,"&lt;0")</f>
        <v>0</v>
      </c>
      <c r="SD19" s="5">
        <f ca="1">SUMIFS(Movimientos!$C:$C,Movimientos!$A:$A,$B19,Movimientos!$D:$D,CONCATENATE("&lt;=",SD$3),Movimientos!$C:$C,"&gt;0")+SUMIFS(Movimientos!$C:$C,Movimientos!$A:$A,$B19,Movimientos!$D:$D,CONCATENATE("&lt;",SD$3),Movimientos!$C:$C,"&lt;0")</f>
        <v>0</v>
      </c>
      <c r="SE19" s="5">
        <f ca="1">SUMIFS(Movimientos!$C:$C,Movimientos!$A:$A,$B19,Movimientos!$D:$D,CONCATENATE("&lt;=",SE$3),Movimientos!$C:$C,"&gt;0")+SUMIFS(Movimientos!$C:$C,Movimientos!$A:$A,$B19,Movimientos!$D:$D,CONCATENATE("&lt;",SE$3),Movimientos!$C:$C,"&lt;0")</f>
        <v>0</v>
      </c>
      <c r="SF19" s="5">
        <f ca="1">SUMIFS(Movimientos!$C:$C,Movimientos!$A:$A,$B19,Movimientos!$D:$D,CONCATENATE("&lt;=",SF$3),Movimientos!$C:$C,"&gt;0")+SUMIFS(Movimientos!$C:$C,Movimientos!$A:$A,$B19,Movimientos!$D:$D,CONCATENATE("&lt;",SF$3),Movimientos!$C:$C,"&lt;0")</f>
        <v>0</v>
      </c>
      <c r="SG19" s="5">
        <f ca="1">SUMIFS(Movimientos!$C:$C,Movimientos!$A:$A,$B19,Movimientos!$D:$D,CONCATENATE("&lt;=",SG$3),Movimientos!$C:$C,"&gt;0")+SUMIFS(Movimientos!$C:$C,Movimientos!$A:$A,$B19,Movimientos!$D:$D,CONCATENATE("&lt;",SG$3),Movimientos!$C:$C,"&lt;0")</f>
        <v>0</v>
      </c>
      <c r="SH19" s="5">
        <f ca="1">SUMIFS(Movimientos!$C:$C,Movimientos!$A:$A,$B19,Movimientos!$D:$D,CONCATENATE("&lt;=",SH$3),Movimientos!$C:$C,"&gt;0")+SUMIFS(Movimientos!$C:$C,Movimientos!$A:$A,$B19,Movimientos!$D:$D,CONCATENATE("&lt;",SH$3),Movimientos!$C:$C,"&lt;0")</f>
        <v>0</v>
      </c>
      <c r="SI19" s="5">
        <f ca="1">SUMIFS(Movimientos!$C:$C,Movimientos!$A:$A,$B19,Movimientos!$D:$D,CONCATENATE("&lt;=",SI$3),Movimientos!$C:$C,"&gt;0")+SUMIFS(Movimientos!$C:$C,Movimientos!$A:$A,$B19,Movimientos!$D:$D,CONCATENATE("&lt;",SI$3),Movimientos!$C:$C,"&lt;0")</f>
        <v>0</v>
      </c>
      <c r="SJ19" s="5">
        <f ca="1">SUMIFS(Movimientos!$C:$C,Movimientos!$A:$A,$B19,Movimientos!$D:$D,CONCATENATE("&lt;=",SJ$3),Movimientos!$C:$C,"&gt;0")+SUMIFS(Movimientos!$C:$C,Movimientos!$A:$A,$B19,Movimientos!$D:$D,CONCATENATE("&lt;",SJ$3),Movimientos!$C:$C,"&lt;0")</f>
        <v>0</v>
      </c>
      <c r="SK19" s="5">
        <f ca="1">SUMIFS(Movimientos!$C:$C,Movimientos!$A:$A,$B19,Movimientos!$D:$D,CONCATENATE("&lt;=",SK$3),Movimientos!$C:$C,"&gt;0")+SUMIFS(Movimientos!$C:$C,Movimientos!$A:$A,$B19,Movimientos!$D:$D,CONCATENATE("&lt;",SK$3),Movimientos!$C:$C,"&lt;0")</f>
        <v>0</v>
      </c>
      <c r="SL19" s="5">
        <f ca="1">SUMIFS(Movimientos!$C:$C,Movimientos!$A:$A,$B19,Movimientos!$D:$D,CONCATENATE("&lt;=",SL$3),Movimientos!$C:$C,"&gt;0")+SUMIFS(Movimientos!$C:$C,Movimientos!$A:$A,$B19,Movimientos!$D:$D,CONCATENATE("&lt;",SL$3),Movimientos!$C:$C,"&lt;0")</f>
        <v>0</v>
      </c>
      <c r="SM19" s="5">
        <f ca="1">SUMIFS(Movimientos!$C:$C,Movimientos!$A:$A,$B19,Movimientos!$D:$D,CONCATENATE("&lt;=",SM$3),Movimientos!$C:$C,"&gt;0")+SUMIFS(Movimientos!$C:$C,Movimientos!$A:$A,$B19,Movimientos!$D:$D,CONCATENATE("&lt;",SM$3),Movimientos!$C:$C,"&lt;0")</f>
        <v>0</v>
      </c>
      <c r="SN19" s="5">
        <f ca="1">SUMIFS(Movimientos!$C:$C,Movimientos!$A:$A,$B19,Movimientos!$D:$D,CONCATENATE("&lt;=",SN$3),Movimientos!$C:$C,"&gt;0")+SUMIFS(Movimientos!$C:$C,Movimientos!$A:$A,$B19,Movimientos!$D:$D,CONCATENATE("&lt;",SN$3),Movimientos!$C:$C,"&lt;0")</f>
        <v>0</v>
      </c>
      <c r="SO19" s="5">
        <f ca="1">SUMIFS(Movimientos!$C:$C,Movimientos!$A:$A,$B19,Movimientos!$D:$D,CONCATENATE("&lt;=",SO$3),Movimientos!$C:$C,"&gt;0")+SUMIFS(Movimientos!$C:$C,Movimientos!$A:$A,$B19,Movimientos!$D:$D,CONCATENATE("&lt;",SO$3),Movimientos!$C:$C,"&lt;0")</f>
        <v>0</v>
      </c>
      <c r="SP19" s="5">
        <f ca="1">SUMIFS(Movimientos!$C:$C,Movimientos!$A:$A,$B19,Movimientos!$D:$D,CONCATENATE("&lt;=",SP$3),Movimientos!$C:$C,"&gt;0")+SUMIFS(Movimientos!$C:$C,Movimientos!$A:$A,$B19,Movimientos!$D:$D,CONCATENATE("&lt;",SP$3),Movimientos!$C:$C,"&lt;0")</f>
        <v>0</v>
      </c>
      <c r="SQ19" s="5">
        <f ca="1">SUMIFS(Movimientos!$C:$C,Movimientos!$A:$A,$B19,Movimientos!$D:$D,CONCATENATE("&lt;=",SQ$3),Movimientos!$C:$C,"&gt;0")+SUMIFS(Movimientos!$C:$C,Movimientos!$A:$A,$B19,Movimientos!$D:$D,CONCATENATE("&lt;",SQ$3),Movimientos!$C:$C,"&lt;0")</f>
        <v>0</v>
      </c>
      <c r="SR19" s="5">
        <f ca="1">SUMIFS(Movimientos!$C:$C,Movimientos!$A:$A,$B19,Movimientos!$D:$D,CONCATENATE("&lt;=",SR$3),Movimientos!$C:$C,"&gt;0")+SUMIFS(Movimientos!$C:$C,Movimientos!$A:$A,$B19,Movimientos!$D:$D,CONCATENATE("&lt;",SR$3),Movimientos!$C:$C,"&lt;0")</f>
        <v>0</v>
      </c>
      <c r="SS19" s="5">
        <f ca="1">SUMIFS(Movimientos!$C:$C,Movimientos!$A:$A,$B19,Movimientos!$D:$D,CONCATENATE("&lt;=",SS$3),Movimientos!$C:$C,"&gt;0")+SUMIFS(Movimientos!$C:$C,Movimientos!$A:$A,$B19,Movimientos!$D:$D,CONCATENATE("&lt;",SS$3),Movimientos!$C:$C,"&lt;0")</f>
        <v>0</v>
      </c>
      <c r="ST19" s="5">
        <f ca="1">SUMIFS(Movimientos!$C:$C,Movimientos!$A:$A,$B19,Movimientos!$D:$D,CONCATENATE("&lt;=",ST$3),Movimientos!$C:$C,"&gt;0")+SUMIFS(Movimientos!$C:$C,Movimientos!$A:$A,$B19,Movimientos!$D:$D,CONCATENATE("&lt;",ST$3),Movimientos!$C:$C,"&lt;0")</f>
        <v>0</v>
      </c>
      <c r="SU19" s="5">
        <f ca="1">SUMIFS(Movimientos!$C:$C,Movimientos!$A:$A,$B19,Movimientos!$D:$D,CONCATENATE("&lt;=",SU$3),Movimientos!$C:$C,"&gt;0")+SUMIFS(Movimientos!$C:$C,Movimientos!$A:$A,$B19,Movimientos!$D:$D,CONCATENATE("&lt;",SU$3),Movimientos!$C:$C,"&lt;0")</f>
        <v>0</v>
      </c>
      <c r="SV19" s="5">
        <f ca="1">SUMIFS(Movimientos!$C:$C,Movimientos!$A:$A,$B19,Movimientos!$D:$D,CONCATENATE("&lt;=",SV$3),Movimientos!$C:$C,"&gt;0")+SUMIFS(Movimientos!$C:$C,Movimientos!$A:$A,$B19,Movimientos!$D:$D,CONCATENATE("&lt;",SV$3),Movimientos!$C:$C,"&lt;0")</f>
        <v>0</v>
      </c>
      <c r="SW19" s="5">
        <f ca="1">SUMIFS(Movimientos!$C:$C,Movimientos!$A:$A,$B19,Movimientos!$D:$D,CONCATENATE("&lt;=",SW$3),Movimientos!$C:$C,"&gt;0")+SUMIFS(Movimientos!$C:$C,Movimientos!$A:$A,$B19,Movimientos!$D:$D,CONCATENATE("&lt;",SW$3),Movimientos!$C:$C,"&lt;0")</f>
        <v>0</v>
      </c>
      <c r="SX19" s="5">
        <f ca="1">SUMIFS(Movimientos!$C:$C,Movimientos!$A:$A,$B19,Movimientos!$D:$D,CONCATENATE("&lt;=",SX$3),Movimientos!$C:$C,"&gt;0")+SUMIFS(Movimientos!$C:$C,Movimientos!$A:$A,$B19,Movimientos!$D:$D,CONCATENATE("&lt;",SX$3),Movimientos!$C:$C,"&lt;0")</f>
        <v>0</v>
      </c>
      <c r="SY19" s="5">
        <f ca="1">SUMIFS(Movimientos!$C:$C,Movimientos!$A:$A,$B19,Movimientos!$D:$D,CONCATENATE("&lt;=",SY$3),Movimientos!$C:$C,"&gt;0")+SUMIFS(Movimientos!$C:$C,Movimientos!$A:$A,$B19,Movimientos!$D:$D,CONCATENATE("&lt;",SY$3),Movimientos!$C:$C,"&lt;0")</f>
        <v>0</v>
      </c>
      <c r="SZ19" s="5">
        <f ca="1">SUMIFS(Movimientos!$C:$C,Movimientos!$A:$A,$B19,Movimientos!$D:$D,CONCATENATE("&lt;=",SZ$3),Movimientos!$C:$C,"&gt;0")+SUMIFS(Movimientos!$C:$C,Movimientos!$A:$A,$B19,Movimientos!$D:$D,CONCATENATE("&lt;",SZ$3),Movimientos!$C:$C,"&lt;0")</f>
        <v>0</v>
      </c>
      <c r="TA19" s="5">
        <f ca="1">SUMIFS(Movimientos!$C:$C,Movimientos!$A:$A,$B19,Movimientos!$D:$D,CONCATENATE("&lt;=",TA$3),Movimientos!$C:$C,"&gt;0")+SUMIFS(Movimientos!$C:$C,Movimientos!$A:$A,$B19,Movimientos!$D:$D,CONCATENATE("&lt;",TA$3),Movimientos!$C:$C,"&lt;0")</f>
        <v>0</v>
      </c>
      <c r="TB19" s="5">
        <f ca="1">SUMIFS(Movimientos!$C:$C,Movimientos!$A:$A,$B19,Movimientos!$D:$D,CONCATENATE("&lt;=",TB$3),Movimientos!$C:$C,"&gt;0")+SUMIFS(Movimientos!$C:$C,Movimientos!$A:$A,$B19,Movimientos!$D:$D,CONCATENATE("&lt;",TB$3),Movimientos!$C:$C,"&lt;0")</f>
        <v>0</v>
      </c>
      <c r="TC19" s="5">
        <f ca="1">SUMIFS(Movimientos!$C:$C,Movimientos!$A:$A,$B19,Movimientos!$D:$D,CONCATENATE("&lt;=",TC$3),Movimientos!$C:$C,"&gt;0")+SUMIFS(Movimientos!$C:$C,Movimientos!$A:$A,$B19,Movimientos!$D:$D,CONCATENATE("&lt;",TC$3),Movimientos!$C:$C,"&lt;0")</f>
        <v>0</v>
      </c>
      <c r="TD19" s="5">
        <f ca="1">SUMIFS(Movimientos!$C:$C,Movimientos!$A:$A,$B19,Movimientos!$D:$D,CONCATENATE("&lt;=",TD$3),Movimientos!$C:$C,"&gt;0")+SUMIFS(Movimientos!$C:$C,Movimientos!$A:$A,$B19,Movimientos!$D:$D,CONCATENATE("&lt;",TD$3),Movimientos!$C:$C,"&lt;0")</f>
        <v>0</v>
      </c>
      <c r="TE19" s="5">
        <f ca="1">SUMIFS(Movimientos!$C:$C,Movimientos!$A:$A,$B19,Movimientos!$D:$D,CONCATENATE("&lt;=",TE$3),Movimientos!$C:$C,"&gt;0")+SUMIFS(Movimientos!$C:$C,Movimientos!$A:$A,$B19,Movimientos!$D:$D,CONCATENATE("&lt;",TE$3),Movimientos!$C:$C,"&lt;0")</f>
        <v>0</v>
      </c>
      <c r="TF19" s="5">
        <f ca="1">SUMIFS(Movimientos!$C:$C,Movimientos!$A:$A,$B19,Movimientos!$D:$D,CONCATENATE("&lt;=",TF$3),Movimientos!$C:$C,"&gt;0")+SUMIFS(Movimientos!$C:$C,Movimientos!$A:$A,$B19,Movimientos!$D:$D,CONCATENATE("&lt;",TF$3),Movimientos!$C:$C,"&lt;0")</f>
        <v>0</v>
      </c>
    </row>
    <row r="20" spans="1:526">
      <c r="A20" s="31" t="s">
        <v>48</v>
      </c>
      <c r="B20" s="4">
        <f>Cartera!B20</f>
        <v>0</v>
      </c>
      <c r="C20" s="4">
        <f>Cartera!C20</f>
        <v>0</v>
      </c>
      <c r="D20" s="5">
        <f ca="1">SUMIFS(Movimientos!$C:$C,Movimientos!$A:$A,$B20,Movimientos!$D:$D,CONCATENATE("&lt;=",D$3),Movimientos!$C:$C,"&gt;0")+SUMIFS(Movimientos!$C:$C,Movimientos!$A:$A,$B20,Movimientos!$D:$D,CONCATENATE("&lt;",D$3),Movimientos!$C:$C,"&lt;0")</f>
        <v>0</v>
      </c>
      <c r="E20" s="5">
        <f ca="1">SUMIFS(Movimientos!$C:$C,Movimientos!$A:$A,$B20,Movimientos!$D:$D,CONCATENATE("&lt;=",E$3),Movimientos!$C:$C,"&gt;0")+SUMIFS(Movimientos!$C:$C,Movimientos!$A:$A,$B20,Movimientos!$D:$D,CONCATENATE("&lt;",E$3),Movimientos!$C:$C,"&lt;0")</f>
        <v>0</v>
      </c>
      <c r="F20" s="5">
        <f ca="1">SUMIFS(Movimientos!$C:$C,Movimientos!$A:$A,$B20,Movimientos!$D:$D,CONCATENATE("&lt;=",F$3),Movimientos!$C:$C,"&gt;0")+SUMIFS(Movimientos!$C:$C,Movimientos!$A:$A,$B20,Movimientos!$D:$D,CONCATENATE("&lt;",F$3),Movimientos!$C:$C,"&lt;0")</f>
        <v>0</v>
      </c>
      <c r="G20" s="5">
        <f ca="1">SUMIFS(Movimientos!$C:$C,Movimientos!$A:$A,$B20,Movimientos!$D:$D,CONCATENATE("&lt;=",G$3),Movimientos!$C:$C,"&gt;0")+SUMIFS(Movimientos!$C:$C,Movimientos!$A:$A,$B20,Movimientos!$D:$D,CONCATENATE("&lt;",G$3),Movimientos!$C:$C,"&lt;0")</f>
        <v>0</v>
      </c>
      <c r="H20" s="5">
        <f ca="1">SUMIFS(Movimientos!$C:$C,Movimientos!$A:$A,$B20,Movimientos!$D:$D,CONCATENATE("&lt;=",H$3),Movimientos!$C:$C,"&gt;0")+SUMIFS(Movimientos!$C:$C,Movimientos!$A:$A,$B20,Movimientos!$D:$D,CONCATENATE("&lt;",H$3),Movimientos!$C:$C,"&lt;0")</f>
        <v>0</v>
      </c>
      <c r="I20" s="5">
        <f ca="1">SUMIFS(Movimientos!$C:$C,Movimientos!$A:$A,$B20,Movimientos!$D:$D,CONCATENATE("&lt;=",I$3),Movimientos!$C:$C,"&gt;0")+SUMIFS(Movimientos!$C:$C,Movimientos!$A:$A,$B20,Movimientos!$D:$D,CONCATENATE("&lt;",I$3),Movimientos!$C:$C,"&lt;0")</f>
        <v>0</v>
      </c>
      <c r="J20" s="5">
        <f ca="1">SUMIFS(Movimientos!$C:$C,Movimientos!$A:$A,$B20,Movimientos!$D:$D,CONCATENATE("&lt;=",J$3),Movimientos!$C:$C,"&gt;0")+SUMIFS(Movimientos!$C:$C,Movimientos!$A:$A,$B20,Movimientos!$D:$D,CONCATENATE("&lt;",J$3),Movimientos!$C:$C,"&lt;0")</f>
        <v>0</v>
      </c>
      <c r="K20" s="5">
        <f ca="1">SUMIFS(Movimientos!$C:$C,Movimientos!$A:$A,$B20,Movimientos!$D:$D,CONCATENATE("&lt;=",K$3),Movimientos!$C:$C,"&gt;0")+SUMIFS(Movimientos!$C:$C,Movimientos!$A:$A,$B20,Movimientos!$D:$D,CONCATENATE("&lt;",K$3),Movimientos!$C:$C,"&lt;0")</f>
        <v>0</v>
      </c>
      <c r="L20" s="5">
        <f ca="1">SUMIFS(Movimientos!$C:$C,Movimientos!$A:$A,$B20,Movimientos!$D:$D,CONCATENATE("&lt;=",L$3),Movimientos!$C:$C,"&gt;0")+SUMIFS(Movimientos!$C:$C,Movimientos!$A:$A,$B20,Movimientos!$D:$D,CONCATENATE("&lt;",L$3),Movimientos!$C:$C,"&lt;0")</f>
        <v>0</v>
      </c>
      <c r="M20" s="5">
        <f ca="1">SUMIFS(Movimientos!$C:$C,Movimientos!$A:$A,$B20,Movimientos!$D:$D,CONCATENATE("&lt;=",M$3),Movimientos!$C:$C,"&gt;0")+SUMIFS(Movimientos!$C:$C,Movimientos!$A:$A,$B20,Movimientos!$D:$D,CONCATENATE("&lt;",M$3),Movimientos!$C:$C,"&lt;0")</f>
        <v>0</v>
      </c>
      <c r="N20" s="5">
        <f ca="1">SUMIFS(Movimientos!$C:$C,Movimientos!$A:$A,$B20,Movimientos!$D:$D,CONCATENATE("&lt;=",N$3),Movimientos!$C:$C,"&gt;0")+SUMIFS(Movimientos!$C:$C,Movimientos!$A:$A,$B20,Movimientos!$D:$D,CONCATENATE("&lt;",N$3),Movimientos!$C:$C,"&lt;0")</f>
        <v>0</v>
      </c>
      <c r="O20" s="5">
        <f ca="1">SUMIFS(Movimientos!$C:$C,Movimientos!$A:$A,$B20,Movimientos!$D:$D,CONCATENATE("&lt;=",O$3),Movimientos!$C:$C,"&gt;0")+SUMIFS(Movimientos!$C:$C,Movimientos!$A:$A,$B20,Movimientos!$D:$D,CONCATENATE("&lt;",O$3),Movimientos!$C:$C,"&lt;0")</f>
        <v>0</v>
      </c>
      <c r="P20" s="5">
        <f ca="1">SUMIFS(Movimientos!$C:$C,Movimientos!$A:$A,$B20,Movimientos!$D:$D,CONCATENATE("&lt;=",P$3),Movimientos!$C:$C,"&gt;0")+SUMIFS(Movimientos!$C:$C,Movimientos!$A:$A,$B20,Movimientos!$D:$D,CONCATENATE("&lt;",P$3),Movimientos!$C:$C,"&lt;0")</f>
        <v>0</v>
      </c>
      <c r="Q20" s="5">
        <f ca="1">SUMIFS(Movimientos!$C:$C,Movimientos!$A:$A,$B20,Movimientos!$D:$D,CONCATENATE("&lt;=",Q$3),Movimientos!$C:$C,"&gt;0")+SUMIFS(Movimientos!$C:$C,Movimientos!$A:$A,$B20,Movimientos!$D:$D,CONCATENATE("&lt;",Q$3),Movimientos!$C:$C,"&lt;0")</f>
        <v>0</v>
      </c>
      <c r="R20" s="5">
        <f ca="1">SUMIFS(Movimientos!$C:$C,Movimientos!$A:$A,$B20,Movimientos!$D:$D,CONCATENATE("&lt;=",R$3),Movimientos!$C:$C,"&gt;0")+SUMIFS(Movimientos!$C:$C,Movimientos!$A:$A,$B20,Movimientos!$D:$D,CONCATENATE("&lt;",R$3),Movimientos!$C:$C,"&lt;0")</f>
        <v>0</v>
      </c>
      <c r="S20" s="5">
        <f ca="1">SUMIFS(Movimientos!$C:$C,Movimientos!$A:$A,$B20,Movimientos!$D:$D,CONCATENATE("&lt;=",S$3),Movimientos!$C:$C,"&gt;0")+SUMIFS(Movimientos!$C:$C,Movimientos!$A:$A,$B20,Movimientos!$D:$D,CONCATENATE("&lt;",S$3),Movimientos!$C:$C,"&lt;0")</f>
        <v>0</v>
      </c>
      <c r="T20" s="5">
        <f ca="1">SUMIFS(Movimientos!$C:$C,Movimientos!$A:$A,$B20,Movimientos!$D:$D,CONCATENATE("&lt;=",T$3),Movimientos!$C:$C,"&gt;0")+SUMIFS(Movimientos!$C:$C,Movimientos!$A:$A,$B20,Movimientos!$D:$D,CONCATENATE("&lt;",T$3),Movimientos!$C:$C,"&lt;0")</f>
        <v>0</v>
      </c>
      <c r="U20" s="5">
        <f ca="1">SUMIFS(Movimientos!$C:$C,Movimientos!$A:$A,$B20,Movimientos!$D:$D,CONCATENATE("&lt;=",U$3),Movimientos!$C:$C,"&gt;0")+SUMIFS(Movimientos!$C:$C,Movimientos!$A:$A,$B20,Movimientos!$D:$D,CONCATENATE("&lt;",U$3),Movimientos!$C:$C,"&lt;0")</f>
        <v>0</v>
      </c>
      <c r="V20" s="5">
        <f ca="1">SUMIFS(Movimientos!$C:$C,Movimientos!$A:$A,$B20,Movimientos!$D:$D,CONCATENATE("&lt;=",V$3),Movimientos!$C:$C,"&gt;0")+SUMIFS(Movimientos!$C:$C,Movimientos!$A:$A,$B20,Movimientos!$D:$D,CONCATENATE("&lt;",V$3),Movimientos!$C:$C,"&lt;0")</f>
        <v>0</v>
      </c>
      <c r="W20" s="5">
        <f ca="1">SUMIFS(Movimientos!$C:$C,Movimientos!$A:$A,$B20,Movimientos!$D:$D,CONCATENATE("&lt;=",W$3),Movimientos!$C:$C,"&gt;0")+SUMIFS(Movimientos!$C:$C,Movimientos!$A:$A,$B20,Movimientos!$D:$D,CONCATENATE("&lt;",W$3),Movimientos!$C:$C,"&lt;0")</f>
        <v>0</v>
      </c>
      <c r="X20" s="5">
        <f ca="1">SUMIFS(Movimientos!$C:$C,Movimientos!$A:$A,$B20,Movimientos!$D:$D,CONCATENATE("&lt;=",X$3),Movimientos!$C:$C,"&gt;0")+SUMIFS(Movimientos!$C:$C,Movimientos!$A:$A,$B20,Movimientos!$D:$D,CONCATENATE("&lt;",X$3),Movimientos!$C:$C,"&lt;0")</f>
        <v>0</v>
      </c>
      <c r="Y20" s="5">
        <f ca="1">SUMIFS(Movimientos!$C:$C,Movimientos!$A:$A,$B20,Movimientos!$D:$D,CONCATENATE("&lt;=",Y$3),Movimientos!$C:$C,"&gt;0")+SUMIFS(Movimientos!$C:$C,Movimientos!$A:$A,$B20,Movimientos!$D:$D,CONCATENATE("&lt;",Y$3),Movimientos!$C:$C,"&lt;0")</f>
        <v>0</v>
      </c>
      <c r="Z20" s="5">
        <f ca="1">SUMIFS(Movimientos!$C:$C,Movimientos!$A:$A,$B20,Movimientos!$D:$D,CONCATENATE("&lt;=",Z$3),Movimientos!$C:$C,"&gt;0")+SUMIFS(Movimientos!$C:$C,Movimientos!$A:$A,$B20,Movimientos!$D:$D,CONCATENATE("&lt;",Z$3),Movimientos!$C:$C,"&lt;0")</f>
        <v>0</v>
      </c>
      <c r="AA20" s="5">
        <f ca="1">SUMIFS(Movimientos!$C:$C,Movimientos!$A:$A,$B20,Movimientos!$D:$D,CONCATENATE("&lt;=",AA$3),Movimientos!$C:$C,"&gt;0")+SUMIFS(Movimientos!$C:$C,Movimientos!$A:$A,$B20,Movimientos!$D:$D,CONCATENATE("&lt;",AA$3),Movimientos!$C:$C,"&lt;0")</f>
        <v>0</v>
      </c>
      <c r="AB20" s="5">
        <f ca="1">SUMIFS(Movimientos!$C:$C,Movimientos!$A:$A,$B20,Movimientos!$D:$D,CONCATENATE("&lt;=",AB$3),Movimientos!$C:$C,"&gt;0")+SUMIFS(Movimientos!$C:$C,Movimientos!$A:$A,$B20,Movimientos!$D:$D,CONCATENATE("&lt;",AB$3),Movimientos!$C:$C,"&lt;0")</f>
        <v>0</v>
      </c>
      <c r="AC20" s="5">
        <f ca="1">SUMIFS(Movimientos!$C:$C,Movimientos!$A:$A,$B20,Movimientos!$D:$D,CONCATENATE("&lt;=",AC$3),Movimientos!$C:$C,"&gt;0")+SUMIFS(Movimientos!$C:$C,Movimientos!$A:$A,$B20,Movimientos!$D:$D,CONCATENATE("&lt;",AC$3),Movimientos!$C:$C,"&lt;0")</f>
        <v>0</v>
      </c>
      <c r="AD20" s="5">
        <f ca="1">SUMIFS(Movimientos!$C:$C,Movimientos!$A:$A,$B20,Movimientos!$D:$D,CONCATENATE("&lt;=",AD$3),Movimientos!$C:$C,"&gt;0")+SUMIFS(Movimientos!$C:$C,Movimientos!$A:$A,$B20,Movimientos!$D:$D,CONCATENATE("&lt;",AD$3),Movimientos!$C:$C,"&lt;0")</f>
        <v>0</v>
      </c>
      <c r="AE20" s="5">
        <f ca="1">SUMIFS(Movimientos!$C:$C,Movimientos!$A:$A,$B20,Movimientos!$D:$D,CONCATENATE("&lt;=",AE$3),Movimientos!$C:$C,"&gt;0")+SUMIFS(Movimientos!$C:$C,Movimientos!$A:$A,$B20,Movimientos!$D:$D,CONCATENATE("&lt;",AE$3),Movimientos!$C:$C,"&lt;0")</f>
        <v>0</v>
      </c>
      <c r="AF20" s="5">
        <f ca="1">SUMIFS(Movimientos!$C:$C,Movimientos!$A:$A,$B20,Movimientos!$D:$D,CONCATENATE("&lt;=",AF$3),Movimientos!$C:$C,"&gt;0")+SUMIFS(Movimientos!$C:$C,Movimientos!$A:$A,$B20,Movimientos!$D:$D,CONCATENATE("&lt;",AF$3),Movimientos!$C:$C,"&lt;0")</f>
        <v>0</v>
      </c>
      <c r="AG20" s="5">
        <f ca="1">SUMIFS(Movimientos!$C:$C,Movimientos!$A:$A,$B20,Movimientos!$D:$D,CONCATENATE("&lt;=",AG$3),Movimientos!$C:$C,"&gt;0")+SUMIFS(Movimientos!$C:$C,Movimientos!$A:$A,$B20,Movimientos!$D:$D,CONCATENATE("&lt;",AG$3),Movimientos!$C:$C,"&lt;0")</f>
        <v>0</v>
      </c>
      <c r="AH20" s="5">
        <f ca="1">SUMIFS(Movimientos!$C:$C,Movimientos!$A:$A,$B20,Movimientos!$D:$D,CONCATENATE("&lt;=",AH$3),Movimientos!$C:$C,"&gt;0")+SUMIFS(Movimientos!$C:$C,Movimientos!$A:$A,$B20,Movimientos!$D:$D,CONCATENATE("&lt;",AH$3),Movimientos!$C:$C,"&lt;0")</f>
        <v>0</v>
      </c>
      <c r="AI20" s="5">
        <f ca="1">SUMIFS(Movimientos!$C:$C,Movimientos!$A:$A,$B20,Movimientos!$D:$D,CONCATENATE("&lt;=",AI$3),Movimientos!$C:$C,"&gt;0")+SUMIFS(Movimientos!$C:$C,Movimientos!$A:$A,$B20,Movimientos!$D:$D,CONCATENATE("&lt;",AI$3),Movimientos!$C:$C,"&lt;0")</f>
        <v>0</v>
      </c>
      <c r="AJ20" s="5">
        <f ca="1">SUMIFS(Movimientos!$C:$C,Movimientos!$A:$A,$B20,Movimientos!$D:$D,CONCATENATE("&lt;=",AJ$3),Movimientos!$C:$C,"&gt;0")+SUMIFS(Movimientos!$C:$C,Movimientos!$A:$A,$B20,Movimientos!$D:$D,CONCATENATE("&lt;",AJ$3),Movimientos!$C:$C,"&lt;0")</f>
        <v>0</v>
      </c>
      <c r="AK20" s="5">
        <f ca="1">SUMIFS(Movimientos!$C:$C,Movimientos!$A:$A,$B20,Movimientos!$D:$D,CONCATENATE("&lt;=",AK$3),Movimientos!$C:$C,"&gt;0")+SUMIFS(Movimientos!$C:$C,Movimientos!$A:$A,$B20,Movimientos!$D:$D,CONCATENATE("&lt;",AK$3),Movimientos!$C:$C,"&lt;0")</f>
        <v>0</v>
      </c>
      <c r="AL20" s="5">
        <f ca="1">SUMIFS(Movimientos!$C:$C,Movimientos!$A:$A,$B20,Movimientos!$D:$D,CONCATENATE("&lt;=",AL$3),Movimientos!$C:$C,"&gt;0")+SUMIFS(Movimientos!$C:$C,Movimientos!$A:$A,$B20,Movimientos!$D:$D,CONCATENATE("&lt;",AL$3),Movimientos!$C:$C,"&lt;0")</f>
        <v>0</v>
      </c>
      <c r="AM20" s="5">
        <f ca="1">SUMIFS(Movimientos!$C:$C,Movimientos!$A:$A,$B20,Movimientos!$D:$D,CONCATENATE("&lt;=",AM$3),Movimientos!$C:$C,"&gt;0")+SUMIFS(Movimientos!$C:$C,Movimientos!$A:$A,$B20,Movimientos!$D:$D,CONCATENATE("&lt;",AM$3),Movimientos!$C:$C,"&lt;0")</f>
        <v>0</v>
      </c>
      <c r="AN20" s="5">
        <f ca="1">SUMIFS(Movimientos!$C:$C,Movimientos!$A:$A,$B20,Movimientos!$D:$D,CONCATENATE("&lt;=",AN$3),Movimientos!$C:$C,"&gt;0")+SUMIFS(Movimientos!$C:$C,Movimientos!$A:$A,$B20,Movimientos!$D:$D,CONCATENATE("&lt;",AN$3),Movimientos!$C:$C,"&lt;0")</f>
        <v>0</v>
      </c>
      <c r="AO20" s="5">
        <f ca="1">SUMIFS(Movimientos!$C:$C,Movimientos!$A:$A,$B20,Movimientos!$D:$D,CONCATENATE("&lt;=",AO$3),Movimientos!$C:$C,"&gt;0")+SUMIFS(Movimientos!$C:$C,Movimientos!$A:$A,$B20,Movimientos!$D:$D,CONCATENATE("&lt;",AO$3),Movimientos!$C:$C,"&lt;0")</f>
        <v>0</v>
      </c>
      <c r="AP20" s="5">
        <f ca="1">SUMIFS(Movimientos!$C:$C,Movimientos!$A:$A,$B20,Movimientos!$D:$D,CONCATENATE("&lt;=",AP$3),Movimientos!$C:$C,"&gt;0")+SUMIFS(Movimientos!$C:$C,Movimientos!$A:$A,$B20,Movimientos!$D:$D,CONCATENATE("&lt;",AP$3),Movimientos!$C:$C,"&lt;0")</f>
        <v>0</v>
      </c>
      <c r="AQ20" s="5">
        <f ca="1">SUMIFS(Movimientos!$C:$C,Movimientos!$A:$A,$B20,Movimientos!$D:$D,CONCATENATE("&lt;=",AQ$3),Movimientos!$C:$C,"&gt;0")+SUMIFS(Movimientos!$C:$C,Movimientos!$A:$A,$B20,Movimientos!$D:$D,CONCATENATE("&lt;",AQ$3),Movimientos!$C:$C,"&lt;0")</f>
        <v>0</v>
      </c>
      <c r="AR20" s="5">
        <f ca="1">SUMIFS(Movimientos!$C:$C,Movimientos!$A:$A,$B20,Movimientos!$D:$D,CONCATENATE("&lt;=",AR$3),Movimientos!$C:$C,"&gt;0")+SUMIFS(Movimientos!$C:$C,Movimientos!$A:$A,$B20,Movimientos!$D:$D,CONCATENATE("&lt;",AR$3),Movimientos!$C:$C,"&lt;0")</f>
        <v>0</v>
      </c>
      <c r="AS20" s="5">
        <f ca="1">SUMIFS(Movimientos!$C:$C,Movimientos!$A:$A,$B20,Movimientos!$D:$D,CONCATENATE("&lt;=",AS$3),Movimientos!$C:$C,"&gt;0")+SUMIFS(Movimientos!$C:$C,Movimientos!$A:$A,$B20,Movimientos!$D:$D,CONCATENATE("&lt;",AS$3),Movimientos!$C:$C,"&lt;0")</f>
        <v>0</v>
      </c>
      <c r="AT20" s="5">
        <f ca="1">SUMIFS(Movimientos!$C:$C,Movimientos!$A:$A,$B20,Movimientos!$D:$D,CONCATENATE("&lt;=",AT$3),Movimientos!$C:$C,"&gt;0")+SUMIFS(Movimientos!$C:$C,Movimientos!$A:$A,$B20,Movimientos!$D:$D,CONCATENATE("&lt;",AT$3),Movimientos!$C:$C,"&lt;0")</f>
        <v>0</v>
      </c>
      <c r="AU20" s="5">
        <f ca="1">SUMIFS(Movimientos!$C:$C,Movimientos!$A:$A,$B20,Movimientos!$D:$D,CONCATENATE("&lt;=",AU$3),Movimientos!$C:$C,"&gt;0")+SUMIFS(Movimientos!$C:$C,Movimientos!$A:$A,$B20,Movimientos!$D:$D,CONCATENATE("&lt;",AU$3),Movimientos!$C:$C,"&lt;0")</f>
        <v>0</v>
      </c>
      <c r="AV20" s="5">
        <f ca="1">SUMIFS(Movimientos!$C:$C,Movimientos!$A:$A,$B20,Movimientos!$D:$D,CONCATENATE("&lt;=",AV$3),Movimientos!$C:$C,"&gt;0")+SUMIFS(Movimientos!$C:$C,Movimientos!$A:$A,$B20,Movimientos!$D:$D,CONCATENATE("&lt;",AV$3),Movimientos!$C:$C,"&lt;0")</f>
        <v>0</v>
      </c>
      <c r="AW20" s="5">
        <f ca="1">SUMIFS(Movimientos!$C:$C,Movimientos!$A:$A,$B20,Movimientos!$D:$D,CONCATENATE("&lt;=",AW$3),Movimientos!$C:$C,"&gt;0")+SUMIFS(Movimientos!$C:$C,Movimientos!$A:$A,$B20,Movimientos!$D:$D,CONCATENATE("&lt;",AW$3),Movimientos!$C:$C,"&lt;0")</f>
        <v>0</v>
      </c>
      <c r="AX20" s="5">
        <f ca="1">SUMIFS(Movimientos!$C:$C,Movimientos!$A:$A,$B20,Movimientos!$D:$D,CONCATENATE("&lt;=",AX$3),Movimientos!$C:$C,"&gt;0")+SUMIFS(Movimientos!$C:$C,Movimientos!$A:$A,$B20,Movimientos!$D:$D,CONCATENATE("&lt;",AX$3),Movimientos!$C:$C,"&lt;0")</f>
        <v>0</v>
      </c>
      <c r="AY20" s="5">
        <f ca="1">SUMIFS(Movimientos!$C:$C,Movimientos!$A:$A,$B20,Movimientos!$D:$D,CONCATENATE("&lt;=",AY$3),Movimientos!$C:$C,"&gt;0")+SUMIFS(Movimientos!$C:$C,Movimientos!$A:$A,$B20,Movimientos!$D:$D,CONCATENATE("&lt;",AY$3),Movimientos!$C:$C,"&lt;0")</f>
        <v>0</v>
      </c>
      <c r="AZ20" s="5">
        <f ca="1">SUMIFS(Movimientos!$C:$C,Movimientos!$A:$A,$B20,Movimientos!$D:$D,CONCATENATE("&lt;=",AZ$3),Movimientos!$C:$C,"&gt;0")+SUMIFS(Movimientos!$C:$C,Movimientos!$A:$A,$B20,Movimientos!$D:$D,CONCATENATE("&lt;",AZ$3),Movimientos!$C:$C,"&lt;0")</f>
        <v>0</v>
      </c>
      <c r="BA20" s="5">
        <f ca="1">SUMIFS(Movimientos!$C:$C,Movimientos!$A:$A,$B20,Movimientos!$D:$D,CONCATENATE("&lt;=",BA$3),Movimientos!$C:$C,"&gt;0")+SUMIFS(Movimientos!$C:$C,Movimientos!$A:$A,$B20,Movimientos!$D:$D,CONCATENATE("&lt;",BA$3),Movimientos!$C:$C,"&lt;0")</f>
        <v>0</v>
      </c>
      <c r="BB20" s="5">
        <f ca="1">SUMIFS(Movimientos!$C:$C,Movimientos!$A:$A,$B20,Movimientos!$D:$D,CONCATENATE("&lt;=",BB$3),Movimientos!$C:$C,"&gt;0")+SUMIFS(Movimientos!$C:$C,Movimientos!$A:$A,$B20,Movimientos!$D:$D,CONCATENATE("&lt;",BB$3),Movimientos!$C:$C,"&lt;0")</f>
        <v>0</v>
      </c>
      <c r="BC20" s="5">
        <f ca="1">SUMIFS(Movimientos!$C:$C,Movimientos!$A:$A,$B20,Movimientos!$D:$D,CONCATENATE("&lt;=",BC$3),Movimientos!$C:$C,"&gt;0")+SUMIFS(Movimientos!$C:$C,Movimientos!$A:$A,$B20,Movimientos!$D:$D,CONCATENATE("&lt;",BC$3),Movimientos!$C:$C,"&lt;0")</f>
        <v>0</v>
      </c>
      <c r="BD20" s="5">
        <f ca="1">SUMIFS(Movimientos!$C:$C,Movimientos!$A:$A,$B20,Movimientos!$D:$D,CONCATENATE("&lt;=",BD$3),Movimientos!$C:$C,"&gt;0")+SUMIFS(Movimientos!$C:$C,Movimientos!$A:$A,$B20,Movimientos!$D:$D,CONCATENATE("&lt;",BD$3),Movimientos!$C:$C,"&lt;0")</f>
        <v>0</v>
      </c>
      <c r="BE20" s="5">
        <f ca="1">SUMIFS(Movimientos!$C:$C,Movimientos!$A:$A,$B20,Movimientos!$D:$D,CONCATENATE("&lt;=",BE$3),Movimientos!$C:$C,"&gt;0")+SUMIFS(Movimientos!$C:$C,Movimientos!$A:$A,$B20,Movimientos!$D:$D,CONCATENATE("&lt;",BE$3),Movimientos!$C:$C,"&lt;0")</f>
        <v>0</v>
      </c>
      <c r="BF20" s="5">
        <f ca="1">SUMIFS(Movimientos!$C:$C,Movimientos!$A:$A,$B20,Movimientos!$D:$D,CONCATENATE("&lt;=",BF$3),Movimientos!$C:$C,"&gt;0")+SUMIFS(Movimientos!$C:$C,Movimientos!$A:$A,$B20,Movimientos!$D:$D,CONCATENATE("&lt;",BF$3),Movimientos!$C:$C,"&lt;0")</f>
        <v>0</v>
      </c>
      <c r="BG20" s="5">
        <f ca="1">SUMIFS(Movimientos!$C:$C,Movimientos!$A:$A,$B20,Movimientos!$D:$D,CONCATENATE("&lt;=",BG$3),Movimientos!$C:$C,"&gt;0")+SUMIFS(Movimientos!$C:$C,Movimientos!$A:$A,$B20,Movimientos!$D:$D,CONCATENATE("&lt;",BG$3),Movimientos!$C:$C,"&lt;0")</f>
        <v>0</v>
      </c>
      <c r="BH20" s="5">
        <f ca="1">SUMIFS(Movimientos!$C:$C,Movimientos!$A:$A,$B20,Movimientos!$D:$D,CONCATENATE("&lt;=",BH$3),Movimientos!$C:$C,"&gt;0")+SUMIFS(Movimientos!$C:$C,Movimientos!$A:$A,$B20,Movimientos!$D:$D,CONCATENATE("&lt;",BH$3),Movimientos!$C:$C,"&lt;0")</f>
        <v>0</v>
      </c>
      <c r="BI20" s="5">
        <f ca="1">SUMIFS(Movimientos!$C:$C,Movimientos!$A:$A,$B20,Movimientos!$D:$D,CONCATENATE("&lt;=",BI$3),Movimientos!$C:$C,"&gt;0")+SUMIFS(Movimientos!$C:$C,Movimientos!$A:$A,$B20,Movimientos!$D:$D,CONCATENATE("&lt;",BI$3),Movimientos!$C:$C,"&lt;0")</f>
        <v>0</v>
      </c>
      <c r="BJ20" s="5">
        <f ca="1">SUMIFS(Movimientos!$C:$C,Movimientos!$A:$A,$B20,Movimientos!$D:$D,CONCATENATE("&lt;=",BJ$3),Movimientos!$C:$C,"&gt;0")+SUMIFS(Movimientos!$C:$C,Movimientos!$A:$A,$B20,Movimientos!$D:$D,CONCATENATE("&lt;",BJ$3),Movimientos!$C:$C,"&lt;0")</f>
        <v>0</v>
      </c>
      <c r="BK20" s="5">
        <f ca="1">SUMIFS(Movimientos!$C:$C,Movimientos!$A:$A,$B20,Movimientos!$D:$D,CONCATENATE("&lt;=",BK$3),Movimientos!$C:$C,"&gt;0")+SUMIFS(Movimientos!$C:$C,Movimientos!$A:$A,$B20,Movimientos!$D:$D,CONCATENATE("&lt;",BK$3),Movimientos!$C:$C,"&lt;0")</f>
        <v>0</v>
      </c>
      <c r="BL20" s="5">
        <f ca="1">SUMIFS(Movimientos!$C:$C,Movimientos!$A:$A,$B20,Movimientos!$D:$D,CONCATENATE("&lt;=",BL$3),Movimientos!$C:$C,"&gt;0")+SUMIFS(Movimientos!$C:$C,Movimientos!$A:$A,$B20,Movimientos!$D:$D,CONCATENATE("&lt;",BL$3),Movimientos!$C:$C,"&lt;0")</f>
        <v>0</v>
      </c>
      <c r="BM20" s="5">
        <f ca="1">SUMIFS(Movimientos!$C:$C,Movimientos!$A:$A,$B20,Movimientos!$D:$D,CONCATENATE("&lt;=",BM$3),Movimientos!$C:$C,"&gt;0")+SUMIFS(Movimientos!$C:$C,Movimientos!$A:$A,$B20,Movimientos!$D:$D,CONCATENATE("&lt;",BM$3),Movimientos!$C:$C,"&lt;0")</f>
        <v>0</v>
      </c>
      <c r="BN20" s="5">
        <f ca="1">SUMIFS(Movimientos!$C:$C,Movimientos!$A:$A,$B20,Movimientos!$D:$D,CONCATENATE("&lt;=",BN$3),Movimientos!$C:$C,"&gt;0")+SUMIFS(Movimientos!$C:$C,Movimientos!$A:$A,$B20,Movimientos!$D:$D,CONCATENATE("&lt;",BN$3),Movimientos!$C:$C,"&lt;0")</f>
        <v>0</v>
      </c>
      <c r="BO20" s="5">
        <f ca="1">SUMIFS(Movimientos!$C:$C,Movimientos!$A:$A,$B20,Movimientos!$D:$D,CONCATENATE("&lt;=",BO$3),Movimientos!$C:$C,"&gt;0")+SUMIFS(Movimientos!$C:$C,Movimientos!$A:$A,$B20,Movimientos!$D:$D,CONCATENATE("&lt;",BO$3),Movimientos!$C:$C,"&lt;0")</f>
        <v>0</v>
      </c>
      <c r="BP20" s="5">
        <f ca="1">SUMIFS(Movimientos!$C:$C,Movimientos!$A:$A,$B20,Movimientos!$D:$D,CONCATENATE("&lt;=",BP$3),Movimientos!$C:$C,"&gt;0")+SUMIFS(Movimientos!$C:$C,Movimientos!$A:$A,$B20,Movimientos!$D:$D,CONCATENATE("&lt;",BP$3),Movimientos!$C:$C,"&lt;0")</f>
        <v>0</v>
      </c>
      <c r="BQ20" s="5">
        <f ca="1">SUMIFS(Movimientos!$C:$C,Movimientos!$A:$A,$B20,Movimientos!$D:$D,CONCATENATE("&lt;=",BQ$3),Movimientos!$C:$C,"&gt;0")+SUMIFS(Movimientos!$C:$C,Movimientos!$A:$A,$B20,Movimientos!$D:$D,CONCATENATE("&lt;",BQ$3),Movimientos!$C:$C,"&lt;0")</f>
        <v>0</v>
      </c>
      <c r="BR20" s="5">
        <f ca="1">SUMIFS(Movimientos!$C:$C,Movimientos!$A:$A,$B20,Movimientos!$D:$D,CONCATENATE("&lt;=",BR$3),Movimientos!$C:$C,"&gt;0")+SUMIFS(Movimientos!$C:$C,Movimientos!$A:$A,$B20,Movimientos!$D:$D,CONCATENATE("&lt;",BR$3),Movimientos!$C:$C,"&lt;0")</f>
        <v>0</v>
      </c>
      <c r="BS20" s="5">
        <f ca="1">SUMIFS(Movimientos!$C:$C,Movimientos!$A:$A,$B20,Movimientos!$D:$D,CONCATENATE("&lt;=",BS$3),Movimientos!$C:$C,"&gt;0")+SUMIFS(Movimientos!$C:$C,Movimientos!$A:$A,$B20,Movimientos!$D:$D,CONCATENATE("&lt;",BS$3),Movimientos!$C:$C,"&lt;0")</f>
        <v>0</v>
      </c>
      <c r="BT20" s="5">
        <f ca="1">SUMIFS(Movimientos!$C:$C,Movimientos!$A:$A,$B20,Movimientos!$D:$D,CONCATENATE("&lt;=",BT$3),Movimientos!$C:$C,"&gt;0")+SUMIFS(Movimientos!$C:$C,Movimientos!$A:$A,$B20,Movimientos!$D:$D,CONCATENATE("&lt;",BT$3),Movimientos!$C:$C,"&lt;0")</f>
        <v>0</v>
      </c>
      <c r="BU20" s="5">
        <f ca="1">SUMIFS(Movimientos!$C:$C,Movimientos!$A:$A,$B20,Movimientos!$D:$D,CONCATENATE("&lt;=",BU$3),Movimientos!$C:$C,"&gt;0")+SUMIFS(Movimientos!$C:$C,Movimientos!$A:$A,$B20,Movimientos!$D:$D,CONCATENATE("&lt;",BU$3),Movimientos!$C:$C,"&lt;0")</f>
        <v>0</v>
      </c>
      <c r="BV20" s="5">
        <f ca="1">SUMIFS(Movimientos!$C:$C,Movimientos!$A:$A,$B20,Movimientos!$D:$D,CONCATENATE("&lt;=",BV$3),Movimientos!$C:$C,"&gt;0")+SUMIFS(Movimientos!$C:$C,Movimientos!$A:$A,$B20,Movimientos!$D:$D,CONCATENATE("&lt;",BV$3),Movimientos!$C:$C,"&lt;0")</f>
        <v>0</v>
      </c>
      <c r="BW20" s="5">
        <f ca="1">SUMIFS(Movimientos!$C:$C,Movimientos!$A:$A,$B20,Movimientos!$D:$D,CONCATENATE("&lt;=",BW$3),Movimientos!$C:$C,"&gt;0")+SUMIFS(Movimientos!$C:$C,Movimientos!$A:$A,$B20,Movimientos!$D:$D,CONCATENATE("&lt;",BW$3),Movimientos!$C:$C,"&lt;0")</f>
        <v>0</v>
      </c>
      <c r="BX20" s="5">
        <f ca="1">SUMIFS(Movimientos!$C:$C,Movimientos!$A:$A,$B20,Movimientos!$D:$D,CONCATENATE("&lt;=",BX$3),Movimientos!$C:$C,"&gt;0")+SUMIFS(Movimientos!$C:$C,Movimientos!$A:$A,$B20,Movimientos!$D:$D,CONCATENATE("&lt;",BX$3),Movimientos!$C:$C,"&lt;0")</f>
        <v>0</v>
      </c>
      <c r="BY20" s="5">
        <f ca="1">SUMIFS(Movimientos!$C:$C,Movimientos!$A:$A,$B20,Movimientos!$D:$D,CONCATENATE("&lt;=",BY$3),Movimientos!$C:$C,"&gt;0")+SUMIFS(Movimientos!$C:$C,Movimientos!$A:$A,$B20,Movimientos!$D:$D,CONCATENATE("&lt;",BY$3),Movimientos!$C:$C,"&lt;0")</f>
        <v>0</v>
      </c>
      <c r="BZ20" s="5">
        <f ca="1">SUMIFS(Movimientos!$C:$C,Movimientos!$A:$A,$B20,Movimientos!$D:$D,CONCATENATE("&lt;=",BZ$3),Movimientos!$C:$C,"&gt;0")+SUMIFS(Movimientos!$C:$C,Movimientos!$A:$A,$B20,Movimientos!$D:$D,CONCATENATE("&lt;",BZ$3),Movimientos!$C:$C,"&lt;0")</f>
        <v>0</v>
      </c>
      <c r="CA20" s="5">
        <f ca="1">SUMIFS(Movimientos!$C:$C,Movimientos!$A:$A,$B20,Movimientos!$D:$D,CONCATENATE("&lt;=",CA$3),Movimientos!$C:$C,"&gt;0")+SUMIFS(Movimientos!$C:$C,Movimientos!$A:$A,$B20,Movimientos!$D:$D,CONCATENATE("&lt;",CA$3),Movimientos!$C:$C,"&lt;0")</f>
        <v>0</v>
      </c>
      <c r="CB20" s="5">
        <f ca="1">SUMIFS(Movimientos!$C:$C,Movimientos!$A:$A,$B20,Movimientos!$D:$D,CONCATENATE("&lt;=",CB$3),Movimientos!$C:$C,"&gt;0")+SUMIFS(Movimientos!$C:$C,Movimientos!$A:$A,$B20,Movimientos!$D:$D,CONCATENATE("&lt;",CB$3),Movimientos!$C:$C,"&lt;0")</f>
        <v>0</v>
      </c>
      <c r="CC20" s="5">
        <f ca="1">SUMIFS(Movimientos!$C:$C,Movimientos!$A:$A,$B20,Movimientos!$D:$D,CONCATENATE("&lt;=",CC$3),Movimientos!$C:$C,"&gt;0")+SUMIFS(Movimientos!$C:$C,Movimientos!$A:$A,$B20,Movimientos!$D:$D,CONCATENATE("&lt;",CC$3),Movimientos!$C:$C,"&lt;0")</f>
        <v>0</v>
      </c>
      <c r="CD20" s="5">
        <f ca="1">SUMIFS(Movimientos!$C:$C,Movimientos!$A:$A,$B20,Movimientos!$D:$D,CONCATENATE("&lt;=",CD$3),Movimientos!$C:$C,"&gt;0")+SUMIFS(Movimientos!$C:$C,Movimientos!$A:$A,$B20,Movimientos!$D:$D,CONCATENATE("&lt;",CD$3),Movimientos!$C:$C,"&lt;0")</f>
        <v>0</v>
      </c>
      <c r="CE20" s="5">
        <f ca="1">SUMIFS(Movimientos!$C:$C,Movimientos!$A:$A,$B20,Movimientos!$D:$D,CONCATENATE("&lt;=",CE$3),Movimientos!$C:$C,"&gt;0")+SUMIFS(Movimientos!$C:$C,Movimientos!$A:$A,$B20,Movimientos!$D:$D,CONCATENATE("&lt;",CE$3),Movimientos!$C:$C,"&lt;0")</f>
        <v>0</v>
      </c>
      <c r="CF20" s="5">
        <f ca="1">SUMIFS(Movimientos!$C:$C,Movimientos!$A:$A,$B20,Movimientos!$D:$D,CONCATENATE("&lt;=",CF$3),Movimientos!$C:$C,"&gt;0")+SUMIFS(Movimientos!$C:$C,Movimientos!$A:$A,$B20,Movimientos!$D:$D,CONCATENATE("&lt;",CF$3),Movimientos!$C:$C,"&lt;0")</f>
        <v>0</v>
      </c>
      <c r="CG20" s="5">
        <f ca="1">SUMIFS(Movimientos!$C:$C,Movimientos!$A:$A,$B20,Movimientos!$D:$D,CONCATENATE("&lt;=",CG$3),Movimientos!$C:$C,"&gt;0")+SUMIFS(Movimientos!$C:$C,Movimientos!$A:$A,$B20,Movimientos!$D:$D,CONCATENATE("&lt;",CG$3),Movimientos!$C:$C,"&lt;0")</f>
        <v>0</v>
      </c>
      <c r="CH20" s="5">
        <f ca="1">SUMIFS(Movimientos!$C:$C,Movimientos!$A:$A,$B20,Movimientos!$D:$D,CONCATENATE("&lt;=",CH$3),Movimientos!$C:$C,"&gt;0")+SUMIFS(Movimientos!$C:$C,Movimientos!$A:$A,$B20,Movimientos!$D:$D,CONCATENATE("&lt;",CH$3),Movimientos!$C:$C,"&lt;0")</f>
        <v>0</v>
      </c>
      <c r="CI20" s="5">
        <f ca="1">SUMIFS(Movimientos!$C:$C,Movimientos!$A:$A,$B20,Movimientos!$D:$D,CONCATENATE("&lt;=",CI$3),Movimientos!$C:$C,"&gt;0")+SUMIFS(Movimientos!$C:$C,Movimientos!$A:$A,$B20,Movimientos!$D:$D,CONCATENATE("&lt;",CI$3),Movimientos!$C:$C,"&lt;0")</f>
        <v>0</v>
      </c>
      <c r="CJ20" s="5">
        <f ca="1">SUMIFS(Movimientos!$C:$C,Movimientos!$A:$A,$B20,Movimientos!$D:$D,CONCATENATE("&lt;=",CJ$3),Movimientos!$C:$C,"&gt;0")+SUMIFS(Movimientos!$C:$C,Movimientos!$A:$A,$B20,Movimientos!$D:$D,CONCATENATE("&lt;",CJ$3),Movimientos!$C:$C,"&lt;0")</f>
        <v>0</v>
      </c>
      <c r="CK20" s="5">
        <f ca="1">SUMIFS(Movimientos!$C:$C,Movimientos!$A:$A,$B20,Movimientos!$D:$D,CONCATENATE("&lt;=",CK$3),Movimientos!$C:$C,"&gt;0")+SUMIFS(Movimientos!$C:$C,Movimientos!$A:$A,$B20,Movimientos!$D:$D,CONCATENATE("&lt;",CK$3),Movimientos!$C:$C,"&lt;0")</f>
        <v>0</v>
      </c>
      <c r="CL20" s="5">
        <f ca="1">SUMIFS(Movimientos!$C:$C,Movimientos!$A:$A,$B20,Movimientos!$D:$D,CONCATENATE("&lt;=",CL$3),Movimientos!$C:$C,"&gt;0")+SUMIFS(Movimientos!$C:$C,Movimientos!$A:$A,$B20,Movimientos!$D:$D,CONCATENATE("&lt;",CL$3),Movimientos!$C:$C,"&lt;0")</f>
        <v>0</v>
      </c>
      <c r="CM20" s="5">
        <f ca="1">SUMIFS(Movimientos!$C:$C,Movimientos!$A:$A,$B20,Movimientos!$D:$D,CONCATENATE("&lt;=",CM$3),Movimientos!$C:$C,"&gt;0")+SUMIFS(Movimientos!$C:$C,Movimientos!$A:$A,$B20,Movimientos!$D:$D,CONCATENATE("&lt;",CM$3),Movimientos!$C:$C,"&lt;0")</f>
        <v>0</v>
      </c>
      <c r="CN20" s="5">
        <f ca="1">SUMIFS(Movimientos!$C:$C,Movimientos!$A:$A,$B20,Movimientos!$D:$D,CONCATENATE("&lt;=",CN$3),Movimientos!$C:$C,"&gt;0")+SUMIFS(Movimientos!$C:$C,Movimientos!$A:$A,$B20,Movimientos!$D:$D,CONCATENATE("&lt;",CN$3),Movimientos!$C:$C,"&lt;0")</f>
        <v>0</v>
      </c>
      <c r="CO20" s="5">
        <f ca="1">SUMIFS(Movimientos!$C:$C,Movimientos!$A:$A,$B20,Movimientos!$D:$D,CONCATENATE("&lt;=",CO$3),Movimientos!$C:$C,"&gt;0")+SUMIFS(Movimientos!$C:$C,Movimientos!$A:$A,$B20,Movimientos!$D:$D,CONCATENATE("&lt;",CO$3),Movimientos!$C:$C,"&lt;0")</f>
        <v>0</v>
      </c>
      <c r="CP20" s="5">
        <f ca="1">SUMIFS(Movimientos!$C:$C,Movimientos!$A:$A,$B20,Movimientos!$D:$D,CONCATENATE("&lt;=",CP$3),Movimientos!$C:$C,"&gt;0")+SUMIFS(Movimientos!$C:$C,Movimientos!$A:$A,$B20,Movimientos!$D:$D,CONCATENATE("&lt;",CP$3),Movimientos!$C:$C,"&lt;0")</f>
        <v>0</v>
      </c>
      <c r="CQ20" s="5">
        <f ca="1">SUMIFS(Movimientos!$C:$C,Movimientos!$A:$A,$B20,Movimientos!$D:$D,CONCATENATE("&lt;=",CQ$3),Movimientos!$C:$C,"&gt;0")+SUMIFS(Movimientos!$C:$C,Movimientos!$A:$A,$B20,Movimientos!$D:$D,CONCATENATE("&lt;",CQ$3),Movimientos!$C:$C,"&lt;0")</f>
        <v>0</v>
      </c>
      <c r="CR20" s="5">
        <f ca="1">SUMIFS(Movimientos!$C:$C,Movimientos!$A:$A,$B20,Movimientos!$D:$D,CONCATENATE("&lt;=",CR$3),Movimientos!$C:$C,"&gt;0")+SUMIFS(Movimientos!$C:$C,Movimientos!$A:$A,$B20,Movimientos!$D:$D,CONCATENATE("&lt;",CR$3),Movimientos!$C:$C,"&lt;0")</f>
        <v>0</v>
      </c>
      <c r="CS20" s="5">
        <f ca="1">SUMIFS(Movimientos!$C:$C,Movimientos!$A:$A,$B20,Movimientos!$D:$D,CONCATENATE("&lt;=",CS$3),Movimientos!$C:$C,"&gt;0")+SUMIFS(Movimientos!$C:$C,Movimientos!$A:$A,$B20,Movimientos!$D:$D,CONCATENATE("&lt;",CS$3),Movimientos!$C:$C,"&lt;0")</f>
        <v>0</v>
      </c>
      <c r="CT20" s="5">
        <f ca="1">SUMIFS(Movimientos!$C:$C,Movimientos!$A:$A,$B20,Movimientos!$D:$D,CONCATENATE("&lt;=",CT$3),Movimientos!$C:$C,"&gt;0")+SUMIFS(Movimientos!$C:$C,Movimientos!$A:$A,$B20,Movimientos!$D:$D,CONCATENATE("&lt;",CT$3),Movimientos!$C:$C,"&lt;0")</f>
        <v>0</v>
      </c>
      <c r="CU20" s="5">
        <f ca="1">SUMIFS(Movimientos!$C:$C,Movimientos!$A:$A,$B20,Movimientos!$D:$D,CONCATENATE("&lt;=",CU$3),Movimientos!$C:$C,"&gt;0")+SUMIFS(Movimientos!$C:$C,Movimientos!$A:$A,$B20,Movimientos!$D:$D,CONCATENATE("&lt;",CU$3),Movimientos!$C:$C,"&lt;0")</f>
        <v>0</v>
      </c>
      <c r="CV20" s="5">
        <f ca="1">SUMIFS(Movimientos!$C:$C,Movimientos!$A:$A,$B20,Movimientos!$D:$D,CONCATENATE("&lt;=",CV$3),Movimientos!$C:$C,"&gt;0")+SUMIFS(Movimientos!$C:$C,Movimientos!$A:$A,$B20,Movimientos!$D:$D,CONCATENATE("&lt;",CV$3),Movimientos!$C:$C,"&lt;0")</f>
        <v>0</v>
      </c>
      <c r="CW20" s="5">
        <f ca="1">SUMIFS(Movimientos!$C:$C,Movimientos!$A:$A,$B20,Movimientos!$D:$D,CONCATENATE("&lt;=",CW$3),Movimientos!$C:$C,"&gt;0")+SUMIFS(Movimientos!$C:$C,Movimientos!$A:$A,$B20,Movimientos!$D:$D,CONCATENATE("&lt;",CW$3),Movimientos!$C:$C,"&lt;0")</f>
        <v>0</v>
      </c>
      <c r="CX20" s="5">
        <f ca="1">SUMIFS(Movimientos!$C:$C,Movimientos!$A:$A,$B20,Movimientos!$D:$D,CONCATENATE("&lt;=",CX$3),Movimientos!$C:$C,"&gt;0")+SUMIFS(Movimientos!$C:$C,Movimientos!$A:$A,$B20,Movimientos!$D:$D,CONCATENATE("&lt;",CX$3),Movimientos!$C:$C,"&lt;0")</f>
        <v>0</v>
      </c>
      <c r="CY20" s="5">
        <f ca="1">SUMIFS(Movimientos!$C:$C,Movimientos!$A:$A,$B20,Movimientos!$D:$D,CONCATENATE("&lt;=",CY$3),Movimientos!$C:$C,"&gt;0")+SUMIFS(Movimientos!$C:$C,Movimientos!$A:$A,$B20,Movimientos!$D:$D,CONCATENATE("&lt;",CY$3),Movimientos!$C:$C,"&lt;0")</f>
        <v>0</v>
      </c>
      <c r="CZ20" s="5">
        <f ca="1">SUMIFS(Movimientos!$C:$C,Movimientos!$A:$A,$B20,Movimientos!$D:$D,CONCATENATE("&lt;=",CZ$3),Movimientos!$C:$C,"&gt;0")+SUMIFS(Movimientos!$C:$C,Movimientos!$A:$A,$B20,Movimientos!$D:$D,CONCATENATE("&lt;",CZ$3),Movimientos!$C:$C,"&lt;0")</f>
        <v>0</v>
      </c>
      <c r="DA20" s="5">
        <f ca="1">SUMIFS(Movimientos!$C:$C,Movimientos!$A:$A,$B20,Movimientos!$D:$D,CONCATENATE("&lt;=",DA$3),Movimientos!$C:$C,"&gt;0")+SUMIFS(Movimientos!$C:$C,Movimientos!$A:$A,$B20,Movimientos!$D:$D,CONCATENATE("&lt;",DA$3),Movimientos!$C:$C,"&lt;0")</f>
        <v>0</v>
      </c>
      <c r="DB20" s="5">
        <f ca="1">SUMIFS(Movimientos!$C:$C,Movimientos!$A:$A,$B20,Movimientos!$D:$D,CONCATENATE("&lt;=",DB$3),Movimientos!$C:$C,"&gt;0")+SUMIFS(Movimientos!$C:$C,Movimientos!$A:$A,$B20,Movimientos!$D:$D,CONCATENATE("&lt;",DB$3),Movimientos!$C:$C,"&lt;0")</f>
        <v>0</v>
      </c>
      <c r="DC20" s="5">
        <f ca="1">SUMIFS(Movimientos!$C:$C,Movimientos!$A:$A,$B20,Movimientos!$D:$D,CONCATENATE("&lt;=",DC$3),Movimientos!$C:$C,"&gt;0")+SUMIFS(Movimientos!$C:$C,Movimientos!$A:$A,$B20,Movimientos!$D:$D,CONCATENATE("&lt;",DC$3),Movimientos!$C:$C,"&lt;0")</f>
        <v>0</v>
      </c>
      <c r="DD20" s="5">
        <f ca="1">SUMIFS(Movimientos!$C:$C,Movimientos!$A:$A,$B20,Movimientos!$D:$D,CONCATENATE("&lt;=",DD$3),Movimientos!$C:$C,"&gt;0")+SUMIFS(Movimientos!$C:$C,Movimientos!$A:$A,$B20,Movimientos!$D:$D,CONCATENATE("&lt;",DD$3),Movimientos!$C:$C,"&lt;0")</f>
        <v>0</v>
      </c>
      <c r="DE20" s="5">
        <f ca="1">SUMIFS(Movimientos!$C:$C,Movimientos!$A:$A,$B20,Movimientos!$D:$D,CONCATENATE("&lt;=",DE$3),Movimientos!$C:$C,"&gt;0")+SUMIFS(Movimientos!$C:$C,Movimientos!$A:$A,$B20,Movimientos!$D:$D,CONCATENATE("&lt;",DE$3),Movimientos!$C:$C,"&lt;0")</f>
        <v>0</v>
      </c>
      <c r="DF20" s="5">
        <f ca="1">SUMIFS(Movimientos!$C:$C,Movimientos!$A:$A,$B20,Movimientos!$D:$D,CONCATENATE("&lt;=",DF$3),Movimientos!$C:$C,"&gt;0")+SUMIFS(Movimientos!$C:$C,Movimientos!$A:$A,$B20,Movimientos!$D:$D,CONCATENATE("&lt;",DF$3),Movimientos!$C:$C,"&lt;0")</f>
        <v>0</v>
      </c>
      <c r="DG20" s="5">
        <f ca="1">SUMIFS(Movimientos!$C:$C,Movimientos!$A:$A,$B20,Movimientos!$D:$D,CONCATENATE("&lt;=",DG$3),Movimientos!$C:$C,"&gt;0")+SUMIFS(Movimientos!$C:$C,Movimientos!$A:$A,$B20,Movimientos!$D:$D,CONCATENATE("&lt;",DG$3),Movimientos!$C:$C,"&lt;0")</f>
        <v>0</v>
      </c>
      <c r="DH20" s="5">
        <f ca="1">SUMIFS(Movimientos!$C:$C,Movimientos!$A:$A,$B20,Movimientos!$D:$D,CONCATENATE("&lt;=",DH$3),Movimientos!$C:$C,"&gt;0")+SUMIFS(Movimientos!$C:$C,Movimientos!$A:$A,$B20,Movimientos!$D:$D,CONCATENATE("&lt;",DH$3),Movimientos!$C:$C,"&lt;0")</f>
        <v>0</v>
      </c>
      <c r="DI20" s="5">
        <f ca="1">SUMIFS(Movimientos!$C:$C,Movimientos!$A:$A,$B20,Movimientos!$D:$D,CONCATENATE("&lt;=",DI$3),Movimientos!$C:$C,"&gt;0")+SUMIFS(Movimientos!$C:$C,Movimientos!$A:$A,$B20,Movimientos!$D:$D,CONCATENATE("&lt;",DI$3),Movimientos!$C:$C,"&lt;0")</f>
        <v>0</v>
      </c>
      <c r="DJ20" s="5">
        <f ca="1">SUMIFS(Movimientos!$C:$C,Movimientos!$A:$A,$B20,Movimientos!$D:$D,CONCATENATE("&lt;=",DJ$3),Movimientos!$C:$C,"&gt;0")+SUMIFS(Movimientos!$C:$C,Movimientos!$A:$A,$B20,Movimientos!$D:$D,CONCATENATE("&lt;",DJ$3),Movimientos!$C:$C,"&lt;0")</f>
        <v>0</v>
      </c>
      <c r="DK20" s="5">
        <f ca="1">SUMIFS(Movimientos!$C:$C,Movimientos!$A:$A,$B20,Movimientos!$D:$D,CONCATENATE("&lt;=",DK$3),Movimientos!$C:$C,"&gt;0")+SUMIFS(Movimientos!$C:$C,Movimientos!$A:$A,$B20,Movimientos!$D:$D,CONCATENATE("&lt;",DK$3),Movimientos!$C:$C,"&lt;0")</f>
        <v>0</v>
      </c>
      <c r="DL20" s="5">
        <f ca="1">SUMIFS(Movimientos!$C:$C,Movimientos!$A:$A,$B20,Movimientos!$D:$D,CONCATENATE("&lt;=",DL$3),Movimientos!$C:$C,"&gt;0")+SUMIFS(Movimientos!$C:$C,Movimientos!$A:$A,$B20,Movimientos!$D:$D,CONCATENATE("&lt;",DL$3),Movimientos!$C:$C,"&lt;0")</f>
        <v>0</v>
      </c>
      <c r="DM20" s="5">
        <f ca="1">SUMIFS(Movimientos!$C:$C,Movimientos!$A:$A,$B20,Movimientos!$D:$D,CONCATENATE("&lt;=",DM$3),Movimientos!$C:$C,"&gt;0")+SUMIFS(Movimientos!$C:$C,Movimientos!$A:$A,$B20,Movimientos!$D:$D,CONCATENATE("&lt;",DM$3),Movimientos!$C:$C,"&lt;0")</f>
        <v>0</v>
      </c>
      <c r="DN20" s="5">
        <f ca="1">SUMIFS(Movimientos!$C:$C,Movimientos!$A:$A,$B20,Movimientos!$D:$D,CONCATENATE("&lt;=",DN$3),Movimientos!$C:$C,"&gt;0")+SUMIFS(Movimientos!$C:$C,Movimientos!$A:$A,$B20,Movimientos!$D:$D,CONCATENATE("&lt;",DN$3),Movimientos!$C:$C,"&lt;0")</f>
        <v>0</v>
      </c>
      <c r="DO20" s="5">
        <f ca="1">SUMIFS(Movimientos!$C:$C,Movimientos!$A:$A,$B20,Movimientos!$D:$D,CONCATENATE("&lt;=",DO$3),Movimientos!$C:$C,"&gt;0")+SUMIFS(Movimientos!$C:$C,Movimientos!$A:$A,$B20,Movimientos!$D:$D,CONCATENATE("&lt;",DO$3),Movimientos!$C:$C,"&lt;0")</f>
        <v>0</v>
      </c>
      <c r="DP20" s="5">
        <f ca="1">SUMIFS(Movimientos!$C:$C,Movimientos!$A:$A,$B20,Movimientos!$D:$D,CONCATENATE("&lt;=",DP$3),Movimientos!$C:$C,"&gt;0")+SUMIFS(Movimientos!$C:$C,Movimientos!$A:$A,$B20,Movimientos!$D:$D,CONCATENATE("&lt;",DP$3),Movimientos!$C:$C,"&lt;0")</f>
        <v>0</v>
      </c>
      <c r="DQ20" s="5">
        <f ca="1">SUMIFS(Movimientos!$C:$C,Movimientos!$A:$A,$B20,Movimientos!$D:$D,CONCATENATE("&lt;=",DQ$3),Movimientos!$C:$C,"&gt;0")+SUMIFS(Movimientos!$C:$C,Movimientos!$A:$A,$B20,Movimientos!$D:$D,CONCATENATE("&lt;",DQ$3),Movimientos!$C:$C,"&lt;0")</f>
        <v>0</v>
      </c>
      <c r="DR20" s="5">
        <f ca="1">SUMIFS(Movimientos!$C:$C,Movimientos!$A:$A,$B20,Movimientos!$D:$D,CONCATENATE("&lt;=",DR$3),Movimientos!$C:$C,"&gt;0")+SUMIFS(Movimientos!$C:$C,Movimientos!$A:$A,$B20,Movimientos!$D:$D,CONCATENATE("&lt;",DR$3),Movimientos!$C:$C,"&lt;0")</f>
        <v>0</v>
      </c>
      <c r="DS20" s="5">
        <f ca="1">SUMIFS(Movimientos!$C:$C,Movimientos!$A:$A,$B20,Movimientos!$D:$D,CONCATENATE("&lt;=",DS$3),Movimientos!$C:$C,"&gt;0")+SUMIFS(Movimientos!$C:$C,Movimientos!$A:$A,$B20,Movimientos!$D:$D,CONCATENATE("&lt;",DS$3),Movimientos!$C:$C,"&lt;0")</f>
        <v>0</v>
      </c>
      <c r="DT20" s="5">
        <f ca="1">SUMIFS(Movimientos!$C:$C,Movimientos!$A:$A,$B20,Movimientos!$D:$D,CONCATENATE("&lt;=",DT$3),Movimientos!$C:$C,"&gt;0")+SUMIFS(Movimientos!$C:$C,Movimientos!$A:$A,$B20,Movimientos!$D:$D,CONCATENATE("&lt;",DT$3),Movimientos!$C:$C,"&lt;0")</f>
        <v>0</v>
      </c>
      <c r="DU20" s="5">
        <f ca="1">SUMIFS(Movimientos!$C:$C,Movimientos!$A:$A,$B20,Movimientos!$D:$D,CONCATENATE("&lt;=",DU$3),Movimientos!$C:$C,"&gt;0")+SUMIFS(Movimientos!$C:$C,Movimientos!$A:$A,$B20,Movimientos!$D:$D,CONCATENATE("&lt;",DU$3),Movimientos!$C:$C,"&lt;0")</f>
        <v>0</v>
      </c>
      <c r="DV20" s="5">
        <f ca="1">SUMIFS(Movimientos!$C:$C,Movimientos!$A:$A,$B20,Movimientos!$D:$D,CONCATENATE("&lt;=",DV$3),Movimientos!$C:$C,"&gt;0")+SUMIFS(Movimientos!$C:$C,Movimientos!$A:$A,$B20,Movimientos!$D:$D,CONCATENATE("&lt;",DV$3),Movimientos!$C:$C,"&lt;0")</f>
        <v>0</v>
      </c>
      <c r="DW20" s="5">
        <f ca="1">SUMIFS(Movimientos!$C:$C,Movimientos!$A:$A,$B20,Movimientos!$D:$D,CONCATENATE("&lt;=",DW$3),Movimientos!$C:$C,"&gt;0")+SUMIFS(Movimientos!$C:$C,Movimientos!$A:$A,$B20,Movimientos!$D:$D,CONCATENATE("&lt;",DW$3),Movimientos!$C:$C,"&lt;0")</f>
        <v>0</v>
      </c>
      <c r="DX20" s="5">
        <f ca="1">SUMIFS(Movimientos!$C:$C,Movimientos!$A:$A,$B20,Movimientos!$D:$D,CONCATENATE("&lt;=",DX$3),Movimientos!$C:$C,"&gt;0")+SUMIFS(Movimientos!$C:$C,Movimientos!$A:$A,$B20,Movimientos!$D:$D,CONCATENATE("&lt;",DX$3),Movimientos!$C:$C,"&lt;0")</f>
        <v>0</v>
      </c>
      <c r="DY20" s="5">
        <f ca="1">SUMIFS(Movimientos!$C:$C,Movimientos!$A:$A,$B20,Movimientos!$D:$D,CONCATENATE("&lt;=",DY$3),Movimientos!$C:$C,"&gt;0")+SUMIFS(Movimientos!$C:$C,Movimientos!$A:$A,$B20,Movimientos!$D:$D,CONCATENATE("&lt;",DY$3),Movimientos!$C:$C,"&lt;0")</f>
        <v>0</v>
      </c>
      <c r="DZ20" s="5">
        <f ca="1">SUMIFS(Movimientos!$C:$C,Movimientos!$A:$A,$B20,Movimientos!$D:$D,CONCATENATE("&lt;=",DZ$3),Movimientos!$C:$C,"&gt;0")+SUMIFS(Movimientos!$C:$C,Movimientos!$A:$A,$B20,Movimientos!$D:$D,CONCATENATE("&lt;",DZ$3),Movimientos!$C:$C,"&lt;0")</f>
        <v>0</v>
      </c>
      <c r="EA20" s="5">
        <f ca="1">SUMIFS(Movimientos!$C:$C,Movimientos!$A:$A,$B20,Movimientos!$D:$D,CONCATENATE("&lt;=",EA$3),Movimientos!$C:$C,"&gt;0")+SUMIFS(Movimientos!$C:$C,Movimientos!$A:$A,$B20,Movimientos!$D:$D,CONCATENATE("&lt;",EA$3),Movimientos!$C:$C,"&lt;0")</f>
        <v>0</v>
      </c>
      <c r="EB20" s="5">
        <f ca="1">SUMIFS(Movimientos!$C:$C,Movimientos!$A:$A,$B20,Movimientos!$D:$D,CONCATENATE("&lt;=",EB$3),Movimientos!$C:$C,"&gt;0")+SUMIFS(Movimientos!$C:$C,Movimientos!$A:$A,$B20,Movimientos!$D:$D,CONCATENATE("&lt;",EB$3),Movimientos!$C:$C,"&lt;0")</f>
        <v>0</v>
      </c>
      <c r="EC20" s="5">
        <f ca="1">SUMIFS(Movimientos!$C:$C,Movimientos!$A:$A,$B20,Movimientos!$D:$D,CONCATENATE("&lt;=",EC$3),Movimientos!$C:$C,"&gt;0")+SUMIFS(Movimientos!$C:$C,Movimientos!$A:$A,$B20,Movimientos!$D:$D,CONCATENATE("&lt;",EC$3),Movimientos!$C:$C,"&lt;0")</f>
        <v>0</v>
      </c>
      <c r="ED20" s="5">
        <f ca="1">SUMIFS(Movimientos!$C:$C,Movimientos!$A:$A,$B20,Movimientos!$D:$D,CONCATENATE("&lt;=",ED$3),Movimientos!$C:$C,"&gt;0")+SUMIFS(Movimientos!$C:$C,Movimientos!$A:$A,$B20,Movimientos!$D:$D,CONCATENATE("&lt;",ED$3),Movimientos!$C:$C,"&lt;0")</f>
        <v>0</v>
      </c>
      <c r="EE20" s="5">
        <f ca="1">SUMIFS(Movimientos!$C:$C,Movimientos!$A:$A,$B20,Movimientos!$D:$D,CONCATENATE("&lt;=",EE$3),Movimientos!$C:$C,"&gt;0")+SUMIFS(Movimientos!$C:$C,Movimientos!$A:$A,$B20,Movimientos!$D:$D,CONCATENATE("&lt;",EE$3),Movimientos!$C:$C,"&lt;0")</f>
        <v>0</v>
      </c>
      <c r="EF20" s="5">
        <f ca="1">SUMIFS(Movimientos!$C:$C,Movimientos!$A:$A,$B20,Movimientos!$D:$D,CONCATENATE("&lt;=",EF$3),Movimientos!$C:$C,"&gt;0")+SUMIFS(Movimientos!$C:$C,Movimientos!$A:$A,$B20,Movimientos!$D:$D,CONCATENATE("&lt;",EF$3),Movimientos!$C:$C,"&lt;0")</f>
        <v>0</v>
      </c>
      <c r="EG20" s="5">
        <f ca="1">SUMIFS(Movimientos!$C:$C,Movimientos!$A:$A,$B20,Movimientos!$D:$D,CONCATENATE("&lt;=",EG$3),Movimientos!$C:$C,"&gt;0")+SUMIFS(Movimientos!$C:$C,Movimientos!$A:$A,$B20,Movimientos!$D:$D,CONCATENATE("&lt;",EG$3),Movimientos!$C:$C,"&lt;0")</f>
        <v>0</v>
      </c>
      <c r="EH20" s="5">
        <f ca="1">SUMIFS(Movimientos!$C:$C,Movimientos!$A:$A,$B20,Movimientos!$D:$D,CONCATENATE("&lt;=",EH$3),Movimientos!$C:$C,"&gt;0")+SUMIFS(Movimientos!$C:$C,Movimientos!$A:$A,$B20,Movimientos!$D:$D,CONCATENATE("&lt;",EH$3),Movimientos!$C:$C,"&lt;0")</f>
        <v>0</v>
      </c>
      <c r="EI20" s="5">
        <f ca="1">SUMIFS(Movimientos!$C:$C,Movimientos!$A:$A,$B20,Movimientos!$D:$D,CONCATENATE("&lt;=",EI$3),Movimientos!$C:$C,"&gt;0")+SUMIFS(Movimientos!$C:$C,Movimientos!$A:$A,$B20,Movimientos!$D:$D,CONCATENATE("&lt;",EI$3),Movimientos!$C:$C,"&lt;0")</f>
        <v>0</v>
      </c>
      <c r="EJ20" s="5">
        <f ca="1">SUMIFS(Movimientos!$C:$C,Movimientos!$A:$A,$B20,Movimientos!$D:$D,CONCATENATE("&lt;=",EJ$3),Movimientos!$C:$C,"&gt;0")+SUMIFS(Movimientos!$C:$C,Movimientos!$A:$A,$B20,Movimientos!$D:$D,CONCATENATE("&lt;",EJ$3),Movimientos!$C:$C,"&lt;0")</f>
        <v>0</v>
      </c>
      <c r="EK20" s="5">
        <f ca="1">SUMIFS(Movimientos!$C:$C,Movimientos!$A:$A,$B20,Movimientos!$D:$D,CONCATENATE("&lt;=",EK$3),Movimientos!$C:$C,"&gt;0")+SUMIFS(Movimientos!$C:$C,Movimientos!$A:$A,$B20,Movimientos!$D:$D,CONCATENATE("&lt;",EK$3),Movimientos!$C:$C,"&lt;0")</f>
        <v>0</v>
      </c>
      <c r="EL20" s="5">
        <f ca="1">SUMIFS(Movimientos!$C:$C,Movimientos!$A:$A,$B20,Movimientos!$D:$D,CONCATENATE("&lt;=",EL$3),Movimientos!$C:$C,"&gt;0")+SUMIFS(Movimientos!$C:$C,Movimientos!$A:$A,$B20,Movimientos!$D:$D,CONCATENATE("&lt;",EL$3),Movimientos!$C:$C,"&lt;0")</f>
        <v>0</v>
      </c>
      <c r="EM20" s="5">
        <f ca="1">SUMIFS(Movimientos!$C:$C,Movimientos!$A:$A,$B20,Movimientos!$D:$D,CONCATENATE("&lt;=",EM$3),Movimientos!$C:$C,"&gt;0")+SUMIFS(Movimientos!$C:$C,Movimientos!$A:$A,$B20,Movimientos!$D:$D,CONCATENATE("&lt;",EM$3),Movimientos!$C:$C,"&lt;0")</f>
        <v>0</v>
      </c>
      <c r="EN20" s="5">
        <f ca="1">SUMIFS(Movimientos!$C:$C,Movimientos!$A:$A,$B20,Movimientos!$D:$D,CONCATENATE("&lt;=",EN$3),Movimientos!$C:$C,"&gt;0")+SUMIFS(Movimientos!$C:$C,Movimientos!$A:$A,$B20,Movimientos!$D:$D,CONCATENATE("&lt;",EN$3),Movimientos!$C:$C,"&lt;0")</f>
        <v>0</v>
      </c>
      <c r="EO20" s="5">
        <f ca="1">SUMIFS(Movimientos!$C:$C,Movimientos!$A:$A,$B20,Movimientos!$D:$D,CONCATENATE("&lt;=",EO$3),Movimientos!$C:$C,"&gt;0")+SUMIFS(Movimientos!$C:$C,Movimientos!$A:$A,$B20,Movimientos!$D:$D,CONCATENATE("&lt;",EO$3),Movimientos!$C:$C,"&lt;0")</f>
        <v>0</v>
      </c>
      <c r="EP20" s="5">
        <f ca="1">SUMIFS(Movimientos!$C:$C,Movimientos!$A:$A,$B20,Movimientos!$D:$D,CONCATENATE("&lt;=",EP$3),Movimientos!$C:$C,"&gt;0")+SUMIFS(Movimientos!$C:$C,Movimientos!$A:$A,$B20,Movimientos!$D:$D,CONCATENATE("&lt;",EP$3),Movimientos!$C:$C,"&lt;0")</f>
        <v>0</v>
      </c>
      <c r="EQ20" s="5">
        <f ca="1">SUMIFS(Movimientos!$C:$C,Movimientos!$A:$A,$B20,Movimientos!$D:$D,CONCATENATE("&lt;=",EQ$3),Movimientos!$C:$C,"&gt;0")+SUMIFS(Movimientos!$C:$C,Movimientos!$A:$A,$B20,Movimientos!$D:$D,CONCATENATE("&lt;",EQ$3),Movimientos!$C:$C,"&lt;0")</f>
        <v>0</v>
      </c>
      <c r="ER20" s="5">
        <f ca="1">SUMIFS(Movimientos!$C:$C,Movimientos!$A:$A,$B20,Movimientos!$D:$D,CONCATENATE("&lt;=",ER$3),Movimientos!$C:$C,"&gt;0")+SUMIFS(Movimientos!$C:$C,Movimientos!$A:$A,$B20,Movimientos!$D:$D,CONCATENATE("&lt;",ER$3),Movimientos!$C:$C,"&lt;0")</f>
        <v>0</v>
      </c>
      <c r="ES20" s="5">
        <f ca="1">SUMIFS(Movimientos!$C:$C,Movimientos!$A:$A,$B20,Movimientos!$D:$D,CONCATENATE("&lt;=",ES$3),Movimientos!$C:$C,"&gt;0")+SUMIFS(Movimientos!$C:$C,Movimientos!$A:$A,$B20,Movimientos!$D:$D,CONCATENATE("&lt;",ES$3),Movimientos!$C:$C,"&lt;0")</f>
        <v>0</v>
      </c>
      <c r="ET20" s="5">
        <f ca="1">SUMIFS(Movimientos!$C:$C,Movimientos!$A:$A,$B20,Movimientos!$D:$D,CONCATENATE("&lt;=",ET$3),Movimientos!$C:$C,"&gt;0")+SUMIFS(Movimientos!$C:$C,Movimientos!$A:$A,$B20,Movimientos!$D:$D,CONCATENATE("&lt;",ET$3),Movimientos!$C:$C,"&lt;0")</f>
        <v>0</v>
      </c>
      <c r="EU20" s="5">
        <f ca="1">SUMIFS(Movimientos!$C:$C,Movimientos!$A:$A,$B20,Movimientos!$D:$D,CONCATENATE("&lt;=",EU$3),Movimientos!$C:$C,"&gt;0")+SUMIFS(Movimientos!$C:$C,Movimientos!$A:$A,$B20,Movimientos!$D:$D,CONCATENATE("&lt;",EU$3),Movimientos!$C:$C,"&lt;0")</f>
        <v>0</v>
      </c>
      <c r="EV20" s="5">
        <f ca="1">SUMIFS(Movimientos!$C:$C,Movimientos!$A:$A,$B20,Movimientos!$D:$D,CONCATENATE("&lt;=",EV$3),Movimientos!$C:$C,"&gt;0")+SUMIFS(Movimientos!$C:$C,Movimientos!$A:$A,$B20,Movimientos!$D:$D,CONCATENATE("&lt;",EV$3),Movimientos!$C:$C,"&lt;0")</f>
        <v>0</v>
      </c>
      <c r="EW20" s="5">
        <f ca="1">SUMIFS(Movimientos!$C:$C,Movimientos!$A:$A,$B20,Movimientos!$D:$D,CONCATENATE("&lt;=",EW$3),Movimientos!$C:$C,"&gt;0")+SUMIFS(Movimientos!$C:$C,Movimientos!$A:$A,$B20,Movimientos!$D:$D,CONCATENATE("&lt;",EW$3),Movimientos!$C:$C,"&lt;0")</f>
        <v>0</v>
      </c>
      <c r="EX20" s="5">
        <f ca="1">SUMIFS(Movimientos!$C:$C,Movimientos!$A:$A,$B20,Movimientos!$D:$D,CONCATENATE("&lt;=",EX$3),Movimientos!$C:$C,"&gt;0")+SUMIFS(Movimientos!$C:$C,Movimientos!$A:$A,$B20,Movimientos!$D:$D,CONCATENATE("&lt;",EX$3),Movimientos!$C:$C,"&lt;0")</f>
        <v>0</v>
      </c>
      <c r="EY20" s="5">
        <f ca="1">SUMIFS(Movimientos!$C:$C,Movimientos!$A:$A,$B20,Movimientos!$D:$D,CONCATENATE("&lt;=",EY$3),Movimientos!$C:$C,"&gt;0")+SUMIFS(Movimientos!$C:$C,Movimientos!$A:$A,$B20,Movimientos!$D:$D,CONCATENATE("&lt;",EY$3),Movimientos!$C:$C,"&lt;0")</f>
        <v>0</v>
      </c>
      <c r="EZ20" s="5">
        <f ca="1">SUMIFS(Movimientos!$C:$C,Movimientos!$A:$A,$B20,Movimientos!$D:$D,CONCATENATE("&lt;=",EZ$3),Movimientos!$C:$C,"&gt;0")+SUMIFS(Movimientos!$C:$C,Movimientos!$A:$A,$B20,Movimientos!$D:$D,CONCATENATE("&lt;",EZ$3),Movimientos!$C:$C,"&lt;0")</f>
        <v>0</v>
      </c>
      <c r="FA20" s="5">
        <f ca="1">SUMIFS(Movimientos!$C:$C,Movimientos!$A:$A,$B20,Movimientos!$D:$D,CONCATENATE("&lt;=",FA$3),Movimientos!$C:$C,"&gt;0")+SUMIFS(Movimientos!$C:$C,Movimientos!$A:$A,$B20,Movimientos!$D:$D,CONCATENATE("&lt;",FA$3),Movimientos!$C:$C,"&lt;0")</f>
        <v>0</v>
      </c>
      <c r="FB20" s="5">
        <f ca="1">SUMIFS(Movimientos!$C:$C,Movimientos!$A:$A,$B20,Movimientos!$D:$D,CONCATENATE("&lt;=",FB$3),Movimientos!$C:$C,"&gt;0")+SUMIFS(Movimientos!$C:$C,Movimientos!$A:$A,$B20,Movimientos!$D:$D,CONCATENATE("&lt;",FB$3),Movimientos!$C:$C,"&lt;0")</f>
        <v>0</v>
      </c>
      <c r="FC20" s="5">
        <f ca="1">SUMIFS(Movimientos!$C:$C,Movimientos!$A:$A,$B20,Movimientos!$D:$D,CONCATENATE("&lt;=",FC$3),Movimientos!$C:$C,"&gt;0")+SUMIFS(Movimientos!$C:$C,Movimientos!$A:$A,$B20,Movimientos!$D:$D,CONCATENATE("&lt;",FC$3),Movimientos!$C:$C,"&lt;0")</f>
        <v>0</v>
      </c>
      <c r="FD20" s="5">
        <f ca="1">SUMIFS(Movimientos!$C:$C,Movimientos!$A:$A,$B20,Movimientos!$D:$D,CONCATENATE("&lt;=",FD$3),Movimientos!$C:$C,"&gt;0")+SUMIFS(Movimientos!$C:$C,Movimientos!$A:$A,$B20,Movimientos!$D:$D,CONCATENATE("&lt;",FD$3),Movimientos!$C:$C,"&lt;0")</f>
        <v>0</v>
      </c>
      <c r="FE20" s="5">
        <f ca="1">SUMIFS(Movimientos!$C:$C,Movimientos!$A:$A,$B20,Movimientos!$D:$D,CONCATENATE("&lt;=",FE$3),Movimientos!$C:$C,"&gt;0")+SUMIFS(Movimientos!$C:$C,Movimientos!$A:$A,$B20,Movimientos!$D:$D,CONCATENATE("&lt;",FE$3),Movimientos!$C:$C,"&lt;0")</f>
        <v>0</v>
      </c>
      <c r="FF20" s="5">
        <f ca="1">SUMIFS(Movimientos!$C:$C,Movimientos!$A:$A,$B20,Movimientos!$D:$D,CONCATENATE("&lt;=",FF$3),Movimientos!$C:$C,"&gt;0")+SUMIFS(Movimientos!$C:$C,Movimientos!$A:$A,$B20,Movimientos!$D:$D,CONCATENATE("&lt;",FF$3),Movimientos!$C:$C,"&lt;0")</f>
        <v>0</v>
      </c>
      <c r="FG20" s="5">
        <f ca="1">SUMIFS(Movimientos!$C:$C,Movimientos!$A:$A,$B20,Movimientos!$D:$D,CONCATENATE("&lt;=",FG$3),Movimientos!$C:$C,"&gt;0")+SUMIFS(Movimientos!$C:$C,Movimientos!$A:$A,$B20,Movimientos!$D:$D,CONCATENATE("&lt;",FG$3),Movimientos!$C:$C,"&lt;0")</f>
        <v>0</v>
      </c>
      <c r="FH20" s="5">
        <f ca="1">SUMIFS(Movimientos!$C:$C,Movimientos!$A:$A,$B20,Movimientos!$D:$D,CONCATENATE("&lt;=",FH$3),Movimientos!$C:$C,"&gt;0")+SUMIFS(Movimientos!$C:$C,Movimientos!$A:$A,$B20,Movimientos!$D:$D,CONCATENATE("&lt;",FH$3),Movimientos!$C:$C,"&lt;0")</f>
        <v>0</v>
      </c>
      <c r="FI20" s="5">
        <f ca="1">SUMIFS(Movimientos!$C:$C,Movimientos!$A:$A,$B20,Movimientos!$D:$D,CONCATENATE("&lt;=",FI$3),Movimientos!$C:$C,"&gt;0")+SUMIFS(Movimientos!$C:$C,Movimientos!$A:$A,$B20,Movimientos!$D:$D,CONCATENATE("&lt;",FI$3),Movimientos!$C:$C,"&lt;0")</f>
        <v>0</v>
      </c>
      <c r="FJ20" s="5">
        <f ca="1">SUMIFS(Movimientos!$C:$C,Movimientos!$A:$A,$B20,Movimientos!$D:$D,CONCATENATE("&lt;=",FJ$3),Movimientos!$C:$C,"&gt;0")+SUMIFS(Movimientos!$C:$C,Movimientos!$A:$A,$B20,Movimientos!$D:$D,CONCATENATE("&lt;",FJ$3),Movimientos!$C:$C,"&lt;0")</f>
        <v>0</v>
      </c>
      <c r="FK20" s="5">
        <f ca="1">SUMIFS(Movimientos!$C:$C,Movimientos!$A:$A,$B20,Movimientos!$D:$D,CONCATENATE("&lt;=",FK$3),Movimientos!$C:$C,"&gt;0")+SUMIFS(Movimientos!$C:$C,Movimientos!$A:$A,$B20,Movimientos!$D:$D,CONCATENATE("&lt;",FK$3),Movimientos!$C:$C,"&lt;0")</f>
        <v>0</v>
      </c>
      <c r="FL20" s="5">
        <f ca="1">SUMIFS(Movimientos!$C:$C,Movimientos!$A:$A,$B20,Movimientos!$D:$D,CONCATENATE("&lt;=",FL$3),Movimientos!$C:$C,"&gt;0")+SUMIFS(Movimientos!$C:$C,Movimientos!$A:$A,$B20,Movimientos!$D:$D,CONCATENATE("&lt;",FL$3),Movimientos!$C:$C,"&lt;0")</f>
        <v>0</v>
      </c>
      <c r="FM20" s="5">
        <f ca="1">SUMIFS(Movimientos!$C:$C,Movimientos!$A:$A,$B20,Movimientos!$D:$D,CONCATENATE("&lt;=",FM$3),Movimientos!$C:$C,"&gt;0")+SUMIFS(Movimientos!$C:$C,Movimientos!$A:$A,$B20,Movimientos!$D:$D,CONCATENATE("&lt;",FM$3),Movimientos!$C:$C,"&lt;0")</f>
        <v>0</v>
      </c>
      <c r="FN20" s="5">
        <f ca="1">SUMIFS(Movimientos!$C:$C,Movimientos!$A:$A,$B20,Movimientos!$D:$D,CONCATENATE("&lt;=",FN$3),Movimientos!$C:$C,"&gt;0")+SUMIFS(Movimientos!$C:$C,Movimientos!$A:$A,$B20,Movimientos!$D:$D,CONCATENATE("&lt;",FN$3),Movimientos!$C:$C,"&lt;0")</f>
        <v>0</v>
      </c>
      <c r="FO20" s="5">
        <f ca="1">SUMIFS(Movimientos!$C:$C,Movimientos!$A:$A,$B20,Movimientos!$D:$D,CONCATENATE("&lt;=",FO$3),Movimientos!$C:$C,"&gt;0")+SUMIFS(Movimientos!$C:$C,Movimientos!$A:$A,$B20,Movimientos!$D:$D,CONCATENATE("&lt;",FO$3),Movimientos!$C:$C,"&lt;0")</f>
        <v>0</v>
      </c>
      <c r="FP20" s="5">
        <f ca="1">SUMIFS(Movimientos!$C:$C,Movimientos!$A:$A,$B20,Movimientos!$D:$D,CONCATENATE("&lt;=",FP$3),Movimientos!$C:$C,"&gt;0")+SUMIFS(Movimientos!$C:$C,Movimientos!$A:$A,$B20,Movimientos!$D:$D,CONCATENATE("&lt;",FP$3),Movimientos!$C:$C,"&lt;0")</f>
        <v>0</v>
      </c>
      <c r="FQ20" s="5">
        <f ca="1">SUMIFS(Movimientos!$C:$C,Movimientos!$A:$A,$B20,Movimientos!$D:$D,CONCATENATE("&lt;=",FQ$3),Movimientos!$C:$C,"&gt;0")+SUMIFS(Movimientos!$C:$C,Movimientos!$A:$A,$B20,Movimientos!$D:$D,CONCATENATE("&lt;",FQ$3),Movimientos!$C:$C,"&lt;0")</f>
        <v>0</v>
      </c>
      <c r="FR20" s="5">
        <f ca="1">SUMIFS(Movimientos!$C:$C,Movimientos!$A:$A,$B20,Movimientos!$D:$D,CONCATENATE("&lt;=",FR$3),Movimientos!$C:$C,"&gt;0")+SUMIFS(Movimientos!$C:$C,Movimientos!$A:$A,$B20,Movimientos!$D:$D,CONCATENATE("&lt;",FR$3),Movimientos!$C:$C,"&lt;0")</f>
        <v>0</v>
      </c>
      <c r="FS20" s="5">
        <f ca="1">SUMIFS(Movimientos!$C:$C,Movimientos!$A:$A,$B20,Movimientos!$D:$D,CONCATENATE("&lt;=",FS$3),Movimientos!$C:$C,"&gt;0")+SUMIFS(Movimientos!$C:$C,Movimientos!$A:$A,$B20,Movimientos!$D:$D,CONCATENATE("&lt;",FS$3),Movimientos!$C:$C,"&lt;0")</f>
        <v>0</v>
      </c>
      <c r="FT20" s="5">
        <f ca="1">SUMIFS(Movimientos!$C:$C,Movimientos!$A:$A,$B20,Movimientos!$D:$D,CONCATENATE("&lt;=",FT$3),Movimientos!$C:$C,"&gt;0")+SUMIFS(Movimientos!$C:$C,Movimientos!$A:$A,$B20,Movimientos!$D:$D,CONCATENATE("&lt;",FT$3),Movimientos!$C:$C,"&lt;0")</f>
        <v>0</v>
      </c>
      <c r="FU20" s="5">
        <f ca="1">SUMIFS(Movimientos!$C:$C,Movimientos!$A:$A,$B20,Movimientos!$D:$D,CONCATENATE("&lt;=",FU$3),Movimientos!$C:$C,"&gt;0")+SUMIFS(Movimientos!$C:$C,Movimientos!$A:$A,$B20,Movimientos!$D:$D,CONCATENATE("&lt;",FU$3),Movimientos!$C:$C,"&lt;0")</f>
        <v>0</v>
      </c>
      <c r="FV20" s="5">
        <f ca="1">SUMIFS(Movimientos!$C:$C,Movimientos!$A:$A,$B20,Movimientos!$D:$D,CONCATENATE("&lt;=",FV$3),Movimientos!$C:$C,"&gt;0")+SUMIFS(Movimientos!$C:$C,Movimientos!$A:$A,$B20,Movimientos!$D:$D,CONCATENATE("&lt;",FV$3),Movimientos!$C:$C,"&lt;0")</f>
        <v>0</v>
      </c>
      <c r="FW20" s="5">
        <f ca="1">SUMIFS(Movimientos!$C:$C,Movimientos!$A:$A,$B20,Movimientos!$D:$D,CONCATENATE("&lt;=",FW$3),Movimientos!$C:$C,"&gt;0")+SUMIFS(Movimientos!$C:$C,Movimientos!$A:$A,$B20,Movimientos!$D:$D,CONCATENATE("&lt;",FW$3),Movimientos!$C:$C,"&lt;0")</f>
        <v>0</v>
      </c>
      <c r="FX20" s="5">
        <f ca="1">SUMIFS(Movimientos!$C:$C,Movimientos!$A:$A,$B20,Movimientos!$D:$D,CONCATENATE("&lt;=",FX$3),Movimientos!$C:$C,"&gt;0")+SUMIFS(Movimientos!$C:$C,Movimientos!$A:$A,$B20,Movimientos!$D:$D,CONCATENATE("&lt;",FX$3),Movimientos!$C:$C,"&lt;0")</f>
        <v>0</v>
      </c>
      <c r="FY20" s="5">
        <f ca="1">SUMIFS(Movimientos!$C:$C,Movimientos!$A:$A,$B20,Movimientos!$D:$D,CONCATENATE("&lt;=",FY$3),Movimientos!$C:$C,"&gt;0")+SUMIFS(Movimientos!$C:$C,Movimientos!$A:$A,$B20,Movimientos!$D:$D,CONCATENATE("&lt;",FY$3),Movimientos!$C:$C,"&lt;0")</f>
        <v>0</v>
      </c>
      <c r="FZ20" s="5">
        <f ca="1">SUMIFS(Movimientos!$C:$C,Movimientos!$A:$A,$B20,Movimientos!$D:$D,CONCATENATE("&lt;=",FZ$3),Movimientos!$C:$C,"&gt;0")+SUMIFS(Movimientos!$C:$C,Movimientos!$A:$A,$B20,Movimientos!$D:$D,CONCATENATE("&lt;",FZ$3),Movimientos!$C:$C,"&lt;0")</f>
        <v>0</v>
      </c>
      <c r="GA20" s="5">
        <f ca="1">SUMIFS(Movimientos!$C:$C,Movimientos!$A:$A,$B20,Movimientos!$D:$D,CONCATENATE("&lt;=",GA$3),Movimientos!$C:$C,"&gt;0")+SUMIFS(Movimientos!$C:$C,Movimientos!$A:$A,$B20,Movimientos!$D:$D,CONCATENATE("&lt;",GA$3),Movimientos!$C:$C,"&lt;0")</f>
        <v>0</v>
      </c>
      <c r="GB20" s="5">
        <f ca="1">SUMIFS(Movimientos!$C:$C,Movimientos!$A:$A,$B20,Movimientos!$D:$D,CONCATENATE("&lt;=",GB$3),Movimientos!$C:$C,"&gt;0")+SUMIFS(Movimientos!$C:$C,Movimientos!$A:$A,$B20,Movimientos!$D:$D,CONCATENATE("&lt;",GB$3),Movimientos!$C:$C,"&lt;0")</f>
        <v>0</v>
      </c>
      <c r="GC20" s="5">
        <f ca="1">SUMIFS(Movimientos!$C:$C,Movimientos!$A:$A,$B20,Movimientos!$D:$D,CONCATENATE("&lt;=",GC$3),Movimientos!$C:$C,"&gt;0")+SUMIFS(Movimientos!$C:$C,Movimientos!$A:$A,$B20,Movimientos!$D:$D,CONCATENATE("&lt;",GC$3),Movimientos!$C:$C,"&lt;0")</f>
        <v>0</v>
      </c>
      <c r="GD20" s="5">
        <f ca="1">SUMIFS(Movimientos!$C:$C,Movimientos!$A:$A,$B20,Movimientos!$D:$D,CONCATENATE("&lt;=",GD$3),Movimientos!$C:$C,"&gt;0")+SUMIFS(Movimientos!$C:$C,Movimientos!$A:$A,$B20,Movimientos!$D:$D,CONCATENATE("&lt;",GD$3),Movimientos!$C:$C,"&lt;0")</f>
        <v>0</v>
      </c>
      <c r="GE20" s="5">
        <f ca="1">SUMIFS(Movimientos!$C:$C,Movimientos!$A:$A,$B20,Movimientos!$D:$D,CONCATENATE("&lt;=",GE$3),Movimientos!$C:$C,"&gt;0")+SUMIFS(Movimientos!$C:$C,Movimientos!$A:$A,$B20,Movimientos!$D:$D,CONCATENATE("&lt;",GE$3),Movimientos!$C:$C,"&lt;0")</f>
        <v>0</v>
      </c>
      <c r="GF20" s="5">
        <f ca="1">SUMIFS(Movimientos!$C:$C,Movimientos!$A:$A,$B20,Movimientos!$D:$D,CONCATENATE("&lt;=",GF$3),Movimientos!$C:$C,"&gt;0")+SUMIFS(Movimientos!$C:$C,Movimientos!$A:$A,$B20,Movimientos!$D:$D,CONCATENATE("&lt;",GF$3),Movimientos!$C:$C,"&lt;0")</f>
        <v>0</v>
      </c>
      <c r="GG20" s="5">
        <f ca="1">SUMIFS(Movimientos!$C:$C,Movimientos!$A:$A,$B20,Movimientos!$D:$D,CONCATENATE("&lt;=",GG$3),Movimientos!$C:$C,"&gt;0")+SUMIFS(Movimientos!$C:$C,Movimientos!$A:$A,$B20,Movimientos!$D:$D,CONCATENATE("&lt;",GG$3),Movimientos!$C:$C,"&lt;0")</f>
        <v>0</v>
      </c>
      <c r="GH20" s="5">
        <f ca="1">SUMIFS(Movimientos!$C:$C,Movimientos!$A:$A,$B20,Movimientos!$D:$D,CONCATENATE("&lt;=",GH$3),Movimientos!$C:$C,"&gt;0")+SUMIFS(Movimientos!$C:$C,Movimientos!$A:$A,$B20,Movimientos!$D:$D,CONCATENATE("&lt;",GH$3),Movimientos!$C:$C,"&lt;0")</f>
        <v>0</v>
      </c>
      <c r="GI20" s="5">
        <f ca="1">SUMIFS(Movimientos!$C:$C,Movimientos!$A:$A,$B20,Movimientos!$D:$D,CONCATENATE("&lt;=",GI$3),Movimientos!$C:$C,"&gt;0")+SUMIFS(Movimientos!$C:$C,Movimientos!$A:$A,$B20,Movimientos!$D:$D,CONCATENATE("&lt;",GI$3),Movimientos!$C:$C,"&lt;0")</f>
        <v>0</v>
      </c>
      <c r="GJ20" s="5">
        <f ca="1">SUMIFS(Movimientos!$C:$C,Movimientos!$A:$A,$B20,Movimientos!$D:$D,CONCATENATE("&lt;=",GJ$3),Movimientos!$C:$C,"&gt;0")+SUMIFS(Movimientos!$C:$C,Movimientos!$A:$A,$B20,Movimientos!$D:$D,CONCATENATE("&lt;",GJ$3),Movimientos!$C:$C,"&lt;0")</f>
        <v>0</v>
      </c>
      <c r="GK20" s="5">
        <f ca="1">SUMIFS(Movimientos!$C:$C,Movimientos!$A:$A,$B20,Movimientos!$D:$D,CONCATENATE("&lt;=",GK$3),Movimientos!$C:$C,"&gt;0")+SUMIFS(Movimientos!$C:$C,Movimientos!$A:$A,$B20,Movimientos!$D:$D,CONCATENATE("&lt;",GK$3),Movimientos!$C:$C,"&lt;0")</f>
        <v>0</v>
      </c>
      <c r="GL20" s="5">
        <f ca="1">SUMIFS(Movimientos!$C:$C,Movimientos!$A:$A,$B20,Movimientos!$D:$D,CONCATENATE("&lt;=",GL$3),Movimientos!$C:$C,"&gt;0")+SUMIFS(Movimientos!$C:$C,Movimientos!$A:$A,$B20,Movimientos!$D:$D,CONCATENATE("&lt;",GL$3),Movimientos!$C:$C,"&lt;0")</f>
        <v>0</v>
      </c>
      <c r="GM20" s="5">
        <f ca="1">SUMIFS(Movimientos!$C:$C,Movimientos!$A:$A,$B20,Movimientos!$D:$D,CONCATENATE("&lt;=",GM$3),Movimientos!$C:$C,"&gt;0")+SUMIFS(Movimientos!$C:$C,Movimientos!$A:$A,$B20,Movimientos!$D:$D,CONCATENATE("&lt;",GM$3),Movimientos!$C:$C,"&lt;0")</f>
        <v>0</v>
      </c>
      <c r="GN20" s="5">
        <f ca="1">SUMIFS(Movimientos!$C:$C,Movimientos!$A:$A,$B20,Movimientos!$D:$D,CONCATENATE("&lt;=",GN$3),Movimientos!$C:$C,"&gt;0")+SUMIFS(Movimientos!$C:$C,Movimientos!$A:$A,$B20,Movimientos!$D:$D,CONCATENATE("&lt;",GN$3),Movimientos!$C:$C,"&lt;0")</f>
        <v>0</v>
      </c>
      <c r="GO20" s="5">
        <f ca="1">SUMIFS(Movimientos!$C:$C,Movimientos!$A:$A,$B20,Movimientos!$D:$D,CONCATENATE("&lt;=",GO$3),Movimientos!$C:$C,"&gt;0")+SUMIFS(Movimientos!$C:$C,Movimientos!$A:$A,$B20,Movimientos!$D:$D,CONCATENATE("&lt;",GO$3),Movimientos!$C:$C,"&lt;0")</f>
        <v>0</v>
      </c>
      <c r="GP20" s="5">
        <f ca="1">SUMIFS(Movimientos!$C:$C,Movimientos!$A:$A,$B20,Movimientos!$D:$D,CONCATENATE("&lt;=",GP$3),Movimientos!$C:$C,"&gt;0")+SUMIFS(Movimientos!$C:$C,Movimientos!$A:$A,$B20,Movimientos!$D:$D,CONCATENATE("&lt;",GP$3),Movimientos!$C:$C,"&lt;0")</f>
        <v>0</v>
      </c>
      <c r="GQ20" s="5">
        <f ca="1">SUMIFS(Movimientos!$C:$C,Movimientos!$A:$A,$B20,Movimientos!$D:$D,CONCATENATE("&lt;=",GQ$3),Movimientos!$C:$C,"&gt;0")+SUMIFS(Movimientos!$C:$C,Movimientos!$A:$A,$B20,Movimientos!$D:$D,CONCATENATE("&lt;",GQ$3),Movimientos!$C:$C,"&lt;0")</f>
        <v>0</v>
      </c>
      <c r="GR20" s="5">
        <f ca="1">SUMIFS(Movimientos!$C:$C,Movimientos!$A:$A,$B20,Movimientos!$D:$D,CONCATENATE("&lt;=",GR$3),Movimientos!$C:$C,"&gt;0")+SUMIFS(Movimientos!$C:$C,Movimientos!$A:$A,$B20,Movimientos!$D:$D,CONCATENATE("&lt;",GR$3),Movimientos!$C:$C,"&lt;0")</f>
        <v>0</v>
      </c>
      <c r="GS20" s="5">
        <f ca="1">SUMIFS(Movimientos!$C:$C,Movimientos!$A:$A,$B20,Movimientos!$D:$D,CONCATENATE("&lt;=",GS$3),Movimientos!$C:$C,"&gt;0")+SUMIFS(Movimientos!$C:$C,Movimientos!$A:$A,$B20,Movimientos!$D:$D,CONCATENATE("&lt;",GS$3),Movimientos!$C:$C,"&lt;0")</f>
        <v>0</v>
      </c>
      <c r="GT20" s="5">
        <f ca="1">SUMIFS(Movimientos!$C:$C,Movimientos!$A:$A,$B20,Movimientos!$D:$D,CONCATENATE("&lt;=",GT$3),Movimientos!$C:$C,"&gt;0")+SUMIFS(Movimientos!$C:$C,Movimientos!$A:$A,$B20,Movimientos!$D:$D,CONCATENATE("&lt;",GT$3),Movimientos!$C:$C,"&lt;0")</f>
        <v>0</v>
      </c>
      <c r="GU20" s="5">
        <f ca="1">SUMIFS(Movimientos!$C:$C,Movimientos!$A:$A,$B20,Movimientos!$D:$D,CONCATENATE("&lt;=",GU$3),Movimientos!$C:$C,"&gt;0")+SUMIFS(Movimientos!$C:$C,Movimientos!$A:$A,$B20,Movimientos!$D:$D,CONCATENATE("&lt;",GU$3),Movimientos!$C:$C,"&lt;0")</f>
        <v>0</v>
      </c>
      <c r="GV20" s="5">
        <f ca="1">SUMIFS(Movimientos!$C:$C,Movimientos!$A:$A,$B20,Movimientos!$D:$D,CONCATENATE("&lt;=",GV$3),Movimientos!$C:$C,"&gt;0")+SUMIFS(Movimientos!$C:$C,Movimientos!$A:$A,$B20,Movimientos!$D:$D,CONCATENATE("&lt;",GV$3),Movimientos!$C:$C,"&lt;0")</f>
        <v>0</v>
      </c>
      <c r="GW20" s="5">
        <f ca="1">SUMIFS(Movimientos!$C:$C,Movimientos!$A:$A,$B20,Movimientos!$D:$D,CONCATENATE("&lt;=",GW$3),Movimientos!$C:$C,"&gt;0")+SUMIFS(Movimientos!$C:$C,Movimientos!$A:$A,$B20,Movimientos!$D:$D,CONCATENATE("&lt;",GW$3),Movimientos!$C:$C,"&lt;0")</f>
        <v>0</v>
      </c>
      <c r="GX20" s="5">
        <f ca="1">SUMIFS(Movimientos!$C:$C,Movimientos!$A:$A,$B20,Movimientos!$D:$D,CONCATENATE("&lt;=",GX$3),Movimientos!$C:$C,"&gt;0")+SUMIFS(Movimientos!$C:$C,Movimientos!$A:$A,$B20,Movimientos!$D:$D,CONCATENATE("&lt;",GX$3),Movimientos!$C:$C,"&lt;0")</f>
        <v>0</v>
      </c>
      <c r="GY20" s="5">
        <f ca="1">SUMIFS(Movimientos!$C:$C,Movimientos!$A:$A,$B20,Movimientos!$D:$D,CONCATENATE("&lt;=",GY$3),Movimientos!$C:$C,"&gt;0")+SUMIFS(Movimientos!$C:$C,Movimientos!$A:$A,$B20,Movimientos!$D:$D,CONCATENATE("&lt;",GY$3),Movimientos!$C:$C,"&lt;0")</f>
        <v>0</v>
      </c>
      <c r="GZ20" s="5">
        <f ca="1">SUMIFS(Movimientos!$C:$C,Movimientos!$A:$A,$B20,Movimientos!$D:$D,CONCATENATE("&lt;=",GZ$3),Movimientos!$C:$C,"&gt;0")+SUMIFS(Movimientos!$C:$C,Movimientos!$A:$A,$B20,Movimientos!$D:$D,CONCATENATE("&lt;",GZ$3),Movimientos!$C:$C,"&lt;0")</f>
        <v>0</v>
      </c>
      <c r="HA20" s="5">
        <f ca="1">SUMIFS(Movimientos!$C:$C,Movimientos!$A:$A,$B20,Movimientos!$D:$D,CONCATENATE("&lt;=",HA$3),Movimientos!$C:$C,"&gt;0")+SUMIFS(Movimientos!$C:$C,Movimientos!$A:$A,$B20,Movimientos!$D:$D,CONCATENATE("&lt;",HA$3),Movimientos!$C:$C,"&lt;0")</f>
        <v>0</v>
      </c>
      <c r="HB20" s="5">
        <f ca="1">SUMIFS(Movimientos!$C:$C,Movimientos!$A:$A,$B20,Movimientos!$D:$D,CONCATENATE("&lt;=",HB$3),Movimientos!$C:$C,"&gt;0")+SUMIFS(Movimientos!$C:$C,Movimientos!$A:$A,$B20,Movimientos!$D:$D,CONCATENATE("&lt;",HB$3),Movimientos!$C:$C,"&lt;0")</f>
        <v>0</v>
      </c>
      <c r="HC20" s="5">
        <f ca="1">SUMIFS(Movimientos!$C:$C,Movimientos!$A:$A,$B20,Movimientos!$D:$D,CONCATENATE("&lt;=",HC$3),Movimientos!$C:$C,"&gt;0")+SUMIFS(Movimientos!$C:$C,Movimientos!$A:$A,$B20,Movimientos!$D:$D,CONCATENATE("&lt;",HC$3),Movimientos!$C:$C,"&lt;0")</f>
        <v>0</v>
      </c>
      <c r="HD20" s="5">
        <f ca="1">SUMIFS(Movimientos!$C:$C,Movimientos!$A:$A,$B20,Movimientos!$D:$D,CONCATENATE("&lt;=",HD$3),Movimientos!$C:$C,"&gt;0")+SUMIFS(Movimientos!$C:$C,Movimientos!$A:$A,$B20,Movimientos!$D:$D,CONCATENATE("&lt;",HD$3),Movimientos!$C:$C,"&lt;0")</f>
        <v>0</v>
      </c>
      <c r="HE20" s="5">
        <f ca="1">SUMIFS(Movimientos!$C:$C,Movimientos!$A:$A,$B20,Movimientos!$D:$D,CONCATENATE("&lt;=",HE$3),Movimientos!$C:$C,"&gt;0")+SUMIFS(Movimientos!$C:$C,Movimientos!$A:$A,$B20,Movimientos!$D:$D,CONCATENATE("&lt;",HE$3),Movimientos!$C:$C,"&lt;0")</f>
        <v>0</v>
      </c>
      <c r="HF20" s="5">
        <f ca="1">SUMIFS(Movimientos!$C:$C,Movimientos!$A:$A,$B20,Movimientos!$D:$D,CONCATENATE("&lt;=",HF$3),Movimientos!$C:$C,"&gt;0")+SUMIFS(Movimientos!$C:$C,Movimientos!$A:$A,$B20,Movimientos!$D:$D,CONCATENATE("&lt;",HF$3),Movimientos!$C:$C,"&lt;0")</f>
        <v>0</v>
      </c>
      <c r="HG20" s="5">
        <f ca="1">SUMIFS(Movimientos!$C:$C,Movimientos!$A:$A,$B20,Movimientos!$D:$D,CONCATENATE("&lt;=",HG$3),Movimientos!$C:$C,"&gt;0")+SUMIFS(Movimientos!$C:$C,Movimientos!$A:$A,$B20,Movimientos!$D:$D,CONCATENATE("&lt;",HG$3),Movimientos!$C:$C,"&lt;0")</f>
        <v>0</v>
      </c>
      <c r="HH20" s="5">
        <f ca="1">SUMIFS(Movimientos!$C:$C,Movimientos!$A:$A,$B20,Movimientos!$D:$D,CONCATENATE("&lt;=",HH$3),Movimientos!$C:$C,"&gt;0")+SUMIFS(Movimientos!$C:$C,Movimientos!$A:$A,$B20,Movimientos!$D:$D,CONCATENATE("&lt;",HH$3),Movimientos!$C:$C,"&lt;0")</f>
        <v>0</v>
      </c>
      <c r="HI20" s="5">
        <f ca="1">SUMIFS(Movimientos!$C:$C,Movimientos!$A:$A,$B20,Movimientos!$D:$D,CONCATENATE("&lt;=",HI$3),Movimientos!$C:$C,"&gt;0")+SUMIFS(Movimientos!$C:$C,Movimientos!$A:$A,$B20,Movimientos!$D:$D,CONCATENATE("&lt;",HI$3),Movimientos!$C:$C,"&lt;0")</f>
        <v>0</v>
      </c>
      <c r="HJ20" s="5">
        <f ca="1">SUMIFS(Movimientos!$C:$C,Movimientos!$A:$A,$B20,Movimientos!$D:$D,CONCATENATE("&lt;=",HJ$3),Movimientos!$C:$C,"&gt;0")+SUMIFS(Movimientos!$C:$C,Movimientos!$A:$A,$B20,Movimientos!$D:$D,CONCATENATE("&lt;",HJ$3),Movimientos!$C:$C,"&lt;0")</f>
        <v>0</v>
      </c>
      <c r="HK20" s="5">
        <f ca="1">SUMIFS(Movimientos!$C:$C,Movimientos!$A:$A,$B20,Movimientos!$D:$D,CONCATENATE("&lt;=",HK$3),Movimientos!$C:$C,"&gt;0")+SUMIFS(Movimientos!$C:$C,Movimientos!$A:$A,$B20,Movimientos!$D:$D,CONCATENATE("&lt;",HK$3),Movimientos!$C:$C,"&lt;0")</f>
        <v>0</v>
      </c>
      <c r="HL20" s="5">
        <f ca="1">SUMIFS(Movimientos!$C:$C,Movimientos!$A:$A,$B20,Movimientos!$D:$D,CONCATENATE("&lt;=",HL$3),Movimientos!$C:$C,"&gt;0")+SUMIFS(Movimientos!$C:$C,Movimientos!$A:$A,$B20,Movimientos!$D:$D,CONCATENATE("&lt;",HL$3),Movimientos!$C:$C,"&lt;0")</f>
        <v>0</v>
      </c>
      <c r="HM20" s="5">
        <f ca="1">SUMIFS(Movimientos!$C:$C,Movimientos!$A:$A,$B20,Movimientos!$D:$D,CONCATENATE("&lt;=",HM$3),Movimientos!$C:$C,"&gt;0")+SUMIFS(Movimientos!$C:$C,Movimientos!$A:$A,$B20,Movimientos!$D:$D,CONCATENATE("&lt;",HM$3),Movimientos!$C:$C,"&lt;0")</f>
        <v>0</v>
      </c>
      <c r="HN20" s="5">
        <f ca="1">SUMIFS(Movimientos!$C:$C,Movimientos!$A:$A,$B20,Movimientos!$D:$D,CONCATENATE("&lt;=",HN$3),Movimientos!$C:$C,"&gt;0")+SUMIFS(Movimientos!$C:$C,Movimientos!$A:$A,$B20,Movimientos!$D:$D,CONCATENATE("&lt;",HN$3),Movimientos!$C:$C,"&lt;0")</f>
        <v>0</v>
      </c>
      <c r="HO20" s="5">
        <f ca="1">SUMIFS(Movimientos!$C:$C,Movimientos!$A:$A,$B20,Movimientos!$D:$D,CONCATENATE("&lt;=",HO$3),Movimientos!$C:$C,"&gt;0")+SUMIFS(Movimientos!$C:$C,Movimientos!$A:$A,$B20,Movimientos!$D:$D,CONCATENATE("&lt;",HO$3),Movimientos!$C:$C,"&lt;0")</f>
        <v>0</v>
      </c>
      <c r="HP20" s="5">
        <f ca="1">SUMIFS(Movimientos!$C:$C,Movimientos!$A:$A,$B20,Movimientos!$D:$D,CONCATENATE("&lt;=",HP$3),Movimientos!$C:$C,"&gt;0")+SUMIFS(Movimientos!$C:$C,Movimientos!$A:$A,$B20,Movimientos!$D:$D,CONCATENATE("&lt;",HP$3),Movimientos!$C:$C,"&lt;0")</f>
        <v>0</v>
      </c>
      <c r="HQ20" s="5">
        <f ca="1">SUMIFS(Movimientos!$C:$C,Movimientos!$A:$A,$B20,Movimientos!$D:$D,CONCATENATE("&lt;=",HQ$3),Movimientos!$C:$C,"&gt;0")+SUMIFS(Movimientos!$C:$C,Movimientos!$A:$A,$B20,Movimientos!$D:$D,CONCATENATE("&lt;",HQ$3),Movimientos!$C:$C,"&lt;0")</f>
        <v>0</v>
      </c>
      <c r="HR20" s="5">
        <f ca="1">SUMIFS(Movimientos!$C:$C,Movimientos!$A:$A,$B20,Movimientos!$D:$D,CONCATENATE("&lt;=",HR$3),Movimientos!$C:$C,"&gt;0")+SUMIFS(Movimientos!$C:$C,Movimientos!$A:$A,$B20,Movimientos!$D:$D,CONCATENATE("&lt;",HR$3),Movimientos!$C:$C,"&lt;0")</f>
        <v>0</v>
      </c>
      <c r="HS20" s="5">
        <f ca="1">SUMIFS(Movimientos!$C:$C,Movimientos!$A:$A,$B20,Movimientos!$D:$D,CONCATENATE("&lt;=",HS$3),Movimientos!$C:$C,"&gt;0")+SUMIFS(Movimientos!$C:$C,Movimientos!$A:$A,$B20,Movimientos!$D:$D,CONCATENATE("&lt;",HS$3),Movimientos!$C:$C,"&lt;0")</f>
        <v>0</v>
      </c>
      <c r="HT20" s="5">
        <f ca="1">SUMIFS(Movimientos!$C:$C,Movimientos!$A:$A,$B20,Movimientos!$D:$D,CONCATENATE("&lt;=",HT$3),Movimientos!$C:$C,"&gt;0")+SUMIFS(Movimientos!$C:$C,Movimientos!$A:$A,$B20,Movimientos!$D:$D,CONCATENATE("&lt;",HT$3),Movimientos!$C:$C,"&lt;0")</f>
        <v>0</v>
      </c>
      <c r="HU20" s="5">
        <f ca="1">SUMIFS(Movimientos!$C:$C,Movimientos!$A:$A,$B20,Movimientos!$D:$D,CONCATENATE("&lt;=",HU$3),Movimientos!$C:$C,"&gt;0")+SUMIFS(Movimientos!$C:$C,Movimientos!$A:$A,$B20,Movimientos!$D:$D,CONCATENATE("&lt;",HU$3),Movimientos!$C:$C,"&lt;0")</f>
        <v>0</v>
      </c>
      <c r="HV20" s="5">
        <f ca="1">SUMIFS(Movimientos!$C:$C,Movimientos!$A:$A,$B20,Movimientos!$D:$D,CONCATENATE("&lt;=",HV$3),Movimientos!$C:$C,"&gt;0")+SUMIFS(Movimientos!$C:$C,Movimientos!$A:$A,$B20,Movimientos!$D:$D,CONCATENATE("&lt;",HV$3),Movimientos!$C:$C,"&lt;0")</f>
        <v>0</v>
      </c>
      <c r="HW20" s="5">
        <f ca="1">SUMIFS(Movimientos!$C:$C,Movimientos!$A:$A,$B20,Movimientos!$D:$D,CONCATENATE("&lt;=",HW$3),Movimientos!$C:$C,"&gt;0")+SUMIFS(Movimientos!$C:$C,Movimientos!$A:$A,$B20,Movimientos!$D:$D,CONCATENATE("&lt;",HW$3),Movimientos!$C:$C,"&lt;0")</f>
        <v>0</v>
      </c>
      <c r="HX20" s="5">
        <f ca="1">SUMIFS(Movimientos!$C:$C,Movimientos!$A:$A,$B20,Movimientos!$D:$D,CONCATENATE("&lt;=",HX$3),Movimientos!$C:$C,"&gt;0")+SUMIFS(Movimientos!$C:$C,Movimientos!$A:$A,$B20,Movimientos!$D:$D,CONCATENATE("&lt;",HX$3),Movimientos!$C:$C,"&lt;0")</f>
        <v>0</v>
      </c>
      <c r="HY20" s="5">
        <f ca="1">SUMIFS(Movimientos!$C:$C,Movimientos!$A:$A,$B20,Movimientos!$D:$D,CONCATENATE("&lt;=",HY$3),Movimientos!$C:$C,"&gt;0")+SUMIFS(Movimientos!$C:$C,Movimientos!$A:$A,$B20,Movimientos!$D:$D,CONCATENATE("&lt;",HY$3),Movimientos!$C:$C,"&lt;0")</f>
        <v>0</v>
      </c>
      <c r="HZ20" s="5">
        <f ca="1">SUMIFS(Movimientos!$C:$C,Movimientos!$A:$A,$B20,Movimientos!$D:$D,CONCATENATE("&lt;=",HZ$3),Movimientos!$C:$C,"&gt;0")+SUMIFS(Movimientos!$C:$C,Movimientos!$A:$A,$B20,Movimientos!$D:$D,CONCATENATE("&lt;",HZ$3),Movimientos!$C:$C,"&lt;0")</f>
        <v>0</v>
      </c>
      <c r="IA20" s="5">
        <f ca="1">SUMIFS(Movimientos!$C:$C,Movimientos!$A:$A,$B20,Movimientos!$D:$D,CONCATENATE("&lt;=",IA$3),Movimientos!$C:$C,"&gt;0")+SUMIFS(Movimientos!$C:$C,Movimientos!$A:$A,$B20,Movimientos!$D:$D,CONCATENATE("&lt;",IA$3),Movimientos!$C:$C,"&lt;0")</f>
        <v>0</v>
      </c>
      <c r="IB20" s="5">
        <f ca="1">SUMIFS(Movimientos!$C:$C,Movimientos!$A:$A,$B20,Movimientos!$D:$D,CONCATENATE("&lt;=",IB$3),Movimientos!$C:$C,"&gt;0")+SUMIFS(Movimientos!$C:$C,Movimientos!$A:$A,$B20,Movimientos!$D:$D,CONCATENATE("&lt;",IB$3),Movimientos!$C:$C,"&lt;0")</f>
        <v>0</v>
      </c>
      <c r="IC20" s="5">
        <f ca="1">SUMIFS(Movimientos!$C:$C,Movimientos!$A:$A,$B20,Movimientos!$D:$D,CONCATENATE("&lt;=",IC$3),Movimientos!$C:$C,"&gt;0")+SUMIFS(Movimientos!$C:$C,Movimientos!$A:$A,$B20,Movimientos!$D:$D,CONCATENATE("&lt;",IC$3),Movimientos!$C:$C,"&lt;0")</f>
        <v>0</v>
      </c>
      <c r="ID20" s="5">
        <f ca="1">SUMIFS(Movimientos!$C:$C,Movimientos!$A:$A,$B20,Movimientos!$D:$D,CONCATENATE("&lt;=",ID$3),Movimientos!$C:$C,"&gt;0")+SUMIFS(Movimientos!$C:$C,Movimientos!$A:$A,$B20,Movimientos!$D:$D,CONCATENATE("&lt;",ID$3),Movimientos!$C:$C,"&lt;0")</f>
        <v>0</v>
      </c>
      <c r="IE20" s="5">
        <f ca="1">SUMIFS(Movimientos!$C:$C,Movimientos!$A:$A,$B20,Movimientos!$D:$D,CONCATENATE("&lt;=",IE$3),Movimientos!$C:$C,"&gt;0")+SUMIFS(Movimientos!$C:$C,Movimientos!$A:$A,$B20,Movimientos!$D:$D,CONCATENATE("&lt;",IE$3),Movimientos!$C:$C,"&lt;0")</f>
        <v>0</v>
      </c>
      <c r="IF20" s="5">
        <f ca="1">SUMIFS(Movimientos!$C:$C,Movimientos!$A:$A,$B20,Movimientos!$D:$D,CONCATENATE("&lt;=",IF$3),Movimientos!$C:$C,"&gt;0")+SUMIFS(Movimientos!$C:$C,Movimientos!$A:$A,$B20,Movimientos!$D:$D,CONCATENATE("&lt;",IF$3),Movimientos!$C:$C,"&lt;0")</f>
        <v>0</v>
      </c>
      <c r="IG20" s="5">
        <f ca="1">SUMIFS(Movimientos!$C:$C,Movimientos!$A:$A,$B20,Movimientos!$D:$D,CONCATENATE("&lt;=",IG$3),Movimientos!$C:$C,"&gt;0")+SUMIFS(Movimientos!$C:$C,Movimientos!$A:$A,$B20,Movimientos!$D:$D,CONCATENATE("&lt;",IG$3),Movimientos!$C:$C,"&lt;0")</f>
        <v>0</v>
      </c>
      <c r="IH20" s="5">
        <f ca="1">SUMIFS(Movimientos!$C:$C,Movimientos!$A:$A,$B20,Movimientos!$D:$D,CONCATENATE("&lt;=",IH$3),Movimientos!$C:$C,"&gt;0")+SUMIFS(Movimientos!$C:$C,Movimientos!$A:$A,$B20,Movimientos!$D:$D,CONCATENATE("&lt;",IH$3),Movimientos!$C:$C,"&lt;0")</f>
        <v>0</v>
      </c>
      <c r="II20" s="5">
        <f ca="1">SUMIFS(Movimientos!$C:$C,Movimientos!$A:$A,$B20,Movimientos!$D:$D,CONCATENATE("&lt;=",II$3),Movimientos!$C:$C,"&gt;0")+SUMIFS(Movimientos!$C:$C,Movimientos!$A:$A,$B20,Movimientos!$D:$D,CONCATENATE("&lt;",II$3),Movimientos!$C:$C,"&lt;0")</f>
        <v>0</v>
      </c>
      <c r="IJ20" s="5">
        <f ca="1">SUMIFS(Movimientos!$C:$C,Movimientos!$A:$A,$B20,Movimientos!$D:$D,CONCATENATE("&lt;=",IJ$3),Movimientos!$C:$C,"&gt;0")+SUMIFS(Movimientos!$C:$C,Movimientos!$A:$A,$B20,Movimientos!$D:$D,CONCATENATE("&lt;",IJ$3),Movimientos!$C:$C,"&lt;0")</f>
        <v>0</v>
      </c>
      <c r="IK20" s="5">
        <f ca="1">SUMIFS(Movimientos!$C:$C,Movimientos!$A:$A,$B20,Movimientos!$D:$D,CONCATENATE("&lt;=",IK$3),Movimientos!$C:$C,"&gt;0")+SUMIFS(Movimientos!$C:$C,Movimientos!$A:$A,$B20,Movimientos!$D:$D,CONCATENATE("&lt;",IK$3),Movimientos!$C:$C,"&lt;0")</f>
        <v>0</v>
      </c>
      <c r="IL20" s="5">
        <f ca="1">SUMIFS(Movimientos!$C:$C,Movimientos!$A:$A,$B20,Movimientos!$D:$D,CONCATENATE("&lt;=",IL$3),Movimientos!$C:$C,"&gt;0")+SUMIFS(Movimientos!$C:$C,Movimientos!$A:$A,$B20,Movimientos!$D:$D,CONCATENATE("&lt;",IL$3),Movimientos!$C:$C,"&lt;0")</f>
        <v>0</v>
      </c>
      <c r="IM20" s="5">
        <f ca="1">SUMIFS(Movimientos!$C:$C,Movimientos!$A:$A,$B20,Movimientos!$D:$D,CONCATENATE("&lt;=",IM$3),Movimientos!$C:$C,"&gt;0")+SUMIFS(Movimientos!$C:$C,Movimientos!$A:$A,$B20,Movimientos!$D:$D,CONCATENATE("&lt;",IM$3),Movimientos!$C:$C,"&lt;0")</f>
        <v>0</v>
      </c>
      <c r="IN20" s="5">
        <f ca="1">SUMIFS(Movimientos!$C:$C,Movimientos!$A:$A,$B20,Movimientos!$D:$D,CONCATENATE("&lt;=",IN$3),Movimientos!$C:$C,"&gt;0")+SUMIFS(Movimientos!$C:$C,Movimientos!$A:$A,$B20,Movimientos!$D:$D,CONCATENATE("&lt;",IN$3),Movimientos!$C:$C,"&lt;0")</f>
        <v>0</v>
      </c>
      <c r="IO20" s="5">
        <f ca="1">SUMIFS(Movimientos!$C:$C,Movimientos!$A:$A,$B20,Movimientos!$D:$D,CONCATENATE("&lt;=",IO$3),Movimientos!$C:$C,"&gt;0")+SUMIFS(Movimientos!$C:$C,Movimientos!$A:$A,$B20,Movimientos!$D:$D,CONCATENATE("&lt;",IO$3),Movimientos!$C:$C,"&lt;0")</f>
        <v>0</v>
      </c>
      <c r="IP20" s="5">
        <f ca="1">SUMIFS(Movimientos!$C:$C,Movimientos!$A:$A,$B20,Movimientos!$D:$D,CONCATENATE("&lt;=",IP$3),Movimientos!$C:$C,"&gt;0")+SUMIFS(Movimientos!$C:$C,Movimientos!$A:$A,$B20,Movimientos!$D:$D,CONCATENATE("&lt;",IP$3),Movimientos!$C:$C,"&lt;0")</f>
        <v>0</v>
      </c>
      <c r="IQ20" s="5">
        <f ca="1">SUMIFS(Movimientos!$C:$C,Movimientos!$A:$A,$B20,Movimientos!$D:$D,CONCATENATE("&lt;=",IQ$3),Movimientos!$C:$C,"&gt;0")+SUMIFS(Movimientos!$C:$C,Movimientos!$A:$A,$B20,Movimientos!$D:$D,CONCATENATE("&lt;",IQ$3),Movimientos!$C:$C,"&lt;0")</f>
        <v>0</v>
      </c>
      <c r="IR20" s="5">
        <f ca="1">SUMIFS(Movimientos!$C:$C,Movimientos!$A:$A,$B20,Movimientos!$D:$D,CONCATENATE("&lt;=",IR$3),Movimientos!$C:$C,"&gt;0")+SUMIFS(Movimientos!$C:$C,Movimientos!$A:$A,$B20,Movimientos!$D:$D,CONCATENATE("&lt;",IR$3),Movimientos!$C:$C,"&lt;0")</f>
        <v>0</v>
      </c>
      <c r="IS20" s="5">
        <f ca="1">SUMIFS(Movimientos!$C:$C,Movimientos!$A:$A,$B20,Movimientos!$D:$D,CONCATENATE("&lt;=",IS$3),Movimientos!$C:$C,"&gt;0")+SUMIFS(Movimientos!$C:$C,Movimientos!$A:$A,$B20,Movimientos!$D:$D,CONCATENATE("&lt;",IS$3),Movimientos!$C:$C,"&lt;0")</f>
        <v>0</v>
      </c>
      <c r="IT20" s="5">
        <f ca="1">SUMIFS(Movimientos!$C:$C,Movimientos!$A:$A,$B20,Movimientos!$D:$D,CONCATENATE("&lt;=",IT$3),Movimientos!$C:$C,"&gt;0")+SUMIFS(Movimientos!$C:$C,Movimientos!$A:$A,$B20,Movimientos!$D:$D,CONCATENATE("&lt;",IT$3),Movimientos!$C:$C,"&lt;0")</f>
        <v>0</v>
      </c>
      <c r="IU20" s="5">
        <f ca="1">SUMIFS(Movimientos!$C:$C,Movimientos!$A:$A,$B20,Movimientos!$D:$D,CONCATENATE("&lt;=",IU$3),Movimientos!$C:$C,"&gt;0")+SUMIFS(Movimientos!$C:$C,Movimientos!$A:$A,$B20,Movimientos!$D:$D,CONCATENATE("&lt;",IU$3),Movimientos!$C:$C,"&lt;0")</f>
        <v>0</v>
      </c>
      <c r="IV20" s="5">
        <f ca="1">SUMIFS(Movimientos!$C:$C,Movimientos!$A:$A,$B20,Movimientos!$D:$D,CONCATENATE("&lt;=",IV$3),Movimientos!$C:$C,"&gt;0")+SUMIFS(Movimientos!$C:$C,Movimientos!$A:$A,$B20,Movimientos!$D:$D,CONCATENATE("&lt;",IV$3),Movimientos!$C:$C,"&lt;0")</f>
        <v>0</v>
      </c>
      <c r="IW20" s="5">
        <f ca="1">SUMIFS(Movimientos!$C:$C,Movimientos!$A:$A,$B20,Movimientos!$D:$D,CONCATENATE("&lt;=",IW$3),Movimientos!$C:$C,"&gt;0")+SUMIFS(Movimientos!$C:$C,Movimientos!$A:$A,$B20,Movimientos!$D:$D,CONCATENATE("&lt;",IW$3),Movimientos!$C:$C,"&lt;0")</f>
        <v>0</v>
      </c>
      <c r="IX20" s="5">
        <f ca="1">SUMIFS(Movimientos!$C:$C,Movimientos!$A:$A,$B20,Movimientos!$D:$D,CONCATENATE("&lt;=",IX$3),Movimientos!$C:$C,"&gt;0")+SUMIFS(Movimientos!$C:$C,Movimientos!$A:$A,$B20,Movimientos!$D:$D,CONCATENATE("&lt;",IX$3),Movimientos!$C:$C,"&lt;0")</f>
        <v>0</v>
      </c>
      <c r="IY20" s="5">
        <f ca="1">SUMIFS(Movimientos!$C:$C,Movimientos!$A:$A,$B20,Movimientos!$D:$D,CONCATENATE("&lt;=",IY$3),Movimientos!$C:$C,"&gt;0")+SUMIFS(Movimientos!$C:$C,Movimientos!$A:$A,$B20,Movimientos!$D:$D,CONCATENATE("&lt;",IY$3),Movimientos!$C:$C,"&lt;0")</f>
        <v>0</v>
      </c>
      <c r="IZ20" s="5">
        <f ca="1">SUMIFS(Movimientos!$C:$C,Movimientos!$A:$A,$B20,Movimientos!$D:$D,CONCATENATE("&lt;=",IZ$3),Movimientos!$C:$C,"&gt;0")+SUMIFS(Movimientos!$C:$C,Movimientos!$A:$A,$B20,Movimientos!$D:$D,CONCATENATE("&lt;",IZ$3),Movimientos!$C:$C,"&lt;0")</f>
        <v>0</v>
      </c>
      <c r="JA20" s="5">
        <f ca="1">SUMIFS(Movimientos!$C:$C,Movimientos!$A:$A,$B20,Movimientos!$D:$D,CONCATENATE("&lt;=",JA$3),Movimientos!$C:$C,"&gt;0")+SUMIFS(Movimientos!$C:$C,Movimientos!$A:$A,$B20,Movimientos!$D:$D,CONCATENATE("&lt;",JA$3),Movimientos!$C:$C,"&lt;0")</f>
        <v>0</v>
      </c>
      <c r="JB20" s="5">
        <f ca="1">SUMIFS(Movimientos!$C:$C,Movimientos!$A:$A,$B20,Movimientos!$D:$D,CONCATENATE("&lt;=",JB$3),Movimientos!$C:$C,"&gt;0")+SUMIFS(Movimientos!$C:$C,Movimientos!$A:$A,$B20,Movimientos!$D:$D,CONCATENATE("&lt;",JB$3),Movimientos!$C:$C,"&lt;0")</f>
        <v>0</v>
      </c>
      <c r="JC20" s="5">
        <f ca="1">SUMIFS(Movimientos!$C:$C,Movimientos!$A:$A,$B20,Movimientos!$D:$D,CONCATENATE("&lt;=",JC$3),Movimientos!$C:$C,"&gt;0")+SUMIFS(Movimientos!$C:$C,Movimientos!$A:$A,$B20,Movimientos!$D:$D,CONCATENATE("&lt;",JC$3),Movimientos!$C:$C,"&lt;0")</f>
        <v>0</v>
      </c>
      <c r="JD20" s="5">
        <f ca="1">SUMIFS(Movimientos!$C:$C,Movimientos!$A:$A,$B20,Movimientos!$D:$D,CONCATENATE("&lt;=",JD$3),Movimientos!$C:$C,"&gt;0")+SUMIFS(Movimientos!$C:$C,Movimientos!$A:$A,$B20,Movimientos!$D:$D,CONCATENATE("&lt;",JD$3),Movimientos!$C:$C,"&lt;0")</f>
        <v>0</v>
      </c>
      <c r="JE20" s="5">
        <f ca="1">SUMIFS(Movimientos!$C:$C,Movimientos!$A:$A,$B20,Movimientos!$D:$D,CONCATENATE("&lt;=",JE$3),Movimientos!$C:$C,"&gt;0")+SUMIFS(Movimientos!$C:$C,Movimientos!$A:$A,$B20,Movimientos!$D:$D,CONCATENATE("&lt;",JE$3),Movimientos!$C:$C,"&lt;0")</f>
        <v>0</v>
      </c>
      <c r="JF20" s="5">
        <f ca="1">SUMIFS(Movimientos!$C:$C,Movimientos!$A:$A,$B20,Movimientos!$D:$D,CONCATENATE("&lt;=",JF$3),Movimientos!$C:$C,"&gt;0")+SUMIFS(Movimientos!$C:$C,Movimientos!$A:$A,$B20,Movimientos!$D:$D,CONCATENATE("&lt;",JF$3),Movimientos!$C:$C,"&lt;0")</f>
        <v>0</v>
      </c>
      <c r="JG20" s="5">
        <f ca="1">SUMIFS(Movimientos!$C:$C,Movimientos!$A:$A,$B20,Movimientos!$D:$D,CONCATENATE("&lt;=",JG$3),Movimientos!$C:$C,"&gt;0")+SUMIFS(Movimientos!$C:$C,Movimientos!$A:$A,$B20,Movimientos!$D:$D,CONCATENATE("&lt;",JG$3),Movimientos!$C:$C,"&lt;0")</f>
        <v>0</v>
      </c>
      <c r="JH20" s="5">
        <f ca="1">SUMIFS(Movimientos!$C:$C,Movimientos!$A:$A,$B20,Movimientos!$D:$D,CONCATENATE("&lt;=",JH$3),Movimientos!$C:$C,"&gt;0")+SUMIFS(Movimientos!$C:$C,Movimientos!$A:$A,$B20,Movimientos!$D:$D,CONCATENATE("&lt;",JH$3),Movimientos!$C:$C,"&lt;0")</f>
        <v>0</v>
      </c>
      <c r="JI20" s="5">
        <f ca="1">SUMIFS(Movimientos!$C:$C,Movimientos!$A:$A,$B20,Movimientos!$D:$D,CONCATENATE("&lt;=",JI$3),Movimientos!$C:$C,"&gt;0")+SUMIFS(Movimientos!$C:$C,Movimientos!$A:$A,$B20,Movimientos!$D:$D,CONCATENATE("&lt;",JI$3),Movimientos!$C:$C,"&lt;0")</f>
        <v>0</v>
      </c>
      <c r="JJ20" s="5">
        <f ca="1">SUMIFS(Movimientos!$C:$C,Movimientos!$A:$A,$B20,Movimientos!$D:$D,CONCATENATE("&lt;=",JJ$3),Movimientos!$C:$C,"&gt;0")+SUMIFS(Movimientos!$C:$C,Movimientos!$A:$A,$B20,Movimientos!$D:$D,CONCATENATE("&lt;",JJ$3),Movimientos!$C:$C,"&lt;0")</f>
        <v>0</v>
      </c>
      <c r="JK20" s="5">
        <f ca="1">SUMIFS(Movimientos!$C:$C,Movimientos!$A:$A,$B20,Movimientos!$D:$D,CONCATENATE("&lt;=",JK$3),Movimientos!$C:$C,"&gt;0")+SUMIFS(Movimientos!$C:$C,Movimientos!$A:$A,$B20,Movimientos!$D:$D,CONCATENATE("&lt;",JK$3),Movimientos!$C:$C,"&lt;0")</f>
        <v>0</v>
      </c>
      <c r="JL20" s="5">
        <f ca="1">SUMIFS(Movimientos!$C:$C,Movimientos!$A:$A,$B20,Movimientos!$D:$D,CONCATENATE("&lt;=",JL$3),Movimientos!$C:$C,"&gt;0")+SUMIFS(Movimientos!$C:$C,Movimientos!$A:$A,$B20,Movimientos!$D:$D,CONCATENATE("&lt;",JL$3),Movimientos!$C:$C,"&lt;0")</f>
        <v>0</v>
      </c>
      <c r="JM20" s="5">
        <f ca="1">SUMIFS(Movimientos!$C:$C,Movimientos!$A:$A,$B20,Movimientos!$D:$D,CONCATENATE("&lt;=",JM$3),Movimientos!$C:$C,"&gt;0")+SUMIFS(Movimientos!$C:$C,Movimientos!$A:$A,$B20,Movimientos!$D:$D,CONCATENATE("&lt;",JM$3),Movimientos!$C:$C,"&lt;0")</f>
        <v>0</v>
      </c>
      <c r="JN20" s="5">
        <f ca="1">SUMIFS(Movimientos!$C:$C,Movimientos!$A:$A,$B20,Movimientos!$D:$D,CONCATENATE("&lt;=",JN$3),Movimientos!$C:$C,"&gt;0")+SUMIFS(Movimientos!$C:$C,Movimientos!$A:$A,$B20,Movimientos!$D:$D,CONCATENATE("&lt;",JN$3),Movimientos!$C:$C,"&lt;0")</f>
        <v>0</v>
      </c>
      <c r="JO20" s="5">
        <f ca="1">SUMIFS(Movimientos!$C:$C,Movimientos!$A:$A,$B20,Movimientos!$D:$D,CONCATENATE("&lt;=",JO$3),Movimientos!$C:$C,"&gt;0")+SUMIFS(Movimientos!$C:$C,Movimientos!$A:$A,$B20,Movimientos!$D:$D,CONCATENATE("&lt;",JO$3),Movimientos!$C:$C,"&lt;0")</f>
        <v>0</v>
      </c>
      <c r="JP20" s="5">
        <f ca="1">SUMIFS(Movimientos!$C:$C,Movimientos!$A:$A,$B20,Movimientos!$D:$D,CONCATENATE("&lt;=",JP$3),Movimientos!$C:$C,"&gt;0")+SUMIFS(Movimientos!$C:$C,Movimientos!$A:$A,$B20,Movimientos!$D:$D,CONCATENATE("&lt;",JP$3),Movimientos!$C:$C,"&lt;0")</f>
        <v>0</v>
      </c>
      <c r="JQ20" s="5">
        <f ca="1">SUMIFS(Movimientos!$C:$C,Movimientos!$A:$A,$B20,Movimientos!$D:$D,CONCATENATE("&lt;=",JQ$3),Movimientos!$C:$C,"&gt;0")+SUMIFS(Movimientos!$C:$C,Movimientos!$A:$A,$B20,Movimientos!$D:$D,CONCATENATE("&lt;",JQ$3),Movimientos!$C:$C,"&lt;0")</f>
        <v>0</v>
      </c>
      <c r="JR20" s="5">
        <f ca="1">SUMIFS(Movimientos!$C:$C,Movimientos!$A:$A,$B20,Movimientos!$D:$D,CONCATENATE("&lt;=",JR$3),Movimientos!$C:$C,"&gt;0")+SUMIFS(Movimientos!$C:$C,Movimientos!$A:$A,$B20,Movimientos!$D:$D,CONCATENATE("&lt;",JR$3),Movimientos!$C:$C,"&lt;0")</f>
        <v>0</v>
      </c>
      <c r="JS20" s="5">
        <f ca="1">SUMIFS(Movimientos!$C:$C,Movimientos!$A:$A,$B20,Movimientos!$D:$D,CONCATENATE("&lt;=",JS$3),Movimientos!$C:$C,"&gt;0")+SUMIFS(Movimientos!$C:$C,Movimientos!$A:$A,$B20,Movimientos!$D:$D,CONCATENATE("&lt;",JS$3),Movimientos!$C:$C,"&lt;0")</f>
        <v>0</v>
      </c>
      <c r="JT20" s="5">
        <f ca="1">SUMIFS(Movimientos!$C:$C,Movimientos!$A:$A,$B20,Movimientos!$D:$D,CONCATENATE("&lt;=",JT$3),Movimientos!$C:$C,"&gt;0")+SUMIFS(Movimientos!$C:$C,Movimientos!$A:$A,$B20,Movimientos!$D:$D,CONCATENATE("&lt;",JT$3),Movimientos!$C:$C,"&lt;0")</f>
        <v>0</v>
      </c>
      <c r="JU20" s="5">
        <f ca="1">SUMIFS(Movimientos!$C:$C,Movimientos!$A:$A,$B20,Movimientos!$D:$D,CONCATENATE("&lt;=",JU$3),Movimientos!$C:$C,"&gt;0")+SUMIFS(Movimientos!$C:$C,Movimientos!$A:$A,$B20,Movimientos!$D:$D,CONCATENATE("&lt;",JU$3),Movimientos!$C:$C,"&lt;0")</f>
        <v>0</v>
      </c>
      <c r="JV20" s="5">
        <f ca="1">SUMIFS(Movimientos!$C:$C,Movimientos!$A:$A,$B20,Movimientos!$D:$D,CONCATENATE("&lt;=",JV$3),Movimientos!$C:$C,"&gt;0")+SUMIFS(Movimientos!$C:$C,Movimientos!$A:$A,$B20,Movimientos!$D:$D,CONCATENATE("&lt;",JV$3),Movimientos!$C:$C,"&lt;0")</f>
        <v>0</v>
      </c>
      <c r="JW20" s="5">
        <f ca="1">SUMIFS(Movimientos!$C:$C,Movimientos!$A:$A,$B20,Movimientos!$D:$D,CONCATENATE("&lt;=",JW$3),Movimientos!$C:$C,"&gt;0")+SUMIFS(Movimientos!$C:$C,Movimientos!$A:$A,$B20,Movimientos!$D:$D,CONCATENATE("&lt;",JW$3),Movimientos!$C:$C,"&lt;0")</f>
        <v>0</v>
      </c>
      <c r="JX20" s="5">
        <f ca="1">SUMIFS(Movimientos!$C:$C,Movimientos!$A:$A,$B20,Movimientos!$D:$D,CONCATENATE("&lt;=",JX$3),Movimientos!$C:$C,"&gt;0")+SUMIFS(Movimientos!$C:$C,Movimientos!$A:$A,$B20,Movimientos!$D:$D,CONCATENATE("&lt;",JX$3),Movimientos!$C:$C,"&lt;0")</f>
        <v>0</v>
      </c>
      <c r="JY20" s="5">
        <f ca="1">SUMIFS(Movimientos!$C:$C,Movimientos!$A:$A,$B20,Movimientos!$D:$D,CONCATENATE("&lt;=",JY$3),Movimientos!$C:$C,"&gt;0")+SUMIFS(Movimientos!$C:$C,Movimientos!$A:$A,$B20,Movimientos!$D:$D,CONCATENATE("&lt;",JY$3),Movimientos!$C:$C,"&lt;0")</f>
        <v>0</v>
      </c>
      <c r="JZ20" s="5">
        <f ca="1">SUMIFS(Movimientos!$C:$C,Movimientos!$A:$A,$B20,Movimientos!$D:$D,CONCATENATE("&lt;=",JZ$3),Movimientos!$C:$C,"&gt;0")+SUMIFS(Movimientos!$C:$C,Movimientos!$A:$A,$B20,Movimientos!$D:$D,CONCATENATE("&lt;",JZ$3),Movimientos!$C:$C,"&lt;0")</f>
        <v>0</v>
      </c>
      <c r="KA20" s="5">
        <f ca="1">SUMIFS(Movimientos!$C:$C,Movimientos!$A:$A,$B20,Movimientos!$D:$D,CONCATENATE("&lt;=",KA$3),Movimientos!$C:$C,"&gt;0")+SUMIFS(Movimientos!$C:$C,Movimientos!$A:$A,$B20,Movimientos!$D:$D,CONCATENATE("&lt;",KA$3),Movimientos!$C:$C,"&lt;0")</f>
        <v>0</v>
      </c>
      <c r="KB20" s="5">
        <f ca="1">SUMIFS(Movimientos!$C:$C,Movimientos!$A:$A,$B20,Movimientos!$D:$D,CONCATENATE("&lt;=",KB$3),Movimientos!$C:$C,"&gt;0")+SUMIFS(Movimientos!$C:$C,Movimientos!$A:$A,$B20,Movimientos!$D:$D,CONCATENATE("&lt;",KB$3),Movimientos!$C:$C,"&lt;0")</f>
        <v>0</v>
      </c>
      <c r="KC20" s="5">
        <f ca="1">SUMIFS(Movimientos!$C:$C,Movimientos!$A:$A,$B20,Movimientos!$D:$D,CONCATENATE("&lt;=",KC$3),Movimientos!$C:$C,"&gt;0")+SUMIFS(Movimientos!$C:$C,Movimientos!$A:$A,$B20,Movimientos!$D:$D,CONCATENATE("&lt;",KC$3),Movimientos!$C:$C,"&lt;0")</f>
        <v>0</v>
      </c>
      <c r="KD20" s="5">
        <f ca="1">SUMIFS(Movimientos!$C:$C,Movimientos!$A:$A,$B20,Movimientos!$D:$D,CONCATENATE("&lt;=",KD$3),Movimientos!$C:$C,"&gt;0")+SUMIFS(Movimientos!$C:$C,Movimientos!$A:$A,$B20,Movimientos!$D:$D,CONCATENATE("&lt;",KD$3),Movimientos!$C:$C,"&lt;0")</f>
        <v>0</v>
      </c>
      <c r="KE20" s="5">
        <f ca="1">SUMIFS(Movimientos!$C:$C,Movimientos!$A:$A,$B20,Movimientos!$D:$D,CONCATENATE("&lt;=",KE$3),Movimientos!$C:$C,"&gt;0")+SUMIFS(Movimientos!$C:$C,Movimientos!$A:$A,$B20,Movimientos!$D:$D,CONCATENATE("&lt;",KE$3),Movimientos!$C:$C,"&lt;0")</f>
        <v>0</v>
      </c>
      <c r="KF20" s="5">
        <f ca="1">SUMIFS(Movimientos!$C:$C,Movimientos!$A:$A,$B20,Movimientos!$D:$D,CONCATENATE("&lt;=",KF$3),Movimientos!$C:$C,"&gt;0")+SUMIFS(Movimientos!$C:$C,Movimientos!$A:$A,$B20,Movimientos!$D:$D,CONCATENATE("&lt;",KF$3),Movimientos!$C:$C,"&lt;0")</f>
        <v>0</v>
      </c>
      <c r="KG20" s="5">
        <f ca="1">SUMIFS(Movimientos!$C:$C,Movimientos!$A:$A,$B20,Movimientos!$D:$D,CONCATENATE("&lt;=",KG$3),Movimientos!$C:$C,"&gt;0")+SUMIFS(Movimientos!$C:$C,Movimientos!$A:$A,$B20,Movimientos!$D:$D,CONCATENATE("&lt;",KG$3),Movimientos!$C:$C,"&lt;0")</f>
        <v>0</v>
      </c>
      <c r="KH20" s="5">
        <f ca="1">SUMIFS(Movimientos!$C:$C,Movimientos!$A:$A,$B20,Movimientos!$D:$D,CONCATENATE("&lt;=",KH$3),Movimientos!$C:$C,"&gt;0")+SUMIFS(Movimientos!$C:$C,Movimientos!$A:$A,$B20,Movimientos!$D:$D,CONCATENATE("&lt;",KH$3),Movimientos!$C:$C,"&lt;0")</f>
        <v>0</v>
      </c>
      <c r="KI20" s="5">
        <f ca="1">SUMIFS(Movimientos!$C:$C,Movimientos!$A:$A,$B20,Movimientos!$D:$D,CONCATENATE("&lt;=",KI$3),Movimientos!$C:$C,"&gt;0")+SUMIFS(Movimientos!$C:$C,Movimientos!$A:$A,$B20,Movimientos!$D:$D,CONCATENATE("&lt;",KI$3),Movimientos!$C:$C,"&lt;0")</f>
        <v>0</v>
      </c>
      <c r="KJ20" s="5">
        <f ca="1">SUMIFS(Movimientos!$C:$C,Movimientos!$A:$A,$B20,Movimientos!$D:$D,CONCATENATE("&lt;=",KJ$3),Movimientos!$C:$C,"&gt;0")+SUMIFS(Movimientos!$C:$C,Movimientos!$A:$A,$B20,Movimientos!$D:$D,CONCATENATE("&lt;",KJ$3),Movimientos!$C:$C,"&lt;0")</f>
        <v>0</v>
      </c>
      <c r="KK20" s="5">
        <f ca="1">SUMIFS(Movimientos!$C:$C,Movimientos!$A:$A,$B20,Movimientos!$D:$D,CONCATENATE("&lt;=",KK$3),Movimientos!$C:$C,"&gt;0")+SUMIFS(Movimientos!$C:$C,Movimientos!$A:$A,$B20,Movimientos!$D:$D,CONCATENATE("&lt;",KK$3),Movimientos!$C:$C,"&lt;0")</f>
        <v>0</v>
      </c>
      <c r="KL20" s="5">
        <f ca="1">SUMIFS(Movimientos!$C:$C,Movimientos!$A:$A,$B20,Movimientos!$D:$D,CONCATENATE("&lt;=",KL$3),Movimientos!$C:$C,"&gt;0")+SUMIFS(Movimientos!$C:$C,Movimientos!$A:$A,$B20,Movimientos!$D:$D,CONCATENATE("&lt;",KL$3),Movimientos!$C:$C,"&lt;0")</f>
        <v>0</v>
      </c>
      <c r="KM20" s="5">
        <f ca="1">SUMIFS(Movimientos!$C:$C,Movimientos!$A:$A,$B20,Movimientos!$D:$D,CONCATENATE("&lt;=",KM$3),Movimientos!$C:$C,"&gt;0")+SUMIFS(Movimientos!$C:$C,Movimientos!$A:$A,$B20,Movimientos!$D:$D,CONCATENATE("&lt;",KM$3),Movimientos!$C:$C,"&lt;0")</f>
        <v>0</v>
      </c>
      <c r="KN20" s="5">
        <f ca="1">SUMIFS(Movimientos!$C:$C,Movimientos!$A:$A,$B20,Movimientos!$D:$D,CONCATENATE("&lt;=",KN$3),Movimientos!$C:$C,"&gt;0")+SUMIFS(Movimientos!$C:$C,Movimientos!$A:$A,$B20,Movimientos!$D:$D,CONCATENATE("&lt;",KN$3),Movimientos!$C:$C,"&lt;0")</f>
        <v>0</v>
      </c>
      <c r="KO20" s="5">
        <f ca="1">SUMIFS(Movimientos!$C:$C,Movimientos!$A:$A,$B20,Movimientos!$D:$D,CONCATENATE("&lt;=",KO$3),Movimientos!$C:$C,"&gt;0")+SUMIFS(Movimientos!$C:$C,Movimientos!$A:$A,$B20,Movimientos!$D:$D,CONCATENATE("&lt;",KO$3),Movimientos!$C:$C,"&lt;0")</f>
        <v>0</v>
      </c>
      <c r="KP20" s="5">
        <f ca="1">SUMIFS(Movimientos!$C:$C,Movimientos!$A:$A,$B20,Movimientos!$D:$D,CONCATENATE("&lt;=",KP$3),Movimientos!$C:$C,"&gt;0")+SUMIFS(Movimientos!$C:$C,Movimientos!$A:$A,$B20,Movimientos!$D:$D,CONCATENATE("&lt;",KP$3),Movimientos!$C:$C,"&lt;0")</f>
        <v>0</v>
      </c>
      <c r="KQ20" s="5">
        <f ca="1">SUMIFS(Movimientos!$C:$C,Movimientos!$A:$A,$B20,Movimientos!$D:$D,CONCATENATE("&lt;=",KQ$3),Movimientos!$C:$C,"&gt;0")+SUMIFS(Movimientos!$C:$C,Movimientos!$A:$A,$B20,Movimientos!$D:$D,CONCATENATE("&lt;",KQ$3),Movimientos!$C:$C,"&lt;0")</f>
        <v>0</v>
      </c>
      <c r="KR20" s="5">
        <f ca="1">SUMIFS(Movimientos!$C:$C,Movimientos!$A:$A,$B20,Movimientos!$D:$D,CONCATENATE("&lt;=",KR$3),Movimientos!$C:$C,"&gt;0")+SUMIFS(Movimientos!$C:$C,Movimientos!$A:$A,$B20,Movimientos!$D:$D,CONCATENATE("&lt;",KR$3),Movimientos!$C:$C,"&lt;0")</f>
        <v>0</v>
      </c>
      <c r="KS20" s="5">
        <f ca="1">SUMIFS(Movimientos!$C:$C,Movimientos!$A:$A,$B20,Movimientos!$D:$D,CONCATENATE("&lt;=",KS$3),Movimientos!$C:$C,"&gt;0")+SUMIFS(Movimientos!$C:$C,Movimientos!$A:$A,$B20,Movimientos!$D:$D,CONCATENATE("&lt;",KS$3),Movimientos!$C:$C,"&lt;0")</f>
        <v>0</v>
      </c>
      <c r="KT20" s="5">
        <f ca="1">SUMIFS(Movimientos!$C:$C,Movimientos!$A:$A,$B20,Movimientos!$D:$D,CONCATENATE("&lt;=",KT$3),Movimientos!$C:$C,"&gt;0")+SUMIFS(Movimientos!$C:$C,Movimientos!$A:$A,$B20,Movimientos!$D:$D,CONCATENATE("&lt;",KT$3),Movimientos!$C:$C,"&lt;0")</f>
        <v>0</v>
      </c>
      <c r="KU20" s="5">
        <f ca="1">SUMIFS(Movimientos!$C:$C,Movimientos!$A:$A,$B20,Movimientos!$D:$D,CONCATENATE("&lt;=",KU$3),Movimientos!$C:$C,"&gt;0")+SUMIFS(Movimientos!$C:$C,Movimientos!$A:$A,$B20,Movimientos!$D:$D,CONCATENATE("&lt;",KU$3),Movimientos!$C:$C,"&lt;0")</f>
        <v>0</v>
      </c>
      <c r="KV20" s="5">
        <f ca="1">SUMIFS(Movimientos!$C:$C,Movimientos!$A:$A,$B20,Movimientos!$D:$D,CONCATENATE("&lt;=",KV$3),Movimientos!$C:$C,"&gt;0")+SUMIFS(Movimientos!$C:$C,Movimientos!$A:$A,$B20,Movimientos!$D:$D,CONCATENATE("&lt;",KV$3),Movimientos!$C:$C,"&lt;0")</f>
        <v>0</v>
      </c>
      <c r="KW20" s="5">
        <f ca="1">SUMIFS(Movimientos!$C:$C,Movimientos!$A:$A,$B20,Movimientos!$D:$D,CONCATENATE("&lt;=",KW$3),Movimientos!$C:$C,"&gt;0")+SUMIFS(Movimientos!$C:$C,Movimientos!$A:$A,$B20,Movimientos!$D:$D,CONCATENATE("&lt;",KW$3),Movimientos!$C:$C,"&lt;0")</f>
        <v>0</v>
      </c>
      <c r="KX20" s="5">
        <f ca="1">SUMIFS(Movimientos!$C:$C,Movimientos!$A:$A,$B20,Movimientos!$D:$D,CONCATENATE("&lt;=",KX$3),Movimientos!$C:$C,"&gt;0")+SUMIFS(Movimientos!$C:$C,Movimientos!$A:$A,$B20,Movimientos!$D:$D,CONCATENATE("&lt;",KX$3),Movimientos!$C:$C,"&lt;0")</f>
        <v>0</v>
      </c>
      <c r="KY20" s="5">
        <f ca="1">SUMIFS(Movimientos!$C:$C,Movimientos!$A:$A,$B20,Movimientos!$D:$D,CONCATENATE("&lt;=",KY$3),Movimientos!$C:$C,"&gt;0")+SUMIFS(Movimientos!$C:$C,Movimientos!$A:$A,$B20,Movimientos!$D:$D,CONCATENATE("&lt;",KY$3),Movimientos!$C:$C,"&lt;0")</f>
        <v>0</v>
      </c>
      <c r="KZ20" s="5">
        <f ca="1">SUMIFS(Movimientos!$C:$C,Movimientos!$A:$A,$B20,Movimientos!$D:$D,CONCATENATE("&lt;=",KZ$3),Movimientos!$C:$C,"&gt;0")+SUMIFS(Movimientos!$C:$C,Movimientos!$A:$A,$B20,Movimientos!$D:$D,CONCATENATE("&lt;",KZ$3),Movimientos!$C:$C,"&lt;0")</f>
        <v>0</v>
      </c>
      <c r="LA20" s="5">
        <f ca="1">SUMIFS(Movimientos!$C:$C,Movimientos!$A:$A,$B20,Movimientos!$D:$D,CONCATENATE("&lt;=",LA$3),Movimientos!$C:$C,"&gt;0")+SUMIFS(Movimientos!$C:$C,Movimientos!$A:$A,$B20,Movimientos!$D:$D,CONCATENATE("&lt;",LA$3),Movimientos!$C:$C,"&lt;0")</f>
        <v>0</v>
      </c>
      <c r="LB20" s="5">
        <f ca="1">SUMIFS(Movimientos!$C:$C,Movimientos!$A:$A,$B20,Movimientos!$D:$D,CONCATENATE("&lt;=",LB$3),Movimientos!$C:$C,"&gt;0")+SUMIFS(Movimientos!$C:$C,Movimientos!$A:$A,$B20,Movimientos!$D:$D,CONCATENATE("&lt;",LB$3),Movimientos!$C:$C,"&lt;0")</f>
        <v>0</v>
      </c>
      <c r="LC20" s="5">
        <f ca="1">SUMIFS(Movimientos!$C:$C,Movimientos!$A:$A,$B20,Movimientos!$D:$D,CONCATENATE("&lt;=",LC$3),Movimientos!$C:$C,"&gt;0")+SUMIFS(Movimientos!$C:$C,Movimientos!$A:$A,$B20,Movimientos!$D:$D,CONCATENATE("&lt;",LC$3),Movimientos!$C:$C,"&lt;0")</f>
        <v>0</v>
      </c>
      <c r="LD20" s="5">
        <f ca="1">SUMIFS(Movimientos!$C:$C,Movimientos!$A:$A,$B20,Movimientos!$D:$D,CONCATENATE("&lt;=",LD$3),Movimientos!$C:$C,"&gt;0")+SUMIFS(Movimientos!$C:$C,Movimientos!$A:$A,$B20,Movimientos!$D:$D,CONCATENATE("&lt;",LD$3),Movimientos!$C:$C,"&lt;0")</f>
        <v>0</v>
      </c>
      <c r="LE20" s="5">
        <f ca="1">SUMIFS(Movimientos!$C:$C,Movimientos!$A:$A,$B20,Movimientos!$D:$D,CONCATENATE("&lt;=",LE$3),Movimientos!$C:$C,"&gt;0")+SUMIFS(Movimientos!$C:$C,Movimientos!$A:$A,$B20,Movimientos!$D:$D,CONCATENATE("&lt;",LE$3),Movimientos!$C:$C,"&lt;0")</f>
        <v>0</v>
      </c>
      <c r="LF20" s="5">
        <f ca="1">SUMIFS(Movimientos!$C:$C,Movimientos!$A:$A,$B20,Movimientos!$D:$D,CONCATENATE("&lt;=",LF$3),Movimientos!$C:$C,"&gt;0")+SUMIFS(Movimientos!$C:$C,Movimientos!$A:$A,$B20,Movimientos!$D:$D,CONCATENATE("&lt;",LF$3),Movimientos!$C:$C,"&lt;0")</f>
        <v>0</v>
      </c>
      <c r="LG20" s="5">
        <f ca="1">SUMIFS(Movimientos!$C:$C,Movimientos!$A:$A,$B20,Movimientos!$D:$D,CONCATENATE("&lt;=",LG$3),Movimientos!$C:$C,"&gt;0")+SUMIFS(Movimientos!$C:$C,Movimientos!$A:$A,$B20,Movimientos!$D:$D,CONCATENATE("&lt;",LG$3),Movimientos!$C:$C,"&lt;0")</f>
        <v>0</v>
      </c>
      <c r="LH20" s="5">
        <f ca="1">SUMIFS(Movimientos!$C:$C,Movimientos!$A:$A,$B20,Movimientos!$D:$D,CONCATENATE("&lt;=",LH$3),Movimientos!$C:$C,"&gt;0")+SUMIFS(Movimientos!$C:$C,Movimientos!$A:$A,$B20,Movimientos!$D:$D,CONCATENATE("&lt;",LH$3),Movimientos!$C:$C,"&lt;0")</f>
        <v>0</v>
      </c>
      <c r="LI20" s="5">
        <f ca="1">SUMIFS(Movimientos!$C:$C,Movimientos!$A:$A,$B20,Movimientos!$D:$D,CONCATENATE("&lt;=",LI$3),Movimientos!$C:$C,"&gt;0")+SUMIFS(Movimientos!$C:$C,Movimientos!$A:$A,$B20,Movimientos!$D:$D,CONCATENATE("&lt;",LI$3),Movimientos!$C:$C,"&lt;0")</f>
        <v>0</v>
      </c>
      <c r="LJ20" s="5">
        <f ca="1">SUMIFS(Movimientos!$C:$C,Movimientos!$A:$A,$B20,Movimientos!$D:$D,CONCATENATE("&lt;=",LJ$3),Movimientos!$C:$C,"&gt;0")+SUMIFS(Movimientos!$C:$C,Movimientos!$A:$A,$B20,Movimientos!$D:$D,CONCATENATE("&lt;",LJ$3),Movimientos!$C:$C,"&lt;0")</f>
        <v>0</v>
      </c>
      <c r="LK20" s="5">
        <f ca="1">SUMIFS(Movimientos!$C:$C,Movimientos!$A:$A,$B20,Movimientos!$D:$D,CONCATENATE("&lt;=",LK$3),Movimientos!$C:$C,"&gt;0")+SUMIFS(Movimientos!$C:$C,Movimientos!$A:$A,$B20,Movimientos!$D:$D,CONCATENATE("&lt;",LK$3),Movimientos!$C:$C,"&lt;0")</f>
        <v>0</v>
      </c>
      <c r="LL20" s="5">
        <f ca="1">SUMIFS(Movimientos!$C:$C,Movimientos!$A:$A,$B20,Movimientos!$D:$D,CONCATENATE("&lt;=",LL$3),Movimientos!$C:$C,"&gt;0")+SUMIFS(Movimientos!$C:$C,Movimientos!$A:$A,$B20,Movimientos!$D:$D,CONCATENATE("&lt;",LL$3),Movimientos!$C:$C,"&lt;0")</f>
        <v>0</v>
      </c>
      <c r="LM20" s="5">
        <f ca="1">SUMIFS(Movimientos!$C:$C,Movimientos!$A:$A,$B20,Movimientos!$D:$D,CONCATENATE("&lt;=",LM$3),Movimientos!$C:$C,"&gt;0")+SUMIFS(Movimientos!$C:$C,Movimientos!$A:$A,$B20,Movimientos!$D:$D,CONCATENATE("&lt;",LM$3),Movimientos!$C:$C,"&lt;0")</f>
        <v>0</v>
      </c>
      <c r="LN20" s="5">
        <f ca="1">SUMIFS(Movimientos!$C:$C,Movimientos!$A:$A,$B20,Movimientos!$D:$D,CONCATENATE("&lt;=",LN$3),Movimientos!$C:$C,"&gt;0")+SUMIFS(Movimientos!$C:$C,Movimientos!$A:$A,$B20,Movimientos!$D:$D,CONCATENATE("&lt;",LN$3),Movimientos!$C:$C,"&lt;0")</f>
        <v>0</v>
      </c>
      <c r="LO20" s="5">
        <f ca="1">SUMIFS(Movimientos!$C:$C,Movimientos!$A:$A,$B20,Movimientos!$D:$D,CONCATENATE("&lt;=",LO$3),Movimientos!$C:$C,"&gt;0")+SUMIFS(Movimientos!$C:$C,Movimientos!$A:$A,$B20,Movimientos!$D:$D,CONCATENATE("&lt;",LO$3),Movimientos!$C:$C,"&lt;0")</f>
        <v>0</v>
      </c>
      <c r="LP20" s="5">
        <f ca="1">SUMIFS(Movimientos!$C:$C,Movimientos!$A:$A,$B20,Movimientos!$D:$D,CONCATENATE("&lt;=",LP$3),Movimientos!$C:$C,"&gt;0")+SUMIFS(Movimientos!$C:$C,Movimientos!$A:$A,$B20,Movimientos!$D:$D,CONCATENATE("&lt;",LP$3),Movimientos!$C:$C,"&lt;0")</f>
        <v>0</v>
      </c>
      <c r="LQ20" s="5">
        <f ca="1">SUMIFS(Movimientos!$C:$C,Movimientos!$A:$A,$B20,Movimientos!$D:$D,CONCATENATE("&lt;=",LQ$3),Movimientos!$C:$C,"&gt;0")+SUMIFS(Movimientos!$C:$C,Movimientos!$A:$A,$B20,Movimientos!$D:$D,CONCATENATE("&lt;",LQ$3),Movimientos!$C:$C,"&lt;0")</f>
        <v>0</v>
      </c>
      <c r="LR20" s="5">
        <f ca="1">SUMIFS(Movimientos!$C:$C,Movimientos!$A:$A,$B20,Movimientos!$D:$D,CONCATENATE("&lt;=",LR$3),Movimientos!$C:$C,"&gt;0")+SUMIFS(Movimientos!$C:$C,Movimientos!$A:$A,$B20,Movimientos!$D:$D,CONCATENATE("&lt;",LR$3),Movimientos!$C:$C,"&lt;0")</f>
        <v>0</v>
      </c>
      <c r="LS20" s="5">
        <f ca="1">SUMIFS(Movimientos!$C:$C,Movimientos!$A:$A,$B20,Movimientos!$D:$D,CONCATENATE("&lt;=",LS$3),Movimientos!$C:$C,"&gt;0")+SUMIFS(Movimientos!$C:$C,Movimientos!$A:$A,$B20,Movimientos!$D:$D,CONCATENATE("&lt;",LS$3),Movimientos!$C:$C,"&lt;0")</f>
        <v>0</v>
      </c>
      <c r="LT20" s="5">
        <f ca="1">SUMIFS(Movimientos!$C:$C,Movimientos!$A:$A,$B20,Movimientos!$D:$D,CONCATENATE("&lt;=",LT$3),Movimientos!$C:$C,"&gt;0")+SUMIFS(Movimientos!$C:$C,Movimientos!$A:$A,$B20,Movimientos!$D:$D,CONCATENATE("&lt;",LT$3),Movimientos!$C:$C,"&lt;0")</f>
        <v>0</v>
      </c>
      <c r="LU20" s="5">
        <f ca="1">SUMIFS(Movimientos!$C:$C,Movimientos!$A:$A,$B20,Movimientos!$D:$D,CONCATENATE("&lt;=",LU$3),Movimientos!$C:$C,"&gt;0")+SUMIFS(Movimientos!$C:$C,Movimientos!$A:$A,$B20,Movimientos!$D:$D,CONCATENATE("&lt;",LU$3),Movimientos!$C:$C,"&lt;0")</f>
        <v>0</v>
      </c>
      <c r="LV20" s="5">
        <f ca="1">SUMIFS(Movimientos!$C:$C,Movimientos!$A:$A,$B20,Movimientos!$D:$D,CONCATENATE("&lt;=",LV$3),Movimientos!$C:$C,"&gt;0")+SUMIFS(Movimientos!$C:$C,Movimientos!$A:$A,$B20,Movimientos!$D:$D,CONCATENATE("&lt;",LV$3),Movimientos!$C:$C,"&lt;0")</f>
        <v>0</v>
      </c>
      <c r="LW20" s="5">
        <f ca="1">SUMIFS(Movimientos!$C:$C,Movimientos!$A:$A,$B20,Movimientos!$D:$D,CONCATENATE("&lt;=",LW$3),Movimientos!$C:$C,"&gt;0")+SUMIFS(Movimientos!$C:$C,Movimientos!$A:$A,$B20,Movimientos!$D:$D,CONCATENATE("&lt;",LW$3),Movimientos!$C:$C,"&lt;0")</f>
        <v>0</v>
      </c>
      <c r="LX20" s="5">
        <f ca="1">SUMIFS(Movimientos!$C:$C,Movimientos!$A:$A,$B20,Movimientos!$D:$D,CONCATENATE("&lt;=",LX$3),Movimientos!$C:$C,"&gt;0")+SUMIFS(Movimientos!$C:$C,Movimientos!$A:$A,$B20,Movimientos!$D:$D,CONCATENATE("&lt;",LX$3),Movimientos!$C:$C,"&lt;0")</f>
        <v>0</v>
      </c>
      <c r="LY20" s="5">
        <f ca="1">SUMIFS(Movimientos!$C:$C,Movimientos!$A:$A,$B20,Movimientos!$D:$D,CONCATENATE("&lt;=",LY$3),Movimientos!$C:$C,"&gt;0")+SUMIFS(Movimientos!$C:$C,Movimientos!$A:$A,$B20,Movimientos!$D:$D,CONCATENATE("&lt;",LY$3),Movimientos!$C:$C,"&lt;0")</f>
        <v>0</v>
      </c>
      <c r="LZ20" s="5">
        <f ca="1">SUMIFS(Movimientos!$C:$C,Movimientos!$A:$A,$B20,Movimientos!$D:$D,CONCATENATE("&lt;=",LZ$3),Movimientos!$C:$C,"&gt;0")+SUMIFS(Movimientos!$C:$C,Movimientos!$A:$A,$B20,Movimientos!$D:$D,CONCATENATE("&lt;",LZ$3),Movimientos!$C:$C,"&lt;0")</f>
        <v>0</v>
      </c>
      <c r="MA20" s="5">
        <f ca="1">SUMIFS(Movimientos!$C:$C,Movimientos!$A:$A,$B20,Movimientos!$D:$D,CONCATENATE("&lt;=",MA$3),Movimientos!$C:$C,"&gt;0")+SUMIFS(Movimientos!$C:$C,Movimientos!$A:$A,$B20,Movimientos!$D:$D,CONCATENATE("&lt;",MA$3),Movimientos!$C:$C,"&lt;0")</f>
        <v>0</v>
      </c>
      <c r="MB20" s="5">
        <f ca="1">SUMIFS(Movimientos!$C:$C,Movimientos!$A:$A,$B20,Movimientos!$D:$D,CONCATENATE("&lt;=",MB$3),Movimientos!$C:$C,"&gt;0")+SUMIFS(Movimientos!$C:$C,Movimientos!$A:$A,$B20,Movimientos!$D:$D,CONCATENATE("&lt;",MB$3),Movimientos!$C:$C,"&lt;0")</f>
        <v>0</v>
      </c>
      <c r="MC20" s="5">
        <f ca="1">SUMIFS(Movimientos!$C:$C,Movimientos!$A:$A,$B20,Movimientos!$D:$D,CONCATENATE("&lt;=",MC$3),Movimientos!$C:$C,"&gt;0")+SUMIFS(Movimientos!$C:$C,Movimientos!$A:$A,$B20,Movimientos!$D:$D,CONCATENATE("&lt;",MC$3),Movimientos!$C:$C,"&lt;0")</f>
        <v>0</v>
      </c>
      <c r="MD20" s="5">
        <f ca="1">SUMIFS(Movimientos!$C:$C,Movimientos!$A:$A,$B20,Movimientos!$D:$D,CONCATENATE("&lt;=",MD$3),Movimientos!$C:$C,"&gt;0")+SUMIFS(Movimientos!$C:$C,Movimientos!$A:$A,$B20,Movimientos!$D:$D,CONCATENATE("&lt;",MD$3),Movimientos!$C:$C,"&lt;0")</f>
        <v>0</v>
      </c>
      <c r="ME20" s="5">
        <f ca="1">SUMIFS(Movimientos!$C:$C,Movimientos!$A:$A,$B20,Movimientos!$D:$D,CONCATENATE("&lt;=",ME$3),Movimientos!$C:$C,"&gt;0")+SUMIFS(Movimientos!$C:$C,Movimientos!$A:$A,$B20,Movimientos!$D:$D,CONCATENATE("&lt;",ME$3),Movimientos!$C:$C,"&lt;0")</f>
        <v>0</v>
      </c>
      <c r="MF20" s="5">
        <f ca="1">SUMIFS(Movimientos!$C:$C,Movimientos!$A:$A,$B20,Movimientos!$D:$D,CONCATENATE("&lt;=",MF$3),Movimientos!$C:$C,"&gt;0")+SUMIFS(Movimientos!$C:$C,Movimientos!$A:$A,$B20,Movimientos!$D:$D,CONCATENATE("&lt;",MF$3),Movimientos!$C:$C,"&lt;0")</f>
        <v>0</v>
      </c>
      <c r="MG20" s="5">
        <f ca="1">SUMIFS(Movimientos!$C:$C,Movimientos!$A:$A,$B20,Movimientos!$D:$D,CONCATENATE("&lt;=",MG$3),Movimientos!$C:$C,"&gt;0")+SUMIFS(Movimientos!$C:$C,Movimientos!$A:$A,$B20,Movimientos!$D:$D,CONCATENATE("&lt;",MG$3),Movimientos!$C:$C,"&lt;0")</f>
        <v>0</v>
      </c>
      <c r="MH20" s="5">
        <f ca="1">SUMIFS(Movimientos!$C:$C,Movimientos!$A:$A,$B20,Movimientos!$D:$D,CONCATENATE("&lt;=",MH$3),Movimientos!$C:$C,"&gt;0")+SUMIFS(Movimientos!$C:$C,Movimientos!$A:$A,$B20,Movimientos!$D:$D,CONCATENATE("&lt;",MH$3),Movimientos!$C:$C,"&lt;0")</f>
        <v>0</v>
      </c>
      <c r="MI20" s="5">
        <f ca="1">SUMIFS(Movimientos!$C:$C,Movimientos!$A:$A,$B20,Movimientos!$D:$D,CONCATENATE("&lt;=",MI$3),Movimientos!$C:$C,"&gt;0")+SUMIFS(Movimientos!$C:$C,Movimientos!$A:$A,$B20,Movimientos!$D:$D,CONCATENATE("&lt;",MI$3),Movimientos!$C:$C,"&lt;0")</f>
        <v>0</v>
      </c>
      <c r="MJ20" s="5">
        <f ca="1">SUMIFS(Movimientos!$C:$C,Movimientos!$A:$A,$B20,Movimientos!$D:$D,CONCATENATE("&lt;=",MJ$3),Movimientos!$C:$C,"&gt;0")+SUMIFS(Movimientos!$C:$C,Movimientos!$A:$A,$B20,Movimientos!$D:$D,CONCATENATE("&lt;",MJ$3),Movimientos!$C:$C,"&lt;0")</f>
        <v>0</v>
      </c>
      <c r="MK20" s="5">
        <f ca="1">SUMIFS(Movimientos!$C:$C,Movimientos!$A:$A,$B20,Movimientos!$D:$D,CONCATENATE("&lt;=",MK$3),Movimientos!$C:$C,"&gt;0")+SUMIFS(Movimientos!$C:$C,Movimientos!$A:$A,$B20,Movimientos!$D:$D,CONCATENATE("&lt;",MK$3),Movimientos!$C:$C,"&lt;0")</f>
        <v>0</v>
      </c>
      <c r="ML20" s="5">
        <f ca="1">SUMIFS(Movimientos!$C:$C,Movimientos!$A:$A,$B20,Movimientos!$D:$D,CONCATENATE("&lt;=",ML$3),Movimientos!$C:$C,"&gt;0")+SUMIFS(Movimientos!$C:$C,Movimientos!$A:$A,$B20,Movimientos!$D:$D,CONCATENATE("&lt;",ML$3),Movimientos!$C:$C,"&lt;0")</f>
        <v>0</v>
      </c>
      <c r="MM20" s="5">
        <f ca="1">SUMIFS(Movimientos!$C:$C,Movimientos!$A:$A,$B20,Movimientos!$D:$D,CONCATENATE("&lt;=",MM$3),Movimientos!$C:$C,"&gt;0")+SUMIFS(Movimientos!$C:$C,Movimientos!$A:$A,$B20,Movimientos!$D:$D,CONCATENATE("&lt;",MM$3),Movimientos!$C:$C,"&lt;0")</f>
        <v>0</v>
      </c>
      <c r="MN20" s="5">
        <f ca="1">SUMIFS(Movimientos!$C:$C,Movimientos!$A:$A,$B20,Movimientos!$D:$D,CONCATENATE("&lt;=",MN$3),Movimientos!$C:$C,"&gt;0")+SUMIFS(Movimientos!$C:$C,Movimientos!$A:$A,$B20,Movimientos!$D:$D,CONCATENATE("&lt;",MN$3),Movimientos!$C:$C,"&lt;0")</f>
        <v>0</v>
      </c>
      <c r="MO20" s="5">
        <f ca="1">SUMIFS(Movimientos!$C:$C,Movimientos!$A:$A,$B20,Movimientos!$D:$D,CONCATENATE("&lt;=",MO$3),Movimientos!$C:$C,"&gt;0")+SUMIFS(Movimientos!$C:$C,Movimientos!$A:$A,$B20,Movimientos!$D:$D,CONCATENATE("&lt;",MO$3),Movimientos!$C:$C,"&lt;0")</f>
        <v>0</v>
      </c>
      <c r="MP20" s="5">
        <f ca="1">SUMIFS(Movimientos!$C:$C,Movimientos!$A:$A,$B20,Movimientos!$D:$D,CONCATENATE("&lt;=",MP$3),Movimientos!$C:$C,"&gt;0")+SUMIFS(Movimientos!$C:$C,Movimientos!$A:$A,$B20,Movimientos!$D:$D,CONCATENATE("&lt;",MP$3),Movimientos!$C:$C,"&lt;0")</f>
        <v>0</v>
      </c>
      <c r="MQ20" s="5">
        <f ca="1">SUMIFS(Movimientos!$C:$C,Movimientos!$A:$A,$B20,Movimientos!$D:$D,CONCATENATE("&lt;=",MQ$3),Movimientos!$C:$C,"&gt;0")+SUMIFS(Movimientos!$C:$C,Movimientos!$A:$A,$B20,Movimientos!$D:$D,CONCATENATE("&lt;",MQ$3),Movimientos!$C:$C,"&lt;0")</f>
        <v>0</v>
      </c>
      <c r="MR20" s="5">
        <f ca="1">SUMIFS(Movimientos!$C:$C,Movimientos!$A:$A,$B20,Movimientos!$D:$D,CONCATENATE("&lt;=",MR$3),Movimientos!$C:$C,"&gt;0")+SUMIFS(Movimientos!$C:$C,Movimientos!$A:$A,$B20,Movimientos!$D:$D,CONCATENATE("&lt;",MR$3),Movimientos!$C:$C,"&lt;0")</f>
        <v>0</v>
      </c>
      <c r="MS20" s="5">
        <f ca="1">SUMIFS(Movimientos!$C:$C,Movimientos!$A:$A,$B20,Movimientos!$D:$D,CONCATENATE("&lt;=",MS$3),Movimientos!$C:$C,"&gt;0")+SUMIFS(Movimientos!$C:$C,Movimientos!$A:$A,$B20,Movimientos!$D:$D,CONCATENATE("&lt;",MS$3),Movimientos!$C:$C,"&lt;0")</f>
        <v>0</v>
      </c>
      <c r="MT20" s="5">
        <f ca="1">SUMIFS(Movimientos!$C:$C,Movimientos!$A:$A,$B20,Movimientos!$D:$D,CONCATENATE("&lt;=",MT$3),Movimientos!$C:$C,"&gt;0")+SUMIFS(Movimientos!$C:$C,Movimientos!$A:$A,$B20,Movimientos!$D:$D,CONCATENATE("&lt;",MT$3),Movimientos!$C:$C,"&lt;0")</f>
        <v>0</v>
      </c>
      <c r="MU20" s="5">
        <f ca="1">SUMIFS(Movimientos!$C:$C,Movimientos!$A:$A,$B20,Movimientos!$D:$D,CONCATENATE("&lt;=",MU$3),Movimientos!$C:$C,"&gt;0")+SUMIFS(Movimientos!$C:$C,Movimientos!$A:$A,$B20,Movimientos!$D:$D,CONCATENATE("&lt;",MU$3),Movimientos!$C:$C,"&lt;0")</f>
        <v>0</v>
      </c>
      <c r="MV20" s="5">
        <f ca="1">SUMIFS(Movimientos!$C:$C,Movimientos!$A:$A,$B20,Movimientos!$D:$D,CONCATENATE("&lt;=",MV$3),Movimientos!$C:$C,"&gt;0")+SUMIFS(Movimientos!$C:$C,Movimientos!$A:$A,$B20,Movimientos!$D:$D,CONCATENATE("&lt;",MV$3),Movimientos!$C:$C,"&lt;0")</f>
        <v>0</v>
      </c>
      <c r="MW20" s="5">
        <f ca="1">SUMIFS(Movimientos!$C:$C,Movimientos!$A:$A,$B20,Movimientos!$D:$D,CONCATENATE("&lt;=",MW$3),Movimientos!$C:$C,"&gt;0")+SUMIFS(Movimientos!$C:$C,Movimientos!$A:$A,$B20,Movimientos!$D:$D,CONCATENATE("&lt;",MW$3),Movimientos!$C:$C,"&lt;0")</f>
        <v>0</v>
      </c>
      <c r="MX20" s="5">
        <f ca="1">SUMIFS(Movimientos!$C:$C,Movimientos!$A:$A,$B20,Movimientos!$D:$D,CONCATENATE("&lt;=",MX$3),Movimientos!$C:$C,"&gt;0")+SUMIFS(Movimientos!$C:$C,Movimientos!$A:$A,$B20,Movimientos!$D:$D,CONCATENATE("&lt;",MX$3),Movimientos!$C:$C,"&lt;0")</f>
        <v>0</v>
      </c>
      <c r="MY20" s="5">
        <f ca="1">SUMIFS(Movimientos!$C:$C,Movimientos!$A:$A,$B20,Movimientos!$D:$D,CONCATENATE("&lt;=",MY$3),Movimientos!$C:$C,"&gt;0")+SUMIFS(Movimientos!$C:$C,Movimientos!$A:$A,$B20,Movimientos!$D:$D,CONCATENATE("&lt;",MY$3),Movimientos!$C:$C,"&lt;0")</f>
        <v>0</v>
      </c>
      <c r="MZ20" s="5">
        <f ca="1">SUMIFS(Movimientos!$C:$C,Movimientos!$A:$A,$B20,Movimientos!$D:$D,CONCATENATE("&lt;=",MZ$3),Movimientos!$C:$C,"&gt;0")+SUMIFS(Movimientos!$C:$C,Movimientos!$A:$A,$B20,Movimientos!$D:$D,CONCATENATE("&lt;",MZ$3),Movimientos!$C:$C,"&lt;0")</f>
        <v>0</v>
      </c>
      <c r="NA20" s="5">
        <f ca="1">SUMIFS(Movimientos!$C:$C,Movimientos!$A:$A,$B20,Movimientos!$D:$D,CONCATENATE("&lt;=",NA$3),Movimientos!$C:$C,"&gt;0")+SUMIFS(Movimientos!$C:$C,Movimientos!$A:$A,$B20,Movimientos!$D:$D,CONCATENATE("&lt;",NA$3),Movimientos!$C:$C,"&lt;0")</f>
        <v>0</v>
      </c>
      <c r="NB20" s="5">
        <f ca="1">SUMIFS(Movimientos!$C:$C,Movimientos!$A:$A,$B20,Movimientos!$D:$D,CONCATENATE("&lt;=",NB$3),Movimientos!$C:$C,"&gt;0")+SUMIFS(Movimientos!$C:$C,Movimientos!$A:$A,$B20,Movimientos!$D:$D,CONCATENATE("&lt;",NB$3),Movimientos!$C:$C,"&lt;0")</f>
        <v>0</v>
      </c>
      <c r="NC20" s="5">
        <f ca="1">SUMIFS(Movimientos!$C:$C,Movimientos!$A:$A,$B20,Movimientos!$D:$D,CONCATENATE("&lt;=",NC$3),Movimientos!$C:$C,"&gt;0")+SUMIFS(Movimientos!$C:$C,Movimientos!$A:$A,$B20,Movimientos!$D:$D,CONCATENATE("&lt;",NC$3),Movimientos!$C:$C,"&lt;0")</f>
        <v>0</v>
      </c>
      <c r="ND20" s="5">
        <f ca="1">SUMIFS(Movimientos!$C:$C,Movimientos!$A:$A,$B20,Movimientos!$D:$D,CONCATENATE("&lt;=",ND$3),Movimientos!$C:$C,"&gt;0")+SUMIFS(Movimientos!$C:$C,Movimientos!$A:$A,$B20,Movimientos!$D:$D,CONCATENATE("&lt;",ND$3),Movimientos!$C:$C,"&lt;0")</f>
        <v>0</v>
      </c>
      <c r="NE20" s="5">
        <f ca="1">SUMIFS(Movimientos!$C:$C,Movimientos!$A:$A,$B20,Movimientos!$D:$D,CONCATENATE("&lt;=",NE$3),Movimientos!$C:$C,"&gt;0")+SUMIFS(Movimientos!$C:$C,Movimientos!$A:$A,$B20,Movimientos!$D:$D,CONCATENATE("&lt;",NE$3),Movimientos!$C:$C,"&lt;0")</f>
        <v>0</v>
      </c>
      <c r="NF20" s="5">
        <f ca="1">SUMIFS(Movimientos!$C:$C,Movimientos!$A:$A,$B20,Movimientos!$D:$D,CONCATENATE("&lt;=",NF$3),Movimientos!$C:$C,"&gt;0")+SUMIFS(Movimientos!$C:$C,Movimientos!$A:$A,$B20,Movimientos!$D:$D,CONCATENATE("&lt;",NF$3),Movimientos!$C:$C,"&lt;0")</f>
        <v>0</v>
      </c>
      <c r="NG20" s="5">
        <f ca="1">SUMIFS(Movimientos!$C:$C,Movimientos!$A:$A,$B20,Movimientos!$D:$D,CONCATENATE("&lt;=",NG$3),Movimientos!$C:$C,"&gt;0")+SUMIFS(Movimientos!$C:$C,Movimientos!$A:$A,$B20,Movimientos!$D:$D,CONCATENATE("&lt;",NG$3),Movimientos!$C:$C,"&lt;0")</f>
        <v>0</v>
      </c>
      <c r="NH20" s="5">
        <f ca="1">SUMIFS(Movimientos!$C:$C,Movimientos!$A:$A,$B20,Movimientos!$D:$D,CONCATENATE("&lt;=",NH$3),Movimientos!$C:$C,"&gt;0")+SUMIFS(Movimientos!$C:$C,Movimientos!$A:$A,$B20,Movimientos!$D:$D,CONCATENATE("&lt;",NH$3),Movimientos!$C:$C,"&lt;0")</f>
        <v>0</v>
      </c>
      <c r="NI20" s="5">
        <f ca="1">SUMIFS(Movimientos!$C:$C,Movimientos!$A:$A,$B20,Movimientos!$D:$D,CONCATENATE("&lt;=",NI$3),Movimientos!$C:$C,"&gt;0")+SUMIFS(Movimientos!$C:$C,Movimientos!$A:$A,$B20,Movimientos!$D:$D,CONCATENATE("&lt;",NI$3),Movimientos!$C:$C,"&lt;0")</f>
        <v>0</v>
      </c>
      <c r="NJ20" s="5">
        <f ca="1">SUMIFS(Movimientos!$C:$C,Movimientos!$A:$A,$B20,Movimientos!$D:$D,CONCATENATE("&lt;=",NJ$3),Movimientos!$C:$C,"&gt;0")+SUMIFS(Movimientos!$C:$C,Movimientos!$A:$A,$B20,Movimientos!$D:$D,CONCATENATE("&lt;",NJ$3),Movimientos!$C:$C,"&lt;0")</f>
        <v>0</v>
      </c>
      <c r="NK20" s="5">
        <f ca="1">SUMIFS(Movimientos!$C:$C,Movimientos!$A:$A,$B20,Movimientos!$D:$D,CONCATENATE("&lt;=",NK$3),Movimientos!$C:$C,"&gt;0")+SUMIFS(Movimientos!$C:$C,Movimientos!$A:$A,$B20,Movimientos!$D:$D,CONCATENATE("&lt;",NK$3),Movimientos!$C:$C,"&lt;0")</f>
        <v>0</v>
      </c>
      <c r="NL20" s="5">
        <f ca="1">SUMIFS(Movimientos!$C:$C,Movimientos!$A:$A,$B20,Movimientos!$D:$D,CONCATENATE("&lt;=",NL$3),Movimientos!$C:$C,"&gt;0")+SUMIFS(Movimientos!$C:$C,Movimientos!$A:$A,$B20,Movimientos!$D:$D,CONCATENATE("&lt;",NL$3),Movimientos!$C:$C,"&lt;0")</f>
        <v>0</v>
      </c>
      <c r="NM20" s="5">
        <f ca="1">SUMIFS(Movimientos!$C:$C,Movimientos!$A:$A,$B20,Movimientos!$D:$D,CONCATENATE("&lt;=",NM$3),Movimientos!$C:$C,"&gt;0")+SUMIFS(Movimientos!$C:$C,Movimientos!$A:$A,$B20,Movimientos!$D:$D,CONCATENATE("&lt;",NM$3),Movimientos!$C:$C,"&lt;0")</f>
        <v>0</v>
      </c>
      <c r="NN20" s="5">
        <f ca="1">SUMIFS(Movimientos!$C:$C,Movimientos!$A:$A,$B20,Movimientos!$D:$D,CONCATENATE("&lt;=",NN$3),Movimientos!$C:$C,"&gt;0")+SUMIFS(Movimientos!$C:$C,Movimientos!$A:$A,$B20,Movimientos!$D:$D,CONCATENATE("&lt;",NN$3),Movimientos!$C:$C,"&lt;0")</f>
        <v>0</v>
      </c>
      <c r="NO20" s="5">
        <f ca="1">SUMIFS(Movimientos!$C:$C,Movimientos!$A:$A,$B20,Movimientos!$D:$D,CONCATENATE("&lt;=",NO$3),Movimientos!$C:$C,"&gt;0")+SUMIFS(Movimientos!$C:$C,Movimientos!$A:$A,$B20,Movimientos!$D:$D,CONCATENATE("&lt;",NO$3),Movimientos!$C:$C,"&lt;0")</f>
        <v>0</v>
      </c>
      <c r="NP20" s="5">
        <f ca="1">SUMIFS(Movimientos!$C:$C,Movimientos!$A:$A,$B20,Movimientos!$D:$D,CONCATENATE("&lt;=",NP$3),Movimientos!$C:$C,"&gt;0")+SUMIFS(Movimientos!$C:$C,Movimientos!$A:$A,$B20,Movimientos!$D:$D,CONCATENATE("&lt;",NP$3),Movimientos!$C:$C,"&lt;0")</f>
        <v>0</v>
      </c>
      <c r="NQ20" s="5">
        <f ca="1">SUMIFS(Movimientos!$C:$C,Movimientos!$A:$A,$B20,Movimientos!$D:$D,CONCATENATE("&lt;=",NQ$3),Movimientos!$C:$C,"&gt;0")+SUMIFS(Movimientos!$C:$C,Movimientos!$A:$A,$B20,Movimientos!$D:$D,CONCATENATE("&lt;",NQ$3),Movimientos!$C:$C,"&lt;0")</f>
        <v>0</v>
      </c>
      <c r="NR20" s="5">
        <f ca="1">SUMIFS(Movimientos!$C:$C,Movimientos!$A:$A,$B20,Movimientos!$D:$D,CONCATENATE("&lt;=",NR$3),Movimientos!$C:$C,"&gt;0")+SUMIFS(Movimientos!$C:$C,Movimientos!$A:$A,$B20,Movimientos!$D:$D,CONCATENATE("&lt;",NR$3),Movimientos!$C:$C,"&lt;0")</f>
        <v>0</v>
      </c>
      <c r="NS20" s="5">
        <f ca="1">SUMIFS(Movimientos!$C:$C,Movimientos!$A:$A,$B20,Movimientos!$D:$D,CONCATENATE("&lt;=",NS$3),Movimientos!$C:$C,"&gt;0")+SUMIFS(Movimientos!$C:$C,Movimientos!$A:$A,$B20,Movimientos!$D:$D,CONCATENATE("&lt;",NS$3),Movimientos!$C:$C,"&lt;0")</f>
        <v>0</v>
      </c>
      <c r="NT20" s="5">
        <f ca="1">SUMIFS(Movimientos!$C:$C,Movimientos!$A:$A,$B20,Movimientos!$D:$D,CONCATENATE("&lt;=",NT$3),Movimientos!$C:$C,"&gt;0")+SUMIFS(Movimientos!$C:$C,Movimientos!$A:$A,$B20,Movimientos!$D:$D,CONCATENATE("&lt;",NT$3),Movimientos!$C:$C,"&lt;0")</f>
        <v>0</v>
      </c>
      <c r="NU20" s="5">
        <f ca="1">SUMIFS(Movimientos!$C:$C,Movimientos!$A:$A,$B20,Movimientos!$D:$D,CONCATENATE("&lt;=",NU$3),Movimientos!$C:$C,"&gt;0")+SUMIFS(Movimientos!$C:$C,Movimientos!$A:$A,$B20,Movimientos!$D:$D,CONCATENATE("&lt;",NU$3),Movimientos!$C:$C,"&lt;0")</f>
        <v>0</v>
      </c>
      <c r="NV20" s="5">
        <f ca="1">SUMIFS(Movimientos!$C:$C,Movimientos!$A:$A,$B20,Movimientos!$D:$D,CONCATENATE("&lt;=",NV$3),Movimientos!$C:$C,"&gt;0")+SUMIFS(Movimientos!$C:$C,Movimientos!$A:$A,$B20,Movimientos!$D:$D,CONCATENATE("&lt;",NV$3),Movimientos!$C:$C,"&lt;0")</f>
        <v>0</v>
      </c>
      <c r="NW20" s="5">
        <f ca="1">SUMIFS(Movimientos!$C:$C,Movimientos!$A:$A,$B20,Movimientos!$D:$D,CONCATENATE("&lt;=",NW$3),Movimientos!$C:$C,"&gt;0")+SUMIFS(Movimientos!$C:$C,Movimientos!$A:$A,$B20,Movimientos!$D:$D,CONCATENATE("&lt;",NW$3),Movimientos!$C:$C,"&lt;0")</f>
        <v>0</v>
      </c>
      <c r="NX20" s="5">
        <f ca="1">SUMIFS(Movimientos!$C:$C,Movimientos!$A:$A,$B20,Movimientos!$D:$D,CONCATENATE("&lt;=",NX$3),Movimientos!$C:$C,"&gt;0")+SUMIFS(Movimientos!$C:$C,Movimientos!$A:$A,$B20,Movimientos!$D:$D,CONCATENATE("&lt;",NX$3),Movimientos!$C:$C,"&lt;0")</f>
        <v>0</v>
      </c>
      <c r="NY20" s="5">
        <f ca="1">SUMIFS(Movimientos!$C:$C,Movimientos!$A:$A,$B20,Movimientos!$D:$D,CONCATENATE("&lt;=",NY$3),Movimientos!$C:$C,"&gt;0")+SUMIFS(Movimientos!$C:$C,Movimientos!$A:$A,$B20,Movimientos!$D:$D,CONCATENATE("&lt;",NY$3),Movimientos!$C:$C,"&lt;0")</f>
        <v>0</v>
      </c>
      <c r="NZ20" s="5">
        <f ca="1">SUMIFS(Movimientos!$C:$C,Movimientos!$A:$A,$B20,Movimientos!$D:$D,CONCATENATE("&lt;=",NZ$3),Movimientos!$C:$C,"&gt;0")+SUMIFS(Movimientos!$C:$C,Movimientos!$A:$A,$B20,Movimientos!$D:$D,CONCATENATE("&lt;",NZ$3),Movimientos!$C:$C,"&lt;0")</f>
        <v>0</v>
      </c>
      <c r="OA20" s="5">
        <f ca="1">SUMIFS(Movimientos!$C:$C,Movimientos!$A:$A,$B20,Movimientos!$D:$D,CONCATENATE("&lt;=",OA$3),Movimientos!$C:$C,"&gt;0")+SUMIFS(Movimientos!$C:$C,Movimientos!$A:$A,$B20,Movimientos!$D:$D,CONCATENATE("&lt;",OA$3),Movimientos!$C:$C,"&lt;0")</f>
        <v>0</v>
      </c>
      <c r="OB20" s="5">
        <f ca="1">SUMIFS(Movimientos!$C:$C,Movimientos!$A:$A,$B20,Movimientos!$D:$D,CONCATENATE("&lt;=",OB$3),Movimientos!$C:$C,"&gt;0")+SUMIFS(Movimientos!$C:$C,Movimientos!$A:$A,$B20,Movimientos!$D:$D,CONCATENATE("&lt;",OB$3),Movimientos!$C:$C,"&lt;0")</f>
        <v>0</v>
      </c>
      <c r="OC20" s="5">
        <f ca="1">SUMIFS(Movimientos!$C:$C,Movimientos!$A:$A,$B20,Movimientos!$D:$D,CONCATENATE("&lt;=",OC$3),Movimientos!$C:$C,"&gt;0")+SUMIFS(Movimientos!$C:$C,Movimientos!$A:$A,$B20,Movimientos!$D:$D,CONCATENATE("&lt;",OC$3),Movimientos!$C:$C,"&lt;0")</f>
        <v>0</v>
      </c>
      <c r="OD20" s="5">
        <f ca="1">SUMIFS(Movimientos!$C:$C,Movimientos!$A:$A,$B20,Movimientos!$D:$D,CONCATENATE("&lt;=",OD$3),Movimientos!$C:$C,"&gt;0")+SUMIFS(Movimientos!$C:$C,Movimientos!$A:$A,$B20,Movimientos!$D:$D,CONCATENATE("&lt;",OD$3),Movimientos!$C:$C,"&lt;0")</f>
        <v>0</v>
      </c>
      <c r="OE20" s="5">
        <f ca="1">SUMIFS(Movimientos!$C:$C,Movimientos!$A:$A,$B20,Movimientos!$D:$D,CONCATENATE("&lt;=",OE$3),Movimientos!$C:$C,"&gt;0")+SUMIFS(Movimientos!$C:$C,Movimientos!$A:$A,$B20,Movimientos!$D:$D,CONCATENATE("&lt;",OE$3),Movimientos!$C:$C,"&lt;0")</f>
        <v>0</v>
      </c>
      <c r="OF20" s="5">
        <f ca="1">SUMIFS(Movimientos!$C:$C,Movimientos!$A:$A,$B20,Movimientos!$D:$D,CONCATENATE("&lt;=",OF$3),Movimientos!$C:$C,"&gt;0")+SUMIFS(Movimientos!$C:$C,Movimientos!$A:$A,$B20,Movimientos!$D:$D,CONCATENATE("&lt;",OF$3),Movimientos!$C:$C,"&lt;0")</f>
        <v>0</v>
      </c>
      <c r="OG20" s="5">
        <f ca="1">SUMIFS(Movimientos!$C:$C,Movimientos!$A:$A,$B20,Movimientos!$D:$D,CONCATENATE("&lt;=",OG$3),Movimientos!$C:$C,"&gt;0")+SUMIFS(Movimientos!$C:$C,Movimientos!$A:$A,$B20,Movimientos!$D:$D,CONCATENATE("&lt;",OG$3),Movimientos!$C:$C,"&lt;0")</f>
        <v>0</v>
      </c>
      <c r="OH20" s="5">
        <f ca="1">SUMIFS(Movimientos!$C:$C,Movimientos!$A:$A,$B20,Movimientos!$D:$D,CONCATENATE("&lt;=",OH$3),Movimientos!$C:$C,"&gt;0")+SUMIFS(Movimientos!$C:$C,Movimientos!$A:$A,$B20,Movimientos!$D:$D,CONCATENATE("&lt;",OH$3),Movimientos!$C:$C,"&lt;0")</f>
        <v>0</v>
      </c>
      <c r="OI20" s="5">
        <f ca="1">SUMIFS(Movimientos!$C:$C,Movimientos!$A:$A,$B20,Movimientos!$D:$D,CONCATENATE("&lt;=",OI$3),Movimientos!$C:$C,"&gt;0")+SUMIFS(Movimientos!$C:$C,Movimientos!$A:$A,$B20,Movimientos!$D:$D,CONCATENATE("&lt;",OI$3),Movimientos!$C:$C,"&lt;0")</f>
        <v>0</v>
      </c>
      <c r="OJ20" s="5">
        <f ca="1">SUMIFS(Movimientos!$C:$C,Movimientos!$A:$A,$B20,Movimientos!$D:$D,CONCATENATE("&lt;=",OJ$3),Movimientos!$C:$C,"&gt;0")+SUMIFS(Movimientos!$C:$C,Movimientos!$A:$A,$B20,Movimientos!$D:$D,CONCATENATE("&lt;",OJ$3),Movimientos!$C:$C,"&lt;0")</f>
        <v>0</v>
      </c>
      <c r="OK20" s="5">
        <f ca="1">SUMIFS(Movimientos!$C:$C,Movimientos!$A:$A,$B20,Movimientos!$D:$D,CONCATENATE("&lt;=",OK$3),Movimientos!$C:$C,"&gt;0")+SUMIFS(Movimientos!$C:$C,Movimientos!$A:$A,$B20,Movimientos!$D:$D,CONCATENATE("&lt;",OK$3),Movimientos!$C:$C,"&lt;0")</f>
        <v>0</v>
      </c>
      <c r="OL20" s="5">
        <f ca="1">SUMIFS(Movimientos!$C:$C,Movimientos!$A:$A,$B20,Movimientos!$D:$D,CONCATENATE("&lt;=",OL$3),Movimientos!$C:$C,"&gt;0")+SUMIFS(Movimientos!$C:$C,Movimientos!$A:$A,$B20,Movimientos!$D:$D,CONCATENATE("&lt;",OL$3),Movimientos!$C:$C,"&lt;0")</f>
        <v>0</v>
      </c>
      <c r="OM20" s="5">
        <f ca="1">SUMIFS(Movimientos!$C:$C,Movimientos!$A:$A,$B20,Movimientos!$D:$D,CONCATENATE("&lt;=",OM$3),Movimientos!$C:$C,"&gt;0")+SUMIFS(Movimientos!$C:$C,Movimientos!$A:$A,$B20,Movimientos!$D:$D,CONCATENATE("&lt;",OM$3),Movimientos!$C:$C,"&lt;0")</f>
        <v>0</v>
      </c>
      <c r="ON20" s="5">
        <f ca="1">SUMIFS(Movimientos!$C:$C,Movimientos!$A:$A,$B20,Movimientos!$D:$D,CONCATENATE("&lt;=",ON$3),Movimientos!$C:$C,"&gt;0")+SUMIFS(Movimientos!$C:$C,Movimientos!$A:$A,$B20,Movimientos!$D:$D,CONCATENATE("&lt;",ON$3),Movimientos!$C:$C,"&lt;0")</f>
        <v>0</v>
      </c>
      <c r="OO20" s="5">
        <f ca="1">SUMIFS(Movimientos!$C:$C,Movimientos!$A:$A,$B20,Movimientos!$D:$D,CONCATENATE("&lt;=",OO$3),Movimientos!$C:$C,"&gt;0")+SUMIFS(Movimientos!$C:$C,Movimientos!$A:$A,$B20,Movimientos!$D:$D,CONCATENATE("&lt;",OO$3),Movimientos!$C:$C,"&lt;0")</f>
        <v>0</v>
      </c>
      <c r="OP20" s="5">
        <f ca="1">SUMIFS(Movimientos!$C:$C,Movimientos!$A:$A,$B20,Movimientos!$D:$D,CONCATENATE("&lt;=",OP$3),Movimientos!$C:$C,"&gt;0")+SUMIFS(Movimientos!$C:$C,Movimientos!$A:$A,$B20,Movimientos!$D:$D,CONCATENATE("&lt;",OP$3),Movimientos!$C:$C,"&lt;0")</f>
        <v>0</v>
      </c>
      <c r="OQ20" s="5">
        <f ca="1">SUMIFS(Movimientos!$C:$C,Movimientos!$A:$A,$B20,Movimientos!$D:$D,CONCATENATE("&lt;=",OQ$3),Movimientos!$C:$C,"&gt;0")+SUMIFS(Movimientos!$C:$C,Movimientos!$A:$A,$B20,Movimientos!$D:$D,CONCATENATE("&lt;",OQ$3),Movimientos!$C:$C,"&lt;0")</f>
        <v>0</v>
      </c>
      <c r="OR20" s="5">
        <f ca="1">SUMIFS(Movimientos!$C:$C,Movimientos!$A:$A,$B20,Movimientos!$D:$D,CONCATENATE("&lt;=",OR$3),Movimientos!$C:$C,"&gt;0")+SUMIFS(Movimientos!$C:$C,Movimientos!$A:$A,$B20,Movimientos!$D:$D,CONCATENATE("&lt;",OR$3),Movimientos!$C:$C,"&lt;0")</f>
        <v>0</v>
      </c>
      <c r="OS20" s="5">
        <f ca="1">SUMIFS(Movimientos!$C:$C,Movimientos!$A:$A,$B20,Movimientos!$D:$D,CONCATENATE("&lt;=",OS$3),Movimientos!$C:$C,"&gt;0")+SUMIFS(Movimientos!$C:$C,Movimientos!$A:$A,$B20,Movimientos!$D:$D,CONCATENATE("&lt;",OS$3),Movimientos!$C:$C,"&lt;0")</f>
        <v>0</v>
      </c>
      <c r="OT20" s="5">
        <f ca="1">SUMIFS(Movimientos!$C:$C,Movimientos!$A:$A,$B20,Movimientos!$D:$D,CONCATENATE("&lt;=",OT$3),Movimientos!$C:$C,"&gt;0")+SUMIFS(Movimientos!$C:$C,Movimientos!$A:$A,$B20,Movimientos!$D:$D,CONCATENATE("&lt;",OT$3),Movimientos!$C:$C,"&lt;0")</f>
        <v>0</v>
      </c>
      <c r="OU20" s="5">
        <f ca="1">SUMIFS(Movimientos!$C:$C,Movimientos!$A:$A,$B20,Movimientos!$D:$D,CONCATENATE("&lt;=",OU$3),Movimientos!$C:$C,"&gt;0")+SUMIFS(Movimientos!$C:$C,Movimientos!$A:$A,$B20,Movimientos!$D:$D,CONCATENATE("&lt;",OU$3),Movimientos!$C:$C,"&lt;0")</f>
        <v>0</v>
      </c>
      <c r="OV20" s="5">
        <f ca="1">SUMIFS(Movimientos!$C:$C,Movimientos!$A:$A,$B20,Movimientos!$D:$D,CONCATENATE("&lt;=",OV$3),Movimientos!$C:$C,"&gt;0")+SUMIFS(Movimientos!$C:$C,Movimientos!$A:$A,$B20,Movimientos!$D:$D,CONCATENATE("&lt;",OV$3),Movimientos!$C:$C,"&lt;0")</f>
        <v>0</v>
      </c>
      <c r="OW20" s="5">
        <f ca="1">SUMIFS(Movimientos!$C:$C,Movimientos!$A:$A,$B20,Movimientos!$D:$D,CONCATENATE("&lt;=",OW$3),Movimientos!$C:$C,"&gt;0")+SUMIFS(Movimientos!$C:$C,Movimientos!$A:$A,$B20,Movimientos!$D:$D,CONCATENATE("&lt;",OW$3),Movimientos!$C:$C,"&lt;0")</f>
        <v>0</v>
      </c>
      <c r="OX20" s="5">
        <f ca="1">SUMIFS(Movimientos!$C:$C,Movimientos!$A:$A,$B20,Movimientos!$D:$D,CONCATENATE("&lt;=",OX$3),Movimientos!$C:$C,"&gt;0")+SUMIFS(Movimientos!$C:$C,Movimientos!$A:$A,$B20,Movimientos!$D:$D,CONCATENATE("&lt;",OX$3),Movimientos!$C:$C,"&lt;0")</f>
        <v>0</v>
      </c>
      <c r="OY20" s="5">
        <f ca="1">SUMIFS(Movimientos!$C:$C,Movimientos!$A:$A,$B20,Movimientos!$D:$D,CONCATENATE("&lt;=",OY$3),Movimientos!$C:$C,"&gt;0")+SUMIFS(Movimientos!$C:$C,Movimientos!$A:$A,$B20,Movimientos!$D:$D,CONCATENATE("&lt;",OY$3),Movimientos!$C:$C,"&lt;0")</f>
        <v>0</v>
      </c>
      <c r="OZ20" s="5">
        <f ca="1">SUMIFS(Movimientos!$C:$C,Movimientos!$A:$A,$B20,Movimientos!$D:$D,CONCATENATE("&lt;=",OZ$3),Movimientos!$C:$C,"&gt;0")+SUMIFS(Movimientos!$C:$C,Movimientos!$A:$A,$B20,Movimientos!$D:$D,CONCATENATE("&lt;",OZ$3),Movimientos!$C:$C,"&lt;0")</f>
        <v>0</v>
      </c>
      <c r="PA20" s="5">
        <f ca="1">SUMIFS(Movimientos!$C:$C,Movimientos!$A:$A,$B20,Movimientos!$D:$D,CONCATENATE("&lt;=",PA$3),Movimientos!$C:$C,"&gt;0")+SUMIFS(Movimientos!$C:$C,Movimientos!$A:$A,$B20,Movimientos!$D:$D,CONCATENATE("&lt;",PA$3),Movimientos!$C:$C,"&lt;0")</f>
        <v>0</v>
      </c>
      <c r="PB20" s="5">
        <f ca="1">SUMIFS(Movimientos!$C:$C,Movimientos!$A:$A,$B20,Movimientos!$D:$D,CONCATENATE("&lt;=",PB$3),Movimientos!$C:$C,"&gt;0")+SUMIFS(Movimientos!$C:$C,Movimientos!$A:$A,$B20,Movimientos!$D:$D,CONCATENATE("&lt;",PB$3),Movimientos!$C:$C,"&lt;0")</f>
        <v>0</v>
      </c>
      <c r="PC20" s="5">
        <f ca="1">SUMIFS(Movimientos!$C:$C,Movimientos!$A:$A,$B20,Movimientos!$D:$D,CONCATENATE("&lt;=",PC$3),Movimientos!$C:$C,"&gt;0")+SUMIFS(Movimientos!$C:$C,Movimientos!$A:$A,$B20,Movimientos!$D:$D,CONCATENATE("&lt;",PC$3),Movimientos!$C:$C,"&lt;0")</f>
        <v>0</v>
      </c>
      <c r="PD20" s="5">
        <f ca="1">SUMIFS(Movimientos!$C:$C,Movimientos!$A:$A,$B20,Movimientos!$D:$D,CONCATENATE("&lt;=",PD$3),Movimientos!$C:$C,"&gt;0")+SUMIFS(Movimientos!$C:$C,Movimientos!$A:$A,$B20,Movimientos!$D:$D,CONCATENATE("&lt;",PD$3),Movimientos!$C:$C,"&lt;0")</f>
        <v>0</v>
      </c>
      <c r="PE20" s="5">
        <f ca="1">SUMIFS(Movimientos!$C:$C,Movimientos!$A:$A,$B20,Movimientos!$D:$D,CONCATENATE("&lt;=",PE$3),Movimientos!$C:$C,"&gt;0")+SUMIFS(Movimientos!$C:$C,Movimientos!$A:$A,$B20,Movimientos!$D:$D,CONCATENATE("&lt;",PE$3),Movimientos!$C:$C,"&lt;0")</f>
        <v>0</v>
      </c>
      <c r="PF20" s="5">
        <f ca="1">SUMIFS(Movimientos!$C:$C,Movimientos!$A:$A,$B20,Movimientos!$D:$D,CONCATENATE("&lt;=",PF$3),Movimientos!$C:$C,"&gt;0")+SUMIFS(Movimientos!$C:$C,Movimientos!$A:$A,$B20,Movimientos!$D:$D,CONCATENATE("&lt;",PF$3),Movimientos!$C:$C,"&lt;0")</f>
        <v>0</v>
      </c>
      <c r="PG20" s="5">
        <f ca="1">SUMIFS(Movimientos!$C:$C,Movimientos!$A:$A,$B20,Movimientos!$D:$D,CONCATENATE("&lt;=",PG$3),Movimientos!$C:$C,"&gt;0")+SUMIFS(Movimientos!$C:$C,Movimientos!$A:$A,$B20,Movimientos!$D:$D,CONCATENATE("&lt;",PG$3),Movimientos!$C:$C,"&lt;0")</f>
        <v>0</v>
      </c>
      <c r="PH20" s="5">
        <f ca="1">SUMIFS(Movimientos!$C:$C,Movimientos!$A:$A,$B20,Movimientos!$D:$D,CONCATENATE("&lt;=",PH$3),Movimientos!$C:$C,"&gt;0")+SUMIFS(Movimientos!$C:$C,Movimientos!$A:$A,$B20,Movimientos!$D:$D,CONCATENATE("&lt;",PH$3),Movimientos!$C:$C,"&lt;0")</f>
        <v>0</v>
      </c>
      <c r="PI20" s="5">
        <f ca="1">SUMIFS(Movimientos!$C:$C,Movimientos!$A:$A,$B20,Movimientos!$D:$D,CONCATENATE("&lt;=",PI$3),Movimientos!$C:$C,"&gt;0")+SUMIFS(Movimientos!$C:$C,Movimientos!$A:$A,$B20,Movimientos!$D:$D,CONCATENATE("&lt;",PI$3),Movimientos!$C:$C,"&lt;0")</f>
        <v>0</v>
      </c>
      <c r="PJ20" s="5">
        <f ca="1">SUMIFS(Movimientos!$C:$C,Movimientos!$A:$A,$B20,Movimientos!$D:$D,CONCATENATE("&lt;=",PJ$3),Movimientos!$C:$C,"&gt;0")+SUMIFS(Movimientos!$C:$C,Movimientos!$A:$A,$B20,Movimientos!$D:$D,CONCATENATE("&lt;",PJ$3),Movimientos!$C:$C,"&lt;0")</f>
        <v>0</v>
      </c>
      <c r="PK20" s="5">
        <f ca="1">SUMIFS(Movimientos!$C:$C,Movimientos!$A:$A,$B20,Movimientos!$D:$D,CONCATENATE("&lt;=",PK$3),Movimientos!$C:$C,"&gt;0")+SUMIFS(Movimientos!$C:$C,Movimientos!$A:$A,$B20,Movimientos!$D:$D,CONCATENATE("&lt;",PK$3),Movimientos!$C:$C,"&lt;0")</f>
        <v>0</v>
      </c>
      <c r="PL20" s="5">
        <f ca="1">SUMIFS(Movimientos!$C:$C,Movimientos!$A:$A,$B20,Movimientos!$D:$D,CONCATENATE("&lt;=",PL$3),Movimientos!$C:$C,"&gt;0")+SUMIFS(Movimientos!$C:$C,Movimientos!$A:$A,$B20,Movimientos!$D:$D,CONCATENATE("&lt;",PL$3),Movimientos!$C:$C,"&lt;0")</f>
        <v>0</v>
      </c>
      <c r="PM20" s="5">
        <f ca="1">SUMIFS(Movimientos!$C:$C,Movimientos!$A:$A,$B20,Movimientos!$D:$D,CONCATENATE("&lt;=",PM$3),Movimientos!$C:$C,"&gt;0")+SUMIFS(Movimientos!$C:$C,Movimientos!$A:$A,$B20,Movimientos!$D:$D,CONCATENATE("&lt;",PM$3),Movimientos!$C:$C,"&lt;0")</f>
        <v>0</v>
      </c>
      <c r="PN20" s="5">
        <f ca="1">SUMIFS(Movimientos!$C:$C,Movimientos!$A:$A,$B20,Movimientos!$D:$D,CONCATENATE("&lt;=",PN$3),Movimientos!$C:$C,"&gt;0")+SUMIFS(Movimientos!$C:$C,Movimientos!$A:$A,$B20,Movimientos!$D:$D,CONCATENATE("&lt;",PN$3),Movimientos!$C:$C,"&lt;0")</f>
        <v>0</v>
      </c>
      <c r="PO20" s="5">
        <f ca="1">SUMIFS(Movimientos!$C:$C,Movimientos!$A:$A,$B20,Movimientos!$D:$D,CONCATENATE("&lt;=",PO$3),Movimientos!$C:$C,"&gt;0")+SUMIFS(Movimientos!$C:$C,Movimientos!$A:$A,$B20,Movimientos!$D:$D,CONCATENATE("&lt;",PO$3),Movimientos!$C:$C,"&lt;0")</f>
        <v>0</v>
      </c>
      <c r="PP20" s="5">
        <f ca="1">SUMIFS(Movimientos!$C:$C,Movimientos!$A:$A,$B20,Movimientos!$D:$D,CONCATENATE("&lt;=",PP$3),Movimientos!$C:$C,"&gt;0")+SUMIFS(Movimientos!$C:$C,Movimientos!$A:$A,$B20,Movimientos!$D:$D,CONCATENATE("&lt;",PP$3),Movimientos!$C:$C,"&lt;0")</f>
        <v>0</v>
      </c>
      <c r="PQ20" s="5">
        <f ca="1">SUMIFS(Movimientos!$C:$C,Movimientos!$A:$A,$B20,Movimientos!$D:$D,CONCATENATE("&lt;=",PQ$3),Movimientos!$C:$C,"&gt;0")+SUMIFS(Movimientos!$C:$C,Movimientos!$A:$A,$B20,Movimientos!$D:$D,CONCATENATE("&lt;",PQ$3),Movimientos!$C:$C,"&lt;0")</f>
        <v>0</v>
      </c>
      <c r="PR20" s="5">
        <f ca="1">SUMIFS(Movimientos!$C:$C,Movimientos!$A:$A,$B20,Movimientos!$D:$D,CONCATENATE("&lt;=",PR$3),Movimientos!$C:$C,"&gt;0")+SUMIFS(Movimientos!$C:$C,Movimientos!$A:$A,$B20,Movimientos!$D:$D,CONCATENATE("&lt;",PR$3),Movimientos!$C:$C,"&lt;0")</f>
        <v>0</v>
      </c>
      <c r="PS20" s="5">
        <f ca="1">SUMIFS(Movimientos!$C:$C,Movimientos!$A:$A,$B20,Movimientos!$D:$D,CONCATENATE("&lt;=",PS$3),Movimientos!$C:$C,"&gt;0")+SUMIFS(Movimientos!$C:$C,Movimientos!$A:$A,$B20,Movimientos!$D:$D,CONCATENATE("&lt;",PS$3),Movimientos!$C:$C,"&lt;0")</f>
        <v>0</v>
      </c>
      <c r="PT20" s="5">
        <f ca="1">SUMIFS(Movimientos!$C:$C,Movimientos!$A:$A,$B20,Movimientos!$D:$D,CONCATENATE("&lt;=",PT$3),Movimientos!$C:$C,"&gt;0")+SUMIFS(Movimientos!$C:$C,Movimientos!$A:$A,$B20,Movimientos!$D:$D,CONCATENATE("&lt;",PT$3),Movimientos!$C:$C,"&lt;0")</f>
        <v>0</v>
      </c>
      <c r="PU20" s="5">
        <f ca="1">SUMIFS(Movimientos!$C:$C,Movimientos!$A:$A,$B20,Movimientos!$D:$D,CONCATENATE("&lt;=",PU$3),Movimientos!$C:$C,"&gt;0")+SUMIFS(Movimientos!$C:$C,Movimientos!$A:$A,$B20,Movimientos!$D:$D,CONCATENATE("&lt;",PU$3),Movimientos!$C:$C,"&lt;0")</f>
        <v>0</v>
      </c>
      <c r="PV20" s="5">
        <f ca="1">SUMIFS(Movimientos!$C:$C,Movimientos!$A:$A,$B20,Movimientos!$D:$D,CONCATENATE("&lt;=",PV$3),Movimientos!$C:$C,"&gt;0")+SUMIFS(Movimientos!$C:$C,Movimientos!$A:$A,$B20,Movimientos!$D:$D,CONCATENATE("&lt;",PV$3),Movimientos!$C:$C,"&lt;0")</f>
        <v>0</v>
      </c>
      <c r="PW20" s="5">
        <f ca="1">SUMIFS(Movimientos!$C:$C,Movimientos!$A:$A,$B20,Movimientos!$D:$D,CONCATENATE("&lt;=",PW$3),Movimientos!$C:$C,"&gt;0")+SUMIFS(Movimientos!$C:$C,Movimientos!$A:$A,$B20,Movimientos!$D:$D,CONCATENATE("&lt;",PW$3),Movimientos!$C:$C,"&lt;0")</f>
        <v>0</v>
      </c>
      <c r="PX20" s="5">
        <f ca="1">SUMIFS(Movimientos!$C:$C,Movimientos!$A:$A,$B20,Movimientos!$D:$D,CONCATENATE("&lt;=",PX$3),Movimientos!$C:$C,"&gt;0")+SUMIFS(Movimientos!$C:$C,Movimientos!$A:$A,$B20,Movimientos!$D:$D,CONCATENATE("&lt;",PX$3),Movimientos!$C:$C,"&lt;0")</f>
        <v>0</v>
      </c>
      <c r="PY20" s="5">
        <f ca="1">SUMIFS(Movimientos!$C:$C,Movimientos!$A:$A,$B20,Movimientos!$D:$D,CONCATENATE("&lt;=",PY$3),Movimientos!$C:$C,"&gt;0")+SUMIFS(Movimientos!$C:$C,Movimientos!$A:$A,$B20,Movimientos!$D:$D,CONCATENATE("&lt;",PY$3),Movimientos!$C:$C,"&lt;0")</f>
        <v>0</v>
      </c>
      <c r="PZ20" s="5">
        <f ca="1">SUMIFS(Movimientos!$C:$C,Movimientos!$A:$A,$B20,Movimientos!$D:$D,CONCATENATE("&lt;=",PZ$3),Movimientos!$C:$C,"&gt;0")+SUMIFS(Movimientos!$C:$C,Movimientos!$A:$A,$B20,Movimientos!$D:$D,CONCATENATE("&lt;",PZ$3),Movimientos!$C:$C,"&lt;0")</f>
        <v>0</v>
      </c>
      <c r="QA20" s="5">
        <f ca="1">SUMIFS(Movimientos!$C:$C,Movimientos!$A:$A,$B20,Movimientos!$D:$D,CONCATENATE("&lt;=",QA$3),Movimientos!$C:$C,"&gt;0")+SUMIFS(Movimientos!$C:$C,Movimientos!$A:$A,$B20,Movimientos!$D:$D,CONCATENATE("&lt;",QA$3),Movimientos!$C:$C,"&lt;0")</f>
        <v>0</v>
      </c>
      <c r="QB20" s="5">
        <f ca="1">SUMIFS(Movimientos!$C:$C,Movimientos!$A:$A,$B20,Movimientos!$D:$D,CONCATENATE("&lt;=",QB$3),Movimientos!$C:$C,"&gt;0")+SUMIFS(Movimientos!$C:$C,Movimientos!$A:$A,$B20,Movimientos!$D:$D,CONCATENATE("&lt;",QB$3),Movimientos!$C:$C,"&lt;0")</f>
        <v>0</v>
      </c>
      <c r="QC20" s="5">
        <f ca="1">SUMIFS(Movimientos!$C:$C,Movimientos!$A:$A,$B20,Movimientos!$D:$D,CONCATENATE("&lt;=",QC$3),Movimientos!$C:$C,"&gt;0")+SUMIFS(Movimientos!$C:$C,Movimientos!$A:$A,$B20,Movimientos!$D:$D,CONCATENATE("&lt;",QC$3),Movimientos!$C:$C,"&lt;0")</f>
        <v>0</v>
      </c>
      <c r="QD20" s="5">
        <f ca="1">SUMIFS(Movimientos!$C:$C,Movimientos!$A:$A,$B20,Movimientos!$D:$D,CONCATENATE("&lt;=",QD$3),Movimientos!$C:$C,"&gt;0")+SUMIFS(Movimientos!$C:$C,Movimientos!$A:$A,$B20,Movimientos!$D:$D,CONCATENATE("&lt;",QD$3),Movimientos!$C:$C,"&lt;0")</f>
        <v>0</v>
      </c>
      <c r="QE20" s="5">
        <f ca="1">SUMIFS(Movimientos!$C:$C,Movimientos!$A:$A,$B20,Movimientos!$D:$D,CONCATENATE("&lt;=",QE$3),Movimientos!$C:$C,"&gt;0")+SUMIFS(Movimientos!$C:$C,Movimientos!$A:$A,$B20,Movimientos!$D:$D,CONCATENATE("&lt;",QE$3),Movimientos!$C:$C,"&lt;0")</f>
        <v>0</v>
      </c>
      <c r="QF20" s="5">
        <f ca="1">SUMIFS(Movimientos!$C:$C,Movimientos!$A:$A,$B20,Movimientos!$D:$D,CONCATENATE("&lt;=",QF$3),Movimientos!$C:$C,"&gt;0")+SUMIFS(Movimientos!$C:$C,Movimientos!$A:$A,$B20,Movimientos!$D:$D,CONCATENATE("&lt;",QF$3),Movimientos!$C:$C,"&lt;0")</f>
        <v>0</v>
      </c>
      <c r="QG20" s="5">
        <f ca="1">SUMIFS(Movimientos!$C:$C,Movimientos!$A:$A,$B20,Movimientos!$D:$D,CONCATENATE("&lt;=",QG$3),Movimientos!$C:$C,"&gt;0")+SUMIFS(Movimientos!$C:$C,Movimientos!$A:$A,$B20,Movimientos!$D:$D,CONCATENATE("&lt;",QG$3),Movimientos!$C:$C,"&lt;0")</f>
        <v>0</v>
      </c>
      <c r="QH20" s="5">
        <f ca="1">SUMIFS(Movimientos!$C:$C,Movimientos!$A:$A,$B20,Movimientos!$D:$D,CONCATENATE("&lt;=",QH$3),Movimientos!$C:$C,"&gt;0")+SUMIFS(Movimientos!$C:$C,Movimientos!$A:$A,$B20,Movimientos!$D:$D,CONCATENATE("&lt;",QH$3),Movimientos!$C:$C,"&lt;0")</f>
        <v>0</v>
      </c>
      <c r="QI20" s="5">
        <f ca="1">SUMIFS(Movimientos!$C:$C,Movimientos!$A:$A,$B20,Movimientos!$D:$D,CONCATENATE("&lt;=",QI$3),Movimientos!$C:$C,"&gt;0")+SUMIFS(Movimientos!$C:$C,Movimientos!$A:$A,$B20,Movimientos!$D:$D,CONCATENATE("&lt;",QI$3),Movimientos!$C:$C,"&lt;0")</f>
        <v>0</v>
      </c>
      <c r="QJ20" s="5">
        <f ca="1">SUMIFS(Movimientos!$C:$C,Movimientos!$A:$A,$B20,Movimientos!$D:$D,CONCATENATE("&lt;=",QJ$3),Movimientos!$C:$C,"&gt;0")+SUMIFS(Movimientos!$C:$C,Movimientos!$A:$A,$B20,Movimientos!$D:$D,CONCATENATE("&lt;",QJ$3),Movimientos!$C:$C,"&lt;0")</f>
        <v>0</v>
      </c>
      <c r="QK20" s="5">
        <f ca="1">SUMIFS(Movimientos!$C:$C,Movimientos!$A:$A,$B20,Movimientos!$D:$D,CONCATENATE("&lt;=",QK$3),Movimientos!$C:$C,"&gt;0")+SUMIFS(Movimientos!$C:$C,Movimientos!$A:$A,$B20,Movimientos!$D:$D,CONCATENATE("&lt;",QK$3),Movimientos!$C:$C,"&lt;0")</f>
        <v>0</v>
      </c>
      <c r="QL20" s="5">
        <f ca="1">SUMIFS(Movimientos!$C:$C,Movimientos!$A:$A,$B20,Movimientos!$D:$D,CONCATENATE("&lt;=",QL$3),Movimientos!$C:$C,"&gt;0")+SUMIFS(Movimientos!$C:$C,Movimientos!$A:$A,$B20,Movimientos!$D:$D,CONCATENATE("&lt;",QL$3),Movimientos!$C:$C,"&lt;0")</f>
        <v>0</v>
      </c>
      <c r="QM20" s="5">
        <f ca="1">SUMIFS(Movimientos!$C:$C,Movimientos!$A:$A,$B20,Movimientos!$D:$D,CONCATENATE("&lt;=",QM$3),Movimientos!$C:$C,"&gt;0")+SUMIFS(Movimientos!$C:$C,Movimientos!$A:$A,$B20,Movimientos!$D:$D,CONCATENATE("&lt;",QM$3),Movimientos!$C:$C,"&lt;0")</f>
        <v>0</v>
      </c>
      <c r="QN20" s="5">
        <f ca="1">SUMIFS(Movimientos!$C:$C,Movimientos!$A:$A,$B20,Movimientos!$D:$D,CONCATENATE("&lt;=",QN$3),Movimientos!$C:$C,"&gt;0")+SUMIFS(Movimientos!$C:$C,Movimientos!$A:$A,$B20,Movimientos!$D:$D,CONCATENATE("&lt;",QN$3),Movimientos!$C:$C,"&lt;0")</f>
        <v>0</v>
      </c>
      <c r="QO20" s="5">
        <f ca="1">SUMIFS(Movimientos!$C:$C,Movimientos!$A:$A,$B20,Movimientos!$D:$D,CONCATENATE("&lt;=",QO$3),Movimientos!$C:$C,"&gt;0")+SUMIFS(Movimientos!$C:$C,Movimientos!$A:$A,$B20,Movimientos!$D:$D,CONCATENATE("&lt;",QO$3),Movimientos!$C:$C,"&lt;0")</f>
        <v>0</v>
      </c>
      <c r="QP20" s="5">
        <f ca="1">SUMIFS(Movimientos!$C:$C,Movimientos!$A:$A,$B20,Movimientos!$D:$D,CONCATENATE("&lt;=",QP$3),Movimientos!$C:$C,"&gt;0")+SUMIFS(Movimientos!$C:$C,Movimientos!$A:$A,$B20,Movimientos!$D:$D,CONCATENATE("&lt;",QP$3),Movimientos!$C:$C,"&lt;0")</f>
        <v>0</v>
      </c>
      <c r="QQ20" s="5">
        <f ca="1">SUMIFS(Movimientos!$C:$C,Movimientos!$A:$A,$B20,Movimientos!$D:$D,CONCATENATE("&lt;=",QQ$3),Movimientos!$C:$C,"&gt;0")+SUMIFS(Movimientos!$C:$C,Movimientos!$A:$A,$B20,Movimientos!$D:$D,CONCATENATE("&lt;",QQ$3),Movimientos!$C:$C,"&lt;0")</f>
        <v>0</v>
      </c>
      <c r="QR20" s="5">
        <f ca="1">SUMIFS(Movimientos!$C:$C,Movimientos!$A:$A,$B20,Movimientos!$D:$D,CONCATENATE("&lt;=",QR$3),Movimientos!$C:$C,"&gt;0")+SUMIFS(Movimientos!$C:$C,Movimientos!$A:$A,$B20,Movimientos!$D:$D,CONCATENATE("&lt;",QR$3),Movimientos!$C:$C,"&lt;0")</f>
        <v>0</v>
      </c>
      <c r="QS20" s="5">
        <f ca="1">SUMIFS(Movimientos!$C:$C,Movimientos!$A:$A,$B20,Movimientos!$D:$D,CONCATENATE("&lt;=",QS$3),Movimientos!$C:$C,"&gt;0")+SUMIFS(Movimientos!$C:$C,Movimientos!$A:$A,$B20,Movimientos!$D:$D,CONCATENATE("&lt;",QS$3),Movimientos!$C:$C,"&lt;0")</f>
        <v>0</v>
      </c>
      <c r="QT20" s="5">
        <f ca="1">SUMIFS(Movimientos!$C:$C,Movimientos!$A:$A,$B20,Movimientos!$D:$D,CONCATENATE("&lt;=",QT$3),Movimientos!$C:$C,"&gt;0")+SUMIFS(Movimientos!$C:$C,Movimientos!$A:$A,$B20,Movimientos!$D:$D,CONCATENATE("&lt;",QT$3),Movimientos!$C:$C,"&lt;0")</f>
        <v>0</v>
      </c>
      <c r="QU20" s="5">
        <f ca="1">SUMIFS(Movimientos!$C:$C,Movimientos!$A:$A,$B20,Movimientos!$D:$D,CONCATENATE("&lt;=",QU$3),Movimientos!$C:$C,"&gt;0")+SUMIFS(Movimientos!$C:$C,Movimientos!$A:$A,$B20,Movimientos!$D:$D,CONCATENATE("&lt;",QU$3),Movimientos!$C:$C,"&lt;0")</f>
        <v>0</v>
      </c>
      <c r="QV20" s="5">
        <f ca="1">SUMIFS(Movimientos!$C:$C,Movimientos!$A:$A,$B20,Movimientos!$D:$D,CONCATENATE("&lt;=",QV$3),Movimientos!$C:$C,"&gt;0")+SUMIFS(Movimientos!$C:$C,Movimientos!$A:$A,$B20,Movimientos!$D:$D,CONCATENATE("&lt;",QV$3),Movimientos!$C:$C,"&lt;0")</f>
        <v>0</v>
      </c>
      <c r="QW20" s="5">
        <f ca="1">SUMIFS(Movimientos!$C:$C,Movimientos!$A:$A,$B20,Movimientos!$D:$D,CONCATENATE("&lt;=",QW$3),Movimientos!$C:$C,"&gt;0")+SUMIFS(Movimientos!$C:$C,Movimientos!$A:$A,$B20,Movimientos!$D:$D,CONCATENATE("&lt;",QW$3),Movimientos!$C:$C,"&lt;0")</f>
        <v>0</v>
      </c>
      <c r="QX20" s="5">
        <f ca="1">SUMIFS(Movimientos!$C:$C,Movimientos!$A:$A,$B20,Movimientos!$D:$D,CONCATENATE("&lt;=",QX$3),Movimientos!$C:$C,"&gt;0")+SUMIFS(Movimientos!$C:$C,Movimientos!$A:$A,$B20,Movimientos!$D:$D,CONCATENATE("&lt;",QX$3),Movimientos!$C:$C,"&lt;0")</f>
        <v>0</v>
      </c>
      <c r="QY20" s="5">
        <f ca="1">SUMIFS(Movimientos!$C:$C,Movimientos!$A:$A,$B20,Movimientos!$D:$D,CONCATENATE("&lt;=",QY$3),Movimientos!$C:$C,"&gt;0")+SUMIFS(Movimientos!$C:$C,Movimientos!$A:$A,$B20,Movimientos!$D:$D,CONCATENATE("&lt;",QY$3),Movimientos!$C:$C,"&lt;0")</f>
        <v>0</v>
      </c>
      <c r="QZ20" s="5">
        <f ca="1">SUMIFS(Movimientos!$C:$C,Movimientos!$A:$A,$B20,Movimientos!$D:$D,CONCATENATE("&lt;=",QZ$3),Movimientos!$C:$C,"&gt;0")+SUMIFS(Movimientos!$C:$C,Movimientos!$A:$A,$B20,Movimientos!$D:$D,CONCATENATE("&lt;",QZ$3),Movimientos!$C:$C,"&lt;0")</f>
        <v>0</v>
      </c>
      <c r="RA20" s="5">
        <f ca="1">SUMIFS(Movimientos!$C:$C,Movimientos!$A:$A,$B20,Movimientos!$D:$D,CONCATENATE("&lt;=",RA$3),Movimientos!$C:$C,"&gt;0")+SUMIFS(Movimientos!$C:$C,Movimientos!$A:$A,$B20,Movimientos!$D:$D,CONCATENATE("&lt;",RA$3),Movimientos!$C:$C,"&lt;0")</f>
        <v>0</v>
      </c>
      <c r="RB20" s="5">
        <f ca="1">SUMIFS(Movimientos!$C:$C,Movimientos!$A:$A,$B20,Movimientos!$D:$D,CONCATENATE("&lt;=",RB$3),Movimientos!$C:$C,"&gt;0")+SUMIFS(Movimientos!$C:$C,Movimientos!$A:$A,$B20,Movimientos!$D:$D,CONCATENATE("&lt;",RB$3),Movimientos!$C:$C,"&lt;0")</f>
        <v>0</v>
      </c>
      <c r="RC20" s="5">
        <f ca="1">SUMIFS(Movimientos!$C:$C,Movimientos!$A:$A,$B20,Movimientos!$D:$D,CONCATENATE("&lt;=",RC$3),Movimientos!$C:$C,"&gt;0")+SUMIFS(Movimientos!$C:$C,Movimientos!$A:$A,$B20,Movimientos!$D:$D,CONCATENATE("&lt;",RC$3),Movimientos!$C:$C,"&lt;0")</f>
        <v>0</v>
      </c>
      <c r="RD20" s="5">
        <f ca="1">SUMIFS(Movimientos!$C:$C,Movimientos!$A:$A,$B20,Movimientos!$D:$D,CONCATENATE("&lt;=",RD$3),Movimientos!$C:$C,"&gt;0")+SUMIFS(Movimientos!$C:$C,Movimientos!$A:$A,$B20,Movimientos!$D:$D,CONCATENATE("&lt;",RD$3),Movimientos!$C:$C,"&lt;0")</f>
        <v>0</v>
      </c>
      <c r="RE20" s="5">
        <f ca="1">SUMIFS(Movimientos!$C:$C,Movimientos!$A:$A,$B20,Movimientos!$D:$D,CONCATENATE("&lt;=",RE$3),Movimientos!$C:$C,"&gt;0")+SUMIFS(Movimientos!$C:$C,Movimientos!$A:$A,$B20,Movimientos!$D:$D,CONCATENATE("&lt;",RE$3),Movimientos!$C:$C,"&lt;0")</f>
        <v>0</v>
      </c>
      <c r="RF20" s="5">
        <f ca="1">SUMIFS(Movimientos!$C:$C,Movimientos!$A:$A,$B20,Movimientos!$D:$D,CONCATENATE("&lt;=",RF$3),Movimientos!$C:$C,"&gt;0")+SUMIFS(Movimientos!$C:$C,Movimientos!$A:$A,$B20,Movimientos!$D:$D,CONCATENATE("&lt;",RF$3),Movimientos!$C:$C,"&lt;0")</f>
        <v>0</v>
      </c>
      <c r="RG20" s="5">
        <f ca="1">SUMIFS(Movimientos!$C:$C,Movimientos!$A:$A,$B20,Movimientos!$D:$D,CONCATENATE("&lt;=",RG$3),Movimientos!$C:$C,"&gt;0")+SUMIFS(Movimientos!$C:$C,Movimientos!$A:$A,$B20,Movimientos!$D:$D,CONCATENATE("&lt;",RG$3),Movimientos!$C:$C,"&lt;0")</f>
        <v>0</v>
      </c>
      <c r="RH20" s="5">
        <f ca="1">SUMIFS(Movimientos!$C:$C,Movimientos!$A:$A,$B20,Movimientos!$D:$D,CONCATENATE("&lt;=",RH$3),Movimientos!$C:$C,"&gt;0")+SUMIFS(Movimientos!$C:$C,Movimientos!$A:$A,$B20,Movimientos!$D:$D,CONCATENATE("&lt;",RH$3),Movimientos!$C:$C,"&lt;0")</f>
        <v>0</v>
      </c>
      <c r="RI20" s="5">
        <f ca="1">SUMIFS(Movimientos!$C:$C,Movimientos!$A:$A,$B20,Movimientos!$D:$D,CONCATENATE("&lt;=",RI$3),Movimientos!$C:$C,"&gt;0")+SUMIFS(Movimientos!$C:$C,Movimientos!$A:$A,$B20,Movimientos!$D:$D,CONCATENATE("&lt;",RI$3),Movimientos!$C:$C,"&lt;0")</f>
        <v>0</v>
      </c>
      <c r="RJ20" s="5">
        <f ca="1">SUMIFS(Movimientos!$C:$C,Movimientos!$A:$A,$B20,Movimientos!$D:$D,CONCATENATE("&lt;=",RJ$3),Movimientos!$C:$C,"&gt;0")+SUMIFS(Movimientos!$C:$C,Movimientos!$A:$A,$B20,Movimientos!$D:$D,CONCATENATE("&lt;",RJ$3),Movimientos!$C:$C,"&lt;0")</f>
        <v>0</v>
      </c>
      <c r="RK20" s="5">
        <f ca="1">SUMIFS(Movimientos!$C:$C,Movimientos!$A:$A,$B20,Movimientos!$D:$D,CONCATENATE("&lt;=",RK$3),Movimientos!$C:$C,"&gt;0")+SUMIFS(Movimientos!$C:$C,Movimientos!$A:$A,$B20,Movimientos!$D:$D,CONCATENATE("&lt;",RK$3),Movimientos!$C:$C,"&lt;0")</f>
        <v>0</v>
      </c>
      <c r="RL20" s="5">
        <f ca="1">SUMIFS(Movimientos!$C:$C,Movimientos!$A:$A,$B20,Movimientos!$D:$D,CONCATENATE("&lt;=",RL$3),Movimientos!$C:$C,"&gt;0")+SUMIFS(Movimientos!$C:$C,Movimientos!$A:$A,$B20,Movimientos!$D:$D,CONCATENATE("&lt;",RL$3),Movimientos!$C:$C,"&lt;0")</f>
        <v>0</v>
      </c>
      <c r="RM20" s="5">
        <f ca="1">SUMIFS(Movimientos!$C:$C,Movimientos!$A:$A,$B20,Movimientos!$D:$D,CONCATENATE("&lt;=",RM$3),Movimientos!$C:$C,"&gt;0")+SUMIFS(Movimientos!$C:$C,Movimientos!$A:$A,$B20,Movimientos!$D:$D,CONCATENATE("&lt;",RM$3),Movimientos!$C:$C,"&lt;0")</f>
        <v>0</v>
      </c>
      <c r="RN20" s="5">
        <f ca="1">SUMIFS(Movimientos!$C:$C,Movimientos!$A:$A,$B20,Movimientos!$D:$D,CONCATENATE("&lt;=",RN$3),Movimientos!$C:$C,"&gt;0")+SUMIFS(Movimientos!$C:$C,Movimientos!$A:$A,$B20,Movimientos!$D:$D,CONCATENATE("&lt;",RN$3),Movimientos!$C:$C,"&lt;0")</f>
        <v>0</v>
      </c>
      <c r="RO20" s="5">
        <f ca="1">SUMIFS(Movimientos!$C:$C,Movimientos!$A:$A,$B20,Movimientos!$D:$D,CONCATENATE("&lt;=",RO$3),Movimientos!$C:$C,"&gt;0")+SUMIFS(Movimientos!$C:$C,Movimientos!$A:$A,$B20,Movimientos!$D:$D,CONCATENATE("&lt;",RO$3),Movimientos!$C:$C,"&lt;0")</f>
        <v>0</v>
      </c>
      <c r="RP20" s="5">
        <f ca="1">SUMIFS(Movimientos!$C:$C,Movimientos!$A:$A,$B20,Movimientos!$D:$D,CONCATENATE("&lt;=",RP$3),Movimientos!$C:$C,"&gt;0")+SUMIFS(Movimientos!$C:$C,Movimientos!$A:$A,$B20,Movimientos!$D:$D,CONCATENATE("&lt;",RP$3),Movimientos!$C:$C,"&lt;0")</f>
        <v>0</v>
      </c>
      <c r="RQ20" s="5">
        <f ca="1">SUMIFS(Movimientos!$C:$C,Movimientos!$A:$A,$B20,Movimientos!$D:$D,CONCATENATE("&lt;=",RQ$3),Movimientos!$C:$C,"&gt;0")+SUMIFS(Movimientos!$C:$C,Movimientos!$A:$A,$B20,Movimientos!$D:$D,CONCATENATE("&lt;",RQ$3),Movimientos!$C:$C,"&lt;0")</f>
        <v>0</v>
      </c>
      <c r="RR20" s="5">
        <f ca="1">SUMIFS(Movimientos!$C:$C,Movimientos!$A:$A,$B20,Movimientos!$D:$D,CONCATENATE("&lt;=",RR$3),Movimientos!$C:$C,"&gt;0")+SUMIFS(Movimientos!$C:$C,Movimientos!$A:$A,$B20,Movimientos!$D:$D,CONCATENATE("&lt;",RR$3),Movimientos!$C:$C,"&lt;0")</f>
        <v>0</v>
      </c>
      <c r="RS20" s="5">
        <f ca="1">SUMIFS(Movimientos!$C:$C,Movimientos!$A:$A,$B20,Movimientos!$D:$D,CONCATENATE("&lt;=",RS$3),Movimientos!$C:$C,"&gt;0")+SUMIFS(Movimientos!$C:$C,Movimientos!$A:$A,$B20,Movimientos!$D:$D,CONCATENATE("&lt;",RS$3),Movimientos!$C:$C,"&lt;0")</f>
        <v>0</v>
      </c>
      <c r="RT20" s="5">
        <f ca="1">SUMIFS(Movimientos!$C:$C,Movimientos!$A:$A,$B20,Movimientos!$D:$D,CONCATENATE("&lt;=",RT$3),Movimientos!$C:$C,"&gt;0")+SUMIFS(Movimientos!$C:$C,Movimientos!$A:$A,$B20,Movimientos!$D:$D,CONCATENATE("&lt;",RT$3),Movimientos!$C:$C,"&lt;0")</f>
        <v>0</v>
      </c>
      <c r="RU20" s="5">
        <f ca="1">SUMIFS(Movimientos!$C:$C,Movimientos!$A:$A,$B20,Movimientos!$D:$D,CONCATENATE("&lt;=",RU$3),Movimientos!$C:$C,"&gt;0")+SUMIFS(Movimientos!$C:$C,Movimientos!$A:$A,$B20,Movimientos!$D:$D,CONCATENATE("&lt;",RU$3),Movimientos!$C:$C,"&lt;0")</f>
        <v>0</v>
      </c>
      <c r="RV20" s="5">
        <f ca="1">SUMIFS(Movimientos!$C:$C,Movimientos!$A:$A,$B20,Movimientos!$D:$D,CONCATENATE("&lt;=",RV$3),Movimientos!$C:$C,"&gt;0")+SUMIFS(Movimientos!$C:$C,Movimientos!$A:$A,$B20,Movimientos!$D:$D,CONCATENATE("&lt;",RV$3),Movimientos!$C:$C,"&lt;0")</f>
        <v>0</v>
      </c>
      <c r="RW20" s="5">
        <f ca="1">SUMIFS(Movimientos!$C:$C,Movimientos!$A:$A,$B20,Movimientos!$D:$D,CONCATENATE("&lt;=",RW$3),Movimientos!$C:$C,"&gt;0")+SUMIFS(Movimientos!$C:$C,Movimientos!$A:$A,$B20,Movimientos!$D:$D,CONCATENATE("&lt;",RW$3),Movimientos!$C:$C,"&lt;0")</f>
        <v>0</v>
      </c>
      <c r="RX20" s="5">
        <f ca="1">SUMIFS(Movimientos!$C:$C,Movimientos!$A:$A,$B20,Movimientos!$D:$D,CONCATENATE("&lt;=",RX$3),Movimientos!$C:$C,"&gt;0")+SUMIFS(Movimientos!$C:$C,Movimientos!$A:$A,$B20,Movimientos!$D:$D,CONCATENATE("&lt;",RX$3),Movimientos!$C:$C,"&lt;0")</f>
        <v>0</v>
      </c>
      <c r="RY20" s="5">
        <f ca="1">SUMIFS(Movimientos!$C:$C,Movimientos!$A:$A,$B20,Movimientos!$D:$D,CONCATENATE("&lt;=",RY$3),Movimientos!$C:$C,"&gt;0")+SUMIFS(Movimientos!$C:$C,Movimientos!$A:$A,$B20,Movimientos!$D:$D,CONCATENATE("&lt;",RY$3),Movimientos!$C:$C,"&lt;0")</f>
        <v>0</v>
      </c>
      <c r="RZ20" s="5">
        <f ca="1">SUMIFS(Movimientos!$C:$C,Movimientos!$A:$A,$B20,Movimientos!$D:$D,CONCATENATE("&lt;=",RZ$3),Movimientos!$C:$C,"&gt;0")+SUMIFS(Movimientos!$C:$C,Movimientos!$A:$A,$B20,Movimientos!$D:$D,CONCATENATE("&lt;",RZ$3),Movimientos!$C:$C,"&lt;0")</f>
        <v>0</v>
      </c>
      <c r="SA20" s="5">
        <f ca="1">SUMIFS(Movimientos!$C:$C,Movimientos!$A:$A,$B20,Movimientos!$D:$D,CONCATENATE("&lt;=",SA$3),Movimientos!$C:$C,"&gt;0")+SUMIFS(Movimientos!$C:$C,Movimientos!$A:$A,$B20,Movimientos!$D:$D,CONCATENATE("&lt;",SA$3),Movimientos!$C:$C,"&lt;0")</f>
        <v>0</v>
      </c>
      <c r="SB20" s="5">
        <f ca="1">SUMIFS(Movimientos!$C:$C,Movimientos!$A:$A,$B20,Movimientos!$D:$D,CONCATENATE("&lt;=",SB$3),Movimientos!$C:$C,"&gt;0")+SUMIFS(Movimientos!$C:$C,Movimientos!$A:$A,$B20,Movimientos!$D:$D,CONCATENATE("&lt;",SB$3),Movimientos!$C:$C,"&lt;0")</f>
        <v>0</v>
      </c>
      <c r="SC20" s="5">
        <f ca="1">SUMIFS(Movimientos!$C:$C,Movimientos!$A:$A,$B20,Movimientos!$D:$D,CONCATENATE("&lt;=",SC$3),Movimientos!$C:$C,"&gt;0")+SUMIFS(Movimientos!$C:$C,Movimientos!$A:$A,$B20,Movimientos!$D:$D,CONCATENATE("&lt;",SC$3),Movimientos!$C:$C,"&lt;0")</f>
        <v>0</v>
      </c>
      <c r="SD20" s="5">
        <f ca="1">SUMIFS(Movimientos!$C:$C,Movimientos!$A:$A,$B20,Movimientos!$D:$D,CONCATENATE("&lt;=",SD$3),Movimientos!$C:$C,"&gt;0")+SUMIFS(Movimientos!$C:$C,Movimientos!$A:$A,$B20,Movimientos!$D:$D,CONCATENATE("&lt;",SD$3),Movimientos!$C:$C,"&lt;0")</f>
        <v>0</v>
      </c>
      <c r="SE20" s="5">
        <f ca="1">SUMIFS(Movimientos!$C:$C,Movimientos!$A:$A,$B20,Movimientos!$D:$D,CONCATENATE("&lt;=",SE$3),Movimientos!$C:$C,"&gt;0")+SUMIFS(Movimientos!$C:$C,Movimientos!$A:$A,$B20,Movimientos!$D:$D,CONCATENATE("&lt;",SE$3),Movimientos!$C:$C,"&lt;0")</f>
        <v>0</v>
      </c>
      <c r="SF20" s="5">
        <f ca="1">SUMIFS(Movimientos!$C:$C,Movimientos!$A:$A,$B20,Movimientos!$D:$D,CONCATENATE("&lt;=",SF$3),Movimientos!$C:$C,"&gt;0")+SUMIFS(Movimientos!$C:$C,Movimientos!$A:$A,$B20,Movimientos!$D:$D,CONCATENATE("&lt;",SF$3),Movimientos!$C:$C,"&lt;0")</f>
        <v>0</v>
      </c>
      <c r="SG20" s="5">
        <f ca="1">SUMIFS(Movimientos!$C:$C,Movimientos!$A:$A,$B20,Movimientos!$D:$D,CONCATENATE("&lt;=",SG$3),Movimientos!$C:$C,"&gt;0")+SUMIFS(Movimientos!$C:$C,Movimientos!$A:$A,$B20,Movimientos!$D:$D,CONCATENATE("&lt;",SG$3),Movimientos!$C:$C,"&lt;0")</f>
        <v>0</v>
      </c>
      <c r="SH20" s="5">
        <f ca="1">SUMIFS(Movimientos!$C:$C,Movimientos!$A:$A,$B20,Movimientos!$D:$D,CONCATENATE("&lt;=",SH$3),Movimientos!$C:$C,"&gt;0")+SUMIFS(Movimientos!$C:$C,Movimientos!$A:$A,$B20,Movimientos!$D:$D,CONCATENATE("&lt;",SH$3),Movimientos!$C:$C,"&lt;0")</f>
        <v>0</v>
      </c>
      <c r="SI20" s="5">
        <f ca="1">SUMIFS(Movimientos!$C:$C,Movimientos!$A:$A,$B20,Movimientos!$D:$D,CONCATENATE("&lt;=",SI$3),Movimientos!$C:$C,"&gt;0")+SUMIFS(Movimientos!$C:$C,Movimientos!$A:$A,$B20,Movimientos!$D:$D,CONCATENATE("&lt;",SI$3),Movimientos!$C:$C,"&lt;0")</f>
        <v>0</v>
      </c>
      <c r="SJ20" s="5">
        <f ca="1">SUMIFS(Movimientos!$C:$C,Movimientos!$A:$A,$B20,Movimientos!$D:$D,CONCATENATE("&lt;=",SJ$3),Movimientos!$C:$C,"&gt;0")+SUMIFS(Movimientos!$C:$C,Movimientos!$A:$A,$B20,Movimientos!$D:$D,CONCATENATE("&lt;",SJ$3),Movimientos!$C:$C,"&lt;0")</f>
        <v>0</v>
      </c>
      <c r="SK20" s="5">
        <f ca="1">SUMIFS(Movimientos!$C:$C,Movimientos!$A:$A,$B20,Movimientos!$D:$D,CONCATENATE("&lt;=",SK$3),Movimientos!$C:$C,"&gt;0")+SUMIFS(Movimientos!$C:$C,Movimientos!$A:$A,$B20,Movimientos!$D:$D,CONCATENATE("&lt;",SK$3),Movimientos!$C:$C,"&lt;0")</f>
        <v>0</v>
      </c>
      <c r="SL20" s="5">
        <f ca="1">SUMIFS(Movimientos!$C:$C,Movimientos!$A:$A,$B20,Movimientos!$D:$D,CONCATENATE("&lt;=",SL$3),Movimientos!$C:$C,"&gt;0")+SUMIFS(Movimientos!$C:$C,Movimientos!$A:$A,$B20,Movimientos!$D:$D,CONCATENATE("&lt;",SL$3),Movimientos!$C:$C,"&lt;0")</f>
        <v>0</v>
      </c>
      <c r="SM20" s="5">
        <f ca="1">SUMIFS(Movimientos!$C:$C,Movimientos!$A:$A,$B20,Movimientos!$D:$D,CONCATENATE("&lt;=",SM$3),Movimientos!$C:$C,"&gt;0")+SUMIFS(Movimientos!$C:$C,Movimientos!$A:$A,$B20,Movimientos!$D:$D,CONCATENATE("&lt;",SM$3),Movimientos!$C:$C,"&lt;0")</f>
        <v>0</v>
      </c>
      <c r="SN20" s="5">
        <f ca="1">SUMIFS(Movimientos!$C:$C,Movimientos!$A:$A,$B20,Movimientos!$D:$D,CONCATENATE("&lt;=",SN$3),Movimientos!$C:$C,"&gt;0")+SUMIFS(Movimientos!$C:$C,Movimientos!$A:$A,$B20,Movimientos!$D:$D,CONCATENATE("&lt;",SN$3),Movimientos!$C:$C,"&lt;0")</f>
        <v>0</v>
      </c>
      <c r="SO20" s="5">
        <f ca="1">SUMIFS(Movimientos!$C:$C,Movimientos!$A:$A,$B20,Movimientos!$D:$D,CONCATENATE("&lt;=",SO$3),Movimientos!$C:$C,"&gt;0")+SUMIFS(Movimientos!$C:$C,Movimientos!$A:$A,$B20,Movimientos!$D:$D,CONCATENATE("&lt;",SO$3),Movimientos!$C:$C,"&lt;0")</f>
        <v>0</v>
      </c>
      <c r="SP20" s="5">
        <f ca="1">SUMIFS(Movimientos!$C:$C,Movimientos!$A:$A,$B20,Movimientos!$D:$D,CONCATENATE("&lt;=",SP$3),Movimientos!$C:$C,"&gt;0")+SUMIFS(Movimientos!$C:$C,Movimientos!$A:$A,$B20,Movimientos!$D:$D,CONCATENATE("&lt;",SP$3),Movimientos!$C:$C,"&lt;0")</f>
        <v>0</v>
      </c>
      <c r="SQ20" s="5">
        <f ca="1">SUMIFS(Movimientos!$C:$C,Movimientos!$A:$A,$B20,Movimientos!$D:$D,CONCATENATE("&lt;=",SQ$3),Movimientos!$C:$C,"&gt;0")+SUMIFS(Movimientos!$C:$C,Movimientos!$A:$A,$B20,Movimientos!$D:$D,CONCATENATE("&lt;",SQ$3),Movimientos!$C:$C,"&lt;0")</f>
        <v>0</v>
      </c>
      <c r="SR20" s="5">
        <f ca="1">SUMIFS(Movimientos!$C:$C,Movimientos!$A:$A,$B20,Movimientos!$D:$D,CONCATENATE("&lt;=",SR$3),Movimientos!$C:$C,"&gt;0")+SUMIFS(Movimientos!$C:$C,Movimientos!$A:$A,$B20,Movimientos!$D:$D,CONCATENATE("&lt;",SR$3),Movimientos!$C:$C,"&lt;0")</f>
        <v>0</v>
      </c>
      <c r="SS20" s="5">
        <f ca="1">SUMIFS(Movimientos!$C:$C,Movimientos!$A:$A,$B20,Movimientos!$D:$D,CONCATENATE("&lt;=",SS$3),Movimientos!$C:$C,"&gt;0")+SUMIFS(Movimientos!$C:$C,Movimientos!$A:$A,$B20,Movimientos!$D:$D,CONCATENATE("&lt;",SS$3),Movimientos!$C:$C,"&lt;0")</f>
        <v>0</v>
      </c>
      <c r="ST20" s="5">
        <f ca="1">SUMIFS(Movimientos!$C:$C,Movimientos!$A:$A,$B20,Movimientos!$D:$D,CONCATENATE("&lt;=",ST$3),Movimientos!$C:$C,"&gt;0")+SUMIFS(Movimientos!$C:$C,Movimientos!$A:$A,$B20,Movimientos!$D:$D,CONCATENATE("&lt;",ST$3),Movimientos!$C:$C,"&lt;0")</f>
        <v>0</v>
      </c>
      <c r="SU20" s="5">
        <f ca="1">SUMIFS(Movimientos!$C:$C,Movimientos!$A:$A,$B20,Movimientos!$D:$D,CONCATENATE("&lt;=",SU$3),Movimientos!$C:$C,"&gt;0")+SUMIFS(Movimientos!$C:$C,Movimientos!$A:$A,$B20,Movimientos!$D:$D,CONCATENATE("&lt;",SU$3),Movimientos!$C:$C,"&lt;0")</f>
        <v>0</v>
      </c>
      <c r="SV20" s="5">
        <f ca="1">SUMIFS(Movimientos!$C:$C,Movimientos!$A:$A,$B20,Movimientos!$D:$D,CONCATENATE("&lt;=",SV$3),Movimientos!$C:$C,"&gt;0")+SUMIFS(Movimientos!$C:$C,Movimientos!$A:$A,$B20,Movimientos!$D:$D,CONCATENATE("&lt;",SV$3),Movimientos!$C:$C,"&lt;0")</f>
        <v>0</v>
      </c>
      <c r="SW20" s="5">
        <f ca="1">SUMIFS(Movimientos!$C:$C,Movimientos!$A:$A,$B20,Movimientos!$D:$D,CONCATENATE("&lt;=",SW$3),Movimientos!$C:$C,"&gt;0")+SUMIFS(Movimientos!$C:$C,Movimientos!$A:$A,$B20,Movimientos!$D:$D,CONCATENATE("&lt;",SW$3),Movimientos!$C:$C,"&lt;0")</f>
        <v>0</v>
      </c>
      <c r="SX20" s="5">
        <f ca="1">SUMIFS(Movimientos!$C:$C,Movimientos!$A:$A,$B20,Movimientos!$D:$D,CONCATENATE("&lt;=",SX$3),Movimientos!$C:$C,"&gt;0")+SUMIFS(Movimientos!$C:$C,Movimientos!$A:$A,$B20,Movimientos!$D:$D,CONCATENATE("&lt;",SX$3),Movimientos!$C:$C,"&lt;0")</f>
        <v>0</v>
      </c>
      <c r="SY20" s="5">
        <f ca="1">SUMIFS(Movimientos!$C:$C,Movimientos!$A:$A,$B20,Movimientos!$D:$D,CONCATENATE("&lt;=",SY$3),Movimientos!$C:$C,"&gt;0")+SUMIFS(Movimientos!$C:$C,Movimientos!$A:$A,$B20,Movimientos!$D:$D,CONCATENATE("&lt;",SY$3),Movimientos!$C:$C,"&lt;0")</f>
        <v>0</v>
      </c>
      <c r="SZ20" s="5">
        <f ca="1">SUMIFS(Movimientos!$C:$C,Movimientos!$A:$A,$B20,Movimientos!$D:$D,CONCATENATE("&lt;=",SZ$3),Movimientos!$C:$C,"&gt;0")+SUMIFS(Movimientos!$C:$C,Movimientos!$A:$A,$B20,Movimientos!$D:$D,CONCATENATE("&lt;",SZ$3),Movimientos!$C:$C,"&lt;0")</f>
        <v>0</v>
      </c>
      <c r="TA20" s="5">
        <f ca="1">SUMIFS(Movimientos!$C:$C,Movimientos!$A:$A,$B20,Movimientos!$D:$D,CONCATENATE("&lt;=",TA$3),Movimientos!$C:$C,"&gt;0")+SUMIFS(Movimientos!$C:$C,Movimientos!$A:$A,$B20,Movimientos!$D:$D,CONCATENATE("&lt;",TA$3),Movimientos!$C:$C,"&lt;0")</f>
        <v>0</v>
      </c>
      <c r="TB20" s="5">
        <f ca="1">SUMIFS(Movimientos!$C:$C,Movimientos!$A:$A,$B20,Movimientos!$D:$D,CONCATENATE("&lt;=",TB$3),Movimientos!$C:$C,"&gt;0")+SUMIFS(Movimientos!$C:$C,Movimientos!$A:$A,$B20,Movimientos!$D:$D,CONCATENATE("&lt;",TB$3),Movimientos!$C:$C,"&lt;0")</f>
        <v>0</v>
      </c>
      <c r="TC20" s="5">
        <f ca="1">SUMIFS(Movimientos!$C:$C,Movimientos!$A:$A,$B20,Movimientos!$D:$D,CONCATENATE("&lt;=",TC$3),Movimientos!$C:$C,"&gt;0")+SUMIFS(Movimientos!$C:$C,Movimientos!$A:$A,$B20,Movimientos!$D:$D,CONCATENATE("&lt;",TC$3),Movimientos!$C:$C,"&lt;0")</f>
        <v>0</v>
      </c>
      <c r="TD20" s="5">
        <f ca="1">SUMIFS(Movimientos!$C:$C,Movimientos!$A:$A,$B20,Movimientos!$D:$D,CONCATENATE("&lt;=",TD$3),Movimientos!$C:$C,"&gt;0")+SUMIFS(Movimientos!$C:$C,Movimientos!$A:$A,$B20,Movimientos!$D:$D,CONCATENATE("&lt;",TD$3),Movimientos!$C:$C,"&lt;0")</f>
        <v>0</v>
      </c>
      <c r="TE20" s="5">
        <f ca="1">SUMIFS(Movimientos!$C:$C,Movimientos!$A:$A,$B20,Movimientos!$D:$D,CONCATENATE("&lt;=",TE$3),Movimientos!$C:$C,"&gt;0")+SUMIFS(Movimientos!$C:$C,Movimientos!$A:$A,$B20,Movimientos!$D:$D,CONCATENATE("&lt;",TE$3),Movimientos!$C:$C,"&lt;0")</f>
        <v>0</v>
      </c>
      <c r="TF20" s="5">
        <f ca="1">SUMIFS(Movimientos!$C:$C,Movimientos!$A:$A,$B20,Movimientos!$D:$D,CONCATENATE("&lt;=",TF$3),Movimientos!$C:$C,"&gt;0")+SUMIFS(Movimientos!$C:$C,Movimientos!$A:$A,$B20,Movimientos!$D:$D,CONCATENATE("&lt;",TF$3),Movimientos!$C:$C,"&lt;0")</f>
        <v>0</v>
      </c>
    </row>
    <row r="21" spans="1:526">
      <c r="A21" s="31" t="s">
        <v>48</v>
      </c>
      <c r="B21" s="4">
        <f>Cartera!B21</f>
        <v>0</v>
      </c>
      <c r="C21" s="4">
        <f>Cartera!C21</f>
        <v>0</v>
      </c>
      <c r="D21" s="5">
        <f ca="1">SUMIFS(Movimientos!$C:$C,Movimientos!$A:$A,$B21,Movimientos!$D:$D,CONCATENATE("&lt;=",D$3),Movimientos!$C:$C,"&gt;0")+SUMIFS(Movimientos!$C:$C,Movimientos!$A:$A,$B21,Movimientos!$D:$D,CONCATENATE("&lt;",D$3),Movimientos!$C:$C,"&lt;0")</f>
        <v>0</v>
      </c>
      <c r="E21" s="5">
        <f ca="1">SUMIFS(Movimientos!$C:$C,Movimientos!$A:$A,$B21,Movimientos!$D:$D,CONCATENATE("&lt;=",E$3),Movimientos!$C:$C,"&gt;0")+SUMIFS(Movimientos!$C:$C,Movimientos!$A:$A,$B21,Movimientos!$D:$D,CONCATENATE("&lt;",E$3),Movimientos!$C:$C,"&lt;0")</f>
        <v>0</v>
      </c>
      <c r="F21" s="5">
        <f ca="1">SUMIFS(Movimientos!$C:$C,Movimientos!$A:$A,$B21,Movimientos!$D:$D,CONCATENATE("&lt;=",F$3),Movimientos!$C:$C,"&gt;0")+SUMIFS(Movimientos!$C:$C,Movimientos!$A:$A,$B21,Movimientos!$D:$D,CONCATENATE("&lt;",F$3),Movimientos!$C:$C,"&lt;0")</f>
        <v>0</v>
      </c>
      <c r="G21" s="5">
        <f ca="1">SUMIFS(Movimientos!$C:$C,Movimientos!$A:$A,$B21,Movimientos!$D:$D,CONCATENATE("&lt;=",G$3),Movimientos!$C:$C,"&gt;0")+SUMIFS(Movimientos!$C:$C,Movimientos!$A:$A,$B21,Movimientos!$D:$D,CONCATENATE("&lt;",G$3),Movimientos!$C:$C,"&lt;0")</f>
        <v>0</v>
      </c>
      <c r="H21" s="5">
        <f ca="1">SUMIFS(Movimientos!$C:$C,Movimientos!$A:$A,$B21,Movimientos!$D:$D,CONCATENATE("&lt;=",H$3),Movimientos!$C:$C,"&gt;0")+SUMIFS(Movimientos!$C:$C,Movimientos!$A:$A,$B21,Movimientos!$D:$D,CONCATENATE("&lt;",H$3),Movimientos!$C:$C,"&lt;0")</f>
        <v>0</v>
      </c>
      <c r="I21" s="5">
        <f ca="1">SUMIFS(Movimientos!$C:$C,Movimientos!$A:$A,$B21,Movimientos!$D:$D,CONCATENATE("&lt;=",I$3),Movimientos!$C:$C,"&gt;0")+SUMIFS(Movimientos!$C:$C,Movimientos!$A:$A,$B21,Movimientos!$D:$D,CONCATENATE("&lt;",I$3),Movimientos!$C:$C,"&lt;0")</f>
        <v>0</v>
      </c>
      <c r="J21" s="5">
        <f ca="1">SUMIFS(Movimientos!$C:$C,Movimientos!$A:$A,$B21,Movimientos!$D:$D,CONCATENATE("&lt;=",J$3),Movimientos!$C:$C,"&gt;0")+SUMIFS(Movimientos!$C:$C,Movimientos!$A:$A,$B21,Movimientos!$D:$D,CONCATENATE("&lt;",J$3),Movimientos!$C:$C,"&lt;0")</f>
        <v>0</v>
      </c>
      <c r="K21" s="5">
        <f ca="1">SUMIFS(Movimientos!$C:$C,Movimientos!$A:$A,$B21,Movimientos!$D:$D,CONCATENATE("&lt;=",K$3),Movimientos!$C:$C,"&gt;0")+SUMIFS(Movimientos!$C:$C,Movimientos!$A:$A,$B21,Movimientos!$D:$D,CONCATENATE("&lt;",K$3),Movimientos!$C:$C,"&lt;0")</f>
        <v>0</v>
      </c>
      <c r="L21" s="5">
        <f ca="1">SUMIFS(Movimientos!$C:$C,Movimientos!$A:$A,$B21,Movimientos!$D:$D,CONCATENATE("&lt;=",L$3),Movimientos!$C:$C,"&gt;0")+SUMIFS(Movimientos!$C:$C,Movimientos!$A:$A,$B21,Movimientos!$D:$D,CONCATENATE("&lt;",L$3),Movimientos!$C:$C,"&lt;0")</f>
        <v>0</v>
      </c>
      <c r="M21" s="5">
        <f ca="1">SUMIFS(Movimientos!$C:$C,Movimientos!$A:$A,$B21,Movimientos!$D:$D,CONCATENATE("&lt;=",M$3),Movimientos!$C:$C,"&gt;0")+SUMIFS(Movimientos!$C:$C,Movimientos!$A:$A,$B21,Movimientos!$D:$D,CONCATENATE("&lt;",M$3),Movimientos!$C:$C,"&lt;0")</f>
        <v>0</v>
      </c>
      <c r="N21" s="5">
        <f ca="1">SUMIFS(Movimientos!$C:$C,Movimientos!$A:$A,$B21,Movimientos!$D:$D,CONCATENATE("&lt;=",N$3),Movimientos!$C:$C,"&gt;0")+SUMIFS(Movimientos!$C:$C,Movimientos!$A:$A,$B21,Movimientos!$D:$D,CONCATENATE("&lt;",N$3),Movimientos!$C:$C,"&lt;0")</f>
        <v>0</v>
      </c>
      <c r="O21" s="5">
        <f ca="1">SUMIFS(Movimientos!$C:$C,Movimientos!$A:$A,$B21,Movimientos!$D:$D,CONCATENATE("&lt;=",O$3),Movimientos!$C:$C,"&gt;0")+SUMIFS(Movimientos!$C:$C,Movimientos!$A:$A,$B21,Movimientos!$D:$D,CONCATENATE("&lt;",O$3),Movimientos!$C:$C,"&lt;0")</f>
        <v>0</v>
      </c>
      <c r="P21" s="5">
        <f ca="1">SUMIFS(Movimientos!$C:$C,Movimientos!$A:$A,$B21,Movimientos!$D:$D,CONCATENATE("&lt;=",P$3),Movimientos!$C:$C,"&gt;0")+SUMIFS(Movimientos!$C:$C,Movimientos!$A:$A,$B21,Movimientos!$D:$D,CONCATENATE("&lt;",P$3),Movimientos!$C:$C,"&lt;0")</f>
        <v>0</v>
      </c>
      <c r="Q21" s="5">
        <f ca="1">SUMIFS(Movimientos!$C:$C,Movimientos!$A:$A,$B21,Movimientos!$D:$D,CONCATENATE("&lt;=",Q$3),Movimientos!$C:$C,"&gt;0")+SUMIFS(Movimientos!$C:$C,Movimientos!$A:$A,$B21,Movimientos!$D:$D,CONCATENATE("&lt;",Q$3),Movimientos!$C:$C,"&lt;0")</f>
        <v>0</v>
      </c>
      <c r="R21" s="5">
        <f ca="1">SUMIFS(Movimientos!$C:$C,Movimientos!$A:$A,$B21,Movimientos!$D:$D,CONCATENATE("&lt;=",R$3),Movimientos!$C:$C,"&gt;0")+SUMIFS(Movimientos!$C:$C,Movimientos!$A:$A,$B21,Movimientos!$D:$D,CONCATENATE("&lt;",R$3),Movimientos!$C:$C,"&lt;0")</f>
        <v>0</v>
      </c>
      <c r="S21" s="5">
        <f ca="1">SUMIFS(Movimientos!$C:$C,Movimientos!$A:$A,$B21,Movimientos!$D:$D,CONCATENATE("&lt;=",S$3),Movimientos!$C:$C,"&gt;0")+SUMIFS(Movimientos!$C:$C,Movimientos!$A:$A,$B21,Movimientos!$D:$D,CONCATENATE("&lt;",S$3),Movimientos!$C:$C,"&lt;0")</f>
        <v>0</v>
      </c>
      <c r="T21" s="5">
        <f ca="1">SUMIFS(Movimientos!$C:$C,Movimientos!$A:$A,$B21,Movimientos!$D:$D,CONCATENATE("&lt;=",T$3),Movimientos!$C:$C,"&gt;0")+SUMIFS(Movimientos!$C:$C,Movimientos!$A:$A,$B21,Movimientos!$D:$D,CONCATENATE("&lt;",T$3),Movimientos!$C:$C,"&lt;0")</f>
        <v>0</v>
      </c>
      <c r="U21" s="5">
        <f ca="1">SUMIFS(Movimientos!$C:$C,Movimientos!$A:$A,$B21,Movimientos!$D:$D,CONCATENATE("&lt;=",U$3),Movimientos!$C:$C,"&gt;0")+SUMIFS(Movimientos!$C:$C,Movimientos!$A:$A,$B21,Movimientos!$D:$D,CONCATENATE("&lt;",U$3),Movimientos!$C:$C,"&lt;0")</f>
        <v>0</v>
      </c>
      <c r="V21" s="5">
        <f ca="1">SUMIFS(Movimientos!$C:$C,Movimientos!$A:$A,$B21,Movimientos!$D:$D,CONCATENATE("&lt;=",V$3),Movimientos!$C:$C,"&gt;0")+SUMIFS(Movimientos!$C:$C,Movimientos!$A:$A,$B21,Movimientos!$D:$D,CONCATENATE("&lt;",V$3),Movimientos!$C:$C,"&lt;0")</f>
        <v>0</v>
      </c>
      <c r="W21" s="5">
        <f ca="1">SUMIFS(Movimientos!$C:$C,Movimientos!$A:$A,$B21,Movimientos!$D:$D,CONCATENATE("&lt;=",W$3),Movimientos!$C:$C,"&gt;0")+SUMIFS(Movimientos!$C:$C,Movimientos!$A:$A,$B21,Movimientos!$D:$D,CONCATENATE("&lt;",W$3),Movimientos!$C:$C,"&lt;0")</f>
        <v>0</v>
      </c>
      <c r="X21" s="5">
        <f ca="1">SUMIFS(Movimientos!$C:$C,Movimientos!$A:$A,$B21,Movimientos!$D:$D,CONCATENATE("&lt;=",X$3),Movimientos!$C:$C,"&gt;0")+SUMIFS(Movimientos!$C:$C,Movimientos!$A:$A,$B21,Movimientos!$D:$D,CONCATENATE("&lt;",X$3),Movimientos!$C:$C,"&lt;0")</f>
        <v>0</v>
      </c>
      <c r="Y21" s="5">
        <f ca="1">SUMIFS(Movimientos!$C:$C,Movimientos!$A:$A,$B21,Movimientos!$D:$D,CONCATENATE("&lt;=",Y$3),Movimientos!$C:$C,"&gt;0")+SUMIFS(Movimientos!$C:$C,Movimientos!$A:$A,$B21,Movimientos!$D:$D,CONCATENATE("&lt;",Y$3),Movimientos!$C:$C,"&lt;0")</f>
        <v>0</v>
      </c>
      <c r="Z21" s="5">
        <f ca="1">SUMIFS(Movimientos!$C:$C,Movimientos!$A:$A,$B21,Movimientos!$D:$D,CONCATENATE("&lt;=",Z$3),Movimientos!$C:$C,"&gt;0")+SUMIFS(Movimientos!$C:$C,Movimientos!$A:$A,$B21,Movimientos!$D:$D,CONCATENATE("&lt;",Z$3),Movimientos!$C:$C,"&lt;0")</f>
        <v>0</v>
      </c>
      <c r="AA21" s="5">
        <f ca="1">SUMIFS(Movimientos!$C:$C,Movimientos!$A:$A,$B21,Movimientos!$D:$D,CONCATENATE("&lt;=",AA$3),Movimientos!$C:$C,"&gt;0")+SUMIFS(Movimientos!$C:$C,Movimientos!$A:$A,$B21,Movimientos!$D:$D,CONCATENATE("&lt;",AA$3),Movimientos!$C:$C,"&lt;0")</f>
        <v>0</v>
      </c>
      <c r="AB21" s="5">
        <f ca="1">SUMIFS(Movimientos!$C:$C,Movimientos!$A:$A,$B21,Movimientos!$D:$D,CONCATENATE("&lt;=",AB$3),Movimientos!$C:$C,"&gt;0")+SUMIFS(Movimientos!$C:$C,Movimientos!$A:$A,$B21,Movimientos!$D:$D,CONCATENATE("&lt;",AB$3),Movimientos!$C:$C,"&lt;0")</f>
        <v>0</v>
      </c>
      <c r="AC21" s="5">
        <f ca="1">SUMIFS(Movimientos!$C:$C,Movimientos!$A:$A,$B21,Movimientos!$D:$D,CONCATENATE("&lt;=",AC$3),Movimientos!$C:$C,"&gt;0")+SUMIFS(Movimientos!$C:$C,Movimientos!$A:$A,$B21,Movimientos!$D:$D,CONCATENATE("&lt;",AC$3),Movimientos!$C:$C,"&lt;0")</f>
        <v>0</v>
      </c>
      <c r="AD21" s="5">
        <f ca="1">SUMIFS(Movimientos!$C:$C,Movimientos!$A:$A,$B21,Movimientos!$D:$D,CONCATENATE("&lt;=",AD$3),Movimientos!$C:$C,"&gt;0")+SUMIFS(Movimientos!$C:$C,Movimientos!$A:$A,$B21,Movimientos!$D:$D,CONCATENATE("&lt;",AD$3),Movimientos!$C:$C,"&lt;0")</f>
        <v>0</v>
      </c>
      <c r="AE21" s="5">
        <f ca="1">SUMIFS(Movimientos!$C:$C,Movimientos!$A:$A,$B21,Movimientos!$D:$D,CONCATENATE("&lt;=",AE$3),Movimientos!$C:$C,"&gt;0")+SUMIFS(Movimientos!$C:$C,Movimientos!$A:$A,$B21,Movimientos!$D:$D,CONCATENATE("&lt;",AE$3),Movimientos!$C:$C,"&lt;0")</f>
        <v>0</v>
      </c>
      <c r="AF21" s="5">
        <f ca="1">SUMIFS(Movimientos!$C:$C,Movimientos!$A:$A,$B21,Movimientos!$D:$D,CONCATENATE("&lt;=",AF$3),Movimientos!$C:$C,"&gt;0")+SUMIFS(Movimientos!$C:$C,Movimientos!$A:$A,$B21,Movimientos!$D:$D,CONCATENATE("&lt;",AF$3),Movimientos!$C:$C,"&lt;0")</f>
        <v>0</v>
      </c>
      <c r="AG21" s="5">
        <f ca="1">SUMIFS(Movimientos!$C:$C,Movimientos!$A:$A,$B21,Movimientos!$D:$D,CONCATENATE("&lt;=",AG$3),Movimientos!$C:$C,"&gt;0")+SUMIFS(Movimientos!$C:$C,Movimientos!$A:$A,$B21,Movimientos!$D:$D,CONCATENATE("&lt;",AG$3),Movimientos!$C:$C,"&lt;0")</f>
        <v>0</v>
      </c>
      <c r="AH21" s="5">
        <f ca="1">SUMIFS(Movimientos!$C:$C,Movimientos!$A:$A,$B21,Movimientos!$D:$D,CONCATENATE("&lt;=",AH$3),Movimientos!$C:$C,"&gt;0")+SUMIFS(Movimientos!$C:$C,Movimientos!$A:$A,$B21,Movimientos!$D:$D,CONCATENATE("&lt;",AH$3),Movimientos!$C:$C,"&lt;0")</f>
        <v>0</v>
      </c>
      <c r="AI21" s="5">
        <f ca="1">SUMIFS(Movimientos!$C:$C,Movimientos!$A:$A,$B21,Movimientos!$D:$D,CONCATENATE("&lt;=",AI$3),Movimientos!$C:$C,"&gt;0")+SUMIFS(Movimientos!$C:$C,Movimientos!$A:$A,$B21,Movimientos!$D:$D,CONCATENATE("&lt;",AI$3),Movimientos!$C:$C,"&lt;0")</f>
        <v>0</v>
      </c>
      <c r="AJ21" s="5">
        <f ca="1">SUMIFS(Movimientos!$C:$C,Movimientos!$A:$A,$B21,Movimientos!$D:$D,CONCATENATE("&lt;=",AJ$3),Movimientos!$C:$C,"&gt;0")+SUMIFS(Movimientos!$C:$C,Movimientos!$A:$A,$B21,Movimientos!$D:$D,CONCATENATE("&lt;",AJ$3),Movimientos!$C:$C,"&lt;0")</f>
        <v>0</v>
      </c>
      <c r="AK21" s="5">
        <f ca="1">SUMIFS(Movimientos!$C:$C,Movimientos!$A:$A,$B21,Movimientos!$D:$D,CONCATENATE("&lt;=",AK$3),Movimientos!$C:$C,"&gt;0")+SUMIFS(Movimientos!$C:$C,Movimientos!$A:$A,$B21,Movimientos!$D:$D,CONCATENATE("&lt;",AK$3),Movimientos!$C:$C,"&lt;0")</f>
        <v>0</v>
      </c>
      <c r="AL21" s="5">
        <f ca="1">SUMIFS(Movimientos!$C:$C,Movimientos!$A:$A,$B21,Movimientos!$D:$D,CONCATENATE("&lt;=",AL$3),Movimientos!$C:$C,"&gt;0")+SUMIFS(Movimientos!$C:$C,Movimientos!$A:$A,$B21,Movimientos!$D:$D,CONCATENATE("&lt;",AL$3),Movimientos!$C:$C,"&lt;0")</f>
        <v>0</v>
      </c>
      <c r="AM21" s="5">
        <f ca="1">SUMIFS(Movimientos!$C:$C,Movimientos!$A:$A,$B21,Movimientos!$D:$D,CONCATENATE("&lt;=",AM$3),Movimientos!$C:$C,"&gt;0")+SUMIFS(Movimientos!$C:$C,Movimientos!$A:$A,$B21,Movimientos!$D:$D,CONCATENATE("&lt;",AM$3),Movimientos!$C:$C,"&lt;0")</f>
        <v>0</v>
      </c>
      <c r="AN21" s="5">
        <f ca="1">SUMIFS(Movimientos!$C:$C,Movimientos!$A:$A,$B21,Movimientos!$D:$D,CONCATENATE("&lt;=",AN$3),Movimientos!$C:$C,"&gt;0")+SUMIFS(Movimientos!$C:$C,Movimientos!$A:$A,$B21,Movimientos!$D:$D,CONCATENATE("&lt;",AN$3),Movimientos!$C:$C,"&lt;0")</f>
        <v>0</v>
      </c>
      <c r="AO21" s="5">
        <f ca="1">SUMIFS(Movimientos!$C:$C,Movimientos!$A:$A,$B21,Movimientos!$D:$D,CONCATENATE("&lt;=",AO$3),Movimientos!$C:$C,"&gt;0")+SUMIFS(Movimientos!$C:$C,Movimientos!$A:$A,$B21,Movimientos!$D:$D,CONCATENATE("&lt;",AO$3),Movimientos!$C:$C,"&lt;0")</f>
        <v>0</v>
      </c>
      <c r="AP21" s="5">
        <f ca="1">SUMIFS(Movimientos!$C:$C,Movimientos!$A:$A,$B21,Movimientos!$D:$D,CONCATENATE("&lt;=",AP$3),Movimientos!$C:$C,"&gt;0")+SUMIFS(Movimientos!$C:$C,Movimientos!$A:$A,$B21,Movimientos!$D:$D,CONCATENATE("&lt;",AP$3),Movimientos!$C:$C,"&lt;0")</f>
        <v>0</v>
      </c>
      <c r="AQ21" s="5">
        <f ca="1">SUMIFS(Movimientos!$C:$C,Movimientos!$A:$A,$B21,Movimientos!$D:$D,CONCATENATE("&lt;=",AQ$3),Movimientos!$C:$C,"&gt;0")+SUMIFS(Movimientos!$C:$C,Movimientos!$A:$A,$B21,Movimientos!$D:$D,CONCATENATE("&lt;",AQ$3),Movimientos!$C:$C,"&lt;0")</f>
        <v>0</v>
      </c>
      <c r="AR21" s="5">
        <f ca="1">SUMIFS(Movimientos!$C:$C,Movimientos!$A:$A,$B21,Movimientos!$D:$D,CONCATENATE("&lt;=",AR$3),Movimientos!$C:$C,"&gt;0")+SUMIFS(Movimientos!$C:$C,Movimientos!$A:$A,$B21,Movimientos!$D:$D,CONCATENATE("&lt;",AR$3),Movimientos!$C:$C,"&lt;0")</f>
        <v>0</v>
      </c>
      <c r="AS21" s="5">
        <f ca="1">SUMIFS(Movimientos!$C:$C,Movimientos!$A:$A,$B21,Movimientos!$D:$D,CONCATENATE("&lt;=",AS$3),Movimientos!$C:$C,"&gt;0")+SUMIFS(Movimientos!$C:$C,Movimientos!$A:$A,$B21,Movimientos!$D:$D,CONCATENATE("&lt;",AS$3),Movimientos!$C:$C,"&lt;0")</f>
        <v>0</v>
      </c>
      <c r="AT21" s="5">
        <f ca="1">SUMIFS(Movimientos!$C:$C,Movimientos!$A:$A,$B21,Movimientos!$D:$D,CONCATENATE("&lt;=",AT$3),Movimientos!$C:$C,"&gt;0")+SUMIFS(Movimientos!$C:$C,Movimientos!$A:$A,$B21,Movimientos!$D:$D,CONCATENATE("&lt;",AT$3),Movimientos!$C:$C,"&lt;0")</f>
        <v>0</v>
      </c>
      <c r="AU21" s="5">
        <f ca="1">SUMIFS(Movimientos!$C:$C,Movimientos!$A:$A,$B21,Movimientos!$D:$D,CONCATENATE("&lt;=",AU$3),Movimientos!$C:$C,"&gt;0")+SUMIFS(Movimientos!$C:$C,Movimientos!$A:$A,$B21,Movimientos!$D:$D,CONCATENATE("&lt;",AU$3),Movimientos!$C:$C,"&lt;0")</f>
        <v>0</v>
      </c>
      <c r="AV21" s="5">
        <f ca="1">SUMIFS(Movimientos!$C:$C,Movimientos!$A:$A,$B21,Movimientos!$D:$D,CONCATENATE("&lt;=",AV$3),Movimientos!$C:$C,"&gt;0")+SUMIFS(Movimientos!$C:$C,Movimientos!$A:$A,$B21,Movimientos!$D:$D,CONCATENATE("&lt;",AV$3),Movimientos!$C:$C,"&lt;0")</f>
        <v>0</v>
      </c>
      <c r="AW21" s="5">
        <f ca="1">SUMIFS(Movimientos!$C:$C,Movimientos!$A:$A,$B21,Movimientos!$D:$D,CONCATENATE("&lt;=",AW$3),Movimientos!$C:$C,"&gt;0")+SUMIFS(Movimientos!$C:$C,Movimientos!$A:$A,$B21,Movimientos!$D:$D,CONCATENATE("&lt;",AW$3),Movimientos!$C:$C,"&lt;0")</f>
        <v>0</v>
      </c>
      <c r="AX21" s="5">
        <f ca="1">SUMIFS(Movimientos!$C:$C,Movimientos!$A:$A,$B21,Movimientos!$D:$D,CONCATENATE("&lt;=",AX$3),Movimientos!$C:$C,"&gt;0")+SUMIFS(Movimientos!$C:$C,Movimientos!$A:$A,$B21,Movimientos!$D:$D,CONCATENATE("&lt;",AX$3),Movimientos!$C:$C,"&lt;0")</f>
        <v>0</v>
      </c>
      <c r="AY21" s="5">
        <f ca="1">SUMIFS(Movimientos!$C:$C,Movimientos!$A:$A,$B21,Movimientos!$D:$D,CONCATENATE("&lt;=",AY$3),Movimientos!$C:$C,"&gt;0")+SUMIFS(Movimientos!$C:$C,Movimientos!$A:$A,$B21,Movimientos!$D:$D,CONCATENATE("&lt;",AY$3),Movimientos!$C:$C,"&lt;0")</f>
        <v>0</v>
      </c>
      <c r="AZ21" s="5">
        <f ca="1">SUMIFS(Movimientos!$C:$C,Movimientos!$A:$A,$B21,Movimientos!$D:$D,CONCATENATE("&lt;=",AZ$3),Movimientos!$C:$C,"&gt;0")+SUMIFS(Movimientos!$C:$C,Movimientos!$A:$A,$B21,Movimientos!$D:$D,CONCATENATE("&lt;",AZ$3),Movimientos!$C:$C,"&lt;0")</f>
        <v>0</v>
      </c>
      <c r="BA21" s="5">
        <f ca="1">SUMIFS(Movimientos!$C:$C,Movimientos!$A:$A,$B21,Movimientos!$D:$D,CONCATENATE("&lt;=",BA$3),Movimientos!$C:$C,"&gt;0")+SUMIFS(Movimientos!$C:$C,Movimientos!$A:$A,$B21,Movimientos!$D:$D,CONCATENATE("&lt;",BA$3),Movimientos!$C:$C,"&lt;0")</f>
        <v>0</v>
      </c>
      <c r="BB21" s="5">
        <f ca="1">SUMIFS(Movimientos!$C:$C,Movimientos!$A:$A,$B21,Movimientos!$D:$D,CONCATENATE("&lt;=",BB$3),Movimientos!$C:$C,"&gt;0")+SUMIFS(Movimientos!$C:$C,Movimientos!$A:$A,$B21,Movimientos!$D:$D,CONCATENATE("&lt;",BB$3),Movimientos!$C:$C,"&lt;0")</f>
        <v>0</v>
      </c>
      <c r="BC21" s="5">
        <f ca="1">SUMIFS(Movimientos!$C:$C,Movimientos!$A:$A,$B21,Movimientos!$D:$D,CONCATENATE("&lt;=",BC$3),Movimientos!$C:$C,"&gt;0")+SUMIFS(Movimientos!$C:$C,Movimientos!$A:$A,$B21,Movimientos!$D:$D,CONCATENATE("&lt;",BC$3),Movimientos!$C:$C,"&lt;0")</f>
        <v>0</v>
      </c>
      <c r="BD21" s="5">
        <f ca="1">SUMIFS(Movimientos!$C:$C,Movimientos!$A:$A,$B21,Movimientos!$D:$D,CONCATENATE("&lt;=",BD$3),Movimientos!$C:$C,"&gt;0")+SUMIFS(Movimientos!$C:$C,Movimientos!$A:$A,$B21,Movimientos!$D:$D,CONCATENATE("&lt;",BD$3),Movimientos!$C:$C,"&lt;0")</f>
        <v>0</v>
      </c>
      <c r="BE21" s="5">
        <f ca="1">SUMIFS(Movimientos!$C:$C,Movimientos!$A:$A,$B21,Movimientos!$D:$D,CONCATENATE("&lt;=",BE$3),Movimientos!$C:$C,"&gt;0")+SUMIFS(Movimientos!$C:$C,Movimientos!$A:$A,$B21,Movimientos!$D:$D,CONCATENATE("&lt;",BE$3),Movimientos!$C:$C,"&lt;0")</f>
        <v>0</v>
      </c>
      <c r="BF21" s="5">
        <f ca="1">SUMIFS(Movimientos!$C:$C,Movimientos!$A:$A,$B21,Movimientos!$D:$D,CONCATENATE("&lt;=",BF$3),Movimientos!$C:$C,"&gt;0")+SUMIFS(Movimientos!$C:$C,Movimientos!$A:$A,$B21,Movimientos!$D:$D,CONCATENATE("&lt;",BF$3),Movimientos!$C:$C,"&lt;0")</f>
        <v>0</v>
      </c>
      <c r="BG21" s="5">
        <f ca="1">SUMIFS(Movimientos!$C:$C,Movimientos!$A:$A,$B21,Movimientos!$D:$D,CONCATENATE("&lt;=",BG$3),Movimientos!$C:$C,"&gt;0")+SUMIFS(Movimientos!$C:$C,Movimientos!$A:$A,$B21,Movimientos!$D:$D,CONCATENATE("&lt;",BG$3),Movimientos!$C:$C,"&lt;0")</f>
        <v>0</v>
      </c>
      <c r="BH21" s="5">
        <f ca="1">SUMIFS(Movimientos!$C:$C,Movimientos!$A:$A,$B21,Movimientos!$D:$D,CONCATENATE("&lt;=",BH$3),Movimientos!$C:$C,"&gt;0")+SUMIFS(Movimientos!$C:$C,Movimientos!$A:$A,$B21,Movimientos!$D:$D,CONCATENATE("&lt;",BH$3),Movimientos!$C:$C,"&lt;0")</f>
        <v>0</v>
      </c>
      <c r="BI21" s="5">
        <f ca="1">SUMIFS(Movimientos!$C:$C,Movimientos!$A:$A,$B21,Movimientos!$D:$D,CONCATENATE("&lt;=",BI$3),Movimientos!$C:$C,"&gt;0")+SUMIFS(Movimientos!$C:$C,Movimientos!$A:$A,$B21,Movimientos!$D:$D,CONCATENATE("&lt;",BI$3),Movimientos!$C:$C,"&lt;0")</f>
        <v>0</v>
      </c>
      <c r="BJ21" s="5">
        <f ca="1">SUMIFS(Movimientos!$C:$C,Movimientos!$A:$A,$B21,Movimientos!$D:$D,CONCATENATE("&lt;=",BJ$3),Movimientos!$C:$C,"&gt;0")+SUMIFS(Movimientos!$C:$C,Movimientos!$A:$A,$B21,Movimientos!$D:$D,CONCATENATE("&lt;",BJ$3),Movimientos!$C:$C,"&lt;0")</f>
        <v>0</v>
      </c>
      <c r="BK21" s="5">
        <f ca="1">SUMIFS(Movimientos!$C:$C,Movimientos!$A:$A,$B21,Movimientos!$D:$D,CONCATENATE("&lt;=",BK$3),Movimientos!$C:$C,"&gt;0")+SUMIFS(Movimientos!$C:$C,Movimientos!$A:$A,$B21,Movimientos!$D:$D,CONCATENATE("&lt;",BK$3),Movimientos!$C:$C,"&lt;0")</f>
        <v>0</v>
      </c>
      <c r="BL21" s="5">
        <f ca="1">SUMIFS(Movimientos!$C:$C,Movimientos!$A:$A,$B21,Movimientos!$D:$D,CONCATENATE("&lt;=",BL$3),Movimientos!$C:$C,"&gt;0")+SUMIFS(Movimientos!$C:$C,Movimientos!$A:$A,$B21,Movimientos!$D:$D,CONCATENATE("&lt;",BL$3),Movimientos!$C:$C,"&lt;0")</f>
        <v>0</v>
      </c>
      <c r="BM21" s="5">
        <f ca="1">SUMIFS(Movimientos!$C:$C,Movimientos!$A:$A,$B21,Movimientos!$D:$D,CONCATENATE("&lt;=",BM$3),Movimientos!$C:$C,"&gt;0")+SUMIFS(Movimientos!$C:$C,Movimientos!$A:$A,$B21,Movimientos!$D:$D,CONCATENATE("&lt;",BM$3),Movimientos!$C:$C,"&lt;0")</f>
        <v>0</v>
      </c>
      <c r="BN21" s="5">
        <f ca="1">SUMIFS(Movimientos!$C:$C,Movimientos!$A:$A,$B21,Movimientos!$D:$D,CONCATENATE("&lt;=",BN$3),Movimientos!$C:$C,"&gt;0")+SUMIFS(Movimientos!$C:$C,Movimientos!$A:$A,$B21,Movimientos!$D:$D,CONCATENATE("&lt;",BN$3),Movimientos!$C:$C,"&lt;0")</f>
        <v>0</v>
      </c>
      <c r="BO21" s="5">
        <f ca="1">SUMIFS(Movimientos!$C:$C,Movimientos!$A:$A,$B21,Movimientos!$D:$D,CONCATENATE("&lt;=",BO$3),Movimientos!$C:$C,"&gt;0")+SUMIFS(Movimientos!$C:$C,Movimientos!$A:$A,$B21,Movimientos!$D:$D,CONCATENATE("&lt;",BO$3),Movimientos!$C:$C,"&lt;0")</f>
        <v>0</v>
      </c>
      <c r="BP21" s="5">
        <f ca="1">SUMIFS(Movimientos!$C:$C,Movimientos!$A:$A,$B21,Movimientos!$D:$D,CONCATENATE("&lt;=",BP$3),Movimientos!$C:$C,"&gt;0")+SUMIFS(Movimientos!$C:$C,Movimientos!$A:$A,$B21,Movimientos!$D:$D,CONCATENATE("&lt;",BP$3),Movimientos!$C:$C,"&lt;0")</f>
        <v>0</v>
      </c>
      <c r="BQ21" s="5">
        <f ca="1">SUMIFS(Movimientos!$C:$C,Movimientos!$A:$A,$B21,Movimientos!$D:$D,CONCATENATE("&lt;=",BQ$3),Movimientos!$C:$C,"&gt;0")+SUMIFS(Movimientos!$C:$C,Movimientos!$A:$A,$B21,Movimientos!$D:$D,CONCATENATE("&lt;",BQ$3),Movimientos!$C:$C,"&lt;0")</f>
        <v>0</v>
      </c>
      <c r="BR21" s="5">
        <f ca="1">SUMIFS(Movimientos!$C:$C,Movimientos!$A:$A,$B21,Movimientos!$D:$D,CONCATENATE("&lt;=",BR$3),Movimientos!$C:$C,"&gt;0")+SUMIFS(Movimientos!$C:$C,Movimientos!$A:$A,$B21,Movimientos!$D:$D,CONCATENATE("&lt;",BR$3),Movimientos!$C:$C,"&lt;0")</f>
        <v>0</v>
      </c>
      <c r="BS21" s="5">
        <f ca="1">SUMIFS(Movimientos!$C:$C,Movimientos!$A:$A,$B21,Movimientos!$D:$D,CONCATENATE("&lt;=",BS$3),Movimientos!$C:$C,"&gt;0")+SUMIFS(Movimientos!$C:$C,Movimientos!$A:$A,$B21,Movimientos!$D:$D,CONCATENATE("&lt;",BS$3),Movimientos!$C:$C,"&lt;0")</f>
        <v>0</v>
      </c>
      <c r="BT21" s="5">
        <f ca="1">SUMIFS(Movimientos!$C:$C,Movimientos!$A:$A,$B21,Movimientos!$D:$D,CONCATENATE("&lt;=",BT$3),Movimientos!$C:$C,"&gt;0")+SUMIFS(Movimientos!$C:$C,Movimientos!$A:$A,$B21,Movimientos!$D:$D,CONCATENATE("&lt;",BT$3),Movimientos!$C:$C,"&lt;0")</f>
        <v>0</v>
      </c>
      <c r="BU21" s="5">
        <f ca="1">SUMIFS(Movimientos!$C:$C,Movimientos!$A:$A,$B21,Movimientos!$D:$D,CONCATENATE("&lt;=",BU$3),Movimientos!$C:$C,"&gt;0")+SUMIFS(Movimientos!$C:$C,Movimientos!$A:$A,$B21,Movimientos!$D:$D,CONCATENATE("&lt;",BU$3),Movimientos!$C:$C,"&lt;0")</f>
        <v>0</v>
      </c>
      <c r="BV21" s="5">
        <f ca="1">SUMIFS(Movimientos!$C:$C,Movimientos!$A:$A,$B21,Movimientos!$D:$D,CONCATENATE("&lt;=",BV$3),Movimientos!$C:$C,"&gt;0")+SUMIFS(Movimientos!$C:$C,Movimientos!$A:$A,$B21,Movimientos!$D:$D,CONCATENATE("&lt;",BV$3),Movimientos!$C:$C,"&lt;0")</f>
        <v>0</v>
      </c>
      <c r="BW21" s="5">
        <f ca="1">SUMIFS(Movimientos!$C:$C,Movimientos!$A:$A,$B21,Movimientos!$D:$D,CONCATENATE("&lt;=",BW$3),Movimientos!$C:$C,"&gt;0")+SUMIFS(Movimientos!$C:$C,Movimientos!$A:$A,$B21,Movimientos!$D:$D,CONCATENATE("&lt;",BW$3),Movimientos!$C:$C,"&lt;0")</f>
        <v>0</v>
      </c>
      <c r="BX21" s="5">
        <f ca="1">SUMIFS(Movimientos!$C:$C,Movimientos!$A:$A,$B21,Movimientos!$D:$D,CONCATENATE("&lt;=",BX$3),Movimientos!$C:$C,"&gt;0")+SUMIFS(Movimientos!$C:$C,Movimientos!$A:$A,$B21,Movimientos!$D:$D,CONCATENATE("&lt;",BX$3),Movimientos!$C:$C,"&lt;0")</f>
        <v>0</v>
      </c>
      <c r="BY21" s="5">
        <f ca="1">SUMIFS(Movimientos!$C:$C,Movimientos!$A:$A,$B21,Movimientos!$D:$D,CONCATENATE("&lt;=",BY$3),Movimientos!$C:$C,"&gt;0")+SUMIFS(Movimientos!$C:$C,Movimientos!$A:$A,$B21,Movimientos!$D:$D,CONCATENATE("&lt;",BY$3),Movimientos!$C:$C,"&lt;0")</f>
        <v>0</v>
      </c>
      <c r="BZ21" s="5">
        <f ca="1">SUMIFS(Movimientos!$C:$C,Movimientos!$A:$A,$B21,Movimientos!$D:$D,CONCATENATE("&lt;=",BZ$3),Movimientos!$C:$C,"&gt;0")+SUMIFS(Movimientos!$C:$C,Movimientos!$A:$A,$B21,Movimientos!$D:$D,CONCATENATE("&lt;",BZ$3),Movimientos!$C:$C,"&lt;0")</f>
        <v>0</v>
      </c>
      <c r="CA21" s="5">
        <f ca="1">SUMIFS(Movimientos!$C:$C,Movimientos!$A:$A,$B21,Movimientos!$D:$D,CONCATENATE("&lt;=",CA$3),Movimientos!$C:$C,"&gt;0")+SUMIFS(Movimientos!$C:$C,Movimientos!$A:$A,$B21,Movimientos!$D:$D,CONCATENATE("&lt;",CA$3),Movimientos!$C:$C,"&lt;0")</f>
        <v>0</v>
      </c>
      <c r="CB21" s="5">
        <f ca="1">SUMIFS(Movimientos!$C:$C,Movimientos!$A:$A,$B21,Movimientos!$D:$D,CONCATENATE("&lt;=",CB$3),Movimientos!$C:$C,"&gt;0")+SUMIFS(Movimientos!$C:$C,Movimientos!$A:$A,$B21,Movimientos!$D:$D,CONCATENATE("&lt;",CB$3),Movimientos!$C:$C,"&lt;0")</f>
        <v>0</v>
      </c>
      <c r="CC21" s="5">
        <f ca="1">SUMIFS(Movimientos!$C:$C,Movimientos!$A:$A,$B21,Movimientos!$D:$D,CONCATENATE("&lt;=",CC$3),Movimientos!$C:$C,"&gt;0")+SUMIFS(Movimientos!$C:$C,Movimientos!$A:$A,$B21,Movimientos!$D:$D,CONCATENATE("&lt;",CC$3),Movimientos!$C:$C,"&lt;0")</f>
        <v>0</v>
      </c>
      <c r="CD21" s="5">
        <f ca="1">SUMIFS(Movimientos!$C:$C,Movimientos!$A:$A,$B21,Movimientos!$D:$D,CONCATENATE("&lt;=",CD$3),Movimientos!$C:$C,"&gt;0")+SUMIFS(Movimientos!$C:$C,Movimientos!$A:$A,$B21,Movimientos!$D:$D,CONCATENATE("&lt;",CD$3),Movimientos!$C:$C,"&lt;0")</f>
        <v>0</v>
      </c>
      <c r="CE21" s="5">
        <f ca="1">SUMIFS(Movimientos!$C:$C,Movimientos!$A:$A,$B21,Movimientos!$D:$D,CONCATENATE("&lt;=",CE$3),Movimientos!$C:$C,"&gt;0")+SUMIFS(Movimientos!$C:$C,Movimientos!$A:$A,$B21,Movimientos!$D:$D,CONCATENATE("&lt;",CE$3),Movimientos!$C:$C,"&lt;0")</f>
        <v>0</v>
      </c>
      <c r="CF21" s="5">
        <f ca="1">SUMIFS(Movimientos!$C:$C,Movimientos!$A:$A,$B21,Movimientos!$D:$D,CONCATENATE("&lt;=",CF$3),Movimientos!$C:$C,"&gt;0")+SUMIFS(Movimientos!$C:$C,Movimientos!$A:$A,$B21,Movimientos!$D:$D,CONCATENATE("&lt;",CF$3),Movimientos!$C:$C,"&lt;0")</f>
        <v>0</v>
      </c>
      <c r="CG21" s="5">
        <f ca="1">SUMIFS(Movimientos!$C:$C,Movimientos!$A:$A,$B21,Movimientos!$D:$D,CONCATENATE("&lt;=",CG$3),Movimientos!$C:$C,"&gt;0")+SUMIFS(Movimientos!$C:$C,Movimientos!$A:$A,$B21,Movimientos!$D:$D,CONCATENATE("&lt;",CG$3),Movimientos!$C:$C,"&lt;0")</f>
        <v>0</v>
      </c>
      <c r="CH21" s="5">
        <f ca="1">SUMIFS(Movimientos!$C:$C,Movimientos!$A:$A,$B21,Movimientos!$D:$D,CONCATENATE("&lt;=",CH$3),Movimientos!$C:$C,"&gt;0")+SUMIFS(Movimientos!$C:$C,Movimientos!$A:$A,$B21,Movimientos!$D:$D,CONCATENATE("&lt;",CH$3),Movimientos!$C:$C,"&lt;0")</f>
        <v>0</v>
      </c>
      <c r="CI21" s="5">
        <f ca="1">SUMIFS(Movimientos!$C:$C,Movimientos!$A:$A,$B21,Movimientos!$D:$D,CONCATENATE("&lt;=",CI$3),Movimientos!$C:$C,"&gt;0")+SUMIFS(Movimientos!$C:$C,Movimientos!$A:$A,$B21,Movimientos!$D:$D,CONCATENATE("&lt;",CI$3),Movimientos!$C:$C,"&lt;0")</f>
        <v>0</v>
      </c>
      <c r="CJ21" s="5">
        <f ca="1">SUMIFS(Movimientos!$C:$C,Movimientos!$A:$A,$B21,Movimientos!$D:$D,CONCATENATE("&lt;=",CJ$3),Movimientos!$C:$C,"&gt;0")+SUMIFS(Movimientos!$C:$C,Movimientos!$A:$A,$B21,Movimientos!$D:$D,CONCATENATE("&lt;",CJ$3),Movimientos!$C:$C,"&lt;0")</f>
        <v>0</v>
      </c>
      <c r="CK21" s="5">
        <f ca="1">SUMIFS(Movimientos!$C:$C,Movimientos!$A:$A,$B21,Movimientos!$D:$D,CONCATENATE("&lt;=",CK$3),Movimientos!$C:$C,"&gt;0")+SUMIFS(Movimientos!$C:$C,Movimientos!$A:$A,$B21,Movimientos!$D:$D,CONCATENATE("&lt;",CK$3),Movimientos!$C:$C,"&lt;0")</f>
        <v>0</v>
      </c>
      <c r="CL21" s="5">
        <f ca="1">SUMIFS(Movimientos!$C:$C,Movimientos!$A:$A,$B21,Movimientos!$D:$D,CONCATENATE("&lt;=",CL$3),Movimientos!$C:$C,"&gt;0")+SUMIFS(Movimientos!$C:$C,Movimientos!$A:$A,$B21,Movimientos!$D:$D,CONCATENATE("&lt;",CL$3),Movimientos!$C:$C,"&lt;0")</f>
        <v>0</v>
      </c>
      <c r="CM21" s="5">
        <f ca="1">SUMIFS(Movimientos!$C:$C,Movimientos!$A:$A,$B21,Movimientos!$D:$D,CONCATENATE("&lt;=",CM$3),Movimientos!$C:$C,"&gt;0")+SUMIFS(Movimientos!$C:$C,Movimientos!$A:$A,$B21,Movimientos!$D:$D,CONCATENATE("&lt;",CM$3),Movimientos!$C:$C,"&lt;0")</f>
        <v>0</v>
      </c>
      <c r="CN21" s="5">
        <f ca="1">SUMIFS(Movimientos!$C:$C,Movimientos!$A:$A,$B21,Movimientos!$D:$D,CONCATENATE("&lt;=",CN$3),Movimientos!$C:$C,"&gt;0")+SUMIFS(Movimientos!$C:$C,Movimientos!$A:$A,$B21,Movimientos!$D:$D,CONCATENATE("&lt;",CN$3),Movimientos!$C:$C,"&lt;0")</f>
        <v>0</v>
      </c>
      <c r="CO21" s="5">
        <f ca="1">SUMIFS(Movimientos!$C:$C,Movimientos!$A:$A,$B21,Movimientos!$D:$D,CONCATENATE("&lt;=",CO$3),Movimientos!$C:$C,"&gt;0")+SUMIFS(Movimientos!$C:$C,Movimientos!$A:$A,$B21,Movimientos!$D:$D,CONCATENATE("&lt;",CO$3),Movimientos!$C:$C,"&lt;0")</f>
        <v>0</v>
      </c>
      <c r="CP21" s="5">
        <f ca="1">SUMIFS(Movimientos!$C:$C,Movimientos!$A:$A,$B21,Movimientos!$D:$D,CONCATENATE("&lt;=",CP$3),Movimientos!$C:$C,"&gt;0")+SUMIFS(Movimientos!$C:$C,Movimientos!$A:$A,$B21,Movimientos!$D:$D,CONCATENATE("&lt;",CP$3),Movimientos!$C:$C,"&lt;0")</f>
        <v>0</v>
      </c>
      <c r="CQ21" s="5">
        <f ca="1">SUMIFS(Movimientos!$C:$C,Movimientos!$A:$A,$B21,Movimientos!$D:$D,CONCATENATE("&lt;=",CQ$3),Movimientos!$C:$C,"&gt;0")+SUMIFS(Movimientos!$C:$C,Movimientos!$A:$A,$B21,Movimientos!$D:$D,CONCATENATE("&lt;",CQ$3),Movimientos!$C:$C,"&lt;0")</f>
        <v>0</v>
      </c>
      <c r="CR21" s="5">
        <f ca="1">SUMIFS(Movimientos!$C:$C,Movimientos!$A:$A,$B21,Movimientos!$D:$D,CONCATENATE("&lt;=",CR$3),Movimientos!$C:$C,"&gt;0")+SUMIFS(Movimientos!$C:$C,Movimientos!$A:$A,$B21,Movimientos!$D:$D,CONCATENATE("&lt;",CR$3),Movimientos!$C:$C,"&lt;0")</f>
        <v>0</v>
      </c>
      <c r="CS21" s="5">
        <f ca="1">SUMIFS(Movimientos!$C:$C,Movimientos!$A:$A,$B21,Movimientos!$D:$D,CONCATENATE("&lt;=",CS$3),Movimientos!$C:$C,"&gt;0")+SUMIFS(Movimientos!$C:$C,Movimientos!$A:$A,$B21,Movimientos!$D:$D,CONCATENATE("&lt;",CS$3),Movimientos!$C:$C,"&lt;0")</f>
        <v>0</v>
      </c>
      <c r="CT21" s="5">
        <f ca="1">SUMIFS(Movimientos!$C:$C,Movimientos!$A:$A,$B21,Movimientos!$D:$D,CONCATENATE("&lt;=",CT$3),Movimientos!$C:$C,"&gt;0")+SUMIFS(Movimientos!$C:$C,Movimientos!$A:$A,$B21,Movimientos!$D:$D,CONCATENATE("&lt;",CT$3),Movimientos!$C:$C,"&lt;0")</f>
        <v>0</v>
      </c>
      <c r="CU21" s="5">
        <f ca="1">SUMIFS(Movimientos!$C:$C,Movimientos!$A:$A,$B21,Movimientos!$D:$D,CONCATENATE("&lt;=",CU$3),Movimientos!$C:$C,"&gt;0")+SUMIFS(Movimientos!$C:$C,Movimientos!$A:$A,$B21,Movimientos!$D:$D,CONCATENATE("&lt;",CU$3),Movimientos!$C:$C,"&lt;0")</f>
        <v>0</v>
      </c>
      <c r="CV21" s="5">
        <f ca="1">SUMIFS(Movimientos!$C:$C,Movimientos!$A:$A,$B21,Movimientos!$D:$D,CONCATENATE("&lt;=",CV$3),Movimientos!$C:$C,"&gt;0")+SUMIFS(Movimientos!$C:$C,Movimientos!$A:$A,$B21,Movimientos!$D:$D,CONCATENATE("&lt;",CV$3),Movimientos!$C:$C,"&lt;0")</f>
        <v>0</v>
      </c>
      <c r="CW21" s="5">
        <f ca="1">SUMIFS(Movimientos!$C:$C,Movimientos!$A:$A,$B21,Movimientos!$D:$D,CONCATENATE("&lt;=",CW$3),Movimientos!$C:$C,"&gt;0")+SUMIFS(Movimientos!$C:$C,Movimientos!$A:$A,$B21,Movimientos!$D:$D,CONCATENATE("&lt;",CW$3),Movimientos!$C:$C,"&lt;0")</f>
        <v>0</v>
      </c>
      <c r="CX21" s="5">
        <f ca="1">SUMIFS(Movimientos!$C:$C,Movimientos!$A:$A,$B21,Movimientos!$D:$D,CONCATENATE("&lt;=",CX$3),Movimientos!$C:$C,"&gt;0")+SUMIFS(Movimientos!$C:$C,Movimientos!$A:$A,$B21,Movimientos!$D:$D,CONCATENATE("&lt;",CX$3),Movimientos!$C:$C,"&lt;0")</f>
        <v>0</v>
      </c>
      <c r="CY21" s="5">
        <f ca="1">SUMIFS(Movimientos!$C:$C,Movimientos!$A:$A,$B21,Movimientos!$D:$D,CONCATENATE("&lt;=",CY$3),Movimientos!$C:$C,"&gt;0")+SUMIFS(Movimientos!$C:$C,Movimientos!$A:$A,$B21,Movimientos!$D:$D,CONCATENATE("&lt;",CY$3),Movimientos!$C:$C,"&lt;0")</f>
        <v>0</v>
      </c>
      <c r="CZ21" s="5">
        <f ca="1">SUMIFS(Movimientos!$C:$C,Movimientos!$A:$A,$B21,Movimientos!$D:$D,CONCATENATE("&lt;=",CZ$3),Movimientos!$C:$C,"&gt;0")+SUMIFS(Movimientos!$C:$C,Movimientos!$A:$A,$B21,Movimientos!$D:$D,CONCATENATE("&lt;",CZ$3),Movimientos!$C:$C,"&lt;0")</f>
        <v>0</v>
      </c>
      <c r="DA21" s="5">
        <f ca="1">SUMIFS(Movimientos!$C:$C,Movimientos!$A:$A,$B21,Movimientos!$D:$D,CONCATENATE("&lt;=",DA$3),Movimientos!$C:$C,"&gt;0")+SUMIFS(Movimientos!$C:$C,Movimientos!$A:$A,$B21,Movimientos!$D:$D,CONCATENATE("&lt;",DA$3),Movimientos!$C:$C,"&lt;0")</f>
        <v>0</v>
      </c>
      <c r="DB21" s="5">
        <f ca="1">SUMIFS(Movimientos!$C:$C,Movimientos!$A:$A,$B21,Movimientos!$D:$D,CONCATENATE("&lt;=",DB$3),Movimientos!$C:$C,"&gt;0")+SUMIFS(Movimientos!$C:$C,Movimientos!$A:$A,$B21,Movimientos!$D:$D,CONCATENATE("&lt;",DB$3),Movimientos!$C:$C,"&lt;0")</f>
        <v>0</v>
      </c>
      <c r="DC21" s="5">
        <f ca="1">SUMIFS(Movimientos!$C:$C,Movimientos!$A:$A,$B21,Movimientos!$D:$D,CONCATENATE("&lt;=",DC$3),Movimientos!$C:$C,"&gt;0")+SUMIFS(Movimientos!$C:$C,Movimientos!$A:$A,$B21,Movimientos!$D:$D,CONCATENATE("&lt;",DC$3),Movimientos!$C:$C,"&lt;0")</f>
        <v>0</v>
      </c>
      <c r="DD21" s="5">
        <f ca="1">SUMIFS(Movimientos!$C:$C,Movimientos!$A:$A,$B21,Movimientos!$D:$D,CONCATENATE("&lt;=",DD$3),Movimientos!$C:$C,"&gt;0")+SUMIFS(Movimientos!$C:$C,Movimientos!$A:$A,$B21,Movimientos!$D:$D,CONCATENATE("&lt;",DD$3),Movimientos!$C:$C,"&lt;0")</f>
        <v>0</v>
      </c>
      <c r="DE21" s="5">
        <f ca="1">SUMIFS(Movimientos!$C:$C,Movimientos!$A:$A,$B21,Movimientos!$D:$D,CONCATENATE("&lt;=",DE$3),Movimientos!$C:$C,"&gt;0")+SUMIFS(Movimientos!$C:$C,Movimientos!$A:$A,$B21,Movimientos!$D:$D,CONCATENATE("&lt;",DE$3),Movimientos!$C:$C,"&lt;0")</f>
        <v>0</v>
      </c>
      <c r="DF21" s="5">
        <f ca="1">SUMIFS(Movimientos!$C:$C,Movimientos!$A:$A,$B21,Movimientos!$D:$D,CONCATENATE("&lt;=",DF$3),Movimientos!$C:$C,"&gt;0")+SUMIFS(Movimientos!$C:$C,Movimientos!$A:$A,$B21,Movimientos!$D:$D,CONCATENATE("&lt;",DF$3),Movimientos!$C:$C,"&lt;0")</f>
        <v>0</v>
      </c>
      <c r="DG21" s="5">
        <f ca="1">SUMIFS(Movimientos!$C:$C,Movimientos!$A:$A,$B21,Movimientos!$D:$D,CONCATENATE("&lt;=",DG$3),Movimientos!$C:$C,"&gt;0")+SUMIFS(Movimientos!$C:$C,Movimientos!$A:$A,$B21,Movimientos!$D:$D,CONCATENATE("&lt;",DG$3),Movimientos!$C:$C,"&lt;0")</f>
        <v>0</v>
      </c>
      <c r="DH21" s="5">
        <f ca="1">SUMIFS(Movimientos!$C:$C,Movimientos!$A:$A,$B21,Movimientos!$D:$D,CONCATENATE("&lt;=",DH$3),Movimientos!$C:$C,"&gt;0")+SUMIFS(Movimientos!$C:$C,Movimientos!$A:$A,$B21,Movimientos!$D:$D,CONCATENATE("&lt;",DH$3),Movimientos!$C:$C,"&lt;0")</f>
        <v>0</v>
      </c>
      <c r="DI21" s="5">
        <f ca="1">SUMIFS(Movimientos!$C:$C,Movimientos!$A:$A,$B21,Movimientos!$D:$D,CONCATENATE("&lt;=",DI$3),Movimientos!$C:$C,"&gt;0")+SUMIFS(Movimientos!$C:$C,Movimientos!$A:$A,$B21,Movimientos!$D:$D,CONCATENATE("&lt;",DI$3),Movimientos!$C:$C,"&lt;0")</f>
        <v>0</v>
      </c>
      <c r="DJ21" s="5">
        <f ca="1">SUMIFS(Movimientos!$C:$C,Movimientos!$A:$A,$B21,Movimientos!$D:$D,CONCATENATE("&lt;=",DJ$3),Movimientos!$C:$C,"&gt;0")+SUMIFS(Movimientos!$C:$C,Movimientos!$A:$A,$B21,Movimientos!$D:$D,CONCATENATE("&lt;",DJ$3),Movimientos!$C:$C,"&lt;0")</f>
        <v>0</v>
      </c>
      <c r="DK21" s="5">
        <f ca="1">SUMIFS(Movimientos!$C:$C,Movimientos!$A:$A,$B21,Movimientos!$D:$D,CONCATENATE("&lt;=",DK$3),Movimientos!$C:$C,"&gt;0")+SUMIFS(Movimientos!$C:$C,Movimientos!$A:$A,$B21,Movimientos!$D:$D,CONCATENATE("&lt;",DK$3),Movimientos!$C:$C,"&lt;0")</f>
        <v>0</v>
      </c>
      <c r="DL21" s="5">
        <f ca="1">SUMIFS(Movimientos!$C:$C,Movimientos!$A:$A,$B21,Movimientos!$D:$D,CONCATENATE("&lt;=",DL$3),Movimientos!$C:$C,"&gt;0")+SUMIFS(Movimientos!$C:$C,Movimientos!$A:$A,$B21,Movimientos!$D:$D,CONCATENATE("&lt;",DL$3),Movimientos!$C:$C,"&lt;0")</f>
        <v>0</v>
      </c>
      <c r="DM21" s="5">
        <f ca="1">SUMIFS(Movimientos!$C:$C,Movimientos!$A:$A,$B21,Movimientos!$D:$D,CONCATENATE("&lt;=",DM$3),Movimientos!$C:$C,"&gt;0")+SUMIFS(Movimientos!$C:$C,Movimientos!$A:$A,$B21,Movimientos!$D:$D,CONCATENATE("&lt;",DM$3),Movimientos!$C:$C,"&lt;0")</f>
        <v>0</v>
      </c>
      <c r="DN21" s="5">
        <f ca="1">SUMIFS(Movimientos!$C:$C,Movimientos!$A:$A,$B21,Movimientos!$D:$D,CONCATENATE("&lt;=",DN$3),Movimientos!$C:$C,"&gt;0")+SUMIFS(Movimientos!$C:$C,Movimientos!$A:$A,$B21,Movimientos!$D:$D,CONCATENATE("&lt;",DN$3),Movimientos!$C:$C,"&lt;0")</f>
        <v>0</v>
      </c>
      <c r="DO21" s="5">
        <f ca="1">SUMIFS(Movimientos!$C:$C,Movimientos!$A:$A,$B21,Movimientos!$D:$D,CONCATENATE("&lt;=",DO$3),Movimientos!$C:$C,"&gt;0")+SUMIFS(Movimientos!$C:$C,Movimientos!$A:$A,$B21,Movimientos!$D:$D,CONCATENATE("&lt;",DO$3),Movimientos!$C:$C,"&lt;0")</f>
        <v>0</v>
      </c>
      <c r="DP21" s="5">
        <f ca="1">SUMIFS(Movimientos!$C:$C,Movimientos!$A:$A,$B21,Movimientos!$D:$D,CONCATENATE("&lt;=",DP$3),Movimientos!$C:$C,"&gt;0")+SUMIFS(Movimientos!$C:$C,Movimientos!$A:$A,$B21,Movimientos!$D:$D,CONCATENATE("&lt;",DP$3),Movimientos!$C:$C,"&lt;0")</f>
        <v>0</v>
      </c>
      <c r="DQ21" s="5">
        <f ca="1">SUMIFS(Movimientos!$C:$C,Movimientos!$A:$A,$B21,Movimientos!$D:$D,CONCATENATE("&lt;=",DQ$3),Movimientos!$C:$C,"&gt;0")+SUMIFS(Movimientos!$C:$C,Movimientos!$A:$A,$B21,Movimientos!$D:$D,CONCATENATE("&lt;",DQ$3),Movimientos!$C:$C,"&lt;0")</f>
        <v>0</v>
      </c>
      <c r="DR21" s="5">
        <f ca="1">SUMIFS(Movimientos!$C:$C,Movimientos!$A:$A,$B21,Movimientos!$D:$D,CONCATENATE("&lt;=",DR$3),Movimientos!$C:$C,"&gt;0")+SUMIFS(Movimientos!$C:$C,Movimientos!$A:$A,$B21,Movimientos!$D:$D,CONCATENATE("&lt;",DR$3),Movimientos!$C:$C,"&lt;0")</f>
        <v>0</v>
      </c>
      <c r="DS21" s="5">
        <f ca="1">SUMIFS(Movimientos!$C:$C,Movimientos!$A:$A,$B21,Movimientos!$D:$D,CONCATENATE("&lt;=",DS$3),Movimientos!$C:$C,"&gt;0")+SUMIFS(Movimientos!$C:$C,Movimientos!$A:$A,$B21,Movimientos!$D:$D,CONCATENATE("&lt;",DS$3),Movimientos!$C:$C,"&lt;0")</f>
        <v>0</v>
      </c>
      <c r="DT21" s="5">
        <f ca="1">SUMIFS(Movimientos!$C:$C,Movimientos!$A:$A,$B21,Movimientos!$D:$D,CONCATENATE("&lt;=",DT$3),Movimientos!$C:$C,"&gt;0")+SUMIFS(Movimientos!$C:$C,Movimientos!$A:$A,$B21,Movimientos!$D:$D,CONCATENATE("&lt;",DT$3),Movimientos!$C:$C,"&lt;0")</f>
        <v>0</v>
      </c>
      <c r="DU21" s="5">
        <f ca="1">SUMIFS(Movimientos!$C:$C,Movimientos!$A:$A,$B21,Movimientos!$D:$D,CONCATENATE("&lt;=",DU$3),Movimientos!$C:$C,"&gt;0")+SUMIFS(Movimientos!$C:$C,Movimientos!$A:$A,$B21,Movimientos!$D:$D,CONCATENATE("&lt;",DU$3),Movimientos!$C:$C,"&lt;0")</f>
        <v>0</v>
      </c>
      <c r="DV21" s="5">
        <f ca="1">SUMIFS(Movimientos!$C:$C,Movimientos!$A:$A,$B21,Movimientos!$D:$D,CONCATENATE("&lt;=",DV$3),Movimientos!$C:$C,"&gt;0")+SUMIFS(Movimientos!$C:$C,Movimientos!$A:$A,$B21,Movimientos!$D:$D,CONCATENATE("&lt;",DV$3),Movimientos!$C:$C,"&lt;0")</f>
        <v>0</v>
      </c>
      <c r="DW21" s="5">
        <f ca="1">SUMIFS(Movimientos!$C:$C,Movimientos!$A:$A,$B21,Movimientos!$D:$D,CONCATENATE("&lt;=",DW$3),Movimientos!$C:$C,"&gt;0")+SUMIFS(Movimientos!$C:$C,Movimientos!$A:$A,$B21,Movimientos!$D:$D,CONCATENATE("&lt;",DW$3),Movimientos!$C:$C,"&lt;0")</f>
        <v>0</v>
      </c>
      <c r="DX21" s="5">
        <f ca="1">SUMIFS(Movimientos!$C:$C,Movimientos!$A:$A,$B21,Movimientos!$D:$D,CONCATENATE("&lt;=",DX$3),Movimientos!$C:$C,"&gt;0")+SUMIFS(Movimientos!$C:$C,Movimientos!$A:$A,$B21,Movimientos!$D:$D,CONCATENATE("&lt;",DX$3),Movimientos!$C:$C,"&lt;0")</f>
        <v>0</v>
      </c>
      <c r="DY21" s="5">
        <f ca="1">SUMIFS(Movimientos!$C:$C,Movimientos!$A:$A,$B21,Movimientos!$D:$D,CONCATENATE("&lt;=",DY$3),Movimientos!$C:$C,"&gt;0")+SUMIFS(Movimientos!$C:$C,Movimientos!$A:$A,$B21,Movimientos!$D:$D,CONCATENATE("&lt;",DY$3),Movimientos!$C:$C,"&lt;0")</f>
        <v>0</v>
      </c>
      <c r="DZ21" s="5">
        <f ca="1">SUMIFS(Movimientos!$C:$C,Movimientos!$A:$A,$B21,Movimientos!$D:$D,CONCATENATE("&lt;=",DZ$3),Movimientos!$C:$C,"&gt;0")+SUMIFS(Movimientos!$C:$C,Movimientos!$A:$A,$B21,Movimientos!$D:$D,CONCATENATE("&lt;",DZ$3),Movimientos!$C:$C,"&lt;0")</f>
        <v>0</v>
      </c>
      <c r="EA21" s="5">
        <f ca="1">SUMIFS(Movimientos!$C:$C,Movimientos!$A:$A,$B21,Movimientos!$D:$D,CONCATENATE("&lt;=",EA$3),Movimientos!$C:$C,"&gt;0")+SUMIFS(Movimientos!$C:$C,Movimientos!$A:$A,$B21,Movimientos!$D:$D,CONCATENATE("&lt;",EA$3),Movimientos!$C:$C,"&lt;0")</f>
        <v>0</v>
      </c>
      <c r="EB21" s="5">
        <f ca="1">SUMIFS(Movimientos!$C:$C,Movimientos!$A:$A,$B21,Movimientos!$D:$D,CONCATENATE("&lt;=",EB$3),Movimientos!$C:$C,"&gt;0")+SUMIFS(Movimientos!$C:$C,Movimientos!$A:$A,$B21,Movimientos!$D:$D,CONCATENATE("&lt;",EB$3),Movimientos!$C:$C,"&lt;0")</f>
        <v>0</v>
      </c>
      <c r="EC21" s="5">
        <f ca="1">SUMIFS(Movimientos!$C:$C,Movimientos!$A:$A,$B21,Movimientos!$D:$D,CONCATENATE("&lt;=",EC$3),Movimientos!$C:$C,"&gt;0")+SUMIFS(Movimientos!$C:$C,Movimientos!$A:$A,$B21,Movimientos!$D:$D,CONCATENATE("&lt;",EC$3),Movimientos!$C:$C,"&lt;0")</f>
        <v>0</v>
      </c>
      <c r="ED21" s="5">
        <f ca="1">SUMIFS(Movimientos!$C:$C,Movimientos!$A:$A,$B21,Movimientos!$D:$D,CONCATENATE("&lt;=",ED$3),Movimientos!$C:$C,"&gt;0")+SUMIFS(Movimientos!$C:$C,Movimientos!$A:$A,$B21,Movimientos!$D:$D,CONCATENATE("&lt;",ED$3),Movimientos!$C:$C,"&lt;0")</f>
        <v>0</v>
      </c>
      <c r="EE21" s="5">
        <f ca="1">SUMIFS(Movimientos!$C:$C,Movimientos!$A:$A,$B21,Movimientos!$D:$D,CONCATENATE("&lt;=",EE$3),Movimientos!$C:$C,"&gt;0")+SUMIFS(Movimientos!$C:$C,Movimientos!$A:$A,$B21,Movimientos!$D:$D,CONCATENATE("&lt;",EE$3),Movimientos!$C:$C,"&lt;0")</f>
        <v>0</v>
      </c>
      <c r="EF21" s="5">
        <f ca="1">SUMIFS(Movimientos!$C:$C,Movimientos!$A:$A,$B21,Movimientos!$D:$D,CONCATENATE("&lt;=",EF$3),Movimientos!$C:$C,"&gt;0")+SUMIFS(Movimientos!$C:$C,Movimientos!$A:$A,$B21,Movimientos!$D:$D,CONCATENATE("&lt;",EF$3),Movimientos!$C:$C,"&lt;0")</f>
        <v>0</v>
      </c>
      <c r="EG21" s="5">
        <f ca="1">SUMIFS(Movimientos!$C:$C,Movimientos!$A:$A,$B21,Movimientos!$D:$D,CONCATENATE("&lt;=",EG$3),Movimientos!$C:$C,"&gt;0")+SUMIFS(Movimientos!$C:$C,Movimientos!$A:$A,$B21,Movimientos!$D:$D,CONCATENATE("&lt;",EG$3),Movimientos!$C:$C,"&lt;0")</f>
        <v>0</v>
      </c>
      <c r="EH21" s="5">
        <f ca="1">SUMIFS(Movimientos!$C:$C,Movimientos!$A:$A,$B21,Movimientos!$D:$D,CONCATENATE("&lt;=",EH$3),Movimientos!$C:$C,"&gt;0")+SUMIFS(Movimientos!$C:$C,Movimientos!$A:$A,$B21,Movimientos!$D:$D,CONCATENATE("&lt;",EH$3),Movimientos!$C:$C,"&lt;0")</f>
        <v>0</v>
      </c>
      <c r="EI21" s="5">
        <f ca="1">SUMIFS(Movimientos!$C:$C,Movimientos!$A:$A,$B21,Movimientos!$D:$D,CONCATENATE("&lt;=",EI$3),Movimientos!$C:$C,"&gt;0")+SUMIFS(Movimientos!$C:$C,Movimientos!$A:$A,$B21,Movimientos!$D:$D,CONCATENATE("&lt;",EI$3),Movimientos!$C:$C,"&lt;0")</f>
        <v>0</v>
      </c>
      <c r="EJ21" s="5">
        <f ca="1">SUMIFS(Movimientos!$C:$C,Movimientos!$A:$A,$B21,Movimientos!$D:$D,CONCATENATE("&lt;=",EJ$3),Movimientos!$C:$C,"&gt;0")+SUMIFS(Movimientos!$C:$C,Movimientos!$A:$A,$B21,Movimientos!$D:$D,CONCATENATE("&lt;",EJ$3),Movimientos!$C:$C,"&lt;0")</f>
        <v>0</v>
      </c>
      <c r="EK21" s="5">
        <f ca="1">SUMIFS(Movimientos!$C:$C,Movimientos!$A:$A,$B21,Movimientos!$D:$D,CONCATENATE("&lt;=",EK$3),Movimientos!$C:$C,"&gt;0")+SUMIFS(Movimientos!$C:$C,Movimientos!$A:$A,$B21,Movimientos!$D:$D,CONCATENATE("&lt;",EK$3),Movimientos!$C:$C,"&lt;0")</f>
        <v>0</v>
      </c>
      <c r="EL21" s="5">
        <f ca="1">SUMIFS(Movimientos!$C:$C,Movimientos!$A:$A,$B21,Movimientos!$D:$D,CONCATENATE("&lt;=",EL$3),Movimientos!$C:$C,"&gt;0")+SUMIFS(Movimientos!$C:$C,Movimientos!$A:$A,$B21,Movimientos!$D:$D,CONCATENATE("&lt;",EL$3),Movimientos!$C:$C,"&lt;0")</f>
        <v>0</v>
      </c>
      <c r="EM21" s="5">
        <f ca="1">SUMIFS(Movimientos!$C:$C,Movimientos!$A:$A,$B21,Movimientos!$D:$D,CONCATENATE("&lt;=",EM$3),Movimientos!$C:$C,"&gt;0")+SUMIFS(Movimientos!$C:$C,Movimientos!$A:$A,$B21,Movimientos!$D:$D,CONCATENATE("&lt;",EM$3),Movimientos!$C:$C,"&lt;0")</f>
        <v>0</v>
      </c>
      <c r="EN21" s="5">
        <f ca="1">SUMIFS(Movimientos!$C:$C,Movimientos!$A:$A,$B21,Movimientos!$D:$D,CONCATENATE("&lt;=",EN$3),Movimientos!$C:$C,"&gt;0")+SUMIFS(Movimientos!$C:$C,Movimientos!$A:$A,$B21,Movimientos!$D:$D,CONCATENATE("&lt;",EN$3),Movimientos!$C:$C,"&lt;0")</f>
        <v>0</v>
      </c>
      <c r="EO21" s="5">
        <f ca="1">SUMIFS(Movimientos!$C:$C,Movimientos!$A:$A,$B21,Movimientos!$D:$D,CONCATENATE("&lt;=",EO$3),Movimientos!$C:$C,"&gt;0")+SUMIFS(Movimientos!$C:$C,Movimientos!$A:$A,$B21,Movimientos!$D:$D,CONCATENATE("&lt;",EO$3),Movimientos!$C:$C,"&lt;0")</f>
        <v>0</v>
      </c>
      <c r="EP21" s="5">
        <f ca="1">SUMIFS(Movimientos!$C:$C,Movimientos!$A:$A,$B21,Movimientos!$D:$D,CONCATENATE("&lt;=",EP$3),Movimientos!$C:$C,"&gt;0")+SUMIFS(Movimientos!$C:$C,Movimientos!$A:$A,$B21,Movimientos!$D:$D,CONCATENATE("&lt;",EP$3),Movimientos!$C:$C,"&lt;0")</f>
        <v>0</v>
      </c>
      <c r="EQ21" s="5">
        <f ca="1">SUMIFS(Movimientos!$C:$C,Movimientos!$A:$A,$B21,Movimientos!$D:$D,CONCATENATE("&lt;=",EQ$3),Movimientos!$C:$C,"&gt;0")+SUMIFS(Movimientos!$C:$C,Movimientos!$A:$A,$B21,Movimientos!$D:$D,CONCATENATE("&lt;",EQ$3),Movimientos!$C:$C,"&lt;0")</f>
        <v>0</v>
      </c>
      <c r="ER21" s="5">
        <f ca="1">SUMIFS(Movimientos!$C:$C,Movimientos!$A:$A,$B21,Movimientos!$D:$D,CONCATENATE("&lt;=",ER$3),Movimientos!$C:$C,"&gt;0")+SUMIFS(Movimientos!$C:$C,Movimientos!$A:$A,$B21,Movimientos!$D:$D,CONCATENATE("&lt;",ER$3),Movimientos!$C:$C,"&lt;0")</f>
        <v>0</v>
      </c>
      <c r="ES21" s="5">
        <f ca="1">SUMIFS(Movimientos!$C:$C,Movimientos!$A:$A,$B21,Movimientos!$D:$D,CONCATENATE("&lt;=",ES$3),Movimientos!$C:$C,"&gt;0")+SUMIFS(Movimientos!$C:$C,Movimientos!$A:$A,$B21,Movimientos!$D:$D,CONCATENATE("&lt;",ES$3),Movimientos!$C:$C,"&lt;0")</f>
        <v>0</v>
      </c>
      <c r="ET21" s="5">
        <f ca="1">SUMIFS(Movimientos!$C:$C,Movimientos!$A:$A,$B21,Movimientos!$D:$D,CONCATENATE("&lt;=",ET$3),Movimientos!$C:$C,"&gt;0")+SUMIFS(Movimientos!$C:$C,Movimientos!$A:$A,$B21,Movimientos!$D:$D,CONCATENATE("&lt;",ET$3),Movimientos!$C:$C,"&lt;0")</f>
        <v>0</v>
      </c>
      <c r="EU21" s="5">
        <f ca="1">SUMIFS(Movimientos!$C:$C,Movimientos!$A:$A,$B21,Movimientos!$D:$D,CONCATENATE("&lt;=",EU$3),Movimientos!$C:$C,"&gt;0")+SUMIFS(Movimientos!$C:$C,Movimientos!$A:$A,$B21,Movimientos!$D:$D,CONCATENATE("&lt;",EU$3),Movimientos!$C:$C,"&lt;0")</f>
        <v>0</v>
      </c>
      <c r="EV21" s="5">
        <f ca="1">SUMIFS(Movimientos!$C:$C,Movimientos!$A:$A,$B21,Movimientos!$D:$D,CONCATENATE("&lt;=",EV$3),Movimientos!$C:$C,"&gt;0")+SUMIFS(Movimientos!$C:$C,Movimientos!$A:$A,$B21,Movimientos!$D:$D,CONCATENATE("&lt;",EV$3),Movimientos!$C:$C,"&lt;0")</f>
        <v>0</v>
      </c>
      <c r="EW21" s="5">
        <f ca="1">SUMIFS(Movimientos!$C:$C,Movimientos!$A:$A,$B21,Movimientos!$D:$D,CONCATENATE("&lt;=",EW$3),Movimientos!$C:$C,"&gt;0")+SUMIFS(Movimientos!$C:$C,Movimientos!$A:$A,$B21,Movimientos!$D:$D,CONCATENATE("&lt;",EW$3),Movimientos!$C:$C,"&lt;0")</f>
        <v>0</v>
      </c>
      <c r="EX21" s="5">
        <f ca="1">SUMIFS(Movimientos!$C:$C,Movimientos!$A:$A,$B21,Movimientos!$D:$D,CONCATENATE("&lt;=",EX$3),Movimientos!$C:$C,"&gt;0")+SUMIFS(Movimientos!$C:$C,Movimientos!$A:$A,$B21,Movimientos!$D:$D,CONCATENATE("&lt;",EX$3),Movimientos!$C:$C,"&lt;0")</f>
        <v>0</v>
      </c>
      <c r="EY21" s="5">
        <f ca="1">SUMIFS(Movimientos!$C:$C,Movimientos!$A:$A,$B21,Movimientos!$D:$D,CONCATENATE("&lt;=",EY$3),Movimientos!$C:$C,"&gt;0")+SUMIFS(Movimientos!$C:$C,Movimientos!$A:$A,$B21,Movimientos!$D:$D,CONCATENATE("&lt;",EY$3),Movimientos!$C:$C,"&lt;0")</f>
        <v>0</v>
      </c>
      <c r="EZ21" s="5">
        <f ca="1">SUMIFS(Movimientos!$C:$C,Movimientos!$A:$A,$B21,Movimientos!$D:$D,CONCATENATE("&lt;=",EZ$3),Movimientos!$C:$C,"&gt;0")+SUMIFS(Movimientos!$C:$C,Movimientos!$A:$A,$B21,Movimientos!$D:$D,CONCATENATE("&lt;",EZ$3),Movimientos!$C:$C,"&lt;0")</f>
        <v>0</v>
      </c>
      <c r="FA21" s="5">
        <f ca="1">SUMIFS(Movimientos!$C:$C,Movimientos!$A:$A,$B21,Movimientos!$D:$D,CONCATENATE("&lt;=",FA$3),Movimientos!$C:$C,"&gt;0")+SUMIFS(Movimientos!$C:$C,Movimientos!$A:$A,$B21,Movimientos!$D:$D,CONCATENATE("&lt;",FA$3),Movimientos!$C:$C,"&lt;0")</f>
        <v>0</v>
      </c>
      <c r="FB21" s="5">
        <f ca="1">SUMIFS(Movimientos!$C:$C,Movimientos!$A:$A,$B21,Movimientos!$D:$D,CONCATENATE("&lt;=",FB$3),Movimientos!$C:$C,"&gt;0")+SUMIFS(Movimientos!$C:$C,Movimientos!$A:$A,$B21,Movimientos!$D:$D,CONCATENATE("&lt;",FB$3),Movimientos!$C:$C,"&lt;0")</f>
        <v>0</v>
      </c>
      <c r="FC21" s="5">
        <f ca="1">SUMIFS(Movimientos!$C:$C,Movimientos!$A:$A,$B21,Movimientos!$D:$D,CONCATENATE("&lt;=",FC$3),Movimientos!$C:$C,"&gt;0")+SUMIFS(Movimientos!$C:$C,Movimientos!$A:$A,$B21,Movimientos!$D:$D,CONCATENATE("&lt;",FC$3),Movimientos!$C:$C,"&lt;0")</f>
        <v>0</v>
      </c>
      <c r="FD21" s="5">
        <f ca="1">SUMIFS(Movimientos!$C:$C,Movimientos!$A:$A,$B21,Movimientos!$D:$D,CONCATENATE("&lt;=",FD$3),Movimientos!$C:$C,"&gt;0")+SUMIFS(Movimientos!$C:$C,Movimientos!$A:$A,$B21,Movimientos!$D:$D,CONCATENATE("&lt;",FD$3),Movimientos!$C:$C,"&lt;0")</f>
        <v>0</v>
      </c>
      <c r="FE21" s="5">
        <f ca="1">SUMIFS(Movimientos!$C:$C,Movimientos!$A:$A,$B21,Movimientos!$D:$D,CONCATENATE("&lt;=",FE$3),Movimientos!$C:$C,"&gt;0")+SUMIFS(Movimientos!$C:$C,Movimientos!$A:$A,$B21,Movimientos!$D:$D,CONCATENATE("&lt;",FE$3),Movimientos!$C:$C,"&lt;0")</f>
        <v>0</v>
      </c>
      <c r="FF21" s="5">
        <f ca="1">SUMIFS(Movimientos!$C:$C,Movimientos!$A:$A,$B21,Movimientos!$D:$D,CONCATENATE("&lt;=",FF$3),Movimientos!$C:$C,"&gt;0")+SUMIFS(Movimientos!$C:$C,Movimientos!$A:$A,$B21,Movimientos!$D:$D,CONCATENATE("&lt;",FF$3),Movimientos!$C:$C,"&lt;0")</f>
        <v>0</v>
      </c>
      <c r="FG21" s="5">
        <f ca="1">SUMIFS(Movimientos!$C:$C,Movimientos!$A:$A,$B21,Movimientos!$D:$D,CONCATENATE("&lt;=",FG$3),Movimientos!$C:$C,"&gt;0")+SUMIFS(Movimientos!$C:$C,Movimientos!$A:$A,$B21,Movimientos!$D:$D,CONCATENATE("&lt;",FG$3),Movimientos!$C:$C,"&lt;0")</f>
        <v>0</v>
      </c>
      <c r="FH21" s="5">
        <f ca="1">SUMIFS(Movimientos!$C:$C,Movimientos!$A:$A,$B21,Movimientos!$D:$D,CONCATENATE("&lt;=",FH$3),Movimientos!$C:$C,"&gt;0")+SUMIFS(Movimientos!$C:$C,Movimientos!$A:$A,$B21,Movimientos!$D:$D,CONCATENATE("&lt;",FH$3),Movimientos!$C:$C,"&lt;0")</f>
        <v>0</v>
      </c>
      <c r="FI21" s="5">
        <f ca="1">SUMIFS(Movimientos!$C:$C,Movimientos!$A:$A,$B21,Movimientos!$D:$D,CONCATENATE("&lt;=",FI$3),Movimientos!$C:$C,"&gt;0")+SUMIFS(Movimientos!$C:$C,Movimientos!$A:$A,$B21,Movimientos!$D:$D,CONCATENATE("&lt;",FI$3),Movimientos!$C:$C,"&lt;0")</f>
        <v>0</v>
      </c>
      <c r="FJ21" s="5">
        <f ca="1">SUMIFS(Movimientos!$C:$C,Movimientos!$A:$A,$B21,Movimientos!$D:$D,CONCATENATE("&lt;=",FJ$3),Movimientos!$C:$C,"&gt;0")+SUMIFS(Movimientos!$C:$C,Movimientos!$A:$A,$B21,Movimientos!$D:$D,CONCATENATE("&lt;",FJ$3),Movimientos!$C:$C,"&lt;0")</f>
        <v>0</v>
      </c>
      <c r="FK21" s="5">
        <f ca="1">SUMIFS(Movimientos!$C:$C,Movimientos!$A:$A,$B21,Movimientos!$D:$D,CONCATENATE("&lt;=",FK$3),Movimientos!$C:$C,"&gt;0")+SUMIFS(Movimientos!$C:$C,Movimientos!$A:$A,$B21,Movimientos!$D:$D,CONCATENATE("&lt;",FK$3),Movimientos!$C:$C,"&lt;0")</f>
        <v>0</v>
      </c>
      <c r="FL21" s="5">
        <f ca="1">SUMIFS(Movimientos!$C:$C,Movimientos!$A:$A,$B21,Movimientos!$D:$D,CONCATENATE("&lt;=",FL$3),Movimientos!$C:$C,"&gt;0")+SUMIFS(Movimientos!$C:$C,Movimientos!$A:$A,$B21,Movimientos!$D:$D,CONCATENATE("&lt;",FL$3),Movimientos!$C:$C,"&lt;0")</f>
        <v>0</v>
      </c>
      <c r="FM21" s="5">
        <f ca="1">SUMIFS(Movimientos!$C:$C,Movimientos!$A:$A,$B21,Movimientos!$D:$D,CONCATENATE("&lt;=",FM$3),Movimientos!$C:$C,"&gt;0")+SUMIFS(Movimientos!$C:$C,Movimientos!$A:$A,$B21,Movimientos!$D:$D,CONCATENATE("&lt;",FM$3),Movimientos!$C:$C,"&lt;0")</f>
        <v>0</v>
      </c>
      <c r="FN21" s="5">
        <f ca="1">SUMIFS(Movimientos!$C:$C,Movimientos!$A:$A,$B21,Movimientos!$D:$D,CONCATENATE("&lt;=",FN$3),Movimientos!$C:$C,"&gt;0")+SUMIFS(Movimientos!$C:$C,Movimientos!$A:$A,$B21,Movimientos!$D:$D,CONCATENATE("&lt;",FN$3),Movimientos!$C:$C,"&lt;0")</f>
        <v>0</v>
      </c>
      <c r="FO21" s="5">
        <f ca="1">SUMIFS(Movimientos!$C:$C,Movimientos!$A:$A,$B21,Movimientos!$D:$D,CONCATENATE("&lt;=",FO$3),Movimientos!$C:$C,"&gt;0")+SUMIFS(Movimientos!$C:$C,Movimientos!$A:$A,$B21,Movimientos!$D:$D,CONCATENATE("&lt;",FO$3),Movimientos!$C:$C,"&lt;0")</f>
        <v>0</v>
      </c>
      <c r="FP21" s="5">
        <f ca="1">SUMIFS(Movimientos!$C:$C,Movimientos!$A:$A,$B21,Movimientos!$D:$D,CONCATENATE("&lt;=",FP$3),Movimientos!$C:$C,"&gt;0")+SUMIFS(Movimientos!$C:$C,Movimientos!$A:$A,$B21,Movimientos!$D:$D,CONCATENATE("&lt;",FP$3),Movimientos!$C:$C,"&lt;0")</f>
        <v>0</v>
      </c>
      <c r="FQ21" s="5">
        <f ca="1">SUMIFS(Movimientos!$C:$C,Movimientos!$A:$A,$B21,Movimientos!$D:$D,CONCATENATE("&lt;=",FQ$3),Movimientos!$C:$C,"&gt;0")+SUMIFS(Movimientos!$C:$C,Movimientos!$A:$A,$B21,Movimientos!$D:$D,CONCATENATE("&lt;",FQ$3),Movimientos!$C:$C,"&lt;0")</f>
        <v>0</v>
      </c>
      <c r="FR21" s="5">
        <f ca="1">SUMIFS(Movimientos!$C:$C,Movimientos!$A:$A,$B21,Movimientos!$D:$D,CONCATENATE("&lt;=",FR$3),Movimientos!$C:$C,"&gt;0")+SUMIFS(Movimientos!$C:$C,Movimientos!$A:$A,$B21,Movimientos!$D:$D,CONCATENATE("&lt;",FR$3),Movimientos!$C:$C,"&lt;0")</f>
        <v>0</v>
      </c>
      <c r="FS21" s="5">
        <f ca="1">SUMIFS(Movimientos!$C:$C,Movimientos!$A:$A,$B21,Movimientos!$D:$D,CONCATENATE("&lt;=",FS$3),Movimientos!$C:$C,"&gt;0")+SUMIFS(Movimientos!$C:$C,Movimientos!$A:$A,$B21,Movimientos!$D:$D,CONCATENATE("&lt;",FS$3),Movimientos!$C:$C,"&lt;0")</f>
        <v>0</v>
      </c>
      <c r="FT21" s="5">
        <f ca="1">SUMIFS(Movimientos!$C:$C,Movimientos!$A:$A,$B21,Movimientos!$D:$D,CONCATENATE("&lt;=",FT$3),Movimientos!$C:$C,"&gt;0")+SUMIFS(Movimientos!$C:$C,Movimientos!$A:$A,$B21,Movimientos!$D:$D,CONCATENATE("&lt;",FT$3),Movimientos!$C:$C,"&lt;0")</f>
        <v>0</v>
      </c>
      <c r="FU21" s="5">
        <f ca="1">SUMIFS(Movimientos!$C:$C,Movimientos!$A:$A,$B21,Movimientos!$D:$D,CONCATENATE("&lt;=",FU$3),Movimientos!$C:$C,"&gt;0")+SUMIFS(Movimientos!$C:$C,Movimientos!$A:$A,$B21,Movimientos!$D:$D,CONCATENATE("&lt;",FU$3),Movimientos!$C:$C,"&lt;0")</f>
        <v>0</v>
      </c>
      <c r="FV21" s="5">
        <f ca="1">SUMIFS(Movimientos!$C:$C,Movimientos!$A:$A,$B21,Movimientos!$D:$D,CONCATENATE("&lt;=",FV$3),Movimientos!$C:$C,"&gt;0")+SUMIFS(Movimientos!$C:$C,Movimientos!$A:$A,$B21,Movimientos!$D:$D,CONCATENATE("&lt;",FV$3),Movimientos!$C:$C,"&lt;0")</f>
        <v>0</v>
      </c>
      <c r="FW21" s="5">
        <f ca="1">SUMIFS(Movimientos!$C:$C,Movimientos!$A:$A,$B21,Movimientos!$D:$D,CONCATENATE("&lt;=",FW$3),Movimientos!$C:$C,"&gt;0")+SUMIFS(Movimientos!$C:$C,Movimientos!$A:$A,$B21,Movimientos!$D:$D,CONCATENATE("&lt;",FW$3),Movimientos!$C:$C,"&lt;0")</f>
        <v>0</v>
      </c>
      <c r="FX21" s="5">
        <f ca="1">SUMIFS(Movimientos!$C:$C,Movimientos!$A:$A,$B21,Movimientos!$D:$D,CONCATENATE("&lt;=",FX$3),Movimientos!$C:$C,"&gt;0")+SUMIFS(Movimientos!$C:$C,Movimientos!$A:$A,$B21,Movimientos!$D:$D,CONCATENATE("&lt;",FX$3),Movimientos!$C:$C,"&lt;0")</f>
        <v>0</v>
      </c>
      <c r="FY21" s="5">
        <f ca="1">SUMIFS(Movimientos!$C:$C,Movimientos!$A:$A,$B21,Movimientos!$D:$D,CONCATENATE("&lt;=",FY$3),Movimientos!$C:$C,"&gt;0")+SUMIFS(Movimientos!$C:$C,Movimientos!$A:$A,$B21,Movimientos!$D:$D,CONCATENATE("&lt;",FY$3),Movimientos!$C:$C,"&lt;0")</f>
        <v>0</v>
      </c>
      <c r="FZ21" s="5">
        <f ca="1">SUMIFS(Movimientos!$C:$C,Movimientos!$A:$A,$B21,Movimientos!$D:$D,CONCATENATE("&lt;=",FZ$3),Movimientos!$C:$C,"&gt;0")+SUMIFS(Movimientos!$C:$C,Movimientos!$A:$A,$B21,Movimientos!$D:$D,CONCATENATE("&lt;",FZ$3),Movimientos!$C:$C,"&lt;0")</f>
        <v>0</v>
      </c>
      <c r="GA21" s="5">
        <f ca="1">SUMIFS(Movimientos!$C:$C,Movimientos!$A:$A,$B21,Movimientos!$D:$D,CONCATENATE("&lt;=",GA$3),Movimientos!$C:$C,"&gt;0")+SUMIFS(Movimientos!$C:$C,Movimientos!$A:$A,$B21,Movimientos!$D:$D,CONCATENATE("&lt;",GA$3),Movimientos!$C:$C,"&lt;0")</f>
        <v>0</v>
      </c>
      <c r="GB21" s="5">
        <f ca="1">SUMIFS(Movimientos!$C:$C,Movimientos!$A:$A,$B21,Movimientos!$D:$D,CONCATENATE("&lt;=",GB$3),Movimientos!$C:$C,"&gt;0")+SUMIFS(Movimientos!$C:$C,Movimientos!$A:$A,$B21,Movimientos!$D:$D,CONCATENATE("&lt;",GB$3),Movimientos!$C:$C,"&lt;0")</f>
        <v>0</v>
      </c>
      <c r="GC21" s="5">
        <f ca="1">SUMIFS(Movimientos!$C:$C,Movimientos!$A:$A,$B21,Movimientos!$D:$D,CONCATENATE("&lt;=",GC$3),Movimientos!$C:$C,"&gt;0")+SUMIFS(Movimientos!$C:$C,Movimientos!$A:$A,$B21,Movimientos!$D:$D,CONCATENATE("&lt;",GC$3),Movimientos!$C:$C,"&lt;0")</f>
        <v>0</v>
      </c>
      <c r="GD21" s="5">
        <f ca="1">SUMIFS(Movimientos!$C:$C,Movimientos!$A:$A,$B21,Movimientos!$D:$D,CONCATENATE("&lt;=",GD$3),Movimientos!$C:$C,"&gt;0")+SUMIFS(Movimientos!$C:$C,Movimientos!$A:$A,$B21,Movimientos!$D:$D,CONCATENATE("&lt;",GD$3),Movimientos!$C:$C,"&lt;0")</f>
        <v>0</v>
      </c>
      <c r="GE21" s="5">
        <f ca="1">SUMIFS(Movimientos!$C:$C,Movimientos!$A:$A,$B21,Movimientos!$D:$D,CONCATENATE("&lt;=",GE$3),Movimientos!$C:$C,"&gt;0")+SUMIFS(Movimientos!$C:$C,Movimientos!$A:$A,$B21,Movimientos!$D:$D,CONCATENATE("&lt;",GE$3),Movimientos!$C:$C,"&lt;0")</f>
        <v>0</v>
      </c>
      <c r="GF21" s="5">
        <f ca="1">SUMIFS(Movimientos!$C:$C,Movimientos!$A:$A,$B21,Movimientos!$D:$D,CONCATENATE("&lt;=",GF$3),Movimientos!$C:$C,"&gt;0")+SUMIFS(Movimientos!$C:$C,Movimientos!$A:$A,$B21,Movimientos!$D:$D,CONCATENATE("&lt;",GF$3),Movimientos!$C:$C,"&lt;0")</f>
        <v>0</v>
      </c>
      <c r="GG21" s="5">
        <f ca="1">SUMIFS(Movimientos!$C:$C,Movimientos!$A:$A,$B21,Movimientos!$D:$D,CONCATENATE("&lt;=",GG$3),Movimientos!$C:$C,"&gt;0")+SUMIFS(Movimientos!$C:$C,Movimientos!$A:$A,$B21,Movimientos!$D:$D,CONCATENATE("&lt;",GG$3),Movimientos!$C:$C,"&lt;0")</f>
        <v>0</v>
      </c>
      <c r="GH21" s="5">
        <f ca="1">SUMIFS(Movimientos!$C:$C,Movimientos!$A:$A,$B21,Movimientos!$D:$D,CONCATENATE("&lt;=",GH$3),Movimientos!$C:$C,"&gt;0")+SUMIFS(Movimientos!$C:$C,Movimientos!$A:$A,$B21,Movimientos!$D:$D,CONCATENATE("&lt;",GH$3),Movimientos!$C:$C,"&lt;0")</f>
        <v>0</v>
      </c>
      <c r="GI21" s="5">
        <f ca="1">SUMIFS(Movimientos!$C:$C,Movimientos!$A:$A,$B21,Movimientos!$D:$D,CONCATENATE("&lt;=",GI$3),Movimientos!$C:$C,"&gt;0")+SUMIFS(Movimientos!$C:$C,Movimientos!$A:$A,$B21,Movimientos!$D:$D,CONCATENATE("&lt;",GI$3),Movimientos!$C:$C,"&lt;0")</f>
        <v>0</v>
      </c>
      <c r="GJ21" s="5">
        <f ca="1">SUMIFS(Movimientos!$C:$C,Movimientos!$A:$A,$B21,Movimientos!$D:$D,CONCATENATE("&lt;=",GJ$3),Movimientos!$C:$C,"&gt;0")+SUMIFS(Movimientos!$C:$C,Movimientos!$A:$A,$B21,Movimientos!$D:$D,CONCATENATE("&lt;",GJ$3),Movimientos!$C:$C,"&lt;0")</f>
        <v>0</v>
      </c>
      <c r="GK21" s="5">
        <f ca="1">SUMIFS(Movimientos!$C:$C,Movimientos!$A:$A,$B21,Movimientos!$D:$D,CONCATENATE("&lt;=",GK$3),Movimientos!$C:$C,"&gt;0")+SUMIFS(Movimientos!$C:$C,Movimientos!$A:$A,$B21,Movimientos!$D:$D,CONCATENATE("&lt;",GK$3),Movimientos!$C:$C,"&lt;0")</f>
        <v>0</v>
      </c>
      <c r="GL21" s="5">
        <f ca="1">SUMIFS(Movimientos!$C:$C,Movimientos!$A:$A,$B21,Movimientos!$D:$D,CONCATENATE("&lt;=",GL$3),Movimientos!$C:$C,"&gt;0")+SUMIFS(Movimientos!$C:$C,Movimientos!$A:$A,$B21,Movimientos!$D:$D,CONCATENATE("&lt;",GL$3),Movimientos!$C:$C,"&lt;0")</f>
        <v>0</v>
      </c>
      <c r="GM21" s="5">
        <f ca="1">SUMIFS(Movimientos!$C:$C,Movimientos!$A:$A,$B21,Movimientos!$D:$D,CONCATENATE("&lt;=",GM$3),Movimientos!$C:$C,"&gt;0")+SUMIFS(Movimientos!$C:$C,Movimientos!$A:$A,$B21,Movimientos!$D:$D,CONCATENATE("&lt;",GM$3),Movimientos!$C:$C,"&lt;0")</f>
        <v>0</v>
      </c>
      <c r="GN21" s="5">
        <f ca="1">SUMIFS(Movimientos!$C:$C,Movimientos!$A:$A,$B21,Movimientos!$D:$D,CONCATENATE("&lt;=",GN$3),Movimientos!$C:$C,"&gt;0")+SUMIFS(Movimientos!$C:$C,Movimientos!$A:$A,$B21,Movimientos!$D:$D,CONCATENATE("&lt;",GN$3),Movimientos!$C:$C,"&lt;0")</f>
        <v>0</v>
      </c>
      <c r="GO21" s="5">
        <f ca="1">SUMIFS(Movimientos!$C:$C,Movimientos!$A:$A,$B21,Movimientos!$D:$D,CONCATENATE("&lt;=",GO$3),Movimientos!$C:$C,"&gt;0")+SUMIFS(Movimientos!$C:$C,Movimientos!$A:$A,$B21,Movimientos!$D:$D,CONCATENATE("&lt;",GO$3),Movimientos!$C:$C,"&lt;0")</f>
        <v>0</v>
      </c>
      <c r="GP21" s="5">
        <f ca="1">SUMIFS(Movimientos!$C:$C,Movimientos!$A:$A,$B21,Movimientos!$D:$D,CONCATENATE("&lt;=",GP$3),Movimientos!$C:$C,"&gt;0")+SUMIFS(Movimientos!$C:$C,Movimientos!$A:$A,$B21,Movimientos!$D:$D,CONCATENATE("&lt;",GP$3),Movimientos!$C:$C,"&lt;0")</f>
        <v>0</v>
      </c>
      <c r="GQ21" s="5">
        <f ca="1">SUMIFS(Movimientos!$C:$C,Movimientos!$A:$A,$B21,Movimientos!$D:$D,CONCATENATE("&lt;=",GQ$3),Movimientos!$C:$C,"&gt;0")+SUMIFS(Movimientos!$C:$C,Movimientos!$A:$A,$B21,Movimientos!$D:$D,CONCATENATE("&lt;",GQ$3),Movimientos!$C:$C,"&lt;0")</f>
        <v>0</v>
      </c>
      <c r="GR21" s="5">
        <f ca="1">SUMIFS(Movimientos!$C:$C,Movimientos!$A:$A,$B21,Movimientos!$D:$D,CONCATENATE("&lt;=",GR$3),Movimientos!$C:$C,"&gt;0")+SUMIFS(Movimientos!$C:$C,Movimientos!$A:$A,$B21,Movimientos!$D:$D,CONCATENATE("&lt;",GR$3),Movimientos!$C:$C,"&lt;0")</f>
        <v>0</v>
      </c>
      <c r="GS21" s="5">
        <f ca="1">SUMIFS(Movimientos!$C:$C,Movimientos!$A:$A,$B21,Movimientos!$D:$D,CONCATENATE("&lt;=",GS$3),Movimientos!$C:$C,"&gt;0")+SUMIFS(Movimientos!$C:$C,Movimientos!$A:$A,$B21,Movimientos!$D:$D,CONCATENATE("&lt;",GS$3),Movimientos!$C:$C,"&lt;0")</f>
        <v>0</v>
      </c>
      <c r="GT21" s="5">
        <f ca="1">SUMIFS(Movimientos!$C:$C,Movimientos!$A:$A,$B21,Movimientos!$D:$D,CONCATENATE("&lt;=",GT$3),Movimientos!$C:$C,"&gt;0")+SUMIFS(Movimientos!$C:$C,Movimientos!$A:$A,$B21,Movimientos!$D:$D,CONCATENATE("&lt;",GT$3),Movimientos!$C:$C,"&lt;0")</f>
        <v>0</v>
      </c>
      <c r="GU21" s="5">
        <f ca="1">SUMIFS(Movimientos!$C:$C,Movimientos!$A:$A,$B21,Movimientos!$D:$D,CONCATENATE("&lt;=",GU$3),Movimientos!$C:$C,"&gt;0")+SUMIFS(Movimientos!$C:$C,Movimientos!$A:$A,$B21,Movimientos!$D:$D,CONCATENATE("&lt;",GU$3),Movimientos!$C:$C,"&lt;0")</f>
        <v>0</v>
      </c>
      <c r="GV21" s="5">
        <f ca="1">SUMIFS(Movimientos!$C:$C,Movimientos!$A:$A,$B21,Movimientos!$D:$D,CONCATENATE("&lt;=",GV$3),Movimientos!$C:$C,"&gt;0")+SUMIFS(Movimientos!$C:$C,Movimientos!$A:$A,$B21,Movimientos!$D:$D,CONCATENATE("&lt;",GV$3),Movimientos!$C:$C,"&lt;0")</f>
        <v>0</v>
      </c>
      <c r="GW21" s="5">
        <f ca="1">SUMIFS(Movimientos!$C:$C,Movimientos!$A:$A,$B21,Movimientos!$D:$D,CONCATENATE("&lt;=",GW$3),Movimientos!$C:$C,"&gt;0")+SUMIFS(Movimientos!$C:$C,Movimientos!$A:$A,$B21,Movimientos!$D:$D,CONCATENATE("&lt;",GW$3),Movimientos!$C:$C,"&lt;0")</f>
        <v>0</v>
      </c>
      <c r="GX21" s="5">
        <f ca="1">SUMIFS(Movimientos!$C:$C,Movimientos!$A:$A,$B21,Movimientos!$D:$D,CONCATENATE("&lt;=",GX$3),Movimientos!$C:$C,"&gt;0")+SUMIFS(Movimientos!$C:$C,Movimientos!$A:$A,$B21,Movimientos!$D:$D,CONCATENATE("&lt;",GX$3),Movimientos!$C:$C,"&lt;0")</f>
        <v>0</v>
      </c>
      <c r="GY21" s="5">
        <f ca="1">SUMIFS(Movimientos!$C:$C,Movimientos!$A:$A,$B21,Movimientos!$D:$D,CONCATENATE("&lt;=",GY$3),Movimientos!$C:$C,"&gt;0")+SUMIFS(Movimientos!$C:$C,Movimientos!$A:$A,$B21,Movimientos!$D:$D,CONCATENATE("&lt;",GY$3),Movimientos!$C:$C,"&lt;0")</f>
        <v>0</v>
      </c>
      <c r="GZ21" s="5">
        <f ca="1">SUMIFS(Movimientos!$C:$C,Movimientos!$A:$A,$B21,Movimientos!$D:$D,CONCATENATE("&lt;=",GZ$3),Movimientos!$C:$C,"&gt;0")+SUMIFS(Movimientos!$C:$C,Movimientos!$A:$A,$B21,Movimientos!$D:$D,CONCATENATE("&lt;",GZ$3),Movimientos!$C:$C,"&lt;0")</f>
        <v>0</v>
      </c>
      <c r="HA21" s="5">
        <f ca="1">SUMIFS(Movimientos!$C:$C,Movimientos!$A:$A,$B21,Movimientos!$D:$D,CONCATENATE("&lt;=",HA$3),Movimientos!$C:$C,"&gt;0")+SUMIFS(Movimientos!$C:$C,Movimientos!$A:$A,$B21,Movimientos!$D:$D,CONCATENATE("&lt;",HA$3),Movimientos!$C:$C,"&lt;0")</f>
        <v>0</v>
      </c>
      <c r="HB21" s="5">
        <f ca="1">SUMIFS(Movimientos!$C:$C,Movimientos!$A:$A,$B21,Movimientos!$D:$D,CONCATENATE("&lt;=",HB$3),Movimientos!$C:$C,"&gt;0")+SUMIFS(Movimientos!$C:$C,Movimientos!$A:$A,$B21,Movimientos!$D:$D,CONCATENATE("&lt;",HB$3),Movimientos!$C:$C,"&lt;0")</f>
        <v>0</v>
      </c>
      <c r="HC21" s="5">
        <f ca="1">SUMIFS(Movimientos!$C:$C,Movimientos!$A:$A,$B21,Movimientos!$D:$D,CONCATENATE("&lt;=",HC$3),Movimientos!$C:$C,"&gt;0")+SUMIFS(Movimientos!$C:$C,Movimientos!$A:$A,$B21,Movimientos!$D:$D,CONCATENATE("&lt;",HC$3),Movimientos!$C:$C,"&lt;0")</f>
        <v>0</v>
      </c>
      <c r="HD21" s="5">
        <f ca="1">SUMIFS(Movimientos!$C:$C,Movimientos!$A:$A,$B21,Movimientos!$D:$D,CONCATENATE("&lt;=",HD$3),Movimientos!$C:$C,"&gt;0")+SUMIFS(Movimientos!$C:$C,Movimientos!$A:$A,$B21,Movimientos!$D:$D,CONCATENATE("&lt;",HD$3),Movimientos!$C:$C,"&lt;0")</f>
        <v>0</v>
      </c>
      <c r="HE21" s="5">
        <f ca="1">SUMIFS(Movimientos!$C:$C,Movimientos!$A:$A,$B21,Movimientos!$D:$D,CONCATENATE("&lt;=",HE$3),Movimientos!$C:$C,"&gt;0")+SUMIFS(Movimientos!$C:$C,Movimientos!$A:$A,$B21,Movimientos!$D:$D,CONCATENATE("&lt;",HE$3),Movimientos!$C:$C,"&lt;0")</f>
        <v>0</v>
      </c>
      <c r="HF21" s="5">
        <f ca="1">SUMIFS(Movimientos!$C:$C,Movimientos!$A:$A,$B21,Movimientos!$D:$D,CONCATENATE("&lt;=",HF$3),Movimientos!$C:$C,"&gt;0")+SUMIFS(Movimientos!$C:$C,Movimientos!$A:$A,$B21,Movimientos!$D:$D,CONCATENATE("&lt;",HF$3),Movimientos!$C:$C,"&lt;0")</f>
        <v>0</v>
      </c>
      <c r="HG21" s="5">
        <f ca="1">SUMIFS(Movimientos!$C:$C,Movimientos!$A:$A,$B21,Movimientos!$D:$D,CONCATENATE("&lt;=",HG$3),Movimientos!$C:$C,"&gt;0")+SUMIFS(Movimientos!$C:$C,Movimientos!$A:$A,$B21,Movimientos!$D:$D,CONCATENATE("&lt;",HG$3),Movimientos!$C:$C,"&lt;0")</f>
        <v>0</v>
      </c>
      <c r="HH21" s="5">
        <f ca="1">SUMIFS(Movimientos!$C:$C,Movimientos!$A:$A,$B21,Movimientos!$D:$D,CONCATENATE("&lt;=",HH$3),Movimientos!$C:$C,"&gt;0")+SUMIFS(Movimientos!$C:$C,Movimientos!$A:$A,$B21,Movimientos!$D:$D,CONCATENATE("&lt;",HH$3),Movimientos!$C:$C,"&lt;0")</f>
        <v>0</v>
      </c>
      <c r="HI21" s="5">
        <f ca="1">SUMIFS(Movimientos!$C:$C,Movimientos!$A:$A,$B21,Movimientos!$D:$D,CONCATENATE("&lt;=",HI$3),Movimientos!$C:$C,"&gt;0")+SUMIFS(Movimientos!$C:$C,Movimientos!$A:$A,$B21,Movimientos!$D:$D,CONCATENATE("&lt;",HI$3),Movimientos!$C:$C,"&lt;0")</f>
        <v>0</v>
      </c>
      <c r="HJ21" s="5">
        <f ca="1">SUMIFS(Movimientos!$C:$C,Movimientos!$A:$A,$B21,Movimientos!$D:$D,CONCATENATE("&lt;=",HJ$3),Movimientos!$C:$C,"&gt;0")+SUMIFS(Movimientos!$C:$C,Movimientos!$A:$A,$B21,Movimientos!$D:$D,CONCATENATE("&lt;",HJ$3),Movimientos!$C:$C,"&lt;0")</f>
        <v>0</v>
      </c>
      <c r="HK21" s="5">
        <f ca="1">SUMIFS(Movimientos!$C:$C,Movimientos!$A:$A,$B21,Movimientos!$D:$D,CONCATENATE("&lt;=",HK$3),Movimientos!$C:$C,"&gt;0")+SUMIFS(Movimientos!$C:$C,Movimientos!$A:$A,$B21,Movimientos!$D:$D,CONCATENATE("&lt;",HK$3),Movimientos!$C:$C,"&lt;0")</f>
        <v>0</v>
      </c>
      <c r="HL21" s="5">
        <f ca="1">SUMIFS(Movimientos!$C:$C,Movimientos!$A:$A,$B21,Movimientos!$D:$D,CONCATENATE("&lt;=",HL$3),Movimientos!$C:$C,"&gt;0")+SUMIFS(Movimientos!$C:$C,Movimientos!$A:$A,$B21,Movimientos!$D:$D,CONCATENATE("&lt;",HL$3),Movimientos!$C:$C,"&lt;0")</f>
        <v>0</v>
      </c>
      <c r="HM21" s="5">
        <f ca="1">SUMIFS(Movimientos!$C:$C,Movimientos!$A:$A,$B21,Movimientos!$D:$D,CONCATENATE("&lt;=",HM$3),Movimientos!$C:$C,"&gt;0")+SUMIFS(Movimientos!$C:$C,Movimientos!$A:$A,$B21,Movimientos!$D:$D,CONCATENATE("&lt;",HM$3),Movimientos!$C:$C,"&lt;0")</f>
        <v>0</v>
      </c>
      <c r="HN21" s="5">
        <f ca="1">SUMIFS(Movimientos!$C:$C,Movimientos!$A:$A,$B21,Movimientos!$D:$D,CONCATENATE("&lt;=",HN$3),Movimientos!$C:$C,"&gt;0")+SUMIFS(Movimientos!$C:$C,Movimientos!$A:$A,$B21,Movimientos!$D:$D,CONCATENATE("&lt;",HN$3),Movimientos!$C:$C,"&lt;0")</f>
        <v>0</v>
      </c>
      <c r="HO21" s="5">
        <f ca="1">SUMIFS(Movimientos!$C:$C,Movimientos!$A:$A,$B21,Movimientos!$D:$D,CONCATENATE("&lt;=",HO$3),Movimientos!$C:$C,"&gt;0")+SUMIFS(Movimientos!$C:$C,Movimientos!$A:$A,$B21,Movimientos!$D:$D,CONCATENATE("&lt;",HO$3),Movimientos!$C:$C,"&lt;0")</f>
        <v>0</v>
      </c>
      <c r="HP21" s="5">
        <f ca="1">SUMIFS(Movimientos!$C:$C,Movimientos!$A:$A,$B21,Movimientos!$D:$D,CONCATENATE("&lt;=",HP$3),Movimientos!$C:$C,"&gt;0")+SUMIFS(Movimientos!$C:$C,Movimientos!$A:$A,$B21,Movimientos!$D:$D,CONCATENATE("&lt;",HP$3),Movimientos!$C:$C,"&lt;0")</f>
        <v>0</v>
      </c>
      <c r="HQ21" s="5">
        <f ca="1">SUMIFS(Movimientos!$C:$C,Movimientos!$A:$A,$B21,Movimientos!$D:$D,CONCATENATE("&lt;=",HQ$3),Movimientos!$C:$C,"&gt;0")+SUMIFS(Movimientos!$C:$C,Movimientos!$A:$A,$B21,Movimientos!$D:$D,CONCATENATE("&lt;",HQ$3),Movimientos!$C:$C,"&lt;0")</f>
        <v>0</v>
      </c>
      <c r="HR21" s="5">
        <f ca="1">SUMIFS(Movimientos!$C:$C,Movimientos!$A:$A,$B21,Movimientos!$D:$D,CONCATENATE("&lt;=",HR$3),Movimientos!$C:$C,"&gt;0")+SUMIFS(Movimientos!$C:$C,Movimientos!$A:$A,$B21,Movimientos!$D:$D,CONCATENATE("&lt;",HR$3),Movimientos!$C:$C,"&lt;0")</f>
        <v>0</v>
      </c>
      <c r="HS21" s="5">
        <f ca="1">SUMIFS(Movimientos!$C:$C,Movimientos!$A:$A,$B21,Movimientos!$D:$D,CONCATENATE("&lt;=",HS$3),Movimientos!$C:$C,"&gt;0")+SUMIFS(Movimientos!$C:$C,Movimientos!$A:$A,$B21,Movimientos!$D:$D,CONCATENATE("&lt;",HS$3),Movimientos!$C:$C,"&lt;0")</f>
        <v>0</v>
      </c>
      <c r="HT21" s="5">
        <f ca="1">SUMIFS(Movimientos!$C:$C,Movimientos!$A:$A,$B21,Movimientos!$D:$D,CONCATENATE("&lt;=",HT$3),Movimientos!$C:$C,"&gt;0")+SUMIFS(Movimientos!$C:$C,Movimientos!$A:$A,$B21,Movimientos!$D:$D,CONCATENATE("&lt;",HT$3),Movimientos!$C:$C,"&lt;0")</f>
        <v>0</v>
      </c>
      <c r="HU21" s="5">
        <f ca="1">SUMIFS(Movimientos!$C:$C,Movimientos!$A:$A,$B21,Movimientos!$D:$D,CONCATENATE("&lt;=",HU$3),Movimientos!$C:$C,"&gt;0")+SUMIFS(Movimientos!$C:$C,Movimientos!$A:$A,$B21,Movimientos!$D:$D,CONCATENATE("&lt;",HU$3),Movimientos!$C:$C,"&lt;0")</f>
        <v>0</v>
      </c>
      <c r="HV21" s="5">
        <f ca="1">SUMIFS(Movimientos!$C:$C,Movimientos!$A:$A,$B21,Movimientos!$D:$D,CONCATENATE("&lt;=",HV$3),Movimientos!$C:$C,"&gt;0")+SUMIFS(Movimientos!$C:$C,Movimientos!$A:$A,$B21,Movimientos!$D:$D,CONCATENATE("&lt;",HV$3),Movimientos!$C:$C,"&lt;0")</f>
        <v>0</v>
      </c>
      <c r="HW21" s="5">
        <f ca="1">SUMIFS(Movimientos!$C:$C,Movimientos!$A:$A,$B21,Movimientos!$D:$D,CONCATENATE("&lt;=",HW$3),Movimientos!$C:$C,"&gt;0")+SUMIFS(Movimientos!$C:$C,Movimientos!$A:$A,$B21,Movimientos!$D:$D,CONCATENATE("&lt;",HW$3),Movimientos!$C:$C,"&lt;0")</f>
        <v>0</v>
      </c>
      <c r="HX21" s="5">
        <f ca="1">SUMIFS(Movimientos!$C:$C,Movimientos!$A:$A,$B21,Movimientos!$D:$D,CONCATENATE("&lt;=",HX$3),Movimientos!$C:$C,"&gt;0")+SUMIFS(Movimientos!$C:$C,Movimientos!$A:$A,$B21,Movimientos!$D:$D,CONCATENATE("&lt;",HX$3),Movimientos!$C:$C,"&lt;0")</f>
        <v>0</v>
      </c>
      <c r="HY21" s="5">
        <f ca="1">SUMIFS(Movimientos!$C:$C,Movimientos!$A:$A,$B21,Movimientos!$D:$D,CONCATENATE("&lt;=",HY$3),Movimientos!$C:$C,"&gt;0")+SUMIFS(Movimientos!$C:$C,Movimientos!$A:$A,$B21,Movimientos!$D:$D,CONCATENATE("&lt;",HY$3),Movimientos!$C:$C,"&lt;0")</f>
        <v>0</v>
      </c>
      <c r="HZ21" s="5">
        <f ca="1">SUMIFS(Movimientos!$C:$C,Movimientos!$A:$A,$B21,Movimientos!$D:$D,CONCATENATE("&lt;=",HZ$3),Movimientos!$C:$C,"&gt;0")+SUMIFS(Movimientos!$C:$C,Movimientos!$A:$A,$B21,Movimientos!$D:$D,CONCATENATE("&lt;",HZ$3),Movimientos!$C:$C,"&lt;0")</f>
        <v>0</v>
      </c>
      <c r="IA21" s="5">
        <f ca="1">SUMIFS(Movimientos!$C:$C,Movimientos!$A:$A,$B21,Movimientos!$D:$D,CONCATENATE("&lt;=",IA$3),Movimientos!$C:$C,"&gt;0")+SUMIFS(Movimientos!$C:$C,Movimientos!$A:$A,$B21,Movimientos!$D:$D,CONCATENATE("&lt;",IA$3),Movimientos!$C:$C,"&lt;0")</f>
        <v>0</v>
      </c>
      <c r="IB21" s="5">
        <f ca="1">SUMIFS(Movimientos!$C:$C,Movimientos!$A:$A,$B21,Movimientos!$D:$D,CONCATENATE("&lt;=",IB$3),Movimientos!$C:$C,"&gt;0")+SUMIFS(Movimientos!$C:$C,Movimientos!$A:$A,$B21,Movimientos!$D:$D,CONCATENATE("&lt;",IB$3),Movimientos!$C:$C,"&lt;0")</f>
        <v>0</v>
      </c>
      <c r="IC21" s="5">
        <f ca="1">SUMIFS(Movimientos!$C:$C,Movimientos!$A:$A,$B21,Movimientos!$D:$D,CONCATENATE("&lt;=",IC$3),Movimientos!$C:$C,"&gt;0")+SUMIFS(Movimientos!$C:$C,Movimientos!$A:$A,$B21,Movimientos!$D:$D,CONCATENATE("&lt;",IC$3),Movimientos!$C:$C,"&lt;0")</f>
        <v>0</v>
      </c>
      <c r="ID21" s="5">
        <f ca="1">SUMIFS(Movimientos!$C:$C,Movimientos!$A:$A,$B21,Movimientos!$D:$D,CONCATENATE("&lt;=",ID$3),Movimientos!$C:$C,"&gt;0")+SUMIFS(Movimientos!$C:$C,Movimientos!$A:$A,$B21,Movimientos!$D:$D,CONCATENATE("&lt;",ID$3),Movimientos!$C:$C,"&lt;0")</f>
        <v>0</v>
      </c>
      <c r="IE21" s="5">
        <f ca="1">SUMIFS(Movimientos!$C:$C,Movimientos!$A:$A,$B21,Movimientos!$D:$D,CONCATENATE("&lt;=",IE$3),Movimientos!$C:$C,"&gt;0")+SUMIFS(Movimientos!$C:$C,Movimientos!$A:$A,$B21,Movimientos!$D:$D,CONCATENATE("&lt;",IE$3),Movimientos!$C:$C,"&lt;0")</f>
        <v>0</v>
      </c>
      <c r="IF21" s="5">
        <f ca="1">SUMIFS(Movimientos!$C:$C,Movimientos!$A:$A,$B21,Movimientos!$D:$D,CONCATENATE("&lt;=",IF$3),Movimientos!$C:$C,"&gt;0")+SUMIFS(Movimientos!$C:$C,Movimientos!$A:$A,$B21,Movimientos!$D:$D,CONCATENATE("&lt;",IF$3),Movimientos!$C:$C,"&lt;0")</f>
        <v>0</v>
      </c>
      <c r="IG21" s="5">
        <f ca="1">SUMIFS(Movimientos!$C:$C,Movimientos!$A:$A,$B21,Movimientos!$D:$D,CONCATENATE("&lt;=",IG$3),Movimientos!$C:$C,"&gt;0")+SUMIFS(Movimientos!$C:$C,Movimientos!$A:$A,$B21,Movimientos!$D:$D,CONCATENATE("&lt;",IG$3),Movimientos!$C:$C,"&lt;0")</f>
        <v>0</v>
      </c>
      <c r="IH21" s="5">
        <f ca="1">SUMIFS(Movimientos!$C:$C,Movimientos!$A:$A,$B21,Movimientos!$D:$D,CONCATENATE("&lt;=",IH$3),Movimientos!$C:$C,"&gt;0")+SUMIFS(Movimientos!$C:$C,Movimientos!$A:$A,$B21,Movimientos!$D:$D,CONCATENATE("&lt;",IH$3),Movimientos!$C:$C,"&lt;0")</f>
        <v>0</v>
      </c>
      <c r="II21" s="5">
        <f ca="1">SUMIFS(Movimientos!$C:$C,Movimientos!$A:$A,$B21,Movimientos!$D:$D,CONCATENATE("&lt;=",II$3),Movimientos!$C:$C,"&gt;0")+SUMIFS(Movimientos!$C:$C,Movimientos!$A:$A,$B21,Movimientos!$D:$D,CONCATENATE("&lt;",II$3),Movimientos!$C:$C,"&lt;0")</f>
        <v>0</v>
      </c>
      <c r="IJ21" s="5">
        <f ca="1">SUMIFS(Movimientos!$C:$C,Movimientos!$A:$A,$B21,Movimientos!$D:$D,CONCATENATE("&lt;=",IJ$3),Movimientos!$C:$C,"&gt;0")+SUMIFS(Movimientos!$C:$C,Movimientos!$A:$A,$B21,Movimientos!$D:$D,CONCATENATE("&lt;",IJ$3),Movimientos!$C:$C,"&lt;0")</f>
        <v>0</v>
      </c>
      <c r="IK21" s="5">
        <f ca="1">SUMIFS(Movimientos!$C:$C,Movimientos!$A:$A,$B21,Movimientos!$D:$D,CONCATENATE("&lt;=",IK$3),Movimientos!$C:$C,"&gt;0")+SUMIFS(Movimientos!$C:$C,Movimientos!$A:$A,$B21,Movimientos!$D:$D,CONCATENATE("&lt;",IK$3),Movimientos!$C:$C,"&lt;0")</f>
        <v>0</v>
      </c>
      <c r="IL21" s="5">
        <f ca="1">SUMIFS(Movimientos!$C:$C,Movimientos!$A:$A,$B21,Movimientos!$D:$D,CONCATENATE("&lt;=",IL$3),Movimientos!$C:$C,"&gt;0")+SUMIFS(Movimientos!$C:$C,Movimientos!$A:$A,$B21,Movimientos!$D:$D,CONCATENATE("&lt;",IL$3),Movimientos!$C:$C,"&lt;0")</f>
        <v>0</v>
      </c>
      <c r="IM21" s="5">
        <f ca="1">SUMIFS(Movimientos!$C:$C,Movimientos!$A:$A,$B21,Movimientos!$D:$D,CONCATENATE("&lt;=",IM$3),Movimientos!$C:$C,"&gt;0")+SUMIFS(Movimientos!$C:$C,Movimientos!$A:$A,$B21,Movimientos!$D:$D,CONCATENATE("&lt;",IM$3),Movimientos!$C:$C,"&lt;0")</f>
        <v>0</v>
      </c>
      <c r="IN21" s="5">
        <f ca="1">SUMIFS(Movimientos!$C:$C,Movimientos!$A:$A,$B21,Movimientos!$D:$D,CONCATENATE("&lt;=",IN$3),Movimientos!$C:$C,"&gt;0")+SUMIFS(Movimientos!$C:$C,Movimientos!$A:$A,$B21,Movimientos!$D:$D,CONCATENATE("&lt;",IN$3),Movimientos!$C:$C,"&lt;0")</f>
        <v>0</v>
      </c>
      <c r="IO21" s="5">
        <f ca="1">SUMIFS(Movimientos!$C:$C,Movimientos!$A:$A,$B21,Movimientos!$D:$D,CONCATENATE("&lt;=",IO$3),Movimientos!$C:$C,"&gt;0")+SUMIFS(Movimientos!$C:$C,Movimientos!$A:$A,$B21,Movimientos!$D:$D,CONCATENATE("&lt;",IO$3),Movimientos!$C:$C,"&lt;0")</f>
        <v>0</v>
      </c>
      <c r="IP21" s="5">
        <f ca="1">SUMIFS(Movimientos!$C:$C,Movimientos!$A:$A,$B21,Movimientos!$D:$D,CONCATENATE("&lt;=",IP$3),Movimientos!$C:$C,"&gt;0")+SUMIFS(Movimientos!$C:$C,Movimientos!$A:$A,$B21,Movimientos!$D:$D,CONCATENATE("&lt;",IP$3),Movimientos!$C:$C,"&lt;0")</f>
        <v>0</v>
      </c>
      <c r="IQ21" s="5">
        <f ca="1">SUMIFS(Movimientos!$C:$C,Movimientos!$A:$A,$B21,Movimientos!$D:$D,CONCATENATE("&lt;=",IQ$3),Movimientos!$C:$C,"&gt;0")+SUMIFS(Movimientos!$C:$C,Movimientos!$A:$A,$B21,Movimientos!$D:$D,CONCATENATE("&lt;",IQ$3),Movimientos!$C:$C,"&lt;0")</f>
        <v>0</v>
      </c>
      <c r="IR21" s="5">
        <f ca="1">SUMIFS(Movimientos!$C:$C,Movimientos!$A:$A,$B21,Movimientos!$D:$D,CONCATENATE("&lt;=",IR$3),Movimientos!$C:$C,"&gt;0")+SUMIFS(Movimientos!$C:$C,Movimientos!$A:$A,$B21,Movimientos!$D:$D,CONCATENATE("&lt;",IR$3),Movimientos!$C:$C,"&lt;0")</f>
        <v>0</v>
      </c>
      <c r="IS21" s="5">
        <f ca="1">SUMIFS(Movimientos!$C:$C,Movimientos!$A:$A,$B21,Movimientos!$D:$D,CONCATENATE("&lt;=",IS$3),Movimientos!$C:$C,"&gt;0")+SUMIFS(Movimientos!$C:$C,Movimientos!$A:$A,$B21,Movimientos!$D:$D,CONCATENATE("&lt;",IS$3),Movimientos!$C:$C,"&lt;0")</f>
        <v>0</v>
      </c>
      <c r="IT21" s="5">
        <f ca="1">SUMIFS(Movimientos!$C:$C,Movimientos!$A:$A,$B21,Movimientos!$D:$D,CONCATENATE("&lt;=",IT$3),Movimientos!$C:$C,"&gt;0")+SUMIFS(Movimientos!$C:$C,Movimientos!$A:$A,$B21,Movimientos!$D:$D,CONCATENATE("&lt;",IT$3),Movimientos!$C:$C,"&lt;0")</f>
        <v>0</v>
      </c>
      <c r="IU21" s="5">
        <f ca="1">SUMIFS(Movimientos!$C:$C,Movimientos!$A:$A,$B21,Movimientos!$D:$D,CONCATENATE("&lt;=",IU$3),Movimientos!$C:$C,"&gt;0")+SUMIFS(Movimientos!$C:$C,Movimientos!$A:$A,$B21,Movimientos!$D:$D,CONCATENATE("&lt;",IU$3),Movimientos!$C:$C,"&lt;0")</f>
        <v>0</v>
      </c>
      <c r="IV21" s="5">
        <f ca="1">SUMIFS(Movimientos!$C:$C,Movimientos!$A:$A,$B21,Movimientos!$D:$D,CONCATENATE("&lt;=",IV$3),Movimientos!$C:$C,"&gt;0")+SUMIFS(Movimientos!$C:$C,Movimientos!$A:$A,$B21,Movimientos!$D:$D,CONCATENATE("&lt;",IV$3),Movimientos!$C:$C,"&lt;0")</f>
        <v>0</v>
      </c>
      <c r="IW21" s="5">
        <f ca="1">SUMIFS(Movimientos!$C:$C,Movimientos!$A:$A,$B21,Movimientos!$D:$D,CONCATENATE("&lt;=",IW$3),Movimientos!$C:$C,"&gt;0")+SUMIFS(Movimientos!$C:$C,Movimientos!$A:$A,$B21,Movimientos!$D:$D,CONCATENATE("&lt;",IW$3),Movimientos!$C:$C,"&lt;0")</f>
        <v>0</v>
      </c>
      <c r="IX21" s="5">
        <f ca="1">SUMIFS(Movimientos!$C:$C,Movimientos!$A:$A,$B21,Movimientos!$D:$D,CONCATENATE("&lt;=",IX$3),Movimientos!$C:$C,"&gt;0")+SUMIFS(Movimientos!$C:$C,Movimientos!$A:$A,$B21,Movimientos!$D:$D,CONCATENATE("&lt;",IX$3),Movimientos!$C:$C,"&lt;0")</f>
        <v>0</v>
      </c>
      <c r="IY21" s="5">
        <f ca="1">SUMIFS(Movimientos!$C:$C,Movimientos!$A:$A,$B21,Movimientos!$D:$D,CONCATENATE("&lt;=",IY$3),Movimientos!$C:$C,"&gt;0")+SUMIFS(Movimientos!$C:$C,Movimientos!$A:$A,$B21,Movimientos!$D:$D,CONCATENATE("&lt;",IY$3),Movimientos!$C:$C,"&lt;0")</f>
        <v>0</v>
      </c>
      <c r="IZ21" s="5">
        <f ca="1">SUMIFS(Movimientos!$C:$C,Movimientos!$A:$A,$B21,Movimientos!$D:$D,CONCATENATE("&lt;=",IZ$3),Movimientos!$C:$C,"&gt;0")+SUMIFS(Movimientos!$C:$C,Movimientos!$A:$A,$B21,Movimientos!$D:$D,CONCATENATE("&lt;",IZ$3),Movimientos!$C:$C,"&lt;0")</f>
        <v>0</v>
      </c>
      <c r="JA21" s="5">
        <f ca="1">SUMIFS(Movimientos!$C:$C,Movimientos!$A:$A,$B21,Movimientos!$D:$D,CONCATENATE("&lt;=",JA$3),Movimientos!$C:$C,"&gt;0")+SUMIFS(Movimientos!$C:$C,Movimientos!$A:$A,$B21,Movimientos!$D:$D,CONCATENATE("&lt;",JA$3),Movimientos!$C:$C,"&lt;0")</f>
        <v>0</v>
      </c>
      <c r="JB21" s="5">
        <f ca="1">SUMIFS(Movimientos!$C:$C,Movimientos!$A:$A,$B21,Movimientos!$D:$D,CONCATENATE("&lt;=",JB$3),Movimientos!$C:$C,"&gt;0")+SUMIFS(Movimientos!$C:$C,Movimientos!$A:$A,$B21,Movimientos!$D:$D,CONCATENATE("&lt;",JB$3),Movimientos!$C:$C,"&lt;0")</f>
        <v>0</v>
      </c>
      <c r="JC21" s="5">
        <f ca="1">SUMIFS(Movimientos!$C:$C,Movimientos!$A:$A,$B21,Movimientos!$D:$D,CONCATENATE("&lt;=",JC$3),Movimientos!$C:$C,"&gt;0")+SUMIFS(Movimientos!$C:$C,Movimientos!$A:$A,$B21,Movimientos!$D:$D,CONCATENATE("&lt;",JC$3),Movimientos!$C:$C,"&lt;0")</f>
        <v>0</v>
      </c>
      <c r="JD21" s="5">
        <f ca="1">SUMIFS(Movimientos!$C:$C,Movimientos!$A:$A,$B21,Movimientos!$D:$D,CONCATENATE("&lt;=",JD$3),Movimientos!$C:$C,"&gt;0")+SUMIFS(Movimientos!$C:$C,Movimientos!$A:$A,$B21,Movimientos!$D:$D,CONCATENATE("&lt;",JD$3),Movimientos!$C:$C,"&lt;0")</f>
        <v>0</v>
      </c>
      <c r="JE21" s="5">
        <f ca="1">SUMIFS(Movimientos!$C:$C,Movimientos!$A:$A,$B21,Movimientos!$D:$D,CONCATENATE("&lt;=",JE$3),Movimientos!$C:$C,"&gt;0")+SUMIFS(Movimientos!$C:$C,Movimientos!$A:$A,$B21,Movimientos!$D:$D,CONCATENATE("&lt;",JE$3),Movimientos!$C:$C,"&lt;0")</f>
        <v>0</v>
      </c>
      <c r="JF21" s="5">
        <f ca="1">SUMIFS(Movimientos!$C:$C,Movimientos!$A:$A,$B21,Movimientos!$D:$D,CONCATENATE("&lt;=",JF$3),Movimientos!$C:$C,"&gt;0")+SUMIFS(Movimientos!$C:$C,Movimientos!$A:$A,$B21,Movimientos!$D:$D,CONCATENATE("&lt;",JF$3),Movimientos!$C:$C,"&lt;0")</f>
        <v>0</v>
      </c>
      <c r="JG21" s="5">
        <f ca="1">SUMIFS(Movimientos!$C:$C,Movimientos!$A:$A,$B21,Movimientos!$D:$D,CONCATENATE("&lt;=",JG$3),Movimientos!$C:$C,"&gt;0")+SUMIFS(Movimientos!$C:$C,Movimientos!$A:$A,$B21,Movimientos!$D:$D,CONCATENATE("&lt;",JG$3),Movimientos!$C:$C,"&lt;0")</f>
        <v>0</v>
      </c>
      <c r="JH21" s="5">
        <f ca="1">SUMIFS(Movimientos!$C:$C,Movimientos!$A:$A,$B21,Movimientos!$D:$D,CONCATENATE("&lt;=",JH$3),Movimientos!$C:$C,"&gt;0")+SUMIFS(Movimientos!$C:$C,Movimientos!$A:$A,$B21,Movimientos!$D:$D,CONCATENATE("&lt;",JH$3),Movimientos!$C:$C,"&lt;0")</f>
        <v>0</v>
      </c>
      <c r="JI21" s="5">
        <f ca="1">SUMIFS(Movimientos!$C:$C,Movimientos!$A:$A,$B21,Movimientos!$D:$D,CONCATENATE("&lt;=",JI$3),Movimientos!$C:$C,"&gt;0")+SUMIFS(Movimientos!$C:$C,Movimientos!$A:$A,$B21,Movimientos!$D:$D,CONCATENATE("&lt;",JI$3),Movimientos!$C:$C,"&lt;0")</f>
        <v>0</v>
      </c>
      <c r="JJ21" s="5">
        <f ca="1">SUMIFS(Movimientos!$C:$C,Movimientos!$A:$A,$B21,Movimientos!$D:$D,CONCATENATE("&lt;=",JJ$3),Movimientos!$C:$C,"&gt;0")+SUMIFS(Movimientos!$C:$C,Movimientos!$A:$A,$B21,Movimientos!$D:$D,CONCATENATE("&lt;",JJ$3),Movimientos!$C:$C,"&lt;0")</f>
        <v>0</v>
      </c>
      <c r="JK21" s="5">
        <f ca="1">SUMIFS(Movimientos!$C:$C,Movimientos!$A:$A,$B21,Movimientos!$D:$D,CONCATENATE("&lt;=",JK$3),Movimientos!$C:$C,"&gt;0")+SUMIFS(Movimientos!$C:$C,Movimientos!$A:$A,$B21,Movimientos!$D:$D,CONCATENATE("&lt;",JK$3),Movimientos!$C:$C,"&lt;0")</f>
        <v>0</v>
      </c>
      <c r="JL21" s="5">
        <f ca="1">SUMIFS(Movimientos!$C:$C,Movimientos!$A:$A,$B21,Movimientos!$D:$D,CONCATENATE("&lt;=",JL$3),Movimientos!$C:$C,"&gt;0")+SUMIFS(Movimientos!$C:$C,Movimientos!$A:$A,$B21,Movimientos!$D:$D,CONCATENATE("&lt;",JL$3),Movimientos!$C:$C,"&lt;0")</f>
        <v>0</v>
      </c>
      <c r="JM21" s="5">
        <f ca="1">SUMIFS(Movimientos!$C:$C,Movimientos!$A:$A,$B21,Movimientos!$D:$D,CONCATENATE("&lt;=",JM$3),Movimientos!$C:$C,"&gt;0")+SUMIFS(Movimientos!$C:$C,Movimientos!$A:$A,$B21,Movimientos!$D:$D,CONCATENATE("&lt;",JM$3),Movimientos!$C:$C,"&lt;0")</f>
        <v>0</v>
      </c>
      <c r="JN21" s="5">
        <f ca="1">SUMIFS(Movimientos!$C:$C,Movimientos!$A:$A,$B21,Movimientos!$D:$D,CONCATENATE("&lt;=",JN$3),Movimientos!$C:$C,"&gt;0")+SUMIFS(Movimientos!$C:$C,Movimientos!$A:$A,$B21,Movimientos!$D:$D,CONCATENATE("&lt;",JN$3),Movimientos!$C:$C,"&lt;0")</f>
        <v>0</v>
      </c>
      <c r="JO21" s="5">
        <f ca="1">SUMIFS(Movimientos!$C:$C,Movimientos!$A:$A,$B21,Movimientos!$D:$D,CONCATENATE("&lt;=",JO$3),Movimientos!$C:$C,"&gt;0")+SUMIFS(Movimientos!$C:$C,Movimientos!$A:$A,$B21,Movimientos!$D:$D,CONCATENATE("&lt;",JO$3),Movimientos!$C:$C,"&lt;0")</f>
        <v>0</v>
      </c>
      <c r="JP21" s="5">
        <f ca="1">SUMIFS(Movimientos!$C:$C,Movimientos!$A:$A,$B21,Movimientos!$D:$D,CONCATENATE("&lt;=",JP$3),Movimientos!$C:$C,"&gt;0")+SUMIFS(Movimientos!$C:$C,Movimientos!$A:$A,$B21,Movimientos!$D:$D,CONCATENATE("&lt;",JP$3),Movimientos!$C:$C,"&lt;0")</f>
        <v>0</v>
      </c>
      <c r="JQ21" s="5">
        <f ca="1">SUMIFS(Movimientos!$C:$C,Movimientos!$A:$A,$B21,Movimientos!$D:$D,CONCATENATE("&lt;=",JQ$3),Movimientos!$C:$C,"&gt;0")+SUMIFS(Movimientos!$C:$C,Movimientos!$A:$A,$B21,Movimientos!$D:$D,CONCATENATE("&lt;",JQ$3),Movimientos!$C:$C,"&lt;0")</f>
        <v>0</v>
      </c>
      <c r="JR21" s="5">
        <f ca="1">SUMIFS(Movimientos!$C:$C,Movimientos!$A:$A,$B21,Movimientos!$D:$D,CONCATENATE("&lt;=",JR$3),Movimientos!$C:$C,"&gt;0")+SUMIFS(Movimientos!$C:$C,Movimientos!$A:$A,$B21,Movimientos!$D:$D,CONCATENATE("&lt;",JR$3),Movimientos!$C:$C,"&lt;0")</f>
        <v>0</v>
      </c>
      <c r="JS21" s="5">
        <f ca="1">SUMIFS(Movimientos!$C:$C,Movimientos!$A:$A,$B21,Movimientos!$D:$D,CONCATENATE("&lt;=",JS$3),Movimientos!$C:$C,"&gt;0")+SUMIFS(Movimientos!$C:$C,Movimientos!$A:$A,$B21,Movimientos!$D:$D,CONCATENATE("&lt;",JS$3),Movimientos!$C:$C,"&lt;0")</f>
        <v>0</v>
      </c>
      <c r="JT21" s="5">
        <f ca="1">SUMIFS(Movimientos!$C:$C,Movimientos!$A:$A,$B21,Movimientos!$D:$D,CONCATENATE("&lt;=",JT$3),Movimientos!$C:$C,"&gt;0")+SUMIFS(Movimientos!$C:$C,Movimientos!$A:$A,$B21,Movimientos!$D:$D,CONCATENATE("&lt;",JT$3),Movimientos!$C:$C,"&lt;0")</f>
        <v>0</v>
      </c>
      <c r="JU21" s="5">
        <f ca="1">SUMIFS(Movimientos!$C:$C,Movimientos!$A:$A,$B21,Movimientos!$D:$D,CONCATENATE("&lt;=",JU$3),Movimientos!$C:$C,"&gt;0")+SUMIFS(Movimientos!$C:$C,Movimientos!$A:$A,$B21,Movimientos!$D:$D,CONCATENATE("&lt;",JU$3),Movimientos!$C:$C,"&lt;0")</f>
        <v>0</v>
      </c>
      <c r="JV21" s="5">
        <f ca="1">SUMIFS(Movimientos!$C:$C,Movimientos!$A:$A,$B21,Movimientos!$D:$D,CONCATENATE("&lt;=",JV$3),Movimientos!$C:$C,"&gt;0")+SUMIFS(Movimientos!$C:$C,Movimientos!$A:$A,$B21,Movimientos!$D:$D,CONCATENATE("&lt;",JV$3),Movimientos!$C:$C,"&lt;0")</f>
        <v>0</v>
      </c>
      <c r="JW21" s="5">
        <f ca="1">SUMIFS(Movimientos!$C:$C,Movimientos!$A:$A,$B21,Movimientos!$D:$D,CONCATENATE("&lt;=",JW$3),Movimientos!$C:$C,"&gt;0")+SUMIFS(Movimientos!$C:$C,Movimientos!$A:$A,$B21,Movimientos!$D:$D,CONCATENATE("&lt;",JW$3),Movimientos!$C:$C,"&lt;0")</f>
        <v>0</v>
      </c>
      <c r="JX21" s="5">
        <f ca="1">SUMIFS(Movimientos!$C:$C,Movimientos!$A:$A,$B21,Movimientos!$D:$D,CONCATENATE("&lt;=",JX$3),Movimientos!$C:$C,"&gt;0")+SUMIFS(Movimientos!$C:$C,Movimientos!$A:$A,$B21,Movimientos!$D:$D,CONCATENATE("&lt;",JX$3),Movimientos!$C:$C,"&lt;0")</f>
        <v>0</v>
      </c>
      <c r="JY21" s="5">
        <f ca="1">SUMIFS(Movimientos!$C:$C,Movimientos!$A:$A,$B21,Movimientos!$D:$D,CONCATENATE("&lt;=",JY$3),Movimientos!$C:$C,"&gt;0")+SUMIFS(Movimientos!$C:$C,Movimientos!$A:$A,$B21,Movimientos!$D:$D,CONCATENATE("&lt;",JY$3),Movimientos!$C:$C,"&lt;0")</f>
        <v>0</v>
      </c>
      <c r="JZ21" s="5">
        <f ca="1">SUMIFS(Movimientos!$C:$C,Movimientos!$A:$A,$B21,Movimientos!$D:$D,CONCATENATE("&lt;=",JZ$3),Movimientos!$C:$C,"&gt;0")+SUMIFS(Movimientos!$C:$C,Movimientos!$A:$A,$B21,Movimientos!$D:$D,CONCATENATE("&lt;",JZ$3),Movimientos!$C:$C,"&lt;0")</f>
        <v>0</v>
      </c>
      <c r="KA21" s="5">
        <f ca="1">SUMIFS(Movimientos!$C:$C,Movimientos!$A:$A,$B21,Movimientos!$D:$D,CONCATENATE("&lt;=",KA$3),Movimientos!$C:$C,"&gt;0")+SUMIFS(Movimientos!$C:$C,Movimientos!$A:$A,$B21,Movimientos!$D:$D,CONCATENATE("&lt;",KA$3),Movimientos!$C:$C,"&lt;0")</f>
        <v>0</v>
      </c>
      <c r="KB21" s="5">
        <f ca="1">SUMIFS(Movimientos!$C:$C,Movimientos!$A:$A,$B21,Movimientos!$D:$D,CONCATENATE("&lt;=",KB$3),Movimientos!$C:$C,"&gt;0")+SUMIFS(Movimientos!$C:$C,Movimientos!$A:$A,$B21,Movimientos!$D:$D,CONCATENATE("&lt;",KB$3),Movimientos!$C:$C,"&lt;0")</f>
        <v>0</v>
      </c>
      <c r="KC21" s="5">
        <f ca="1">SUMIFS(Movimientos!$C:$C,Movimientos!$A:$A,$B21,Movimientos!$D:$D,CONCATENATE("&lt;=",KC$3),Movimientos!$C:$C,"&gt;0")+SUMIFS(Movimientos!$C:$C,Movimientos!$A:$A,$B21,Movimientos!$D:$D,CONCATENATE("&lt;",KC$3),Movimientos!$C:$C,"&lt;0")</f>
        <v>0</v>
      </c>
      <c r="KD21" s="5">
        <f ca="1">SUMIFS(Movimientos!$C:$C,Movimientos!$A:$A,$B21,Movimientos!$D:$D,CONCATENATE("&lt;=",KD$3),Movimientos!$C:$C,"&gt;0")+SUMIFS(Movimientos!$C:$C,Movimientos!$A:$A,$B21,Movimientos!$D:$D,CONCATENATE("&lt;",KD$3),Movimientos!$C:$C,"&lt;0")</f>
        <v>0</v>
      </c>
      <c r="KE21" s="5">
        <f ca="1">SUMIFS(Movimientos!$C:$C,Movimientos!$A:$A,$B21,Movimientos!$D:$D,CONCATENATE("&lt;=",KE$3),Movimientos!$C:$C,"&gt;0")+SUMIFS(Movimientos!$C:$C,Movimientos!$A:$A,$B21,Movimientos!$D:$D,CONCATENATE("&lt;",KE$3),Movimientos!$C:$C,"&lt;0")</f>
        <v>0</v>
      </c>
      <c r="KF21" s="5">
        <f ca="1">SUMIFS(Movimientos!$C:$C,Movimientos!$A:$A,$B21,Movimientos!$D:$D,CONCATENATE("&lt;=",KF$3),Movimientos!$C:$C,"&gt;0")+SUMIFS(Movimientos!$C:$C,Movimientos!$A:$A,$B21,Movimientos!$D:$D,CONCATENATE("&lt;",KF$3),Movimientos!$C:$C,"&lt;0")</f>
        <v>0</v>
      </c>
      <c r="KG21" s="5">
        <f ca="1">SUMIFS(Movimientos!$C:$C,Movimientos!$A:$A,$B21,Movimientos!$D:$D,CONCATENATE("&lt;=",KG$3),Movimientos!$C:$C,"&gt;0")+SUMIFS(Movimientos!$C:$C,Movimientos!$A:$A,$B21,Movimientos!$D:$D,CONCATENATE("&lt;",KG$3),Movimientos!$C:$C,"&lt;0")</f>
        <v>0</v>
      </c>
      <c r="KH21" s="5">
        <f ca="1">SUMIFS(Movimientos!$C:$C,Movimientos!$A:$A,$B21,Movimientos!$D:$D,CONCATENATE("&lt;=",KH$3),Movimientos!$C:$C,"&gt;0")+SUMIFS(Movimientos!$C:$C,Movimientos!$A:$A,$B21,Movimientos!$D:$D,CONCATENATE("&lt;",KH$3),Movimientos!$C:$C,"&lt;0")</f>
        <v>0</v>
      </c>
      <c r="KI21" s="5">
        <f ca="1">SUMIFS(Movimientos!$C:$C,Movimientos!$A:$A,$B21,Movimientos!$D:$D,CONCATENATE("&lt;=",KI$3),Movimientos!$C:$C,"&gt;0")+SUMIFS(Movimientos!$C:$C,Movimientos!$A:$A,$B21,Movimientos!$D:$D,CONCATENATE("&lt;",KI$3),Movimientos!$C:$C,"&lt;0")</f>
        <v>0</v>
      </c>
      <c r="KJ21" s="5">
        <f ca="1">SUMIFS(Movimientos!$C:$C,Movimientos!$A:$A,$B21,Movimientos!$D:$D,CONCATENATE("&lt;=",KJ$3),Movimientos!$C:$C,"&gt;0")+SUMIFS(Movimientos!$C:$C,Movimientos!$A:$A,$B21,Movimientos!$D:$D,CONCATENATE("&lt;",KJ$3),Movimientos!$C:$C,"&lt;0")</f>
        <v>0</v>
      </c>
      <c r="KK21" s="5">
        <f ca="1">SUMIFS(Movimientos!$C:$C,Movimientos!$A:$A,$B21,Movimientos!$D:$D,CONCATENATE("&lt;=",KK$3),Movimientos!$C:$C,"&gt;0")+SUMIFS(Movimientos!$C:$C,Movimientos!$A:$A,$B21,Movimientos!$D:$D,CONCATENATE("&lt;",KK$3),Movimientos!$C:$C,"&lt;0")</f>
        <v>0</v>
      </c>
      <c r="KL21" s="5">
        <f ca="1">SUMIFS(Movimientos!$C:$C,Movimientos!$A:$A,$B21,Movimientos!$D:$D,CONCATENATE("&lt;=",KL$3),Movimientos!$C:$C,"&gt;0")+SUMIFS(Movimientos!$C:$C,Movimientos!$A:$A,$B21,Movimientos!$D:$D,CONCATENATE("&lt;",KL$3),Movimientos!$C:$C,"&lt;0")</f>
        <v>0</v>
      </c>
      <c r="KM21" s="5">
        <f ca="1">SUMIFS(Movimientos!$C:$C,Movimientos!$A:$A,$B21,Movimientos!$D:$D,CONCATENATE("&lt;=",KM$3),Movimientos!$C:$C,"&gt;0")+SUMIFS(Movimientos!$C:$C,Movimientos!$A:$A,$B21,Movimientos!$D:$D,CONCATENATE("&lt;",KM$3),Movimientos!$C:$C,"&lt;0")</f>
        <v>0</v>
      </c>
      <c r="KN21" s="5">
        <f ca="1">SUMIFS(Movimientos!$C:$C,Movimientos!$A:$A,$B21,Movimientos!$D:$D,CONCATENATE("&lt;=",KN$3),Movimientos!$C:$C,"&gt;0")+SUMIFS(Movimientos!$C:$C,Movimientos!$A:$A,$B21,Movimientos!$D:$D,CONCATENATE("&lt;",KN$3),Movimientos!$C:$C,"&lt;0")</f>
        <v>0</v>
      </c>
      <c r="KO21" s="5">
        <f ca="1">SUMIFS(Movimientos!$C:$C,Movimientos!$A:$A,$B21,Movimientos!$D:$D,CONCATENATE("&lt;=",KO$3),Movimientos!$C:$C,"&gt;0")+SUMIFS(Movimientos!$C:$C,Movimientos!$A:$A,$B21,Movimientos!$D:$D,CONCATENATE("&lt;",KO$3),Movimientos!$C:$C,"&lt;0")</f>
        <v>0</v>
      </c>
      <c r="KP21" s="5">
        <f ca="1">SUMIFS(Movimientos!$C:$C,Movimientos!$A:$A,$B21,Movimientos!$D:$D,CONCATENATE("&lt;=",KP$3),Movimientos!$C:$C,"&gt;0")+SUMIFS(Movimientos!$C:$C,Movimientos!$A:$A,$B21,Movimientos!$D:$D,CONCATENATE("&lt;",KP$3),Movimientos!$C:$C,"&lt;0")</f>
        <v>0</v>
      </c>
      <c r="KQ21" s="5">
        <f ca="1">SUMIFS(Movimientos!$C:$C,Movimientos!$A:$A,$B21,Movimientos!$D:$D,CONCATENATE("&lt;=",KQ$3),Movimientos!$C:$C,"&gt;0")+SUMIFS(Movimientos!$C:$C,Movimientos!$A:$A,$B21,Movimientos!$D:$D,CONCATENATE("&lt;",KQ$3),Movimientos!$C:$C,"&lt;0")</f>
        <v>0</v>
      </c>
      <c r="KR21" s="5">
        <f ca="1">SUMIFS(Movimientos!$C:$C,Movimientos!$A:$A,$B21,Movimientos!$D:$D,CONCATENATE("&lt;=",KR$3),Movimientos!$C:$C,"&gt;0")+SUMIFS(Movimientos!$C:$C,Movimientos!$A:$A,$B21,Movimientos!$D:$D,CONCATENATE("&lt;",KR$3),Movimientos!$C:$C,"&lt;0")</f>
        <v>0</v>
      </c>
      <c r="KS21" s="5">
        <f ca="1">SUMIFS(Movimientos!$C:$C,Movimientos!$A:$A,$B21,Movimientos!$D:$D,CONCATENATE("&lt;=",KS$3),Movimientos!$C:$C,"&gt;0")+SUMIFS(Movimientos!$C:$C,Movimientos!$A:$A,$B21,Movimientos!$D:$D,CONCATENATE("&lt;",KS$3),Movimientos!$C:$C,"&lt;0")</f>
        <v>0</v>
      </c>
      <c r="KT21" s="5">
        <f ca="1">SUMIFS(Movimientos!$C:$C,Movimientos!$A:$A,$B21,Movimientos!$D:$D,CONCATENATE("&lt;=",KT$3),Movimientos!$C:$C,"&gt;0")+SUMIFS(Movimientos!$C:$C,Movimientos!$A:$A,$B21,Movimientos!$D:$D,CONCATENATE("&lt;",KT$3),Movimientos!$C:$C,"&lt;0")</f>
        <v>0</v>
      </c>
      <c r="KU21" s="5">
        <f ca="1">SUMIFS(Movimientos!$C:$C,Movimientos!$A:$A,$B21,Movimientos!$D:$D,CONCATENATE("&lt;=",KU$3),Movimientos!$C:$C,"&gt;0")+SUMIFS(Movimientos!$C:$C,Movimientos!$A:$A,$B21,Movimientos!$D:$D,CONCATENATE("&lt;",KU$3),Movimientos!$C:$C,"&lt;0")</f>
        <v>0</v>
      </c>
      <c r="KV21" s="5">
        <f ca="1">SUMIFS(Movimientos!$C:$C,Movimientos!$A:$A,$B21,Movimientos!$D:$D,CONCATENATE("&lt;=",KV$3),Movimientos!$C:$C,"&gt;0")+SUMIFS(Movimientos!$C:$C,Movimientos!$A:$A,$B21,Movimientos!$D:$D,CONCATENATE("&lt;",KV$3),Movimientos!$C:$C,"&lt;0")</f>
        <v>0</v>
      </c>
      <c r="KW21" s="5">
        <f ca="1">SUMIFS(Movimientos!$C:$C,Movimientos!$A:$A,$B21,Movimientos!$D:$D,CONCATENATE("&lt;=",KW$3),Movimientos!$C:$C,"&gt;0")+SUMIFS(Movimientos!$C:$C,Movimientos!$A:$A,$B21,Movimientos!$D:$D,CONCATENATE("&lt;",KW$3),Movimientos!$C:$C,"&lt;0")</f>
        <v>0</v>
      </c>
      <c r="KX21" s="5">
        <f ca="1">SUMIFS(Movimientos!$C:$C,Movimientos!$A:$A,$B21,Movimientos!$D:$D,CONCATENATE("&lt;=",KX$3),Movimientos!$C:$C,"&gt;0")+SUMIFS(Movimientos!$C:$C,Movimientos!$A:$A,$B21,Movimientos!$D:$D,CONCATENATE("&lt;",KX$3),Movimientos!$C:$C,"&lt;0")</f>
        <v>0</v>
      </c>
      <c r="KY21" s="5">
        <f ca="1">SUMIFS(Movimientos!$C:$C,Movimientos!$A:$A,$B21,Movimientos!$D:$D,CONCATENATE("&lt;=",KY$3),Movimientos!$C:$C,"&gt;0")+SUMIFS(Movimientos!$C:$C,Movimientos!$A:$A,$B21,Movimientos!$D:$D,CONCATENATE("&lt;",KY$3),Movimientos!$C:$C,"&lt;0")</f>
        <v>0</v>
      </c>
      <c r="KZ21" s="5">
        <f ca="1">SUMIFS(Movimientos!$C:$C,Movimientos!$A:$A,$B21,Movimientos!$D:$D,CONCATENATE("&lt;=",KZ$3),Movimientos!$C:$C,"&gt;0")+SUMIFS(Movimientos!$C:$C,Movimientos!$A:$A,$B21,Movimientos!$D:$D,CONCATENATE("&lt;",KZ$3),Movimientos!$C:$C,"&lt;0")</f>
        <v>0</v>
      </c>
      <c r="LA21" s="5">
        <f ca="1">SUMIFS(Movimientos!$C:$C,Movimientos!$A:$A,$B21,Movimientos!$D:$D,CONCATENATE("&lt;=",LA$3),Movimientos!$C:$C,"&gt;0")+SUMIFS(Movimientos!$C:$C,Movimientos!$A:$A,$B21,Movimientos!$D:$D,CONCATENATE("&lt;",LA$3),Movimientos!$C:$C,"&lt;0")</f>
        <v>0</v>
      </c>
      <c r="LB21" s="5">
        <f ca="1">SUMIFS(Movimientos!$C:$C,Movimientos!$A:$A,$B21,Movimientos!$D:$D,CONCATENATE("&lt;=",LB$3),Movimientos!$C:$C,"&gt;0")+SUMIFS(Movimientos!$C:$C,Movimientos!$A:$A,$B21,Movimientos!$D:$D,CONCATENATE("&lt;",LB$3),Movimientos!$C:$C,"&lt;0")</f>
        <v>0</v>
      </c>
      <c r="LC21" s="5">
        <f ca="1">SUMIFS(Movimientos!$C:$C,Movimientos!$A:$A,$B21,Movimientos!$D:$D,CONCATENATE("&lt;=",LC$3),Movimientos!$C:$C,"&gt;0")+SUMIFS(Movimientos!$C:$C,Movimientos!$A:$A,$B21,Movimientos!$D:$D,CONCATENATE("&lt;",LC$3),Movimientos!$C:$C,"&lt;0")</f>
        <v>0</v>
      </c>
      <c r="LD21" s="5">
        <f ca="1">SUMIFS(Movimientos!$C:$C,Movimientos!$A:$A,$B21,Movimientos!$D:$D,CONCATENATE("&lt;=",LD$3),Movimientos!$C:$C,"&gt;0")+SUMIFS(Movimientos!$C:$C,Movimientos!$A:$A,$B21,Movimientos!$D:$D,CONCATENATE("&lt;",LD$3),Movimientos!$C:$C,"&lt;0")</f>
        <v>0</v>
      </c>
      <c r="LE21" s="5">
        <f ca="1">SUMIFS(Movimientos!$C:$C,Movimientos!$A:$A,$B21,Movimientos!$D:$D,CONCATENATE("&lt;=",LE$3),Movimientos!$C:$C,"&gt;0")+SUMIFS(Movimientos!$C:$C,Movimientos!$A:$A,$B21,Movimientos!$D:$D,CONCATENATE("&lt;",LE$3),Movimientos!$C:$C,"&lt;0")</f>
        <v>0</v>
      </c>
      <c r="LF21" s="5">
        <f ca="1">SUMIFS(Movimientos!$C:$C,Movimientos!$A:$A,$B21,Movimientos!$D:$D,CONCATENATE("&lt;=",LF$3),Movimientos!$C:$C,"&gt;0")+SUMIFS(Movimientos!$C:$C,Movimientos!$A:$A,$B21,Movimientos!$D:$D,CONCATENATE("&lt;",LF$3),Movimientos!$C:$C,"&lt;0")</f>
        <v>0</v>
      </c>
      <c r="LG21" s="5">
        <f ca="1">SUMIFS(Movimientos!$C:$C,Movimientos!$A:$A,$B21,Movimientos!$D:$D,CONCATENATE("&lt;=",LG$3),Movimientos!$C:$C,"&gt;0")+SUMIFS(Movimientos!$C:$C,Movimientos!$A:$A,$B21,Movimientos!$D:$D,CONCATENATE("&lt;",LG$3),Movimientos!$C:$C,"&lt;0")</f>
        <v>0</v>
      </c>
      <c r="LH21" s="5">
        <f ca="1">SUMIFS(Movimientos!$C:$C,Movimientos!$A:$A,$B21,Movimientos!$D:$D,CONCATENATE("&lt;=",LH$3),Movimientos!$C:$C,"&gt;0")+SUMIFS(Movimientos!$C:$C,Movimientos!$A:$A,$B21,Movimientos!$D:$D,CONCATENATE("&lt;",LH$3),Movimientos!$C:$C,"&lt;0")</f>
        <v>0</v>
      </c>
      <c r="LI21" s="5">
        <f ca="1">SUMIFS(Movimientos!$C:$C,Movimientos!$A:$A,$B21,Movimientos!$D:$D,CONCATENATE("&lt;=",LI$3),Movimientos!$C:$C,"&gt;0")+SUMIFS(Movimientos!$C:$C,Movimientos!$A:$A,$B21,Movimientos!$D:$D,CONCATENATE("&lt;",LI$3),Movimientos!$C:$C,"&lt;0")</f>
        <v>0</v>
      </c>
      <c r="LJ21" s="5">
        <f ca="1">SUMIFS(Movimientos!$C:$C,Movimientos!$A:$A,$B21,Movimientos!$D:$D,CONCATENATE("&lt;=",LJ$3),Movimientos!$C:$C,"&gt;0")+SUMIFS(Movimientos!$C:$C,Movimientos!$A:$A,$B21,Movimientos!$D:$D,CONCATENATE("&lt;",LJ$3),Movimientos!$C:$C,"&lt;0")</f>
        <v>0</v>
      </c>
      <c r="LK21" s="5">
        <f ca="1">SUMIFS(Movimientos!$C:$C,Movimientos!$A:$A,$B21,Movimientos!$D:$D,CONCATENATE("&lt;=",LK$3),Movimientos!$C:$C,"&gt;0")+SUMIFS(Movimientos!$C:$C,Movimientos!$A:$A,$B21,Movimientos!$D:$D,CONCATENATE("&lt;",LK$3),Movimientos!$C:$C,"&lt;0")</f>
        <v>0</v>
      </c>
      <c r="LL21" s="5">
        <f ca="1">SUMIFS(Movimientos!$C:$C,Movimientos!$A:$A,$B21,Movimientos!$D:$D,CONCATENATE("&lt;=",LL$3),Movimientos!$C:$C,"&gt;0")+SUMIFS(Movimientos!$C:$C,Movimientos!$A:$A,$B21,Movimientos!$D:$D,CONCATENATE("&lt;",LL$3),Movimientos!$C:$C,"&lt;0")</f>
        <v>0</v>
      </c>
      <c r="LM21" s="5">
        <f ca="1">SUMIFS(Movimientos!$C:$C,Movimientos!$A:$A,$B21,Movimientos!$D:$D,CONCATENATE("&lt;=",LM$3),Movimientos!$C:$C,"&gt;0")+SUMIFS(Movimientos!$C:$C,Movimientos!$A:$A,$B21,Movimientos!$D:$D,CONCATENATE("&lt;",LM$3),Movimientos!$C:$C,"&lt;0")</f>
        <v>0</v>
      </c>
      <c r="LN21" s="5">
        <f ca="1">SUMIFS(Movimientos!$C:$C,Movimientos!$A:$A,$B21,Movimientos!$D:$D,CONCATENATE("&lt;=",LN$3),Movimientos!$C:$C,"&gt;0")+SUMIFS(Movimientos!$C:$C,Movimientos!$A:$A,$B21,Movimientos!$D:$D,CONCATENATE("&lt;",LN$3),Movimientos!$C:$C,"&lt;0")</f>
        <v>0</v>
      </c>
      <c r="LO21" s="5">
        <f ca="1">SUMIFS(Movimientos!$C:$C,Movimientos!$A:$A,$B21,Movimientos!$D:$D,CONCATENATE("&lt;=",LO$3),Movimientos!$C:$C,"&gt;0")+SUMIFS(Movimientos!$C:$C,Movimientos!$A:$A,$B21,Movimientos!$D:$D,CONCATENATE("&lt;",LO$3),Movimientos!$C:$C,"&lt;0")</f>
        <v>0</v>
      </c>
      <c r="LP21" s="5">
        <f ca="1">SUMIFS(Movimientos!$C:$C,Movimientos!$A:$A,$B21,Movimientos!$D:$D,CONCATENATE("&lt;=",LP$3),Movimientos!$C:$C,"&gt;0")+SUMIFS(Movimientos!$C:$C,Movimientos!$A:$A,$B21,Movimientos!$D:$D,CONCATENATE("&lt;",LP$3),Movimientos!$C:$C,"&lt;0")</f>
        <v>0</v>
      </c>
      <c r="LQ21" s="5">
        <f ca="1">SUMIFS(Movimientos!$C:$C,Movimientos!$A:$A,$B21,Movimientos!$D:$D,CONCATENATE("&lt;=",LQ$3),Movimientos!$C:$C,"&gt;0")+SUMIFS(Movimientos!$C:$C,Movimientos!$A:$A,$B21,Movimientos!$D:$D,CONCATENATE("&lt;",LQ$3),Movimientos!$C:$C,"&lt;0")</f>
        <v>0</v>
      </c>
      <c r="LR21" s="5">
        <f ca="1">SUMIFS(Movimientos!$C:$C,Movimientos!$A:$A,$B21,Movimientos!$D:$D,CONCATENATE("&lt;=",LR$3),Movimientos!$C:$C,"&gt;0")+SUMIFS(Movimientos!$C:$C,Movimientos!$A:$A,$B21,Movimientos!$D:$D,CONCATENATE("&lt;",LR$3),Movimientos!$C:$C,"&lt;0")</f>
        <v>0</v>
      </c>
      <c r="LS21" s="5">
        <f ca="1">SUMIFS(Movimientos!$C:$C,Movimientos!$A:$A,$B21,Movimientos!$D:$D,CONCATENATE("&lt;=",LS$3),Movimientos!$C:$C,"&gt;0")+SUMIFS(Movimientos!$C:$C,Movimientos!$A:$A,$B21,Movimientos!$D:$D,CONCATENATE("&lt;",LS$3),Movimientos!$C:$C,"&lt;0")</f>
        <v>0</v>
      </c>
      <c r="LT21" s="5">
        <f ca="1">SUMIFS(Movimientos!$C:$C,Movimientos!$A:$A,$B21,Movimientos!$D:$D,CONCATENATE("&lt;=",LT$3),Movimientos!$C:$C,"&gt;0")+SUMIFS(Movimientos!$C:$C,Movimientos!$A:$A,$B21,Movimientos!$D:$D,CONCATENATE("&lt;",LT$3),Movimientos!$C:$C,"&lt;0")</f>
        <v>0</v>
      </c>
      <c r="LU21" s="5">
        <f ca="1">SUMIFS(Movimientos!$C:$C,Movimientos!$A:$A,$B21,Movimientos!$D:$D,CONCATENATE("&lt;=",LU$3),Movimientos!$C:$C,"&gt;0")+SUMIFS(Movimientos!$C:$C,Movimientos!$A:$A,$B21,Movimientos!$D:$D,CONCATENATE("&lt;",LU$3),Movimientos!$C:$C,"&lt;0")</f>
        <v>0</v>
      </c>
      <c r="LV21" s="5">
        <f ca="1">SUMIFS(Movimientos!$C:$C,Movimientos!$A:$A,$B21,Movimientos!$D:$D,CONCATENATE("&lt;=",LV$3),Movimientos!$C:$C,"&gt;0")+SUMIFS(Movimientos!$C:$C,Movimientos!$A:$A,$B21,Movimientos!$D:$D,CONCATENATE("&lt;",LV$3),Movimientos!$C:$C,"&lt;0")</f>
        <v>0</v>
      </c>
      <c r="LW21" s="5">
        <f ca="1">SUMIFS(Movimientos!$C:$C,Movimientos!$A:$A,$B21,Movimientos!$D:$D,CONCATENATE("&lt;=",LW$3),Movimientos!$C:$C,"&gt;0")+SUMIFS(Movimientos!$C:$C,Movimientos!$A:$A,$B21,Movimientos!$D:$D,CONCATENATE("&lt;",LW$3),Movimientos!$C:$C,"&lt;0")</f>
        <v>0</v>
      </c>
      <c r="LX21" s="5">
        <f ca="1">SUMIFS(Movimientos!$C:$C,Movimientos!$A:$A,$B21,Movimientos!$D:$D,CONCATENATE("&lt;=",LX$3),Movimientos!$C:$C,"&gt;0")+SUMIFS(Movimientos!$C:$C,Movimientos!$A:$A,$B21,Movimientos!$D:$D,CONCATENATE("&lt;",LX$3),Movimientos!$C:$C,"&lt;0")</f>
        <v>0</v>
      </c>
      <c r="LY21" s="5">
        <f ca="1">SUMIFS(Movimientos!$C:$C,Movimientos!$A:$A,$B21,Movimientos!$D:$D,CONCATENATE("&lt;=",LY$3),Movimientos!$C:$C,"&gt;0")+SUMIFS(Movimientos!$C:$C,Movimientos!$A:$A,$B21,Movimientos!$D:$D,CONCATENATE("&lt;",LY$3),Movimientos!$C:$C,"&lt;0")</f>
        <v>0</v>
      </c>
      <c r="LZ21" s="5">
        <f ca="1">SUMIFS(Movimientos!$C:$C,Movimientos!$A:$A,$B21,Movimientos!$D:$D,CONCATENATE("&lt;=",LZ$3),Movimientos!$C:$C,"&gt;0")+SUMIFS(Movimientos!$C:$C,Movimientos!$A:$A,$B21,Movimientos!$D:$D,CONCATENATE("&lt;",LZ$3),Movimientos!$C:$C,"&lt;0")</f>
        <v>0</v>
      </c>
      <c r="MA21" s="5">
        <f ca="1">SUMIFS(Movimientos!$C:$C,Movimientos!$A:$A,$B21,Movimientos!$D:$D,CONCATENATE("&lt;=",MA$3),Movimientos!$C:$C,"&gt;0")+SUMIFS(Movimientos!$C:$C,Movimientos!$A:$A,$B21,Movimientos!$D:$D,CONCATENATE("&lt;",MA$3),Movimientos!$C:$C,"&lt;0")</f>
        <v>0</v>
      </c>
      <c r="MB21" s="5">
        <f ca="1">SUMIFS(Movimientos!$C:$C,Movimientos!$A:$A,$B21,Movimientos!$D:$D,CONCATENATE("&lt;=",MB$3),Movimientos!$C:$C,"&gt;0")+SUMIFS(Movimientos!$C:$C,Movimientos!$A:$A,$B21,Movimientos!$D:$D,CONCATENATE("&lt;",MB$3),Movimientos!$C:$C,"&lt;0")</f>
        <v>0</v>
      </c>
      <c r="MC21" s="5">
        <f ca="1">SUMIFS(Movimientos!$C:$C,Movimientos!$A:$A,$B21,Movimientos!$D:$D,CONCATENATE("&lt;=",MC$3),Movimientos!$C:$C,"&gt;0")+SUMIFS(Movimientos!$C:$C,Movimientos!$A:$A,$B21,Movimientos!$D:$D,CONCATENATE("&lt;",MC$3),Movimientos!$C:$C,"&lt;0")</f>
        <v>0</v>
      </c>
      <c r="MD21" s="5">
        <f ca="1">SUMIFS(Movimientos!$C:$C,Movimientos!$A:$A,$B21,Movimientos!$D:$D,CONCATENATE("&lt;=",MD$3),Movimientos!$C:$C,"&gt;0")+SUMIFS(Movimientos!$C:$C,Movimientos!$A:$A,$B21,Movimientos!$D:$D,CONCATENATE("&lt;",MD$3),Movimientos!$C:$C,"&lt;0")</f>
        <v>0</v>
      </c>
      <c r="ME21" s="5">
        <f ca="1">SUMIFS(Movimientos!$C:$C,Movimientos!$A:$A,$B21,Movimientos!$D:$D,CONCATENATE("&lt;=",ME$3),Movimientos!$C:$C,"&gt;0")+SUMIFS(Movimientos!$C:$C,Movimientos!$A:$A,$B21,Movimientos!$D:$D,CONCATENATE("&lt;",ME$3),Movimientos!$C:$C,"&lt;0")</f>
        <v>0</v>
      </c>
      <c r="MF21" s="5">
        <f ca="1">SUMIFS(Movimientos!$C:$C,Movimientos!$A:$A,$B21,Movimientos!$D:$D,CONCATENATE("&lt;=",MF$3),Movimientos!$C:$C,"&gt;0")+SUMIFS(Movimientos!$C:$C,Movimientos!$A:$A,$B21,Movimientos!$D:$D,CONCATENATE("&lt;",MF$3),Movimientos!$C:$C,"&lt;0")</f>
        <v>0</v>
      </c>
      <c r="MG21" s="5">
        <f ca="1">SUMIFS(Movimientos!$C:$C,Movimientos!$A:$A,$B21,Movimientos!$D:$D,CONCATENATE("&lt;=",MG$3),Movimientos!$C:$C,"&gt;0")+SUMIFS(Movimientos!$C:$C,Movimientos!$A:$A,$B21,Movimientos!$D:$D,CONCATENATE("&lt;",MG$3),Movimientos!$C:$C,"&lt;0")</f>
        <v>0</v>
      </c>
      <c r="MH21" s="5">
        <f ca="1">SUMIFS(Movimientos!$C:$C,Movimientos!$A:$A,$B21,Movimientos!$D:$D,CONCATENATE("&lt;=",MH$3),Movimientos!$C:$C,"&gt;0")+SUMIFS(Movimientos!$C:$C,Movimientos!$A:$A,$B21,Movimientos!$D:$D,CONCATENATE("&lt;",MH$3),Movimientos!$C:$C,"&lt;0")</f>
        <v>0</v>
      </c>
      <c r="MI21" s="5">
        <f ca="1">SUMIFS(Movimientos!$C:$C,Movimientos!$A:$A,$B21,Movimientos!$D:$D,CONCATENATE("&lt;=",MI$3),Movimientos!$C:$C,"&gt;0")+SUMIFS(Movimientos!$C:$C,Movimientos!$A:$A,$B21,Movimientos!$D:$D,CONCATENATE("&lt;",MI$3),Movimientos!$C:$C,"&lt;0")</f>
        <v>0</v>
      </c>
      <c r="MJ21" s="5">
        <f ca="1">SUMIFS(Movimientos!$C:$C,Movimientos!$A:$A,$B21,Movimientos!$D:$D,CONCATENATE("&lt;=",MJ$3),Movimientos!$C:$C,"&gt;0")+SUMIFS(Movimientos!$C:$C,Movimientos!$A:$A,$B21,Movimientos!$D:$D,CONCATENATE("&lt;",MJ$3),Movimientos!$C:$C,"&lt;0")</f>
        <v>0</v>
      </c>
      <c r="MK21" s="5">
        <f ca="1">SUMIFS(Movimientos!$C:$C,Movimientos!$A:$A,$B21,Movimientos!$D:$D,CONCATENATE("&lt;=",MK$3),Movimientos!$C:$C,"&gt;0")+SUMIFS(Movimientos!$C:$C,Movimientos!$A:$A,$B21,Movimientos!$D:$D,CONCATENATE("&lt;",MK$3),Movimientos!$C:$C,"&lt;0")</f>
        <v>0</v>
      </c>
      <c r="ML21" s="5">
        <f ca="1">SUMIFS(Movimientos!$C:$C,Movimientos!$A:$A,$B21,Movimientos!$D:$D,CONCATENATE("&lt;=",ML$3),Movimientos!$C:$C,"&gt;0")+SUMIFS(Movimientos!$C:$C,Movimientos!$A:$A,$B21,Movimientos!$D:$D,CONCATENATE("&lt;",ML$3),Movimientos!$C:$C,"&lt;0")</f>
        <v>0</v>
      </c>
      <c r="MM21" s="5">
        <f ca="1">SUMIFS(Movimientos!$C:$C,Movimientos!$A:$A,$B21,Movimientos!$D:$D,CONCATENATE("&lt;=",MM$3),Movimientos!$C:$C,"&gt;0")+SUMIFS(Movimientos!$C:$C,Movimientos!$A:$A,$B21,Movimientos!$D:$D,CONCATENATE("&lt;",MM$3),Movimientos!$C:$C,"&lt;0")</f>
        <v>0</v>
      </c>
      <c r="MN21" s="5">
        <f ca="1">SUMIFS(Movimientos!$C:$C,Movimientos!$A:$A,$B21,Movimientos!$D:$D,CONCATENATE("&lt;=",MN$3),Movimientos!$C:$C,"&gt;0")+SUMIFS(Movimientos!$C:$C,Movimientos!$A:$A,$B21,Movimientos!$D:$D,CONCATENATE("&lt;",MN$3),Movimientos!$C:$C,"&lt;0")</f>
        <v>0</v>
      </c>
      <c r="MO21" s="5">
        <f ca="1">SUMIFS(Movimientos!$C:$C,Movimientos!$A:$A,$B21,Movimientos!$D:$D,CONCATENATE("&lt;=",MO$3),Movimientos!$C:$C,"&gt;0")+SUMIFS(Movimientos!$C:$C,Movimientos!$A:$A,$B21,Movimientos!$D:$D,CONCATENATE("&lt;",MO$3),Movimientos!$C:$C,"&lt;0")</f>
        <v>0</v>
      </c>
      <c r="MP21" s="5">
        <f ca="1">SUMIFS(Movimientos!$C:$C,Movimientos!$A:$A,$B21,Movimientos!$D:$D,CONCATENATE("&lt;=",MP$3),Movimientos!$C:$C,"&gt;0")+SUMIFS(Movimientos!$C:$C,Movimientos!$A:$A,$B21,Movimientos!$D:$D,CONCATENATE("&lt;",MP$3),Movimientos!$C:$C,"&lt;0")</f>
        <v>0</v>
      </c>
      <c r="MQ21" s="5">
        <f ca="1">SUMIFS(Movimientos!$C:$C,Movimientos!$A:$A,$B21,Movimientos!$D:$D,CONCATENATE("&lt;=",MQ$3),Movimientos!$C:$C,"&gt;0")+SUMIFS(Movimientos!$C:$C,Movimientos!$A:$A,$B21,Movimientos!$D:$D,CONCATENATE("&lt;",MQ$3),Movimientos!$C:$C,"&lt;0")</f>
        <v>0</v>
      </c>
      <c r="MR21" s="5">
        <f ca="1">SUMIFS(Movimientos!$C:$C,Movimientos!$A:$A,$B21,Movimientos!$D:$D,CONCATENATE("&lt;=",MR$3),Movimientos!$C:$C,"&gt;0")+SUMIFS(Movimientos!$C:$C,Movimientos!$A:$A,$B21,Movimientos!$D:$D,CONCATENATE("&lt;",MR$3),Movimientos!$C:$C,"&lt;0")</f>
        <v>0</v>
      </c>
      <c r="MS21" s="5">
        <f ca="1">SUMIFS(Movimientos!$C:$C,Movimientos!$A:$A,$B21,Movimientos!$D:$D,CONCATENATE("&lt;=",MS$3),Movimientos!$C:$C,"&gt;0")+SUMIFS(Movimientos!$C:$C,Movimientos!$A:$A,$B21,Movimientos!$D:$D,CONCATENATE("&lt;",MS$3),Movimientos!$C:$C,"&lt;0")</f>
        <v>0</v>
      </c>
      <c r="MT21" s="5">
        <f ca="1">SUMIFS(Movimientos!$C:$C,Movimientos!$A:$A,$B21,Movimientos!$D:$D,CONCATENATE("&lt;=",MT$3),Movimientos!$C:$C,"&gt;0")+SUMIFS(Movimientos!$C:$C,Movimientos!$A:$A,$B21,Movimientos!$D:$D,CONCATENATE("&lt;",MT$3),Movimientos!$C:$C,"&lt;0")</f>
        <v>0</v>
      </c>
      <c r="MU21" s="5">
        <f ca="1">SUMIFS(Movimientos!$C:$C,Movimientos!$A:$A,$B21,Movimientos!$D:$D,CONCATENATE("&lt;=",MU$3),Movimientos!$C:$C,"&gt;0")+SUMIFS(Movimientos!$C:$C,Movimientos!$A:$A,$B21,Movimientos!$D:$D,CONCATENATE("&lt;",MU$3),Movimientos!$C:$C,"&lt;0")</f>
        <v>0</v>
      </c>
      <c r="MV21" s="5">
        <f ca="1">SUMIFS(Movimientos!$C:$C,Movimientos!$A:$A,$B21,Movimientos!$D:$D,CONCATENATE("&lt;=",MV$3),Movimientos!$C:$C,"&gt;0")+SUMIFS(Movimientos!$C:$C,Movimientos!$A:$A,$B21,Movimientos!$D:$D,CONCATENATE("&lt;",MV$3),Movimientos!$C:$C,"&lt;0")</f>
        <v>0</v>
      </c>
      <c r="MW21" s="5">
        <f ca="1">SUMIFS(Movimientos!$C:$C,Movimientos!$A:$A,$B21,Movimientos!$D:$D,CONCATENATE("&lt;=",MW$3),Movimientos!$C:$C,"&gt;0")+SUMIFS(Movimientos!$C:$C,Movimientos!$A:$A,$B21,Movimientos!$D:$D,CONCATENATE("&lt;",MW$3),Movimientos!$C:$C,"&lt;0")</f>
        <v>0</v>
      </c>
      <c r="MX21" s="5">
        <f ca="1">SUMIFS(Movimientos!$C:$C,Movimientos!$A:$A,$B21,Movimientos!$D:$D,CONCATENATE("&lt;=",MX$3),Movimientos!$C:$C,"&gt;0")+SUMIFS(Movimientos!$C:$C,Movimientos!$A:$A,$B21,Movimientos!$D:$D,CONCATENATE("&lt;",MX$3),Movimientos!$C:$C,"&lt;0")</f>
        <v>0</v>
      </c>
      <c r="MY21" s="5">
        <f ca="1">SUMIFS(Movimientos!$C:$C,Movimientos!$A:$A,$B21,Movimientos!$D:$D,CONCATENATE("&lt;=",MY$3),Movimientos!$C:$C,"&gt;0")+SUMIFS(Movimientos!$C:$C,Movimientos!$A:$A,$B21,Movimientos!$D:$D,CONCATENATE("&lt;",MY$3),Movimientos!$C:$C,"&lt;0")</f>
        <v>0</v>
      </c>
      <c r="MZ21" s="5">
        <f ca="1">SUMIFS(Movimientos!$C:$C,Movimientos!$A:$A,$B21,Movimientos!$D:$D,CONCATENATE("&lt;=",MZ$3),Movimientos!$C:$C,"&gt;0")+SUMIFS(Movimientos!$C:$C,Movimientos!$A:$A,$B21,Movimientos!$D:$D,CONCATENATE("&lt;",MZ$3),Movimientos!$C:$C,"&lt;0")</f>
        <v>0</v>
      </c>
      <c r="NA21" s="5">
        <f ca="1">SUMIFS(Movimientos!$C:$C,Movimientos!$A:$A,$B21,Movimientos!$D:$D,CONCATENATE("&lt;=",NA$3),Movimientos!$C:$C,"&gt;0")+SUMIFS(Movimientos!$C:$C,Movimientos!$A:$A,$B21,Movimientos!$D:$D,CONCATENATE("&lt;",NA$3),Movimientos!$C:$C,"&lt;0")</f>
        <v>0</v>
      </c>
      <c r="NB21" s="5">
        <f ca="1">SUMIFS(Movimientos!$C:$C,Movimientos!$A:$A,$B21,Movimientos!$D:$D,CONCATENATE("&lt;=",NB$3),Movimientos!$C:$C,"&gt;0")+SUMIFS(Movimientos!$C:$C,Movimientos!$A:$A,$B21,Movimientos!$D:$D,CONCATENATE("&lt;",NB$3),Movimientos!$C:$C,"&lt;0")</f>
        <v>0</v>
      </c>
      <c r="NC21" s="5">
        <f ca="1">SUMIFS(Movimientos!$C:$C,Movimientos!$A:$A,$B21,Movimientos!$D:$D,CONCATENATE("&lt;=",NC$3),Movimientos!$C:$C,"&gt;0")+SUMIFS(Movimientos!$C:$C,Movimientos!$A:$A,$B21,Movimientos!$D:$D,CONCATENATE("&lt;",NC$3),Movimientos!$C:$C,"&lt;0")</f>
        <v>0</v>
      </c>
      <c r="ND21" s="5">
        <f ca="1">SUMIFS(Movimientos!$C:$C,Movimientos!$A:$A,$B21,Movimientos!$D:$D,CONCATENATE("&lt;=",ND$3),Movimientos!$C:$C,"&gt;0")+SUMIFS(Movimientos!$C:$C,Movimientos!$A:$A,$B21,Movimientos!$D:$D,CONCATENATE("&lt;",ND$3),Movimientos!$C:$C,"&lt;0")</f>
        <v>0</v>
      </c>
      <c r="NE21" s="5">
        <f ca="1">SUMIFS(Movimientos!$C:$C,Movimientos!$A:$A,$B21,Movimientos!$D:$D,CONCATENATE("&lt;=",NE$3),Movimientos!$C:$C,"&gt;0")+SUMIFS(Movimientos!$C:$C,Movimientos!$A:$A,$B21,Movimientos!$D:$D,CONCATENATE("&lt;",NE$3),Movimientos!$C:$C,"&lt;0")</f>
        <v>0</v>
      </c>
      <c r="NF21" s="5">
        <f ca="1">SUMIFS(Movimientos!$C:$C,Movimientos!$A:$A,$B21,Movimientos!$D:$D,CONCATENATE("&lt;=",NF$3),Movimientos!$C:$C,"&gt;0")+SUMIFS(Movimientos!$C:$C,Movimientos!$A:$A,$B21,Movimientos!$D:$D,CONCATENATE("&lt;",NF$3),Movimientos!$C:$C,"&lt;0")</f>
        <v>0</v>
      </c>
      <c r="NG21" s="5">
        <f ca="1">SUMIFS(Movimientos!$C:$C,Movimientos!$A:$A,$B21,Movimientos!$D:$D,CONCATENATE("&lt;=",NG$3),Movimientos!$C:$C,"&gt;0")+SUMIFS(Movimientos!$C:$C,Movimientos!$A:$A,$B21,Movimientos!$D:$D,CONCATENATE("&lt;",NG$3),Movimientos!$C:$C,"&lt;0")</f>
        <v>0</v>
      </c>
      <c r="NH21" s="5">
        <f ca="1">SUMIFS(Movimientos!$C:$C,Movimientos!$A:$A,$B21,Movimientos!$D:$D,CONCATENATE("&lt;=",NH$3),Movimientos!$C:$C,"&gt;0")+SUMIFS(Movimientos!$C:$C,Movimientos!$A:$A,$B21,Movimientos!$D:$D,CONCATENATE("&lt;",NH$3),Movimientos!$C:$C,"&lt;0")</f>
        <v>0</v>
      </c>
      <c r="NI21" s="5">
        <f ca="1">SUMIFS(Movimientos!$C:$C,Movimientos!$A:$A,$B21,Movimientos!$D:$D,CONCATENATE("&lt;=",NI$3),Movimientos!$C:$C,"&gt;0")+SUMIFS(Movimientos!$C:$C,Movimientos!$A:$A,$B21,Movimientos!$D:$D,CONCATENATE("&lt;",NI$3),Movimientos!$C:$C,"&lt;0")</f>
        <v>0</v>
      </c>
      <c r="NJ21" s="5">
        <f ca="1">SUMIFS(Movimientos!$C:$C,Movimientos!$A:$A,$B21,Movimientos!$D:$D,CONCATENATE("&lt;=",NJ$3),Movimientos!$C:$C,"&gt;0")+SUMIFS(Movimientos!$C:$C,Movimientos!$A:$A,$B21,Movimientos!$D:$D,CONCATENATE("&lt;",NJ$3),Movimientos!$C:$C,"&lt;0")</f>
        <v>0</v>
      </c>
      <c r="NK21" s="5">
        <f ca="1">SUMIFS(Movimientos!$C:$C,Movimientos!$A:$A,$B21,Movimientos!$D:$D,CONCATENATE("&lt;=",NK$3),Movimientos!$C:$C,"&gt;0")+SUMIFS(Movimientos!$C:$C,Movimientos!$A:$A,$B21,Movimientos!$D:$D,CONCATENATE("&lt;",NK$3),Movimientos!$C:$C,"&lt;0")</f>
        <v>0</v>
      </c>
      <c r="NL21" s="5">
        <f ca="1">SUMIFS(Movimientos!$C:$C,Movimientos!$A:$A,$B21,Movimientos!$D:$D,CONCATENATE("&lt;=",NL$3),Movimientos!$C:$C,"&gt;0")+SUMIFS(Movimientos!$C:$C,Movimientos!$A:$A,$B21,Movimientos!$D:$D,CONCATENATE("&lt;",NL$3),Movimientos!$C:$C,"&lt;0")</f>
        <v>0</v>
      </c>
      <c r="NM21" s="5">
        <f ca="1">SUMIFS(Movimientos!$C:$C,Movimientos!$A:$A,$B21,Movimientos!$D:$D,CONCATENATE("&lt;=",NM$3),Movimientos!$C:$C,"&gt;0")+SUMIFS(Movimientos!$C:$C,Movimientos!$A:$A,$B21,Movimientos!$D:$D,CONCATENATE("&lt;",NM$3),Movimientos!$C:$C,"&lt;0")</f>
        <v>0</v>
      </c>
      <c r="NN21" s="5">
        <f ca="1">SUMIFS(Movimientos!$C:$C,Movimientos!$A:$A,$B21,Movimientos!$D:$D,CONCATENATE("&lt;=",NN$3),Movimientos!$C:$C,"&gt;0")+SUMIFS(Movimientos!$C:$C,Movimientos!$A:$A,$B21,Movimientos!$D:$D,CONCATENATE("&lt;",NN$3),Movimientos!$C:$C,"&lt;0")</f>
        <v>0</v>
      </c>
      <c r="NO21" s="5">
        <f ca="1">SUMIFS(Movimientos!$C:$C,Movimientos!$A:$A,$B21,Movimientos!$D:$D,CONCATENATE("&lt;=",NO$3),Movimientos!$C:$C,"&gt;0")+SUMIFS(Movimientos!$C:$C,Movimientos!$A:$A,$B21,Movimientos!$D:$D,CONCATENATE("&lt;",NO$3),Movimientos!$C:$C,"&lt;0")</f>
        <v>0</v>
      </c>
      <c r="NP21" s="5">
        <f ca="1">SUMIFS(Movimientos!$C:$C,Movimientos!$A:$A,$B21,Movimientos!$D:$D,CONCATENATE("&lt;=",NP$3),Movimientos!$C:$C,"&gt;0")+SUMIFS(Movimientos!$C:$C,Movimientos!$A:$A,$B21,Movimientos!$D:$D,CONCATENATE("&lt;",NP$3),Movimientos!$C:$C,"&lt;0")</f>
        <v>0</v>
      </c>
      <c r="NQ21" s="5">
        <f ca="1">SUMIFS(Movimientos!$C:$C,Movimientos!$A:$A,$B21,Movimientos!$D:$D,CONCATENATE("&lt;=",NQ$3),Movimientos!$C:$C,"&gt;0")+SUMIFS(Movimientos!$C:$C,Movimientos!$A:$A,$B21,Movimientos!$D:$D,CONCATENATE("&lt;",NQ$3),Movimientos!$C:$C,"&lt;0")</f>
        <v>0</v>
      </c>
      <c r="NR21" s="5">
        <f ca="1">SUMIFS(Movimientos!$C:$C,Movimientos!$A:$A,$B21,Movimientos!$D:$D,CONCATENATE("&lt;=",NR$3),Movimientos!$C:$C,"&gt;0")+SUMIFS(Movimientos!$C:$C,Movimientos!$A:$A,$B21,Movimientos!$D:$D,CONCATENATE("&lt;",NR$3),Movimientos!$C:$C,"&lt;0")</f>
        <v>0</v>
      </c>
      <c r="NS21" s="5">
        <f ca="1">SUMIFS(Movimientos!$C:$C,Movimientos!$A:$A,$B21,Movimientos!$D:$D,CONCATENATE("&lt;=",NS$3),Movimientos!$C:$C,"&gt;0")+SUMIFS(Movimientos!$C:$C,Movimientos!$A:$A,$B21,Movimientos!$D:$D,CONCATENATE("&lt;",NS$3),Movimientos!$C:$C,"&lt;0")</f>
        <v>0</v>
      </c>
      <c r="NT21" s="5">
        <f ca="1">SUMIFS(Movimientos!$C:$C,Movimientos!$A:$A,$B21,Movimientos!$D:$D,CONCATENATE("&lt;=",NT$3),Movimientos!$C:$C,"&gt;0")+SUMIFS(Movimientos!$C:$C,Movimientos!$A:$A,$B21,Movimientos!$D:$D,CONCATENATE("&lt;",NT$3),Movimientos!$C:$C,"&lt;0")</f>
        <v>0</v>
      </c>
      <c r="NU21" s="5">
        <f ca="1">SUMIFS(Movimientos!$C:$C,Movimientos!$A:$A,$B21,Movimientos!$D:$D,CONCATENATE("&lt;=",NU$3),Movimientos!$C:$C,"&gt;0")+SUMIFS(Movimientos!$C:$C,Movimientos!$A:$A,$B21,Movimientos!$D:$D,CONCATENATE("&lt;",NU$3),Movimientos!$C:$C,"&lt;0")</f>
        <v>0</v>
      </c>
      <c r="NV21" s="5">
        <f ca="1">SUMIFS(Movimientos!$C:$C,Movimientos!$A:$A,$B21,Movimientos!$D:$D,CONCATENATE("&lt;=",NV$3),Movimientos!$C:$C,"&gt;0")+SUMIFS(Movimientos!$C:$C,Movimientos!$A:$A,$B21,Movimientos!$D:$D,CONCATENATE("&lt;",NV$3),Movimientos!$C:$C,"&lt;0")</f>
        <v>0</v>
      </c>
      <c r="NW21" s="5">
        <f ca="1">SUMIFS(Movimientos!$C:$C,Movimientos!$A:$A,$B21,Movimientos!$D:$D,CONCATENATE("&lt;=",NW$3),Movimientos!$C:$C,"&gt;0")+SUMIFS(Movimientos!$C:$C,Movimientos!$A:$A,$B21,Movimientos!$D:$D,CONCATENATE("&lt;",NW$3),Movimientos!$C:$C,"&lt;0")</f>
        <v>0</v>
      </c>
      <c r="NX21" s="5">
        <f ca="1">SUMIFS(Movimientos!$C:$C,Movimientos!$A:$A,$B21,Movimientos!$D:$D,CONCATENATE("&lt;=",NX$3),Movimientos!$C:$C,"&gt;0")+SUMIFS(Movimientos!$C:$C,Movimientos!$A:$A,$B21,Movimientos!$D:$D,CONCATENATE("&lt;",NX$3),Movimientos!$C:$C,"&lt;0")</f>
        <v>0</v>
      </c>
      <c r="NY21" s="5">
        <f ca="1">SUMIFS(Movimientos!$C:$C,Movimientos!$A:$A,$B21,Movimientos!$D:$D,CONCATENATE("&lt;=",NY$3),Movimientos!$C:$C,"&gt;0")+SUMIFS(Movimientos!$C:$C,Movimientos!$A:$A,$B21,Movimientos!$D:$D,CONCATENATE("&lt;",NY$3),Movimientos!$C:$C,"&lt;0")</f>
        <v>0</v>
      </c>
      <c r="NZ21" s="5">
        <f ca="1">SUMIFS(Movimientos!$C:$C,Movimientos!$A:$A,$B21,Movimientos!$D:$D,CONCATENATE("&lt;=",NZ$3),Movimientos!$C:$C,"&gt;0")+SUMIFS(Movimientos!$C:$C,Movimientos!$A:$A,$B21,Movimientos!$D:$D,CONCATENATE("&lt;",NZ$3),Movimientos!$C:$C,"&lt;0")</f>
        <v>0</v>
      </c>
      <c r="OA21" s="5">
        <f ca="1">SUMIFS(Movimientos!$C:$C,Movimientos!$A:$A,$B21,Movimientos!$D:$D,CONCATENATE("&lt;=",OA$3),Movimientos!$C:$C,"&gt;0")+SUMIFS(Movimientos!$C:$C,Movimientos!$A:$A,$B21,Movimientos!$D:$D,CONCATENATE("&lt;",OA$3),Movimientos!$C:$C,"&lt;0")</f>
        <v>0</v>
      </c>
      <c r="OB21" s="5">
        <f ca="1">SUMIFS(Movimientos!$C:$C,Movimientos!$A:$A,$B21,Movimientos!$D:$D,CONCATENATE("&lt;=",OB$3),Movimientos!$C:$C,"&gt;0")+SUMIFS(Movimientos!$C:$C,Movimientos!$A:$A,$B21,Movimientos!$D:$D,CONCATENATE("&lt;",OB$3),Movimientos!$C:$C,"&lt;0")</f>
        <v>0</v>
      </c>
      <c r="OC21" s="5">
        <f ca="1">SUMIFS(Movimientos!$C:$C,Movimientos!$A:$A,$B21,Movimientos!$D:$D,CONCATENATE("&lt;=",OC$3),Movimientos!$C:$C,"&gt;0")+SUMIFS(Movimientos!$C:$C,Movimientos!$A:$A,$B21,Movimientos!$D:$D,CONCATENATE("&lt;",OC$3),Movimientos!$C:$C,"&lt;0")</f>
        <v>0</v>
      </c>
      <c r="OD21" s="5">
        <f ca="1">SUMIFS(Movimientos!$C:$C,Movimientos!$A:$A,$B21,Movimientos!$D:$D,CONCATENATE("&lt;=",OD$3),Movimientos!$C:$C,"&gt;0")+SUMIFS(Movimientos!$C:$C,Movimientos!$A:$A,$B21,Movimientos!$D:$D,CONCATENATE("&lt;",OD$3),Movimientos!$C:$C,"&lt;0")</f>
        <v>0</v>
      </c>
      <c r="OE21" s="5">
        <f ca="1">SUMIFS(Movimientos!$C:$C,Movimientos!$A:$A,$B21,Movimientos!$D:$D,CONCATENATE("&lt;=",OE$3),Movimientos!$C:$C,"&gt;0")+SUMIFS(Movimientos!$C:$C,Movimientos!$A:$A,$B21,Movimientos!$D:$D,CONCATENATE("&lt;",OE$3),Movimientos!$C:$C,"&lt;0")</f>
        <v>0</v>
      </c>
      <c r="OF21" s="5">
        <f ca="1">SUMIFS(Movimientos!$C:$C,Movimientos!$A:$A,$B21,Movimientos!$D:$D,CONCATENATE("&lt;=",OF$3),Movimientos!$C:$C,"&gt;0")+SUMIFS(Movimientos!$C:$C,Movimientos!$A:$A,$B21,Movimientos!$D:$D,CONCATENATE("&lt;",OF$3),Movimientos!$C:$C,"&lt;0")</f>
        <v>0</v>
      </c>
      <c r="OG21" s="5">
        <f ca="1">SUMIFS(Movimientos!$C:$C,Movimientos!$A:$A,$B21,Movimientos!$D:$D,CONCATENATE("&lt;=",OG$3),Movimientos!$C:$C,"&gt;0")+SUMIFS(Movimientos!$C:$C,Movimientos!$A:$A,$B21,Movimientos!$D:$D,CONCATENATE("&lt;",OG$3),Movimientos!$C:$C,"&lt;0")</f>
        <v>0</v>
      </c>
      <c r="OH21" s="5">
        <f ca="1">SUMIFS(Movimientos!$C:$C,Movimientos!$A:$A,$B21,Movimientos!$D:$D,CONCATENATE("&lt;=",OH$3),Movimientos!$C:$C,"&gt;0")+SUMIFS(Movimientos!$C:$C,Movimientos!$A:$A,$B21,Movimientos!$D:$D,CONCATENATE("&lt;",OH$3),Movimientos!$C:$C,"&lt;0")</f>
        <v>0</v>
      </c>
      <c r="OI21" s="5">
        <f ca="1">SUMIFS(Movimientos!$C:$C,Movimientos!$A:$A,$B21,Movimientos!$D:$D,CONCATENATE("&lt;=",OI$3),Movimientos!$C:$C,"&gt;0")+SUMIFS(Movimientos!$C:$C,Movimientos!$A:$A,$B21,Movimientos!$D:$D,CONCATENATE("&lt;",OI$3),Movimientos!$C:$C,"&lt;0")</f>
        <v>0</v>
      </c>
      <c r="OJ21" s="5">
        <f ca="1">SUMIFS(Movimientos!$C:$C,Movimientos!$A:$A,$B21,Movimientos!$D:$D,CONCATENATE("&lt;=",OJ$3),Movimientos!$C:$C,"&gt;0")+SUMIFS(Movimientos!$C:$C,Movimientos!$A:$A,$B21,Movimientos!$D:$D,CONCATENATE("&lt;",OJ$3),Movimientos!$C:$C,"&lt;0")</f>
        <v>0</v>
      </c>
      <c r="OK21" s="5">
        <f ca="1">SUMIFS(Movimientos!$C:$C,Movimientos!$A:$A,$B21,Movimientos!$D:$D,CONCATENATE("&lt;=",OK$3),Movimientos!$C:$C,"&gt;0")+SUMIFS(Movimientos!$C:$C,Movimientos!$A:$A,$B21,Movimientos!$D:$D,CONCATENATE("&lt;",OK$3),Movimientos!$C:$C,"&lt;0")</f>
        <v>0</v>
      </c>
      <c r="OL21" s="5">
        <f ca="1">SUMIFS(Movimientos!$C:$C,Movimientos!$A:$A,$B21,Movimientos!$D:$D,CONCATENATE("&lt;=",OL$3),Movimientos!$C:$C,"&gt;0")+SUMIFS(Movimientos!$C:$C,Movimientos!$A:$A,$B21,Movimientos!$D:$D,CONCATENATE("&lt;",OL$3),Movimientos!$C:$C,"&lt;0")</f>
        <v>0</v>
      </c>
      <c r="OM21" s="5">
        <f ca="1">SUMIFS(Movimientos!$C:$C,Movimientos!$A:$A,$B21,Movimientos!$D:$D,CONCATENATE("&lt;=",OM$3),Movimientos!$C:$C,"&gt;0")+SUMIFS(Movimientos!$C:$C,Movimientos!$A:$A,$B21,Movimientos!$D:$D,CONCATENATE("&lt;",OM$3),Movimientos!$C:$C,"&lt;0")</f>
        <v>0</v>
      </c>
      <c r="ON21" s="5">
        <f ca="1">SUMIFS(Movimientos!$C:$C,Movimientos!$A:$A,$B21,Movimientos!$D:$D,CONCATENATE("&lt;=",ON$3),Movimientos!$C:$C,"&gt;0")+SUMIFS(Movimientos!$C:$C,Movimientos!$A:$A,$B21,Movimientos!$D:$D,CONCATENATE("&lt;",ON$3),Movimientos!$C:$C,"&lt;0")</f>
        <v>0</v>
      </c>
      <c r="OO21" s="5">
        <f ca="1">SUMIFS(Movimientos!$C:$C,Movimientos!$A:$A,$B21,Movimientos!$D:$D,CONCATENATE("&lt;=",OO$3),Movimientos!$C:$C,"&gt;0")+SUMIFS(Movimientos!$C:$C,Movimientos!$A:$A,$B21,Movimientos!$D:$D,CONCATENATE("&lt;",OO$3),Movimientos!$C:$C,"&lt;0")</f>
        <v>0</v>
      </c>
      <c r="OP21" s="5">
        <f ca="1">SUMIFS(Movimientos!$C:$C,Movimientos!$A:$A,$B21,Movimientos!$D:$D,CONCATENATE("&lt;=",OP$3),Movimientos!$C:$C,"&gt;0")+SUMIFS(Movimientos!$C:$C,Movimientos!$A:$A,$B21,Movimientos!$D:$D,CONCATENATE("&lt;",OP$3),Movimientos!$C:$C,"&lt;0")</f>
        <v>0</v>
      </c>
      <c r="OQ21" s="5">
        <f ca="1">SUMIFS(Movimientos!$C:$C,Movimientos!$A:$A,$B21,Movimientos!$D:$D,CONCATENATE("&lt;=",OQ$3),Movimientos!$C:$C,"&gt;0")+SUMIFS(Movimientos!$C:$C,Movimientos!$A:$A,$B21,Movimientos!$D:$D,CONCATENATE("&lt;",OQ$3),Movimientos!$C:$C,"&lt;0")</f>
        <v>0</v>
      </c>
      <c r="OR21" s="5">
        <f ca="1">SUMIFS(Movimientos!$C:$C,Movimientos!$A:$A,$B21,Movimientos!$D:$D,CONCATENATE("&lt;=",OR$3),Movimientos!$C:$C,"&gt;0")+SUMIFS(Movimientos!$C:$C,Movimientos!$A:$A,$B21,Movimientos!$D:$D,CONCATENATE("&lt;",OR$3),Movimientos!$C:$C,"&lt;0")</f>
        <v>0</v>
      </c>
      <c r="OS21" s="5">
        <f ca="1">SUMIFS(Movimientos!$C:$C,Movimientos!$A:$A,$B21,Movimientos!$D:$D,CONCATENATE("&lt;=",OS$3),Movimientos!$C:$C,"&gt;0")+SUMIFS(Movimientos!$C:$C,Movimientos!$A:$A,$B21,Movimientos!$D:$D,CONCATENATE("&lt;",OS$3),Movimientos!$C:$C,"&lt;0")</f>
        <v>0</v>
      </c>
      <c r="OT21" s="5">
        <f ca="1">SUMIFS(Movimientos!$C:$C,Movimientos!$A:$A,$B21,Movimientos!$D:$D,CONCATENATE("&lt;=",OT$3),Movimientos!$C:$C,"&gt;0")+SUMIFS(Movimientos!$C:$C,Movimientos!$A:$A,$B21,Movimientos!$D:$D,CONCATENATE("&lt;",OT$3),Movimientos!$C:$C,"&lt;0")</f>
        <v>0</v>
      </c>
      <c r="OU21" s="5">
        <f ca="1">SUMIFS(Movimientos!$C:$C,Movimientos!$A:$A,$B21,Movimientos!$D:$D,CONCATENATE("&lt;=",OU$3),Movimientos!$C:$C,"&gt;0")+SUMIFS(Movimientos!$C:$C,Movimientos!$A:$A,$B21,Movimientos!$D:$D,CONCATENATE("&lt;",OU$3),Movimientos!$C:$C,"&lt;0")</f>
        <v>0</v>
      </c>
      <c r="OV21" s="5">
        <f ca="1">SUMIFS(Movimientos!$C:$C,Movimientos!$A:$A,$B21,Movimientos!$D:$D,CONCATENATE("&lt;=",OV$3),Movimientos!$C:$C,"&gt;0")+SUMIFS(Movimientos!$C:$C,Movimientos!$A:$A,$B21,Movimientos!$D:$D,CONCATENATE("&lt;",OV$3),Movimientos!$C:$C,"&lt;0")</f>
        <v>0</v>
      </c>
      <c r="OW21" s="5">
        <f ca="1">SUMIFS(Movimientos!$C:$C,Movimientos!$A:$A,$B21,Movimientos!$D:$D,CONCATENATE("&lt;=",OW$3),Movimientos!$C:$C,"&gt;0")+SUMIFS(Movimientos!$C:$C,Movimientos!$A:$A,$B21,Movimientos!$D:$D,CONCATENATE("&lt;",OW$3),Movimientos!$C:$C,"&lt;0")</f>
        <v>0</v>
      </c>
      <c r="OX21" s="5">
        <f ca="1">SUMIFS(Movimientos!$C:$C,Movimientos!$A:$A,$B21,Movimientos!$D:$D,CONCATENATE("&lt;=",OX$3),Movimientos!$C:$C,"&gt;0")+SUMIFS(Movimientos!$C:$C,Movimientos!$A:$A,$B21,Movimientos!$D:$D,CONCATENATE("&lt;",OX$3),Movimientos!$C:$C,"&lt;0")</f>
        <v>0</v>
      </c>
      <c r="OY21" s="5">
        <f ca="1">SUMIFS(Movimientos!$C:$C,Movimientos!$A:$A,$B21,Movimientos!$D:$D,CONCATENATE("&lt;=",OY$3),Movimientos!$C:$C,"&gt;0")+SUMIFS(Movimientos!$C:$C,Movimientos!$A:$A,$B21,Movimientos!$D:$D,CONCATENATE("&lt;",OY$3),Movimientos!$C:$C,"&lt;0")</f>
        <v>0</v>
      </c>
      <c r="OZ21" s="5">
        <f ca="1">SUMIFS(Movimientos!$C:$C,Movimientos!$A:$A,$B21,Movimientos!$D:$D,CONCATENATE("&lt;=",OZ$3),Movimientos!$C:$C,"&gt;0")+SUMIFS(Movimientos!$C:$C,Movimientos!$A:$A,$B21,Movimientos!$D:$D,CONCATENATE("&lt;",OZ$3),Movimientos!$C:$C,"&lt;0")</f>
        <v>0</v>
      </c>
      <c r="PA21" s="5">
        <f ca="1">SUMIFS(Movimientos!$C:$C,Movimientos!$A:$A,$B21,Movimientos!$D:$D,CONCATENATE("&lt;=",PA$3),Movimientos!$C:$C,"&gt;0")+SUMIFS(Movimientos!$C:$C,Movimientos!$A:$A,$B21,Movimientos!$D:$D,CONCATENATE("&lt;",PA$3),Movimientos!$C:$C,"&lt;0")</f>
        <v>0</v>
      </c>
      <c r="PB21" s="5">
        <f ca="1">SUMIFS(Movimientos!$C:$C,Movimientos!$A:$A,$B21,Movimientos!$D:$D,CONCATENATE("&lt;=",PB$3),Movimientos!$C:$C,"&gt;0")+SUMIFS(Movimientos!$C:$C,Movimientos!$A:$A,$B21,Movimientos!$D:$D,CONCATENATE("&lt;",PB$3),Movimientos!$C:$C,"&lt;0")</f>
        <v>0</v>
      </c>
      <c r="PC21" s="5">
        <f ca="1">SUMIFS(Movimientos!$C:$C,Movimientos!$A:$A,$B21,Movimientos!$D:$D,CONCATENATE("&lt;=",PC$3),Movimientos!$C:$C,"&gt;0")+SUMIFS(Movimientos!$C:$C,Movimientos!$A:$A,$B21,Movimientos!$D:$D,CONCATENATE("&lt;",PC$3),Movimientos!$C:$C,"&lt;0")</f>
        <v>0</v>
      </c>
      <c r="PD21" s="5">
        <f ca="1">SUMIFS(Movimientos!$C:$C,Movimientos!$A:$A,$B21,Movimientos!$D:$D,CONCATENATE("&lt;=",PD$3),Movimientos!$C:$C,"&gt;0")+SUMIFS(Movimientos!$C:$C,Movimientos!$A:$A,$B21,Movimientos!$D:$D,CONCATENATE("&lt;",PD$3),Movimientos!$C:$C,"&lt;0")</f>
        <v>0</v>
      </c>
      <c r="PE21" s="5">
        <f ca="1">SUMIFS(Movimientos!$C:$C,Movimientos!$A:$A,$B21,Movimientos!$D:$D,CONCATENATE("&lt;=",PE$3),Movimientos!$C:$C,"&gt;0")+SUMIFS(Movimientos!$C:$C,Movimientos!$A:$A,$B21,Movimientos!$D:$D,CONCATENATE("&lt;",PE$3),Movimientos!$C:$C,"&lt;0")</f>
        <v>0</v>
      </c>
      <c r="PF21" s="5">
        <f ca="1">SUMIFS(Movimientos!$C:$C,Movimientos!$A:$A,$B21,Movimientos!$D:$D,CONCATENATE("&lt;=",PF$3),Movimientos!$C:$C,"&gt;0")+SUMIFS(Movimientos!$C:$C,Movimientos!$A:$A,$B21,Movimientos!$D:$D,CONCATENATE("&lt;",PF$3),Movimientos!$C:$C,"&lt;0")</f>
        <v>0</v>
      </c>
      <c r="PG21" s="5">
        <f ca="1">SUMIFS(Movimientos!$C:$C,Movimientos!$A:$A,$B21,Movimientos!$D:$D,CONCATENATE("&lt;=",PG$3),Movimientos!$C:$C,"&gt;0")+SUMIFS(Movimientos!$C:$C,Movimientos!$A:$A,$B21,Movimientos!$D:$D,CONCATENATE("&lt;",PG$3),Movimientos!$C:$C,"&lt;0")</f>
        <v>0</v>
      </c>
      <c r="PH21" s="5">
        <f ca="1">SUMIFS(Movimientos!$C:$C,Movimientos!$A:$A,$B21,Movimientos!$D:$D,CONCATENATE("&lt;=",PH$3),Movimientos!$C:$C,"&gt;0")+SUMIFS(Movimientos!$C:$C,Movimientos!$A:$A,$B21,Movimientos!$D:$D,CONCATENATE("&lt;",PH$3),Movimientos!$C:$C,"&lt;0")</f>
        <v>0</v>
      </c>
      <c r="PI21" s="5">
        <f ca="1">SUMIFS(Movimientos!$C:$C,Movimientos!$A:$A,$B21,Movimientos!$D:$D,CONCATENATE("&lt;=",PI$3),Movimientos!$C:$C,"&gt;0")+SUMIFS(Movimientos!$C:$C,Movimientos!$A:$A,$B21,Movimientos!$D:$D,CONCATENATE("&lt;",PI$3),Movimientos!$C:$C,"&lt;0")</f>
        <v>0</v>
      </c>
      <c r="PJ21" s="5">
        <f ca="1">SUMIFS(Movimientos!$C:$C,Movimientos!$A:$A,$B21,Movimientos!$D:$D,CONCATENATE("&lt;=",PJ$3),Movimientos!$C:$C,"&gt;0")+SUMIFS(Movimientos!$C:$C,Movimientos!$A:$A,$B21,Movimientos!$D:$D,CONCATENATE("&lt;",PJ$3),Movimientos!$C:$C,"&lt;0")</f>
        <v>0</v>
      </c>
      <c r="PK21" s="5">
        <f ca="1">SUMIFS(Movimientos!$C:$C,Movimientos!$A:$A,$B21,Movimientos!$D:$D,CONCATENATE("&lt;=",PK$3),Movimientos!$C:$C,"&gt;0")+SUMIFS(Movimientos!$C:$C,Movimientos!$A:$A,$B21,Movimientos!$D:$D,CONCATENATE("&lt;",PK$3),Movimientos!$C:$C,"&lt;0")</f>
        <v>0</v>
      </c>
      <c r="PL21" s="5">
        <f ca="1">SUMIFS(Movimientos!$C:$C,Movimientos!$A:$A,$B21,Movimientos!$D:$D,CONCATENATE("&lt;=",PL$3),Movimientos!$C:$C,"&gt;0")+SUMIFS(Movimientos!$C:$C,Movimientos!$A:$A,$B21,Movimientos!$D:$D,CONCATENATE("&lt;",PL$3),Movimientos!$C:$C,"&lt;0")</f>
        <v>0</v>
      </c>
      <c r="PM21" s="5">
        <f ca="1">SUMIFS(Movimientos!$C:$C,Movimientos!$A:$A,$B21,Movimientos!$D:$D,CONCATENATE("&lt;=",PM$3),Movimientos!$C:$C,"&gt;0")+SUMIFS(Movimientos!$C:$C,Movimientos!$A:$A,$B21,Movimientos!$D:$D,CONCATENATE("&lt;",PM$3),Movimientos!$C:$C,"&lt;0")</f>
        <v>0</v>
      </c>
      <c r="PN21" s="5">
        <f ca="1">SUMIFS(Movimientos!$C:$C,Movimientos!$A:$A,$B21,Movimientos!$D:$D,CONCATENATE("&lt;=",PN$3),Movimientos!$C:$C,"&gt;0")+SUMIFS(Movimientos!$C:$C,Movimientos!$A:$A,$B21,Movimientos!$D:$D,CONCATENATE("&lt;",PN$3),Movimientos!$C:$C,"&lt;0")</f>
        <v>0</v>
      </c>
      <c r="PO21" s="5">
        <f ca="1">SUMIFS(Movimientos!$C:$C,Movimientos!$A:$A,$B21,Movimientos!$D:$D,CONCATENATE("&lt;=",PO$3),Movimientos!$C:$C,"&gt;0")+SUMIFS(Movimientos!$C:$C,Movimientos!$A:$A,$B21,Movimientos!$D:$D,CONCATENATE("&lt;",PO$3),Movimientos!$C:$C,"&lt;0")</f>
        <v>0</v>
      </c>
      <c r="PP21" s="5">
        <f ca="1">SUMIFS(Movimientos!$C:$C,Movimientos!$A:$A,$B21,Movimientos!$D:$D,CONCATENATE("&lt;=",PP$3),Movimientos!$C:$C,"&gt;0")+SUMIFS(Movimientos!$C:$C,Movimientos!$A:$A,$B21,Movimientos!$D:$D,CONCATENATE("&lt;",PP$3),Movimientos!$C:$C,"&lt;0")</f>
        <v>0</v>
      </c>
      <c r="PQ21" s="5">
        <f ca="1">SUMIFS(Movimientos!$C:$C,Movimientos!$A:$A,$B21,Movimientos!$D:$D,CONCATENATE("&lt;=",PQ$3),Movimientos!$C:$C,"&gt;0")+SUMIFS(Movimientos!$C:$C,Movimientos!$A:$A,$B21,Movimientos!$D:$D,CONCATENATE("&lt;",PQ$3),Movimientos!$C:$C,"&lt;0")</f>
        <v>0</v>
      </c>
      <c r="PR21" s="5">
        <f ca="1">SUMIFS(Movimientos!$C:$C,Movimientos!$A:$A,$B21,Movimientos!$D:$D,CONCATENATE("&lt;=",PR$3),Movimientos!$C:$C,"&gt;0")+SUMIFS(Movimientos!$C:$C,Movimientos!$A:$A,$B21,Movimientos!$D:$D,CONCATENATE("&lt;",PR$3),Movimientos!$C:$C,"&lt;0")</f>
        <v>0</v>
      </c>
      <c r="PS21" s="5">
        <f ca="1">SUMIFS(Movimientos!$C:$C,Movimientos!$A:$A,$B21,Movimientos!$D:$D,CONCATENATE("&lt;=",PS$3),Movimientos!$C:$C,"&gt;0")+SUMIFS(Movimientos!$C:$C,Movimientos!$A:$A,$B21,Movimientos!$D:$D,CONCATENATE("&lt;",PS$3),Movimientos!$C:$C,"&lt;0")</f>
        <v>0</v>
      </c>
      <c r="PT21" s="5">
        <f ca="1">SUMIFS(Movimientos!$C:$C,Movimientos!$A:$A,$B21,Movimientos!$D:$D,CONCATENATE("&lt;=",PT$3),Movimientos!$C:$C,"&gt;0")+SUMIFS(Movimientos!$C:$C,Movimientos!$A:$A,$B21,Movimientos!$D:$D,CONCATENATE("&lt;",PT$3),Movimientos!$C:$C,"&lt;0")</f>
        <v>0</v>
      </c>
      <c r="PU21" s="5">
        <f ca="1">SUMIFS(Movimientos!$C:$C,Movimientos!$A:$A,$B21,Movimientos!$D:$D,CONCATENATE("&lt;=",PU$3),Movimientos!$C:$C,"&gt;0")+SUMIFS(Movimientos!$C:$C,Movimientos!$A:$A,$B21,Movimientos!$D:$D,CONCATENATE("&lt;",PU$3),Movimientos!$C:$C,"&lt;0")</f>
        <v>0</v>
      </c>
      <c r="PV21" s="5">
        <f ca="1">SUMIFS(Movimientos!$C:$C,Movimientos!$A:$A,$B21,Movimientos!$D:$D,CONCATENATE("&lt;=",PV$3),Movimientos!$C:$C,"&gt;0")+SUMIFS(Movimientos!$C:$C,Movimientos!$A:$A,$B21,Movimientos!$D:$D,CONCATENATE("&lt;",PV$3),Movimientos!$C:$C,"&lt;0")</f>
        <v>0</v>
      </c>
      <c r="PW21" s="5">
        <f ca="1">SUMIFS(Movimientos!$C:$C,Movimientos!$A:$A,$B21,Movimientos!$D:$D,CONCATENATE("&lt;=",PW$3),Movimientos!$C:$C,"&gt;0")+SUMIFS(Movimientos!$C:$C,Movimientos!$A:$A,$B21,Movimientos!$D:$D,CONCATENATE("&lt;",PW$3),Movimientos!$C:$C,"&lt;0")</f>
        <v>0</v>
      </c>
      <c r="PX21" s="5">
        <f ca="1">SUMIFS(Movimientos!$C:$C,Movimientos!$A:$A,$B21,Movimientos!$D:$D,CONCATENATE("&lt;=",PX$3),Movimientos!$C:$C,"&gt;0")+SUMIFS(Movimientos!$C:$C,Movimientos!$A:$A,$B21,Movimientos!$D:$D,CONCATENATE("&lt;",PX$3),Movimientos!$C:$C,"&lt;0")</f>
        <v>0</v>
      </c>
      <c r="PY21" s="5">
        <f ca="1">SUMIFS(Movimientos!$C:$C,Movimientos!$A:$A,$B21,Movimientos!$D:$D,CONCATENATE("&lt;=",PY$3),Movimientos!$C:$C,"&gt;0")+SUMIFS(Movimientos!$C:$C,Movimientos!$A:$A,$B21,Movimientos!$D:$D,CONCATENATE("&lt;",PY$3),Movimientos!$C:$C,"&lt;0")</f>
        <v>0</v>
      </c>
      <c r="PZ21" s="5">
        <f ca="1">SUMIFS(Movimientos!$C:$C,Movimientos!$A:$A,$B21,Movimientos!$D:$D,CONCATENATE("&lt;=",PZ$3),Movimientos!$C:$C,"&gt;0")+SUMIFS(Movimientos!$C:$C,Movimientos!$A:$A,$B21,Movimientos!$D:$D,CONCATENATE("&lt;",PZ$3),Movimientos!$C:$C,"&lt;0")</f>
        <v>0</v>
      </c>
      <c r="QA21" s="5">
        <f ca="1">SUMIFS(Movimientos!$C:$C,Movimientos!$A:$A,$B21,Movimientos!$D:$D,CONCATENATE("&lt;=",QA$3),Movimientos!$C:$C,"&gt;0")+SUMIFS(Movimientos!$C:$C,Movimientos!$A:$A,$B21,Movimientos!$D:$D,CONCATENATE("&lt;",QA$3),Movimientos!$C:$C,"&lt;0")</f>
        <v>0</v>
      </c>
      <c r="QB21" s="5">
        <f ca="1">SUMIFS(Movimientos!$C:$C,Movimientos!$A:$A,$B21,Movimientos!$D:$D,CONCATENATE("&lt;=",QB$3),Movimientos!$C:$C,"&gt;0")+SUMIFS(Movimientos!$C:$C,Movimientos!$A:$A,$B21,Movimientos!$D:$D,CONCATENATE("&lt;",QB$3),Movimientos!$C:$C,"&lt;0")</f>
        <v>0</v>
      </c>
      <c r="QC21" s="5">
        <f ca="1">SUMIFS(Movimientos!$C:$C,Movimientos!$A:$A,$B21,Movimientos!$D:$D,CONCATENATE("&lt;=",QC$3),Movimientos!$C:$C,"&gt;0")+SUMIFS(Movimientos!$C:$C,Movimientos!$A:$A,$B21,Movimientos!$D:$D,CONCATENATE("&lt;",QC$3),Movimientos!$C:$C,"&lt;0")</f>
        <v>0</v>
      </c>
      <c r="QD21" s="5">
        <f ca="1">SUMIFS(Movimientos!$C:$C,Movimientos!$A:$A,$B21,Movimientos!$D:$D,CONCATENATE("&lt;=",QD$3),Movimientos!$C:$C,"&gt;0")+SUMIFS(Movimientos!$C:$C,Movimientos!$A:$A,$B21,Movimientos!$D:$D,CONCATENATE("&lt;",QD$3),Movimientos!$C:$C,"&lt;0")</f>
        <v>0</v>
      </c>
      <c r="QE21" s="5">
        <f ca="1">SUMIFS(Movimientos!$C:$C,Movimientos!$A:$A,$B21,Movimientos!$D:$D,CONCATENATE("&lt;=",QE$3),Movimientos!$C:$C,"&gt;0")+SUMIFS(Movimientos!$C:$C,Movimientos!$A:$A,$B21,Movimientos!$D:$D,CONCATENATE("&lt;",QE$3),Movimientos!$C:$C,"&lt;0")</f>
        <v>0</v>
      </c>
      <c r="QF21" s="5">
        <f ca="1">SUMIFS(Movimientos!$C:$C,Movimientos!$A:$A,$B21,Movimientos!$D:$D,CONCATENATE("&lt;=",QF$3),Movimientos!$C:$C,"&gt;0")+SUMIFS(Movimientos!$C:$C,Movimientos!$A:$A,$B21,Movimientos!$D:$D,CONCATENATE("&lt;",QF$3),Movimientos!$C:$C,"&lt;0")</f>
        <v>0</v>
      </c>
      <c r="QG21" s="5">
        <f ca="1">SUMIFS(Movimientos!$C:$C,Movimientos!$A:$A,$B21,Movimientos!$D:$D,CONCATENATE("&lt;=",QG$3),Movimientos!$C:$C,"&gt;0")+SUMIFS(Movimientos!$C:$C,Movimientos!$A:$A,$B21,Movimientos!$D:$D,CONCATENATE("&lt;",QG$3),Movimientos!$C:$C,"&lt;0")</f>
        <v>0</v>
      </c>
      <c r="QH21" s="5">
        <f ca="1">SUMIFS(Movimientos!$C:$C,Movimientos!$A:$A,$B21,Movimientos!$D:$D,CONCATENATE("&lt;=",QH$3),Movimientos!$C:$C,"&gt;0")+SUMIFS(Movimientos!$C:$C,Movimientos!$A:$A,$B21,Movimientos!$D:$D,CONCATENATE("&lt;",QH$3),Movimientos!$C:$C,"&lt;0")</f>
        <v>0</v>
      </c>
      <c r="QI21" s="5">
        <f ca="1">SUMIFS(Movimientos!$C:$C,Movimientos!$A:$A,$B21,Movimientos!$D:$D,CONCATENATE("&lt;=",QI$3),Movimientos!$C:$C,"&gt;0")+SUMIFS(Movimientos!$C:$C,Movimientos!$A:$A,$B21,Movimientos!$D:$D,CONCATENATE("&lt;",QI$3),Movimientos!$C:$C,"&lt;0")</f>
        <v>0</v>
      </c>
      <c r="QJ21" s="5">
        <f ca="1">SUMIFS(Movimientos!$C:$C,Movimientos!$A:$A,$B21,Movimientos!$D:$D,CONCATENATE("&lt;=",QJ$3),Movimientos!$C:$C,"&gt;0")+SUMIFS(Movimientos!$C:$C,Movimientos!$A:$A,$B21,Movimientos!$D:$D,CONCATENATE("&lt;",QJ$3),Movimientos!$C:$C,"&lt;0")</f>
        <v>0</v>
      </c>
      <c r="QK21" s="5">
        <f ca="1">SUMIFS(Movimientos!$C:$C,Movimientos!$A:$A,$B21,Movimientos!$D:$D,CONCATENATE("&lt;=",QK$3),Movimientos!$C:$C,"&gt;0")+SUMIFS(Movimientos!$C:$C,Movimientos!$A:$A,$B21,Movimientos!$D:$D,CONCATENATE("&lt;",QK$3),Movimientos!$C:$C,"&lt;0")</f>
        <v>0</v>
      </c>
      <c r="QL21" s="5">
        <f ca="1">SUMIFS(Movimientos!$C:$C,Movimientos!$A:$A,$B21,Movimientos!$D:$D,CONCATENATE("&lt;=",QL$3),Movimientos!$C:$C,"&gt;0")+SUMIFS(Movimientos!$C:$C,Movimientos!$A:$A,$B21,Movimientos!$D:$D,CONCATENATE("&lt;",QL$3),Movimientos!$C:$C,"&lt;0")</f>
        <v>0</v>
      </c>
      <c r="QM21" s="5">
        <f ca="1">SUMIFS(Movimientos!$C:$C,Movimientos!$A:$A,$B21,Movimientos!$D:$D,CONCATENATE("&lt;=",QM$3),Movimientos!$C:$C,"&gt;0")+SUMIFS(Movimientos!$C:$C,Movimientos!$A:$A,$B21,Movimientos!$D:$D,CONCATENATE("&lt;",QM$3),Movimientos!$C:$C,"&lt;0")</f>
        <v>0</v>
      </c>
      <c r="QN21" s="5">
        <f ca="1">SUMIFS(Movimientos!$C:$C,Movimientos!$A:$A,$B21,Movimientos!$D:$D,CONCATENATE("&lt;=",QN$3),Movimientos!$C:$C,"&gt;0")+SUMIFS(Movimientos!$C:$C,Movimientos!$A:$A,$B21,Movimientos!$D:$D,CONCATENATE("&lt;",QN$3),Movimientos!$C:$C,"&lt;0")</f>
        <v>0</v>
      </c>
      <c r="QO21" s="5">
        <f ca="1">SUMIFS(Movimientos!$C:$C,Movimientos!$A:$A,$B21,Movimientos!$D:$D,CONCATENATE("&lt;=",QO$3),Movimientos!$C:$C,"&gt;0")+SUMIFS(Movimientos!$C:$C,Movimientos!$A:$A,$B21,Movimientos!$D:$D,CONCATENATE("&lt;",QO$3),Movimientos!$C:$C,"&lt;0")</f>
        <v>0</v>
      </c>
      <c r="QP21" s="5">
        <f ca="1">SUMIFS(Movimientos!$C:$C,Movimientos!$A:$A,$B21,Movimientos!$D:$D,CONCATENATE("&lt;=",QP$3),Movimientos!$C:$C,"&gt;0")+SUMIFS(Movimientos!$C:$C,Movimientos!$A:$A,$B21,Movimientos!$D:$D,CONCATENATE("&lt;",QP$3),Movimientos!$C:$C,"&lt;0")</f>
        <v>0</v>
      </c>
      <c r="QQ21" s="5">
        <f ca="1">SUMIFS(Movimientos!$C:$C,Movimientos!$A:$A,$B21,Movimientos!$D:$D,CONCATENATE("&lt;=",QQ$3),Movimientos!$C:$C,"&gt;0")+SUMIFS(Movimientos!$C:$C,Movimientos!$A:$A,$B21,Movimientos!$D:$D,CONCATENATE("&lt;",QQ$3),Movimientos!$C:$C,"&lt;0")</f>
        <v>0</v>
      </c>
      <c r="QR21" s="5">
        <f ca="1">SUMIFS(Movimientos!$C:$C,Movimientos!$A:$A,$B21,Movimientos!$D:$D,CONCATENATE("&lt;=",QR$3),Movimientos!$C:$C,"&gt;0")+SUMIFS(Movimientos!$C:$C,Movimientos!$A:$A,$B21,Movimientos!$D:$D,CONCATENATE("&lt;",QR$3),Movimientos!$C:$C,"&lt;0")</f>
        <v>0</v>
      </c>
      <c r="QS21" s="5">
        <f ca="1">SUMIFS(Movimientos!$C:$C,Movimientos!$A:$A,$B21,Movimientos!$D:$D,CONCATENATE("&lt;=",QS$3),Movimientos!$C:$C,"&gt;0")+SUMIFS(Movimientos!$C:$C,Movimientos!$A:$A,$B21,Movimientos!$D:$D,CONCATENATE("&lt;",QS$3),Movimientos!$C:$C,"&lt;0")</f>
        <v>0</v>
      </c>
      <c r="QT21" s="5">
        <f ca="1">SUMIFS(Movimientos!$C:$C,Movimientos!$A:$A,$B21,Movimientos!$D:$D,CONCATENATE("&lt;=",QT$3),Movimientos!$C:$C,"&gt;0")+SUMIFS(Movimientos!$C:$C,Movimientos!$A:$A,$B21,Movimientos!$D:$D,CONCATENATE("&lt;",QT$3),Movimientos!$C:$C,"&lt;0")</f>
        <v>0</v>
      </c>
      <c r="QU21" s="5">
        <f ca="1">SUMIFS(Movimientos!$C:$C,Movimientos!$A:$A,$B21,Movimientos!$D:$D,CONCATENATE("&lt;=",QU$3),Movimientos!$C:$C,"&gt;0")+SUMIFS(Movimientos!$C:$C,Movimientos!$A:$A,$B21,Movimientos!$D:$D,CONCATENATE("&lt;",QU$3),Movimientos!$C:$C,"&lt;0")</f>
        <v>0</v>
      </c>
      <c r="QV21" s="5">
        <f ca="1">SUMIFS(Movimientos!$C:$C,Movimientos!$A:$A,$B21,Movimientos!$D:$D,CONCATENATE("&lt;=",QV$3),Movimientos!$C:$C,"&gt;0")+SUMIFS(Movimientos!$C:$C,Movimientos!$A:$A,$B21,Movimientos!$D:$D,CONCATENATE("&lt;",QV$3),Movimientos!$C:$C,"&lt;0")</f>
        <v>0</v>
      </c>
      <c r="QW21" s="5">
        <f ca="1">SUMIFS(Movimientos!$C:$C,Movimientos!$A:$A,$B21,Movimientos!$D:$D,CONCATENATE("&lt;=",QW$3),Movimientos!$C:$C,"&gt;0")+SUMIFS(Movimientos!$C:$C,Movimientos!$A:$A,$B21,Movimientos!$D:$D,CONCATENATE("&lt;",QW$3),Movimientos!$C:$C,"&lt;0")</f>
        <v>0</v>
      </c>
      <c r="QX21" s="5">
        <f ca="1">SUMIFS(Movimientos!$C:$C,Movimientos!$A:$A,$B21,Movimientos!$D:$D,CONCATENATE("&lt;=",QX$3),Movimientos!$C:$C,"&gt;0")+SUMIFS(Movimientos!$C:$C,Movimientos!$A:$A,$B21,Movimientos!$D:$D,CONCATENATE("&lt;",QX$3),Movimientos!$C:$C,"&lt;0")</f>
        <v>0</v>
      </c>
      <c r="QY21" s="5">
        <f ca="1">SUMIFS(Movimientos!$C:$C,Movimientos!$A:$A,$B21,Movimientos!$D:$D,CONCATENATE("&lt;=",QY$3),Movimientos!$C:$C,"&gt;0")+SUMIFS(Movimientos!$C:$C,Movimientos!$A:$A,$B21,Movimientos!$D:$D,CONCATENATE("&lt;",QY$3),Movimientos!$C:$C,"&lt;0")</f>
        <v>0</v>
      </c>
      <c r="QZ21" s="5">
        <f ca="1">SUMIFS(Movimientos!$C:$C,Movimientos!$A:$A,$B21,Movimientos!$D:$D,CONCATENATE("&lt;=",QZ$3),Movimientos!$C:$C,"&gt;0")+SUMIFS(Movimientos!$C:$C,Movimientos!$A:$A,$B21,Movimientos!$D:$D,CONCATENATE("&lt;",QZ$3),Movimientos!$C:$C,"&lt;0")</f>
        <v>0</v>
      </c>
      <c r="RA21" s="5">
        <f ca="1">SUMIFS(Movimientos!$C:$C,Movimientos!$A:$A,$B21,Movimientos!$D:$D,CONCATENATE("&lt;=",RA$3),Movimientos!$C:$C,"&gt;0")+SUMIFS(Movimientos!$C:$C,Movimientos!$A:$A,$B21,Movimientos!$D:$D,CONCATENATE("&lt;",RA$3),Movimientos!$C:$C,"&lt;0")</f>
        <v>0</v>
      </c>
      <c r="RB21" s="5">
        <f ca="1">SUMIFS(Movimientos!$C:$C,Movimientos!$A:$A,$B21,Movimientos!$D:$D,CONCATENATE("&lt;=",RB$3),Movimientos!$C:$C,"&gt;0")+SUMIFS(Movimientos!$C:$C,Movimientos!$A:$A,$B21,Movimientos!$D:$D,CONCATENATE("&lt;",RB$3),Movimientos!$C:$C,"&lt;0")</f>
        <v>0</v>
      </c>
      <c r="RC21" s="5">
        <f ca="1">SUMIFS(Movimientos!$C:$C,Movimientos!$A:$A,$B21,Movimientos!$D:$D,CONCATENATE("&lt;=",RC$3),Movimientos!$C:$C,"&gt;0")+SUMIFS(Movimientos!$C:$C,Movimientos!$A:$A,$B21,Movimientos!$D:$D,CONCATENATE("&lt;",RC$3),Movimientos!$C:$C,"&lt;0")</f>
        <v>0</v>
      </c>
      <c r="RD21" s="5">
        <f ca="1">SUMIFS(Movimientos!$C:$C,Movimientos!$A:$A,$B21,Movimientos!$D:$D,CONCATENATE("&lt;=",RD$3),Movimientos!$C:$C,"&gt;0")+SUMIFS(Movimientos!$C:$C,Movimientos!$A:$A,$B21,Movimientos!$D:$D,CONCATENATE("&lt;",RD$3),Movimientos!$C:$C,"&lt;0")</f>
        <v>0</v>
      </c>
      <c r="RE21" s="5">
        <f ca="1">SUMIFS(Movimientos!$C:$C,Movimientos!$A:$A,$B21,Movimientos!$D:$D,CONCATENATE("&lt;=",RE$3),Movimientos!$C:$C,"&gt;0")+SUMIFS(Movimientos!$C:$C,Movimientos!$A:$A,$B21,Movimientos!$D:$D,CONCATENATE("&lt;",RE$3),Movimientos!$C:$C,"&lt;0")</f>
        <v>0</v>
      </c>
      <c r="RF21" s="5">
        <f ca="1">SUMIFS(Movimientos!$C:$C,Movimientos!$A:$A,$B21,Movimientos!$D:$D,CONCATENATE("&lt;=",RF$3),Movimientos!$C:$C,"&gt;0")+SUMIFS(Movimientos!$C:$C,Movimientos!$A:$A,$B21,Movimientos!$D:$D,CONCATENATE("&lt;",RF$3),Movimientos!$C:$C,"&lt;0")</f>
        <v>0</v>
      </c>
      <c r="RG21" s="5">
        <f ca="1">SUMIFS(Movimientos!$C:$C,Movimientos!$A:$A,$B21,Movimientos!$D:$D,CONCATENATE("&lt;=",RG$3),Movimientos!$C:$C,"&gt;0")+SUMIFS(Movimientos!$C:$C,Movimientos!$A:$A,$B21,Movimientos!$D:$D,CONCATENATE("&lt;",RG$3),Movimientos!$C:$C,"&lt;0")</f>
        <v>0</v>
      </c>
      <c r="RH21" s="5">
        <f ca="1">SUMIFS(Movimientos!$C:$C,Movimientos!$A:$A,$B21,Movimientos!$D:$D,CONCATENATE("&lt;=",RH$3),Movimientos!$C:$C,"&gt;0")+SUMIFS(Movimientos!$C:$C,Movimientos!$A:$A,$B21,Movimientos!$D:$D,CONCATENATE("&lt;",RH$3),Movimientos!$C:$C,"&lt;0")</f>
        <v>0</v>
      </c>
      <c r="RI21" s="5">
        <f ca="1">SUMIFS(Movimientos!$C:$C,Movimientos!$A:$A,$B21,Movimientos!$D:$D,CONCATENATE("&lt;=",RI$3),Movimientos!$C:$C,"&gt;0")+SUMIFS(Movimientos!$C:$C,Movimientos!$A:$A,$B21,Movimientos!$D:$D,CONCATENATE("&lt;",RI$3),Movimientos!$C:$C,"&lt;0")</f>
        <v>0</v>
      </c>
      <c r="RJ21" s="5">
        <f ca="1">SUMIFS(Movimientos!$C:$C,Movimientos!$A:$A,$B21,Movimientos!$D:$D,CONCATENATE("&lt;=",RJ$3),Movimientos!$C:$C,"&gt;0")+SUMIFS(Movimientos!$C:$C,Movimientos!$A:$A,$B21,Movimientos!$D:$D,CONCATENATE("&lt;",RJ$3),Movimientos!$C:$C,"&lt;0")</f>
        <v>0</v>
      </c>
      <c r="RK21" s="5">
        <f ca="1">SUMIFS(Movimientos!$C:$C,Movimientos!$A:$A,$B21,Movimientos!$D:$D,CONCATENATE("&lt;=",RK$3),Movimientos!$C:$C,"&gt;0")+SUMIFS(Movimientos!$C:$C,Movimientos!$A:$A,$B21,Movimientos!$D:$D,CONCATENATE("&lt;",RK$3),Movimientos!$C:$C,"&lt;0")</f>
        <v>0</v>
      </c>
      <c r="RL21" s="5">
        <f ca="1">SUMIFS(Movimientos!$C:$C,Movimientos!$A:$A,$B21,Movimientos!$D:$D,CONCATENATE("&lt;=",RL$3),Movimientos!$C:$C,"&gt;0")+SUMIFS(Movimientos!$C:$C,Movimientos!$A:$A,$B21,Movimientos!$D:$D,CONCATENATE("&lt;",RL$3),Movimientos!$C:$C,"&lt;0")</f>
        <v>0</v>
      </c>
      <c r="RM21" s="5">
        <f ca="1">SUMIFS(Movimientos!$C:$C,Movimientos!$A:$A,$B21,Movimientos!$D:$D,CONCATENATE("&lt;=",RM$3),Movimientos!$C:$C,"&gt;0")+SUMIFS(Movimientos!$C:$C,Movimientos!$A:$A,$B21,Movimientos!$D:$D,CONCATENATE("&lt;",RM$3),Movimientos!$C:$C,"&lt;0")</f>
        <v>0</v>
      </c>
      <c r="RN21" s="5">
        <f ca="1">SUMIFS(Movimientos!$C:$C,Movimientos!$A:$A,$B21,Movimientos!$D:$D,CONCATENATE("&lt;=",RN$3),Movimientos!$C:$C,"&gt;0")+SUMIFS(Movimientos!$C:$C,Movimientos!$A:$A,$B21,Movimientos!$D:$D,CONCATENATE("&lt;",RN$3),Movimientos!$C:$C,"&lt;0")</f>
        <v>0</v>
      </c>
      <c r="RO21" s="5">
        <f ca="1">SUMIFS(Movimientos!$C:$C,Movimientos!$A:$A,$B21,Movimientos!$D:$D,CONCATENATE("&lt;=",RO$3),Movimientos!$C:$C,"&gt;0")+SUMIFS(Movimientos!$C:$C,Movimientos!$A:$A,$B21,Movimientos!$D:$D,CONCATENATE("&lt;",RO$3),Movimientos!$C:$C,"&lt;0")</f>
        <v>0</v>
      </c>
      <c r="RP21" s="5">
        <f ca="1">SUMIFS(Movimientos!$C:$C,Movimientos!$A:$A,$B21,Movimientos!$D:$D,CONCATENATE("&lt;=",RP$3),Movimientos!$C:$C,"&gt;0")+SUMIFS(Movimientos!$C:$C,Movimientos!$A:$A,$B21,Movimientos!$D:$D,CONCATENATE("&lt;",RP$3),Movimientos!$C:$C,"&lt;0")</f>
        <v>0</v>
      </c>
      <c r="RQ21" s="5">
        <f ca="1">SUMIFS(Movimientos!$C:$C,Movimientos!$A:$A,$B21,Movimientos!$D:$D,CONCATENATE("&lt;=",RQ$3),Movimientos!$C:$C,"&gt;0")+SUMIFS(Movimientos!$C:$C,Movimientos!$A:$A,$B21,Movimientos!$D:$D,CONCATENATE("&lt;",RQ$3),Movimientos!$C:$C,"&lt;0")</f>
        <v>0</v>
      </c>
      <c r="RR21" s="5">
        <f ca="1">SUMIFS(Movimientos!$C:$C,Movimientos!$A:$A,$B21,Movimientos!$D:$D,CONCATENATE("&lt;=",RR$3),Movimientos!$C:$C,"&gt;0")+SUMIFS(Movimientos!$C:$C,Movimientos!$A:$A,$B21,Movimientos!$D:$D,CONCATENATE("&lt;",RR$3),Movimientos!$C:$C,"&lt;0")</f>
        <v>0</v>
      </c>
      <c r="RS21" s="5">
        <f ca="1">SUMIFS(Movimientos!$C:$C,Movimientos!$A:$A,$B21,Movimientos!$D:$D,CONCATENATE("&lt;=",RS$3),Movimientos!$C:$C,"&gt;0")+SUMIFS(Movimientos!$C:$C,Movimientos!$A:$A,$B21,Movimientos!$D:$D,CONCATENATE("&lt;",RS$3),Movimientos!$C:$C,"&lt;0")</f>
        <v>0</v>
      </c>
      <c r="RT21" s="5">
        <f ca="1">SUMIFS(Movimientos!$C:$C,Movimientos!$A:$A,$B21,Movimientos!$D:$D,CONCATENATE("&lt;=",RT$3),Movimientos!$C:$C,"&gt;0")+SUMIFS(Movimientos!$C:$C,Movimientos!$A:$A,$B21,Movimientos!$D:$D,CONCATENATE("&lt;",RT$3),Movimientos!$C:$C,"&lt;0")</f>
        <v>0</v>
      </c>
      <c r="RU21" s="5">
        <f ca="1">SUMIFS(Movimientos!$C:$C,Movimientos!$A:$A,$B21,Movimientos!$D:$D,CONCATENATE("&lt;=",RU$3),Movimientos!$C:$C,"&gt;0")+SUMIFS(Movimientos!$C:$C,Movimientos!$A:$A,$B21,Movimientos!$D:$D,CONCATENATE("&lt;",RU$3),Movimientos!$C:$C,"&lt;0")</f>
        <v>0</v>
      </c>
      <c r="RV21" s="5">
        <f ca="1">SUMIFS(Movimientos!$C:$C,Movimientos!$A:$A,$B21,Movimientos!$D:$D,CONCATENATE("&lt;=",RV$3),Movimientos!$C:$C,"&gt;0")+SUMIFS(Movimientos!$C:$C,Movimientos!$A:$A,$B21,Movimientos!$D:$D,CONCATENATE("&lt;",RV$3),Movimientos!$C:$C,"&lt;0")</f>
        <v>0</v>
      </c>
      <c r="RW21" s="5">
        <f ca="1">SUMIFS(Movimientos!$C:$C,Movimientos!$A:$A,$B21,Movimientos!$D:$D,CONCATENATE("&lt;=",RW$3),Movimientos!$C:$C,"&gt;0")+SUMIFS(Movimientos!$C:$C,Movimientos!$A:$A,$B21,Movimientos!$D:$D,CONCATENATE("&lt;",RW$3),Movimientos!$C:$C,"&lt;0")</f>
        <v>0</v>
      </c>
      <c r="RX21" s="5">
        <f ca="1">SUMIFS(Movimientos!$C:$C,Movimientos!$A:$A,$B21,Movimientos!$D:$D,CONCATENATE("&lt;=",RX$3),Movimientos!$C:$C,"&gt;0")+SUMIFS(Movimientos!$C:$C,Movimientos!$A:$A,$B21,Movimientos!$D:$D,CONCATENATE("&lt;",RX$3),Movimientos!$C:$C,"&lt;0")</f>
        <v>0</v>
      </c>
      <c r="RY21" s="5">
        <f ca="1">SUMIFS(Movimientos!$C:$C,Movimientos!$A:$A,$B21,Movimientos!$D:$D,CONCATENATE("&lt;=",RY$3),Movimientos!$C:$C,"&gt;0")+SUMIFS(Movimientos!$C:$C,Movimientos!$A:$A,$B21,Movimientos!$D:$D,CONCATENATE("&lt;",RY$3),Movimientos!$C:$C,"&lt;0")</f>
        <v>0</v>
      </c>
      <c r="RZ21" s="5">
        <f ca="1">SUMIFS(Movimientos!$C:$C,Movimientos!$A:$A,$B21,Movimientos!$D:$D,CONCATENATE("&lt;=",RZ$3),Movimientos!$C:$C,"&gt;0")+SUMIFS(Movimientos!$C:$C,Movimientos!$A:$A,$B21,Movimientos!$D:$D,CONCATENATE("&lt;",RZ$3),Movimientos!$C:$C,"&lt;0")</f>
        <v>0</v>
      </c>
      <c r="SA21" s="5">
        <f ca="1">SUMIFS(Movimientos!$C:$C,Movimientos!$A:$A,$B21,Movimientos!$D:$D,CONCATENATE("&lt;=",SA$3),Movimientos!$C:$C,"&gt;0")+SUMIFS(Movimientos!$C:$C,Movimientos!$A:$A,$B21,Movimientos!$D:$D,CONCATENATE("&lt;",SA$3),Movimientos!$C:$C,"&lt;0")</f>
        <v>0</v>
      </c>
      <c r="SB21" s="5">
        <f ca="1">SUMIFS(Movimientos!$C:$C,Movimientos!$A:$A,$B21,Movimientos!$D:$D,CONCATENATE("&lt;=",SB$3),Movimientos!$C:$C,"&gt;0")+SUMIFS(Movimientos!$C:$C,Movimientos!$A:$A,$B21,Movimientos!$D:$D,CONCATENATE("&lt;",SB$3),Movimientos!$C:$C,"&lt;0")</f>
        <v>0</v>
      </c>
      <c r="SC21" s="5">
        <f ca="1">SUMIFS(Movimientos!$C:$C,Movimientos!$A:$A,$B21,Movimientos!$D:$D,CONCATENATE("&lt;=",SC$3),Movimientos!$C:$C,"&gt;0")+SUMIFS(Movimientos!$C:$C,Movimientos!$A:$A,$B21,Movimientos!$D:$D,CONCATENATE("&lt;",SC$3),Movimientos!$C:$C,"&lt;0")</f>
        <v>0</v>
      </c>
      <c r="SD21" s="5">
        <f ca="1">SUMIFS(Movimientos!$C:$C,Movimientos!$A:$A,$B21,Movimientos!$D:$D,CONCATENATE("&lt;=",SD$3),Movimientos!$C:$C,"&gt;0")+SUMIFS(Movimientos!$C:$C,Movimientos!$A:$A,$B21,Movimientos!$D:$D,CONCATENATE("&lt;",SD$3),Movimientos!$C:$C,"&lt;0")</f>
        <v>0</v>
      </c>
      <c r="SE21" s="5">
        <f ca="1">SUMIFS(Movimientos!$C:$C,Movimientos!$A:$A,$B21,Movimientos!$D:$D,CONCATENATE("&lt;=",SE$3),Movimientos!$C:$C,"&gt;0")+SUMIFS(Movimientos!$C:$C,Movimientos!$A:$A,$B21,Movimientos!$D:$D,CONCATENATE("&lt;",SE$3),Movimientos!$C:$C,"&lt;0")</f>
        <v>0</v>
      </c>
      <c r="SF21" s="5">
        <f ca="1">SUMIFS(Movimientos!$C:$C,Movimientos!$A:$A,$B21,Movimientos!$D:$D,CONCATENATE("&lt;=",SF$3),Movimientos!$C:$C,"&gt;0")+SUMIFS(Movimientos!$C:$C,Movimientos!$A:$A,$B21,Movimientos!$D:$D,CONCATENATE("&lt;",SF$3),Movimientos!$C:$C,"&lt;0")</f>
        <v>0</v>
      </c>
      <c r="SG21" s="5">
        <f ca="1">SUMIFS(Movimientos!$C:$C,Movimientos!$A:$A,$B21,Movimientos!$D:$D,CONCATENATE("&lt;=",SG$3),Movimientos!$C:$C,"&gt;0")+SUMIFS(Movimientos!$C:$C,Movimientos!$A:$A,$B21,Movimientos!$D:$D,CONCATENATE("&lt;",SG$3),Movimientos!$C:$C,"&lt;0")</f>
        <v>0</v>
      </c>
      <c r="SH21" s="5">
        <f ca="1">SUMIFS(Movimientos!$C:$C,Movimientos!$A:$A,$B21,Movimientos!$D:$D,CONCATENATE("&lt;=",SH$3),Movimientos!$C:$C,"&gt;0")+SUMIFS(Movimientos!$C:$C,Movimientos!$A:$A,$B21,Movimientos!$D:$D,CONCATENATE("&lt;",SH$3),Movimientos!$C:$C,"&lt;0")</f>
        <v>0</v>
      </c>
      <c r="SI21" s="5">
        <f ca="1">SUMIFS(Movimientos!$C:$C,Movimientos!$A:$A,$B21,Movimientos!$D:$D,CONCATENATE("&lt;=",SI$3),Movimientos!$C:$C,"&gt;0")+SUMIFS(Movimientos!$C:$C,Movimientos!$A:$A,$B21,Movimientos!$D:$D,CONCATENATE("&lt;",SI$3),Movimientos!$C:$C,"&lt;0")</f>
        <v>0</v>
      </c>
      <c r="SJ21" s="5">
        <f ca="1">SUMIFS(Movimientos!$C:$C,Movimientos!$A:$A,$B21,Movimientos!$D:$D,CONCATENATE("&lt;=",SJ$3),Movimientos!$C:$C,"&gt;0")+SUMIFS(Movimientos!$C:$C,Movimientos!$A:$A,$B21,Movimientos!$D:$D,CONCATENATE("&lt;",SJ$3),Movimientos!$C:$C,"&lt;0")</f>
        <v>0</v>
      </c>
      <c r="SK21" s="5">
        <f ca="1">SUMIFS(Movimientos!$C:$C,Movimientos!$A:$A,$B21,Movimientos!$D:$D,CONCATENATE("&lt;=",SK$3),Movimientos!$C:$C,"&gt;0")+SUMIFS(Movimientos!$C:$C,Movimientos!$A:$A,$B21,Movimientos!$D:$D,CONCATENATE("&lt;",SK$3),Movimientos!$C:$C,"&lt;0")</f>
        <v>0</v>
      </c>
      <c r="SL21" s="5">
        <f ca="1">SUMIFS(Movimientos!$C:$C,Movimientos!$A:$A,$B21,Movimientos!$D:$D,CONCATENATE("&lt;=",SL$3),Movimientos!$C:$C,"&gt;0")+SUMIFS(Movimientos!$C:$C,Movimientos!$A:$A,$B21,Movimientos!$D:$D,CONCATENATE("&lt;",SL$3),Movimientos!$C:$C,"&lt;0")</f>
        <v>0</v>
      </c>
      <c r="SM21" s="5">
        <f ca="1">SUMIFS(Movimientos!$C:$C,Movimientos!$A:$A,$B21,Movimientos!$D:$D,CONCATENATE("&lt;=",SM$3),Movimientos!$C:$C,"&gt;0")+SUMIFS(Movimientos!$C:$C,Movimientos!$A:$A,$B21,Movimientos!$D:$D,CONCATENATE("&lt;",SM$3),Movimientos!$C:$C,"&lt;0")</f>
        <v>0</v>
      </c>
      <c r="SN21" s="5">
        <f ca="1">SUMIFS(Movimientos!$C:$C,Movimientos!$A:$A,$B21,Movimientos!$D:$D,CONCATENATE("&lt;=",SN$3),Movimientos!$C:$C,"&gt;0")+SUMIFS(Movimientos!$C:$C,Movimientos!$A:$A,$B21,Movimientos!$D:$D,CONCATENATE("&lt;",SN$3),Movimientos!$C:$C,"&lt;0")</f>
        <v>0</v>
      </c>
      <c r="SO21" s="5">
        <f ca="1">SUMIFS(Movimientos!$C:$C,Movimientos!$A:$A,$B21,Movimientos!$D:$D,CONCATENATE("&lt;=",SO$3),Movimientos!$C:$C,"&gt;0")+SUMIFS(Movimientos!$C:$C,Movimientos!$A:$A,$B21,Movimientos!$D:$D,CONCATENATE("&lt;",SO$3),Movimientos!$C:$C,"&lt;0")</f>
        <v>0</v>
      </c>
      <c r="SP21" s="5">
        <f ca="1">SUMIFS(Movimientos!$C:$C,Movimientos!$A:$A,$B21,Movimientos!$D:$D,CONCATENATE("&lt;=",SP$3),Movimientos!$C:$C,"&gt;0")+SUMIFS(Movimientos!$C:$C,Movimientos!$A:$A,$B21,Movimientos!$D:$D,CONCATENATE("&lt;",SP$3),Movimientos!$C:$C,"&lt;0")</f>
        <v>0</v>
      </c>
      <c r="SQ21" s="5">
        <f ca="1">SUMIFS(Movimientos!$C:$C,Movimientos!$A:$A,$B21,Movimientos!$D:$D,CONCATENATE("&lt;=",SQ$3),Movimientos!$C:$C,"&gt;0")+SUMIFS(Movimientos!$C:$C,Movimientos!$A:$A,$B21,Movimientos!$D:$D,CONCATENATE("&lt;",SQ$3),Movimientos!$C:$C,"&lt;0")</f>
        <v>0</v>
      </c>
      <c r="SR21" s="5">
        <f ca="1">SUMIFS(Movimientos!$C:$C,Movimientos!$A:$A,$B21,Movimientos!$D:$D,CONCATENATE("&lt;=",SR$3),Movimientos!$C:$C,"&gt;0")+SUMIFS(Movimientos!$C:$C,Movimientos!$A:$A,$B21,Movimientos!$D:$D,CONCATENATE("&lt;",SR$3),Movimientos!$C:$C,"&lt;0")</f>
        <v>0</v>
      </c>
      <c r="SS21" s="5">
        <f ca="1">SUMIFS(Movimientos!$C:$C,Movimientos!$A:$A,$B21,Movimientos!$D:$D,CONCATENATE("&lt;=",SS$3),Movimientos!$C:$C,"&gt;0")+SUMIFS(Movimientos!$C:$C,Movimientos!$A:$A,$B21,Movimientos!$D:$D,CONCATENATE("&lt;",SS$3),Movimientos!$C:$C,"&lt;0")</f>
        <v>0</v>
      </c>
      <c r="ST21" s="5">
        <f ca="1">SUMIFS(Movimientos!$C:$C,Movimientos!$A:$A,$B21,Movimientos!$D:$D,CONCATENATE("&lt;=",ST$3),Movimientos!$C:$C,"&gt;0")+SUMIFS(Movimientos!$C:$C,Movimientos!$A:$A,$B21,Movimientos!$D:$D,CONCATENATE("&lt;",ST$3),Movimientos!$C:$C,"&lt;0")</f>
        <v>0</v>
      </c>
      <c r="SU21" s="5">
        <f ca="1">SUMIFS(Movimientos!$C:$C,Movimientos!$A:$A,$B21,Movimientos!$D:$D,CONCATENATE("&lt;=",SU$3),Movimientos!$C:$C,"&gt;0")+SUMIFS(Movimientos!$C:$C,Movimientos!$A:$A,$B21,Movimientos!$D:$D,CONCATENATE("&lt;",SU$3),Movimientos!$C:$C,"&lt;0")</f>
        <v>0</v>
      </c>
      <c r="SV21" s="5">
        <f ca="1">SUMIFS(Movimientos!$C:$C,Movimientos!$A:$A,$B21,Movimientos!$D:$D,CONCATENATE("&lt;=",SV$3),Movimientos!$C:$C,"&gt;0")+SUMIFS(Movimientos!$C:$C,Movimientos!$A:$A,$B21,Movimientos!$D:$D,CONCATENATE("&lt;",SV$3),Movimientos!$C:$C,"&lt;0")</f>
        <v>0</v>
      </c>
      <c r="SW21" s="5">
        <f ca="1">SUMIFS(Movimientos!$C:$C,Movimientos!$A:$A,$B21,Movimientos!$D:$D,CONCATENATE("&lt;=",SW$3),Movimientos!$C:$C,"&gt;0")+SUMIFS(Movimientos!$C:$C,Movimientos!$A:$A,$B21,Movimientos!$D:$D,CONCATENATE("&lt;",SW$3),Movimientos!$C:$C,"&lt;0")</f>
        <v>0</v>
      </c>
      <c r="SX21" s="5">
        <f ca="1">SUMIFS(Movimientos!$C:$C,Movimientos!$A:$A,$B21,Movimientos!$D:$D,CONCATENATE("&lt;=",SX$3),Movimientos!$C:$C,"&gt;0")+SUMIFS(Movimientos!$C:$C,Movimientos!$A:$A,$B21,Movimientos!$D:$D,CONCATENATE("&lt;",SX$3),Movimientos!$C:$C,"&lt;0")</f>
        <v>0</v>
      </c>
      <c r="SY21" s="5">
        <f ca="1">SUMIFS(Movimientos!$C:$C,Movimientos!$A:$A,$B21,Movimientos!$D:$D,CONCATENATE("&lt;=",SY$3),Movimientos!$C:$C,"&gt;0")+SUMIFS(Movimientos!$C:$C,Movimientos!$A:$A,$B21,Movimientos!$D:$D,CONCATENATE("&lt;",SY$3),Movimientos!$C:$C,"&lt;0")</f>
        <v>0</v>
      </c>
      <c r="SZ21" s="5">
        <f ca="1">SUMIFS(Movimientos!$C:$C,Movimientos!$A:$A,$B21,Movimientos!$D:$D,CONCATENATE("&lt;=",SZ$3),Movimientos!$C:$C,"&gt;0")+SUMIFS(Movimientos!$C:$C,Movimientos!$A:$A,$B21,Movimientos!$D:$D,CONCATENATE("&lt;",SZ$3),Movimientos!$C:$C,"&lt;0")</f>
        <v>0</v>
      </c>
      <c r="TA21" s="5">
        <f ca="1">SUMIFS(Movimientos!$C:$C,Movimientos!$A:$A,$B21,Movimientos!$D:$D,CONCATENATE("&lt;=",TA$3),Movimientos!$C:$C,"&gt;0")+SUMIFS(Movimientos!$C:$C,Movimientos!$A:$A,$B21,Movimientos!$D:$D,CONCATENATE("&lt;",TA$3),Movimientos!$C:$C,"&lt;0")</f>
        <v>0</v>
      </c>
      <c r="TB21" s="5">
        <f ca="1">SUMIFS(Movimientos!$C:$C,Movimientos!$A:$A,$B21,Movimientos!$D:$D,CONCATENATE("&lt;=",TB$3),Movimientos!$C:$C,"&gt;0")+SUMIFS(Movimientos!$C:$C,Movimientos!$A:$A,$B21,Movimientos!$D:$D,CONCATENATE("&lt;",TB$3),Movimientos!$C:$C,"&lt;0")</f>
        <v>0</v>
      </c>
      <c r="TC21" s="5">
        <f ca="1">SUMIFS(Movimientos!$C:$C,Movimientos!$A:$A,$B21,Movimientos!$D:$D,CONCATENATE("&lt;=",TC$3),Movimientos!$C:$C,"&gt;0")+SUMIFS(Movimientos!$C:$C,Movimientos!$A:$A,$B21,Movimientos!$D:$D,CONCATENATE("&lt;",TC$3),Movimientos!$C:$C,"&lt;0")</f>
        <v>0</v>
      </c>
      <c r="TD21" s="5">
        <f ca="1">SUMIFS(Movimientos!$C:$C,Movimientos!$A:$A,$B21,Movimientos!$D:$D,CONCATENATE("&lt;=",TD$3),Movimientos!$C:$C,"&gt;0")+SUMIFS(Movimientos!$C:$C,Movimientos!$A:$A,$B21,Movimientos!$D:$D,CONCATENATE("&lt;",TD$3),Movimientos!$C:$C,"&lt;0")</f>
        <v>0</v>
      </c>
      <c r="TE21" s="5">
        <f ca="1">SUMIFS(Movimientos!$C:$C,Movimientos!$A:$A,$B21,Movimientos!$D:$D,CONCATENATE("&lt;=",TE$3),Movimientos!$C:$C,"&gt;0")+SUMIFS(Movimientos!$C:$C,Movimientos!$A:$A,$B21,Movimientos!$D:$D,CONCATENATE("&lt;",TE$3),Movimientos!$C:$C,"&lt;0")</f>
        <v>0</v>
      </c>
      <c r="TF21" s="5">
        <f ca="1">SUMIFS(Movimientos!$C:$C,Movimientos!$A:$A,$B21,Movimientos!$D:$D,CONCATENATE("&lt;=",TF$3),Movimientos!$C:$C,"&gt;0")+SUMIFS(Movimientos!$C:$C,Movimientos!$A:$A,$B21,Movimientos!$D:$D,CONCATENATE("&lt;",TF$3),Movimientos!$C:$C,"&lt;0")</f>
        <v>0</v>
      </c>
    </row>
  </sheetData>
  <autoFilter ref="A3:C21"/>
  <dataValidations count="1">
    <dataValidation type="list" allowBlank="1" showInputMessage="1" showErrorMessage="1" sqref="A4:A21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F21"/>
  <sheetViews>
    <sheetView showZeros="0" workbookViewId="0">
      <pane xSplit="3" ySplit="3" topLeftCell="LJ4" activePane="bottomRight" state="frozen"/>
      <selection pane="topRight" activeCell="C1" sqref="C1"/>
      <selection pane="bottomLeft" activeCell="A2" sqref="A2"/>
      <selection pane="bottomRight" activeCell="C36" sqref="C36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>
      <c r="A3" s="2" t="s">
        <v>47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1" t="s">
        <v>48</v>
      </c>
      <c r="B4" s="4">
        <f>Cartera!B4</f>
        <v>0</v>
      </c>
      <c r="C4" s="4">
        <f>Cartera!C4</f>
        <v>0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>
      <c r="A5" s="31" t="s">
        <v>48</v>
      </c>
      <c r="B5" s="4">
        <f>Cartera!B5</f>
        <v>0</v>
      </c>
      <c r="C5" s="4">
        <f>Cartera!C5</f>
        <v>0</v>
      </c>
      <c r="D5" s="16">
        <f>SUMIFS(Datos!$F:$F,Datos!$A:$A,$B5,Datos!$B:$B,D$3)</f>
        <v>0</v>
      </c>
      <c r="E5" s="16">
        <f>SUMIFS(Datos!$F:$F,Datos!$A:$A,$B5,Datos!$B:$B,E$3)</f>
        <v>0</v>
      </c>
      <c r="F5" s="16">
        <f>SUMIFS(Datos!$F:$F,Datos!$A:$A,$B5,Datos!$B:$B,F$3)</f>
        <v>0</v>
      </c>
      <c r="G5" s="16">
        <f>SUMIFS(Datos!$F:$F,Datos!$A:$A,$B5,Datos!$B:$B,G$3)</f>
        <v>0</v>
      </c>
      <c r="H5" s="16">
        <f>SUMIFS(Datos!$F:$F,Datos!$A:$A,$B5,Datos!$B:$B,H$3)</f>
        <v>0</v>
      </c>
      <c r="I5" s="16">
        <f>SUMIFS(Datos!$F:$F,Datos!$A:$A,$B5,Datos!$B:$B,I$3)</f>
        <v>0</v>
      </c>
      <c r="J5" s="16">
        <f>SUMIFS(Datos!$F:$F,Datos!$A:$A,$B5,Datos!$B:$B,J$3)</f>
        <v>0</v>
      </c>
      <c r="K5" s="16">
        <f>SUMIFS(Datos!$F:$F,Datos!$A:$A,$B5,Datos!$B:$B,K$3)</f>
        <v>0</v>
      </c>
      <c r="L5" s="16">
        <f>SUMIFS(Datos!$F:$F,Datos!$A:$A,$B5,Datos!$B:$B,L$3)</f>
        <v>0</v>
      </c>
      <c r="M5" s="16">
        <f>SUMIFS(Datos!$F:$F,Datos!$A:$A,$B5,Datos!$B:$B,M$3)</f>
        <v>0</v>
      </c>
      <c r="N5" s="16">
        <f>SUMIFS(Datos!$F:$F,Datos!$A:$A,$B5,Datos!$B:$B,N$3)</f>
        <v>0</v>
      </c>
      <c r="O5" s="16">
        <f>SUMIFS(Datos!$F:$F,Datos!$A:$A,$B5,Datos!$B:$B,O$3)</f>
        <v>0</v>
      </c>
      <c r="P5" s="16">
        <f>SUMIFS(Datos!$F:$F,Datos!$A:$A,$B5,Datos!$B:$B,P$3)</f>
        <v>0</v>
      </c>
      <c r="Q5" s="16">
        <f>SUMIFS(Datos!$F:$F,Datos!$A:$A,$B5,Datos!$B:$B,Q$3)</f>
        <v>0</v>
      </c>
      <c r="R5" s="16">
        <f>SUMIFS(Datos!$F:$F,Datos!$A:$A,$B5,Datos!$B:$B,R$3)</f>
        <v>0</v>
      </c>
      <c r="S5" s="16">
        <f>SUMIFS(Datos!$F:$F,Datos!$A:$A,$B5,Datos!$B:$B,S$3)</f>
        <v>0</v>
      </c>
      <c r="T5" s="16">
        <f>SUMIFS(Datos!$F:$F,Datos!$A:$A,$B5,Datos!$B:$B,T$3)</f>
        <v>0</v>
      </c>
      <c r="U5" s="16">
        <f>SUMIFS(Datos!$F:$F,Datos!$A:$A,$B5,Datos!$B:$B,U$3)</f>
        <v>0</v>
      </c>
      <c r="V5" s="16">
        <f>SUMIFS(Datos!$F:$F,Datos!$A:$A,$B5,Datos!$B:$B,V$3)</f>
        <v>0</v>
      </c>
      <c r="W5" s="16">
        <f>SUMIFS(Datos!$F:$F,Datos!$A:$A,$B5,Datos!$B:$B,W$3)</f>
        <v>0</v>
      </c>
      <c r="X5" s="16">
        <f>SUMIFS(Datos!$F:$F,Datos!$A:$A,$B5,Datos!$B:$B,X$3)</f>
        <v>0</v>
      </c>
      <c r="Y5" s="16">
        <f>SUMIFS(Datos!$F:$F,Datos!$A:$A,$B5,Datos!$B:$B,Y$3)</f>
        <v>0</v>
      </c>
      <c r="Z5" s="16">
        <f>SUMIFS(Datos!$F:$F,Datos!$A:$A,$B5,Datos!$B:$B,Z$3)</f>
        <v>0</v>
      </c>
      <c r="AA5" s="16">
        <f>SUMIFS(Datos!$F:$F,Datos!$A:$A,$B5,Datos!$B:$B,AA$3)</f>
        <v>0</v>
      </c>
      <c r="AB5" s="16">
        <f>SUMIFS(Datos!$F:$F,Datos!$A:$A,$B5,Datos!$B:$B,AB$3)</f>
        <v>0</v>
      </c>
      <c r="AC5" s="16">
        <f>SUMIFS(Datos!$F:$F,Datos!$A:$A,$B5,Datos!$B:$B,AC$3)</f>
        <v>0</v>
      </c>
      <c r="AD5" s="16">
        <f>SUMIFS(Datos!$F:$F,Datos!$A:$A,$B5,Datos!$B:$B,AD$3)</f>
        <v>0</v>
      </c>
      <c r="AE5" s="16">
        <f>SUMIFS(Datos!$F:$F,Datos!$A:$A,$B5,Datos!$B:$B,AE$3)</f>
        <v>0</v>
      </c>
      <c r="AF5" s="16">
        <f>SUMIFS(Datos!$F:$F,Datos!$A:$A,$B5,Datos!$B:$B,AF$3)</f>
        <v>0</v>
      </c>
      <c r="AG5" s="16">
        <f>SUMIFS(Datos!$F:$F,Datos!$A:$A,$B5,Datos!$B:$B,AG$3)</f>
        <v>0</v>
      </c>
      <c r="AH5" s="16">
        <f>SUMIFS(Datos!$F:$F,Datos!$A:$A,$B5,Datos!$B:$B,AH$3)</f>
        <v>0</v>
      </c>
      <c r="AI5" s="16">
        <f>SUMIFS(Datos!$F:$F,Datos!$A:$A,$B5,Datos!$B:$B,AI$3)</f>
        <v>0</v>
      </c>
      <c r="AJ5" s="16">
        <f>SUMIFS(Datos!$F:$F,Datos!$A:$A,$B5,Datos!$B:$B,AJ$3)</f>
        <v>0</v>
      </c>
      <c r="AK5" s="16">
        <f>SUMIFS(Datos!$F:$F,Datos!$A:$A,$B5,Datos!$B:$B,AK$3)</f>
        <v>0</v>
      </c>
      <c r="AL5" s="16">
        <f>SUMIFS(Datos!$F:$F,Datos!$A:$A,$B5,Datos!$B:$B,AL$3)</f>
        <v>0</v>
      </c>
      <c r="AM5" s="16">
        <f>SUMIFS(Datos!$F:$F,Datos!$A:$A,$B5,Datos!$B:$B,AM$3)</f>
        <v>0</v>
      </c>
      <c r="AN5" s="16">
        <f>SUMIFS(Datos!$F:$F,Datos!$A:$A,$B5,Datos!$B:$B,AN$3)</f>
        <v>0</v>
      </c>
      <c r="AO5" s="16">
        <f>SUMIFS(Datos!$F:$F,Datos!$A:$A,$B5,Datos!$B:$B,AO$3)</f>
        <v>0</v>
      </c>
      <c r="AP5" s="16">
        <f>SUMIFS(Datos!$F:$F,Datos!$A:$A,$B5,Datos!$B:$B,AP$3)</f>
        <v>0</v>
      </c>
      <c r="AQ5" s="16">
        <f>SUMIFS(Datos!$F:$F,Datos!$A:$A,$B5,Datos!$B:$B,AQ$3)</f>
        <v>0</v>
      </c>
      <c r="AR5" s="16">
        <f>SUMIFS(Datos!$F:$F,Datos!$A:$A,$B5,Datos!$B:$B,AR$3)</f>
        <v>0</v>
      </c>
      <c r="AS5" s="16">
        <f>SUMIFS(Datos!$F:$F,Datos!$A:$A,$B5,Datos!$B:$B,AS$3)</f>
        <v>0</v>
      </c>
      <c r="AT5" s="16">
        <f>SUMIFS(Datos!$F:$F,Datos!$A:$A,$B5,Datos!$B:$B,AT$3)</f>
        <v>0</v>
      </c>
      <c r="AU5" s="16">
        <f>SUMIFS(Datos!$F:$F,Datos!$A:$A,$B5,Datos!$B:$B,AU$3)</f>
        <v>0</v>
      </c>
      <c r="AV5" s="16">
        <f>SUMIFS(Datos!$F:$F,Datos!$A:$A,$B5,Datos!$B:$B,AV$3)</f>
        <v>0</v>
      </c>
      <c r="AW5" s="16">
        <f>SUMIFS(Datos!$F:$F,Datos!$A:$A,$B5,Datos!$B:$B,AW$3)</f>
        <v>0</v>
      </c>
      <c r="AX5" s="16">
        <f>SUMIFS(Datos!$F:$F,Datos!$A:$A,$B5,Datos!$B:$B,AX$3)</f>
        <v>0</v>
      </c>
      <c r="AY5" s="16">
        <f>SUMIFS(Datos!$F:$F,Datos!$A:$A,$B5,Datos!$B:$B,AY$3)</f>
        <v>0</v>
      </c>
      <c r="AZ5" s="16">
        <f>SUMIFS(Datos!$F:$F,Datos!$A:$A,$B5,Datos!$B:$B,AZ$3)</f>
        <v>0</v>
      </c>
      <c r="BA5" s="16">
        <f>SUMIFS(Datos!$F:$F,Datos!$A:$A,$B5,Datos!$B:$B,BA$3)</f>
        <v>0</v>
      </c>
      <c r="BB5" s="16">
        <f>SUMIFS(Datos!$F:$F,Datos!$A:$A,$B5,Datos!$B:$B,BB$3)</f>
        <v>0</v>
      </c>
      <c r="BC5" s="16">
        <f>SUMIFS(Datos!$F:$F,Datos!$A:$A,$B5,Datos!$B:$B,BC$3)</f>
        <v>0</v>
      </c>
      <c r="BD5" s="16">
        <f>SUMIFS(Datos!$F:$F,Datos!$A:$A,$B5,Datos!$B:$B,BD$3)</f>
        <v>0</v>
      </c>
      <c r="BE5" s="16">
        <f>SUMIFS(Datos!$F:$F,Datos!$A:$A,$B5,Datos!$B:$B,BE$3)</f>
        <v>0</v>
      </c>
      <c r="BF5" s="16">
        <f>SUMIFS(Datos!$F:$F,Datos!$A:$A,$B5,Datos!$B:$B,BF$3)</f>
        <v>0</v>
      </c>
      <c r="BG5" s="16">
        <f>SUMIFS(Datos!$F:$F,Datos!$A:$A,$B5,Datos!$B:$B,BG$3)</f>
        <v>0</v>
      </c>
      <c r="BH5" s="16">
        <f>SUMIFS(Datos!$F:$F,Datos!$A:$A,$B5,Datos!$B:$B,BH$3)</f>
        <v>0</v>
      </c>
      <c r="BI5" s="16">
        <f>SUMIFS(Datos!$F:$F,Datos!$A:$A,$B5,Datos!$B:$B,BI$3)</f>
        <v>0</v>
      </c>
      <c r="BJ5" s="16">
        <f>SUMIFS(Datos!$F:$F,Datos!$A:$A,$B5,Datos!$B:$B,BJ$3)</f>
        <v>0</v>
      </c>
      <c r="BK5" s="16">
        <f>SUMIFS(Datos!$F:$F,Datos!$A:$A,$B5,Datos!$B:$B,BK$3)</f>
        <v>0</v>
      </c>
      <c r="BL5" s="16">
        <f>SUMIFS(Datos!$F:$F,Datos!$A:$A,$B5,Datos!$B:$B,BL$3)</f>
        <v>0</v>
      </c>
      <c r="BM5" s="16">
        <f>SUMIFS(Datos!$F:$F,Datos!$A:$A,$B5,Datos!$B:$B,BM$3)</f>
        <v>0</v>
      </c>
      <c r="BN5" s="16">
        <f>SUMIFS(Datos!$F:$F,Datos!$A:$A,$B5,Datos!$B:$B,BN$3)</f>
        <v>0</v>
      </c>
      <c r="BO5" s="16">
        <f>SUMIFS(Datos!$F:$F,Datos!$A:$A,$B5,Datos!$B:$B,BO$3)</f>
        <v>0</v>
      </c>
      <c r="BP5" s="16">
        <f>SUMIFS(Datos!$F:$F,Datos!$A:$A,$B5,Datos!$B:$B,BP$3)</f>
        <v>0</v>
      </c>
      <c r="BQ5" s="16">
        <f>SUMIFS(Datos!$F:$F,Datos!$A:$A,$B5,Datos!$B:$B,BQ$3)</f>
        <v>0</v>
      </c>
      <c r="BR5" s="16">
        <f>SUMIFS(Datos!$F:$F,Datos!$A:$A,$B5,Datos!$B:$B,BR$3)</f>
        <v>0</v>
      </c>
      <c r="BS5" s="16">
        <f>SUMIFS(Datos!$F:$F,Datos!$A:$A,$B5,Datos!$B:$B,BS$3)</f>
        <v>0</v>
      </c>
      <c r="BT5" s="16">
        <f>SUMIFS(Datos!$F:$F,Datos!$A:$A,$B5,Datos!$B:$B,BT$3)</f>
        <v>0</v>
      </c>
      <c r="BU5" s="16">
        <f>SUMIFS(Datos!$F:$F,Datos!$A:$A,$B5,Datos!$B:$B,BU$3)</f>
        <v>0</v>
      </c>
      <c r="BV5" s="16">
        <f>SUMIFS(Datos!$F:$F,Datos!$A:$A,$B5,Datos!$B:$B,BV$3)</f>
        <v>0</v>
      </c>
      <c r="BW5" s="16">
        <f>SUMIFS(Datos!$F:$F,Datos!$A:$A,$B5,Datos!$B:$B,BW$3)</f>
        <v>0</v>
      </c>
      <c r="BX5" s="16">
        <f>SUMIFS(Datos!$F:$F,Datos!$A:$A,$B5,Datos!$B:$B,BX$3)</f>
        <v>0</v>
      </c>
      <c r="BY5" s="16">
        <f>SUMIFS(Datos!$F:$F,Datos!$A:$A,$B5,Datos!$B:$B,BY$3)</f>
        <v>0</v>
      </c>
      <c r="BZ5" s="16">
        <f>SUMIFS(Datos!$F:$F,Datos!$A:$A,$B5,Datos!$B:$B,BZ$3)</f>
        <v>0</v>
      </c>
      <c r="CA5" s="16">
        <f>SUMIFS(Datos!$F:$F,Datos!$A:$A,$B5,Datos!$B:$B,CA$3)</f>
        <v>0</v>
      </c>
      <c r="CB5" s="16">
        <f>SUMIFS(Datos!$F:$F,Datos!$A:$A,$B5,Datos!$B:$B,CB$3)</f>
        <v>0</v>
      </c>
      <c r="CC5" s="16">
        <f>SUMIFS(Datos!$F:$F,Datos!$A:$A,$B5,Datos!$B:$B,CC$3)</f>
        <v>0</v>
      </c>
      <c r="CD5" s="16">
        <f>SUMIFS(Datos!$F:$F,Datos!$A:$A,$B5,Datos!$B:$B,CD$3)</f>
        <v>0</v>
      </c>
      <c r="CE5" s="16">
        <f>SUMIFS(Datos!$F:$F,Datos!$A:$A,$B5,Datos!$B:$B,CE$3)</f>
        <v>0</v>
      </c>
      <c r="CF5" s="16">
        <f>SUMIFS(Datos!$F:$F,Datos!$A:$A,$B5,Datos!$B:$B,CF$3)</f>
        <v>0</v>
      </c>
      <c r="CG5" s="16">
        <f>SUMIFS(Datos!$F:$F,Datos!$A:$A,$B5,Datos!$B:$B,CG$3)</f>
        <v>0</v>
      </c>
      <c r="CH5" s="16">
        <f>SUMIFS(Datos!$F:$F,Datos!$A:$A,$B5,Datos!$B:$B,CH$3)</f>
        <v>0</v>
      </c>
      <c r="CI5" s="16">
        <f>SUMIFS(Datos!$F:$F,Datos!$A:$A,$B5,Datos!$B:$B,CI$3)</f>
        <v>0</v>
      </c>
      <c r="CJ5" s="16">
        <f>SUMIFS(Datos!$F:$F,Datos!$A:$A,$B5,Datos!$B:$B,CJ$3)</f>
        <v>0</v>
      </c>
      <c r="CK5" s="16">
        <f>SUMIFS(Datos!$F:$F,Datos!$A:$A,$B5,Datos!$B:$B,CK$3)</f>
        <v>0</v>
      </c>
      <c r="CL5" s="16">
        <f>SUMIFS(Datos!$F:$F,Datos!$A:$A,$B5,Datos!$B:$B,CL$3)</f>
        <v>0</v>
      </c>
      <c r="CM5" s="16">
        <f>SUMIFS(Datos!$F:$F,Datos!$A:$A,$B5,Datos!$B:$B,CM$3)</f>
        <v>0</v>
      </c>
      <c r="CN5" s="16">
        <f>SUMIFS(Datos!$F:$F,Datos!$A:$A,$B5,Datos!$B:$B,CN$3)</f>
        <v>0</v>
      </c>
      <c r="CO5" s="16">
        <f>SUMIFS(Datos!$F:$F,Datos!$A:$A,$B5,Datos!$B:$B,CO$3)</f>
        <v>0</v>
      </c>
      <c r="CP5" s="16">
        <f>SUMIFS(Datos!$F:$F,Datos!$A:$A,$B5,Datos!$B:$B,CP$3)</f>
        <v>0</v>
      </c>
      <c r="CQ5" s="16">
        <f>SUMIFS(Datos!$F:$F,Datos!$A:$A,$B5,Datos!$B:$B,CQ$3)</f>
        <v>0</v>
      </c>
      <c r="CR5" s="16">
        <f>SUMIFS(Datos!$F:$F,Datos!$A:$A,$B5,Datos!$B:$B,CR$3)</f>
        <v>0</v>
      </c>
      <c r="CS5" s="16">
        <f>SUMIFS(Datos!$F:$F,Datos!$A:$A,$B5,Datos!$B:$B,CS$3)</f>
        <v>0</v>
      </c>
      <c r="CT5" s="16">
        <f>SUMIFS(Datos!$F:$F,Datos!$A:$A,$B5,Datos!$B:$B,CT$3)</f>
        <v>0</v>
      </c>
      <c r="CU5" s="16">
        <f>SUMIFS(Datos!$F:$F,Datos!$A:$A,$B5,Datos!$B:$B,CU$3)</f>
        <v>0</v>
      </c>
      <c r="CV5" s="16">
        <f>SUMIFS(Datos!$F:$F,Datos!$A:$A,$B5,Datos!$B:$B,CV$3)</f>
        <v>0</v>
      </c>
      <c r="CW5" s="16">
        <f>SUMIFS(Datos!$F:$F,Datos!$A:$A,$B5,Datos!$B:$B,CW$3)</f>
        <v>0</v>
      </c>
      <c r="CX5" s="16">
        <f>SUMIFS(Datos!$F:$F,Datos!$A:$A,$B5,Datos!$B:$B,CX$3)</f>
        <v>0</v>
      </c>
      <c r="CY5" s="16">
        <f>SUMIFS(Datos!$F:$F,Datos!$A:$A,$B5,Datos!$B:$B,CY$3)</f>
        <v>0</v>
      </c>
      <c r="CZ5" s="16">
        <f>SUMIFS(Datos!$F:$F,Datos!$A:$A,$B5,Datos!$B:$B,CZ$3)</f>
        <v>0</v>
      </c>
      <c r="DA5" s="16">
        <f>SUMIFS(Datos!$F:$F,Datos!$A:$A,$B5,Datos!$B:$B,DA$3)</f>
        <v>0</v>
      </c>
      <c r="DB5" s="16">
        <f>SUMIFS(Datos!$F:$F,Datos!$A:$A,$B5,Datos!$B:$B,DB$3)</f>
        <v>0</v>
      </c>
      <c r="DC5" s="16">
        <f>SUMIFS(Datos!$F:$F,Datos!$A:$A,$B5,Datos!$B:$B,DC$3)</f>
        <v>0</v>
      </c>
      <c r="DD5" s="16">
        <f>SUMIFS(Datos!$F:$F,Datos!$A:$A,$B5,Datos!$B:$B,DD$3)</f>
        <v>0</v>
      </c>
      <c r="DE5" s="16">
        <f>SUMIFS(Datos!$F:$F,Datos!$A:$A,$B5,Datos!$B:$B,DE$3)</f>
        <v>0</v>
      </c>
      <c r="DF5" s="16">
        <f>SUMIFS(Datos!$F:$F,Datos!$A:$A,$B5,Datos!$B:$B,DF$3)</f>
        <v>0</v>
      </c>
      <c r="DG5" s="16">
        <f>SUMIFS(Datos!$F:$F,Datos!$A:$A,$B5,Datos!$B:$B,DG$3)</f>
        <v>0</v>
      </c>
      <c r="DH5" s="16">
        <f>SUMIFS(Datos!$F:$F,Datos!$A:$A,$B5,Datos!$B:$B,DH$3)</f>
        <v>0</v>
      </c>
      <c r="DI5" s="16">
        <f>SUMIFS(Datos!$F:$F,Datos!$A:$A,$B5,Datos!$B:$B,DI$3)</f>
        <v>0</v>
      </c>
      <c r="DJ5" s="16">
        <f>SUMIFS(Datos!$F:$F,Datos!$A:$A,$B5,Datos!$B:$B,DJ$3)</f>
        <v>0</v>
      </c>
      <c r="DK5" s="16">
        <f>SUMIFS(Datos!$F:$F,Datos!$A:$A,$B5,Datos!$B:$B,DK$3)</f>
        <v>0</v>
      </c>
      <c r="DL5" s="16">
        <f>SUMIFS(Datos!$F:$F,Datos!$A:$A,$B5,Datos!$B:$B,DL$3)</f>
        <v>0</v>
      </c>
      <c r="DM5" s="16">
        <f>SUMIFS(Datos!$F:$F,Datos!$A:$A,$B5,Datos!$B:$B,DM$3)</f>
        <v>0</v>
      </c>
      <c r="DN5" s="16">
        <f>SUMIFS(Datos!$F:$F,Datos!$A:$A,$B5,Datos!$B:$B,DN$3)</f>
        <v>0</v>
      </c>
      <c r="DO5" s="16">
        <f>SUMIFS(Datos!$F:$F,Datos!$A:$A,$B5,Datos!$B:$B,DO$3)</f>
        <v>0</v>
      </c>
      <c r="DP5" s="16">
        <f>SUMIFS(Datos!$F:$F,Datos!$A:$A,$B5,Datos!$B:$B,DP$3)</f>
        <v>0</v>
      </c>
      <c r="DQ5" s="16">
        <f>SUMIFS(Datos!$F:$F,Datos!$A:$A,$B5,Datos!$B:$B,DQ$3)</f>
        <v>0</v>
      </c>
      <c r="DR5" s="16">
        <f>SUMIFS(Datos!$F:$F,Datos!$A:$A,$B5,Datos!$B:$B,DR$3)</f>
        <v>0</v>
      </c>
      <c r="DS5" s="16">
        <f>SUMIFS(Datos!$F:$F,Datos!$A:$A,$B5,Datos!$B:$B,DS$3)</f>
        <v>0</v>
      </c>
      <c r="DT5" s="16">
        <f>SUMIFS(Datos!$F:$F,Datos!$A:$A,$B5,Datos!$B:$B,DT$3)</f>
        <v>0</v>
      </c>
      <c r="DU5" s="16">
        <f>SUMIFS(Datos!$F:$F,Datos!$A:$A,$B5,Datos!$B:$B,DU$3)</f>
        <v>0</v>
      </c>
      <c r="DV5" s="16">
        <f>SUMIFS(Datos!$F:$F,Datos!$A:$A,$B5,Datos!$B:$B,DV$3)</f>
        <v>0</v>
      </c>
      <c r="DW5" s="16">
        <f>SUMIFS(Datos!$F:$F,Datos!$A:$A,$B5,Datos!$B:$B,DW$3)</f>
        <v>0</v>
      </c>
      <c r="DX5" s="16">
        <f>SUMIFS(Datos!$F:$F,Datos!$A:$A,$B5,Datos!$B:$B,DX$3)</f>
        <v>0</v>
      </c>
      <c r="DY5" s="16">
        <f>SUMIFS(Datos!$F:$F,Datos!$A:$A,$B5,Datos!$B:$B,DY$3)</f>
        <v>0</v>
      </c>
      <c r="DZ5" s="16">
        <f>SUMIFS(Datos!$F:$F,Datos!$A:$A,$B5,Datos!$B:$B,DZ$3)</f>
        <v>0</v>
      </c>
      <c r="EA5" s="16">
        <f>SUMIFS(Datos!$F:$F,Datos!$A:$A,$B5,Datos!$B:$B,EA$3)</f>
        <v>0</v>
      </c>
      <c r="EB5" s="16">
        <f>SUMIFS(Datos!$F:$F,Datos!$A:$A,$B5,Datos!$B:$B,EB$3)</f>
        <v>0</v>
      </c>
      <c r="EC5" s="16">
        <f>SUMIFS(Datos!$F:$F,Datos!$A:$A,$B5,Datos!$B:$B,EC$3)</f>
        <v>0</v>
      </c>
      <c r="ED5" s="16">
        <f>SUMIFS(Datos!$F:$F,Datos!$A:$A,$B5,Datos!$B:$B,ED$3)</f>
        <v>0</v>
      </c>
      <c r="EE5" s="16">
        <f>SUMIFS(Datos!$F:$F,Datos!$A:$A,$B5,Datos!$B:$B,EE$3)</f>
        <v>0</v>
      </c>
      <c r="EF5" s="16">
        <f>SUMIFS(Datos!$F:$F,Datos!$A:$A,$B5,Datos!$B:$B,EF$3)</f>
        <v>0</v>
      </c>
      <c r="EG5" s="16">
        <f>SUMIFS(Datos!$F:$F,Datos!$A:$A,$B5,Datos!$B:$B,EG$3)</f>
        <v>0</v>
      </c>
      <c r="EH5" s="16">
        <f>SUMIFS(Datos!$F:$F,Datos!$A:$A,$B5,Datos!$B:$B,EH$3)</f>
        <v>0</v>
      </c>
      <c r="EI5" s="16">
        <f>SUMIFS(Datos!$F:$F,Datos!$A:$A,$B5,Datos!$B:$B,EI$3)</f>
        <v>0</v>
      </c>
      <c r="EJ5" s="16">
        <f>SUMIFS(Datos!$F:$F,Datos!$A:$A,$B5,Datos!$B:$B,EJ$3)</f>
        <v>0</v>
      </c>
      <c r="EK5" s="16">
        <f>SUMIFS(Datos!$F:$F,Datos!$A:$A,$B5,Datos!$B:$B,EK$3)</f>
        <v>0</v>
      </c>
      <c r="EL5" s="16">
        <f>SUMIFS(Datos!$F:$F,Datos!$A:$A,$B5,Datos!$B:$B,EL$3)</f>
        <v>0</v>
      </c>
      <c r="EM5" s="16">
        <f>SUMIFS(Datos!$F:$F,Datos!$A:$A,$B5,Datos!$B:$B,EM$3)</f>
        <v>0</v>
      </c>
      <c r="EN5" s="16">
        <f>SUMIFS(Datos!$F:$F,Datos!$A:$A,$B5,Datos!$B:$B,EN$3)</f>
        <v>0</v>
      </c>
      <c r="EO5" s="16">
        <f>SUMIFS(Datos!$F:$F,Datos!$A:$A,$B5,Datos!$B:$B,EO$3)</f>
        <v>0</v>
      </c>
      <c r="EP5" s="16">
        <f>SUMIFS(Datos!$F:$F,Datos!$A:$A,$B5,Datos!$B:$B,EP$3)</f>
        <v>0</v>
      </c>
      <c r="EQ5" s="16">
        <f>SUMIFS(Datos!$F:$F,Datos!$A:$A,$B5,Datos!$B:$B,EQ$3)</f>
        <v>0</v>
      </c>
      <c r="ER5" s="16">
        <f>SUMIFS(Datos!$F:$F,Datos!$A:$A,$B5,Datos!$B:$B,ER$3)</f>
        <v>0</v>
      </c>
      <c r="ES5" s="16">
        <f>SUMIFS(Datos!$F:$F,Datos!$A:$A,$B5,Datos!$B:$B,ES$3)</f>
        <v>0</v>
      </c>
      <c r="ET5" s="16">
        <f>SUMIFS(Datos!$F:$F,Datos!$A:$A,$B5,Datos!$B:$B,ET$3)</f>
        <v>0</v>
      </c>
      <c r="EU5" s="16">
        <f>SUMIFS(Datos!$F:$F,Datos!$A:$A,$B5,Datos!$B:$B,EU$3)</f>
        <v>0</v>
      </c>
      <c r="EV5" s="16">
        <f>SUMIFS(Datos!$F:$F,Datos!$A:$A,$B5,Datos!$B:$B,EV$3)</f>
        <v>0</v>
      </c>
      <c r="EW5" s="16">
        <f>SUMIFS(Datos!$F:$F,Datos!$A:$A,$B5,Datos!$B:$B,EW$3)</f>
        <v>0</v>
      </c>
      <c r="EX5" s="16">
        <f>SUMIFS(Datos!$F:$F,Datos!$A:$A,$B5,Datos!$B:$B,EX$3)</f>
        <v>0</v>
      </c>
      <c r="EY5" s="16">
        <f>SUMIFS(Datos!$F:$F,Datos!$A:$A,$B5,Datos!$B:$B,EY$3)</f>
        <v>0</v>
      </c>
      <c r="EZ5" s="16">
        <f>SUMIFS(Datos!$F:$F,Datos!$A:$A,$B5,Datos!$B:$B,EZ$3)</f>
        <v>0</v>
      </c>
      <c r="FA5" s="16">
        <f>SUMIFS(Datos!$F:$F,Datos!$A:$A,$B5,Datos!$B:$B,FA$3)</f>
        <v>0</v>
      </c>
      <c r="FB5" s="16">
        <f>SUMIFS(Datos!$F:$F,Datos!$A:$A,$B5,Datos!$B:$B,FB$3)</f>
        <v>0</v>
      </c>
      <c r="FC5" s="16">
        <f>SUMIFS(Datos!$F:$F,Datos!$A:$A,$B5,Datos!$B:$B,FC$3)</f>
        <v>0</v>
      </c>
      <c r="FD5" s="16">
        <f>SUMIFS(Datos!$F:$F,Datos!$A:$A,$B5,Datos!$B:$B,FD$3)</f>
        <v>0</v>
      </c>
      <c r="FE5" s="16">
        <f>SUMIFS(Datos!$F:$F,Datos!$A:$A,$B5,Datos!$B:$B,FE$3)</f>
        <v>0</v>
      </c>
      <c r="FF5" s="16">
        <f>SUMIFS(Datos!$F:$F,Datos!$A:$A,$B5,Datos!$B:$B,FF$3)</f>
        <v>0</v>
      </c>
      <c r="FG5" s="16">
        <f>SUMIFS(Datos!$F:$F,Datos!$A:$A,$B5,Datos!$B:$B,FG$3)</f>
        <v>0</v>
      </c>
      <c r="FH5" s="16">
        <f>SUMIFS(Datos!$F:$F,Datos!$A:$A,$B5,Datos!$B:$B,FH$3)</f>
        <v>0</v>
      </c>
      <c r="FI5" s="16">
        <f>SUMIFS(Datos!$F:$F,Datos!$A:$A,$B5,Datos!$B:$B,FI$3)</f>
        <v>0</v>
      </c>
      <c r="FJ5" s="16">
        <f>SUMIFS(Datos!$F:$F,Datos!$A:$A,$B5,Datos!$B:$B,FJ$3)</f>
        <v>0</v>
      </c>
      <c r="FK5" s="16">
        <f>SUMIFS(Datos!$F:$F,Datos!$A:$A,$B5,Datos!$B:$B,FK$3)</f>
        <v>0</v>
      </c>
      <c r="FL5" s="16">
        <f>SUMIFS(Datos!$F:$F,Datos!$A:$A,$B5,Datos!$B:$B,FL$3)</f>
        <v>0</v>
      </c>
      <c r="FM5" s="16">
        <f>SUMIFS(Datos!$F:$F,Datos!$A:$A,$B5,Datos!$B:$B,FM$3)</f>
        <v>0</v>
      </c>
      <c r="FN5" s="16">
        <f>SUMIFS(Datos!$F:$F,Datos!$A:$A,$B5,Datos!$B:$B,FN$3)</f>
        <v>0</v>
      </c>
      <c r="FO5" s="16">
        <f>SUMIFS(Datos!$F:$F,Datos!$A:$A,$B5,Datos!$B:$B,FO$3)</f>
        <v>0</v>
      </c>
      <c r="FP5" s="16">
        <f>SUMIFS(Datos!$F:$F,Datos!$A:$A,$B5,Datos!$B:$B,FP$3)</f>
        <v>0</v>
      </c>
      <c r="FQ5" s="16">
        <f>SUMIFS(Datos!$F:$F,Datos!$A:$A,$B5,Datos!$B:$B,FQ$3)</f>
        <v>0</v>
      </c>
      <c r="FR5" s="16">
        <f>SUMIFS(Datos!$F:$F,Datos!$A:$A,$B5,Datos!$B:$B,FR$3)</f>
        <v>0</v>
      </c>
      <c r="FS5" s="16">
        <f>SUMIFS(Datos!$F:$F,Datos!$A:$A,$B5,Datos!$B:$B,FS$3)</f>
        <v>0</v>
      </c>
      <c r="FT5" s="16">
        <f>SUMIFS(Datos!$F:$F,Datos!$A:$A,$B5,Datos!$B:$B,FT$3)</f>
        <v>0</v>
      </c>
      <c r="FU5" s="16">
        <f>SUMIFS(Datos!$F:$F,Datos!$A:$A,$B5,Datos!$B:$B,FU$3)</f>
        <v>0</v>
      </c>
      <c r="FV5" s="16">
        <f>SUMIFS(Datos!$F:$F,Datos!$A:$A,$B5,Datos!$B:$B,FV$3)</f>
        <v>0</v>
      </c>
      <c r="FW5" s="16">
        <f>SUMIFS(Datos!$F:$F,Datos!$A:$A,$B5,Datos!$B:$B,FW$3)</f>
        <v>0</v>
      </c>
      <c r="FX5" s="16">
        <f>SUMIFS(Datos!$F:$F,Datos!$A:$A,$B5,Datos!$B:$B,FX$3)</f>
        <v>0</v>
      </c>
      <c r="FY5" s="16">
        <f>SUMIFS(Datos!$F:$F,Datos!$A:$A,$B5,Datos!$B:$B,FY$3)</f>
        <v>0</v>
      </c>
      <c r="FZ5" s="16">
        <f>SUMIFS(Datos!$F:$F,Datos!$A:$A,$B5,Datos!$B:$B,FZ$3)</f>
        <v>0</v>
      </c>
      <c r="GA5" s="16">
        <f>SUMIFS(Datos!$F:$F,Datos!$A:$A,$B5,Datos!$B:$B,GA$3)</f>
        <v>0</v>
      </c>
      <c r="GB5" s="16">
        <f>SUMIFS(Datos!$F:$F,Datos!$A:$A,$B5,Datos!$B:$B,GB$3)</f>
        <v>0</v>
      </c>
      <c r="GC5" s="16">
        <f>SUMIFS(Datos!$F:$F,Datos!$A:$A,$B5,Datos!$B:$B,GC$3)</f>
        <v>0</v>
      </c>
      <c r="GD5" s="16">
        <f>SUMIFS(Datos!$F:$F,Datos!$A:$A,$B5,Datos!$B:$B,GD$3)</f>
        <v>0</v>
      </c>
      <c r="GE5" s="16">
        <f>SUMIFS(Datos!$F:$F,Datos!$A:$A,$B5,Datos!$B:$B,GE$3)</f>
        <v>0</v>
      </c>
      <c r="GF5" s="16">
        <f>SUMIFS(Datos!$F:$F,Datos!$A:$A,$B5,Datos!$B:$B,GF$3)</f>
        <v>0</v>
      </c>
      <c r="GG5" s="16">
        <f>SUMIFS(Datos!$F:$F,Datos!$A:$A,$B5,Datos!$B:$B,GG$3)</f>
        <v>0</v>
      </c>
      <c r="GH5" s="16">
        <f>SUMIFS(Datos!$F:$F,Datos!$A:$A,$B5,Datos!$B:$B,GH$3)</f>
        <v>0</v>
      </c>
      <c r="GI5" s="16">
        <f>SUMIFS(Datos!$F:$F,Datos!$A:$A,$B5,Datos!$B:$B,GI$3)</f>
        <v>0</v>
      </c>
      <c r="GJ5" s="16">
        <f>SUMIFS(Datos!$F:$F,Datos!$A:$A,$B5,Datos!$B:$B,GJ$3)</f>
        <v>0</v>
      </c>
      <c r="GK5" s="16">
        <f>SUMIFS(Datos!$F:$F,Datos!$A:$A,$B5,Datos!$B:$B,GK$3)</f>
        <v>0</v>
      </c>
      <c r="GL5" s="16">
        <f>SUMIFS(Datos!$F:$F,Datos!$A:$A,$B5,Datos!$B:$B,GL$3)</f>
        <v>0</v>
      </c>
      <c r="GM5" s="16">
        <f>SUMIFS(Datos!$F:$F,Datos!$A:$A,$B5,Datos!$B:$B,GM$3)</f>
        <v>0</v>
      </c>
      <c r="GN5" s="16">
        <f>SUMIFS(Datos!$F:$F,Datos!$A:$A,$B5,Datos!$B:$B,GN$3)</f>
        <v>0</v>
      </c>
      <c r="GO5" s="16">
        <f>SUMIFS(Datos!$F:$F,Datos!$A:$A,$B5,Datos!$B:$B,GO$3)</f>
        <v>0</v>
      </c>
      <c r="GP5" s="16">
        <f>SUMIFS(Datos!$F:$F,Datos!$A:$A,$B5,Datos!$B:$B,GP$3)</f>
        <v>0</v>
      </c>
      <c r="GQ5" s="16">
        <f>SUMIFS(Datos!$F:$F,Datos!$A:$A,$B5,Datos!$B:$B,GQ$3)</f>
        <v>0</v>
      </c>
      <c r="GR5" s="16">
        <f>SUMIFS(Datos!$F:$F,Datos!$A:$A,$B5,Datos!$B:$B,GR$3)</f>
        <v>0</v>
      </c>
      <c r="GS5" s="16">
        <f>SUMIFS(Datos!$F:$F,Datos!$A:$A,$B5,Datos!$B:$B,GS$3)</f>
        <v>0</v>
      </c>
      <c r="GT5" s="16">
        <f>SUMIFS(Datos!$F:$F,Datos!$A:$A,$B5,Datos!$B:$B,GT$3)</f>
        <v>0</v>
      </c>
      <c r="GU5" s="16">
        <f>SUMIFS(Datos!$F:$F,Datos!$A:$A,$B5,Datos!$B:$B,GU$3)</f>
        <v>0</v>
      </c>
      <c r="GV5" s="16">
        <f>SUMIFS(Datos!$F:$F,Datos!$A:$A,$B5,Datos!$B:$B,GV$3)</f>
        <v>0</v>
      </c>
      <c r="GW5" s="16">
        <f>SUMIFS(Datos!$F:$F,Datos!$A:$A,$B5,Datos!$B:$B,GW$3)</f>
        <v>0</v>
      </c>
      <c r="GX5" s="16">
        <f>SUMIFS(Datos!$F:$F,Datos!$A:$A,$B5,Datos!$B:$B,GX$3)</f>
        <v>0</v>
      </c>
      <c r="GY5" s="16">
        <f>SUMIFS(Datos!$F:$F,Datos!$A:$A,$B5,Datos!$B:$B,GY$3)</f>
        <v>0</v>
      </c>
      <c r="GZ5" s="16">
        <f>SUMIFS(Datos!$F:$F,Datos!$A:$A,$B5,Datos!$B:$B,GZ$3)</f>
        <v>0</v>
      </c>
      <c r="HA5" s="16">
        <f>SUMIFS(Datos!$F:$F,Datos!$A:$A,$B5,Datos!$B:$B,HA$3)</f>
        <v>0</v>
      </c>
      <c r="HB5" s="16">
        <f>SUMIFS(Datos!$F:$F,Datos!$A:$A,$B5,Datos!$B:$B,HB$3)</f>
        <v>0</v>
      </c>
      <c r="HC5" s="16">
        <f>SUMIFS(Datos!$F:$F,Datos!$A:$A,$B5,Datos!$B:$B,HC$3)</f>
        <v>0</v>
      </c>
      <c r="HD5" s="16">
        <f>SUMIFS(Datos!$F:$F,Datos!$A:$A,$B5,Datos!$B:$B,HD$3)</f>
        <v>0</v>
      </c>
      <c r="HE5" s="16">
        <f>SUMIFS(Datos!$F:$F,Datos!$A:$A,$B5,Datos!$B:$B,HE$3)</f>
        <v>0</v>
      </c>
      <c r="HF5" s="16">
        <f>SUMIFS(Datos!$F:$F,Datos!$A:$A,$B5,Datos!$B:$B,HF$3)</f>
        <v>0</v>
      </c>
      <c r="HG5" s="16">
        <f>SUMIFS(Datos!$F:$F,Datos!$A:$A,$B5,Datos!$B:$B,HG$3)</f>
        <v>0</v>
      </c>
      <c r="HH5" s="16">
        <f>SUMIFS(Datos!$F:$F,Datos!$A:$A,$B5,Datos!$B:$B,HH$3)</f>
        <v>0</v>
      </c>
      <c r="HI5" s="16">
        <f>SUMIFS(Datos!$F:$F,Datos!$A:$A,$B5,Datos!$B:$B,HI$3)</f>
        <v>0</v>
      </c>
      <c r="HJ5" s="16">
        <f>SUMIFS(Datos!$F:$F,Datos!$A:$A,$B5,Datos!$B:$B,HJ$3)</f>
        <v>0</v>
      </c>
      <c r="HK5" s="16">
        <f>SUMIFS(Datos!$F:$F,Datos!$A:$A,$B5,Datos!$B:$B,HK$3)</f>
        <v>0</v>
      </c>
      <c r="HL5" s="16">
        <f>SUMIFS(Datos!$F:$F,Datos!$A:$A,$B5,Datos!$B:$B,HL$3)</f>
        <v>0</v>
      </c>
      <c r="HM5" s="16">
        <f>SUMIFS(Datos!$F:$F,Datos!$A:$A,$B5,Datos!$B:$B,HM$3)</f>
        <v>0</v>
      </c>
      <c r="HN5" s="16">
        <f>SUMIFS(Datos!$F:$F,Datos!$A:$A,$B5,Datos!$B:$B,HN$3)</f>
        <v>0</v>
      </c>
      <c r="HO5" s="16">
        <f>SUMIFS(Datos!$F:$F,Datos!$A:$A,$B5,Datos!$B:$B,HO$3)</f>
        <v>0</v>
      </c>
      <c r="HP5" s="16">
        <f>SUMIFS(Datos!$F:$F,Datos!$A:$A,$B5,Datos!$B:$B,HP$3)</f>
        <v>0</v>
      </c>
      <c r="HQ5" s="16">
        <f>SUMIFS(Datos!$F:$F,Datos!$A:$A,$B5,Datos!$B:$B,HQ$3)</f>
        <v>0</v>
      </c>
      <c r="HR5" s="16">
        <f>SUMIFS(Datos!$F:$F,Datos!$A:$A,$B5,Datos!$B:$B,HR$3)</f>
        <v>0</v>
      </c>
      <c r="HS5" s="16">
        <f>SUMIFS(Datos!$F:$F,Datos!$A:$A,$B5,Datos!$B:$B,HS$3)</f>
        <v>0</v>
      </c>
      <c r="HT5" s="16">
        <f>SUMIFS(Datos!$F:$F,Datos!$A:$A,$B5,Datos!$B:$B,HT$3)</f>
        <v>0</v>
      </c>
      <c r="HU5" s="16">
        <f>SUMIFS(Datos!$F:$F,Datos!$A:$A,$B5,Datos!$B:$B,HU$3)</f>
        <v>0</v>
      </c>
      <c r="HV5" s="16">
        <f>SUMIFS(Datos!$F:$F,Datos!$A:$A,$B5,Datos!$B:$B,HV$3)</f>
        <v>0</v>
      </c>
      <c r="HW5" s="16">
        <f>SUMIFS(Datos!$F:$F,Datos!$A:$A,$B5,Datos!$B:$B,HW$3)</f>
        <v>0</v>
      </c>
      <c r="HX5" s="16">
        <f>SUMIFS(Datos!$F:$F,Datos!$A:$A,$B5,Datos!$B:$B,HX$3)</f>
        <v>0</v>
      </c>
      <c r="HY5" s="16">
        <f>SUMIFS(Datos!$F:$F,Datos!$A:$A,$B5,Datos!$B:$B,HY$3)</f>
        <v>0</v>
      </c>
      <c r="HZ5" s="16">
        <f>SUMIFS(Datos!$F:$F,Datos!$A:$A,$B5,Datos!$B:$B,HZ$3)</f>
        <v>0</v>
      </c>
      <c r="IA5" s="16">
        <f>SUMIFS(Datos!$F:$F,Datos!$A:$A,$B5,Datos!$B:$B,IA$3)</f>
        <v>0</v>
      </c>
      <c r="IB5" s="16">
        <f>SUMIFS(Datos!$F:$F,Datos!$A:$A,$B5,Datos!$B:$B,IB$3)</f>
        <v>0</v>
      </c>
      <c r="IC5" s="16">
        <f>SUMIFS(Datos!$F:$F,Datos!$A:$A,$B5,Datos!$B:$B,IC$3)</f>
        <v>0</v>
      </c>
      <c r="ID5" s="16">
        <f>SUMIFS(Datos!$F:$F,Datos!$A:$A,$B5,Datos!$B:$B,ID$3)</f>
        <v>0</v>
      </c>
      <c r="IE5" s="16">
        <f>SUMIFS(Datos!$F:$F,Datos!$A:$A,$B5,Datos!$B:$B,IE$3)</f>
        <v>0</v>
      </c>
      <c r="IF5" s="16">
        <f>SUMIFS(Datos!$F:$F,Datos!$A:$A,$B5,Datos!$B:$B,IF$3)</f>
        <v>0</v>
      </c>
      <c r="IG5" s="16">
        <f>SUMIFS(Datos!$F:$F,Datos!$A:$A,$B5,Datos!$B:$B,IG$3)</f>
        <v>0</v>
      </c>
      <c r="IH5" s="16">
        <f>SUMIFS(Datos!$F:$F,Datos!$A:$A,$B5,Datos!$B:$B,IH$3)</f>
        <v>0</v>
      </c>
      <c r="II5" s="16">
        <f>SUMIFS(Datos!$F:$F,Datos!$A:$A,$B5,Datos!$B:$B,II$3)</f>
        <v>0</v>
      </c>
      <c r="IJ5" s="16">
        <f>SUMIFS(Datos!$F:$F,Datos!$A:$A,$B5,Datos!$B:$B,IJ$3)</f>
        <v>0</v>
      </c>
      <c r="IK5" s="16">
        <f>SUMIFS(Datos!$F:$F,Datos!$A:$A,$B5,Datos!$B:$B,IK$3)</f>
        <v>0</v>
      </c>
      <c r="IL5" s="16">
        <f>SUMIFS(Datos!$F:$F,Datos!$A:$A,$B5,Datos!$B:$B,IL$3)</f>
        <v>0</v>
      </c>
      <c r="IM5" s="16">
        <f>SUMIFS(Datos!$F:$F,Datos!$A:$A,$B5,Datos!$B:$B,IM$3)</f>
        <v>0</v>
      </c>
      <c r="IN5" s="16">
        <f>SUMIFS(Datos!$F:$F,Datos!$A:$A,$B5,Datos!$B:$B,IN$3)</f>
        <v>0</v>
      </c>
      <c r="IO5" s="16">
        <f>SUMIFS(Datos!$F:$F,Datos!$A:$A,$B5,Datos!$B:$B,IO$3)</f>
        <v>0</v>
      </c>
      <c r="IP5" s="16">
        <f>SUMIFS(Datos!$F:$F,Datos!$A:$A,$B5,Datos!$B:$B,IP$3)</f>
        <v>0</v>
      </c>
      <c r="IQ5" s="16">
        <f>SUMIFS(Datos!$F:$F,Datos!$A:$A,$B5,Datos!$B:$B,IQ$3)</f>
        <v>0</v>
      </c>
      <c r="IR5" s="16">
        <f>SUMIFS(Datos!$F:$F,Datos!$A:$A,$B5,Datos!$B:$B,IR$3)</f>
        <v>0</v>
      </c>
      <c r="IS5" s="16">
        <f>SUMIFS(Datos!$F:$F,Datos!$A:$A,$B5,Datos!$B:$B,IS$3)</f>
        <v>0</v>
      </c>
      <c r="IT5" s="16">
        <f>SUMIFS(Datos!$F:$F,Datos!$A:$A,$B5,Datos!$B:$B,IT$3)</f>
        <v>0</v>
      </c>
      <c r="IU5" s="16">
        <f>SUMIFS(Datos!$F:$F,Datos!$A:$A,$B5,Datos!$B:$B,IU$3)</f>
        <v>0</v>
      </c>
      <c r="IV5" s="16">
        <f>SUMIFS(Datos!$F:$F,Datos!$A:$A,$B5,Datos!$B:$B,IV$3)</f>
        <v>0</v>
      </c>
      <c r="IW5" s="16">
        <f>SUMIFS(Datos!$F:$F,Datos!$A:$A,$B5,Datos!$B:$B,IW$3)</f>
        <v>0</v>
      </c>
      <c r="IX5" s="16">
        <f>SUMIFS(Datos!$F:$F,Datos!$A:$A,$B5,Datos!$B:$B,IX$3)</f>
        <v>0</v>
      </c>
      <c r="IY5" s="16">
        <f>SUMIFS(Datos!$F:$F,Datos!$A:$A,$B5,Datos!$B:$B,IY$3)</f>
        <v>0</v>
      </c>
      <c r="IZ5" s="16">
        <f>SUMIFS(Datos!$F:$F,Datos!$A:$A,$B5,Datos!$B:$B,IZ$3)</f>
        <v>0</v>
      </c>
      <c r="JA5" s="16">
        <f>SUMIFS(Datos!$F:$F,Datos!$A:$A,$B5,Datos!$B:$B,JA$3)</f>
        <v>0</v>
      </c>
      <c r="JB5" s="16">
        <f>SUMIFS(Datos!$F:$F,Datos!$A:$A,$B5,Datos!$B:$B,JB$3)</f>
        <v>0</v>
      </c>
      <c r="JC5" s="16">
        <f>SUMIFS(Datos!$F:$F,Datos!$A:$A,$B5,Datos!$B:$B,JC$3)</f>
        <v>0</v>
      </c>
      <c r="JD5" s="16">
        <f>SUMIFS(Datos!$F:$F,Datos!$A:$A,$B5,Datos!$B:$B,JD$3)</f>
        <v>0</v>
      </c>
      <c r="JE5" s="16">
        <f>SUMIFS(Datos!$F:$F,Datos!$A:$A,$B5,Datos!$B:$B,JE$3)</f>
        <v>0</v>
      </c>
      <c r="JF5" s="16">
        <f>SUMIFS(Datos!$F:$F,Datos!$A:$A,$B5,Datos!$B:$B,JF$3)</f>
        <v>0</v>
      </c>
      <c r="JG5" s="16">
        <f>SUMIFS(Datos!$F:$F,Datos!$A:$A,$B5,Datos!$B:$B,JG$3)</f>
        <v>0</v>
      </c>
      <c r="JH5" s="16">
        <f>SUMIFS(Datos!$F:$F,Datos!$A:$A,$B5,Datos!$B:$B,JH$3)</f>
        <v>0</v>
      </c>
      <c r="JI5" s="16">
        <f>SUMIFS(Datos!$F:$F,Datos!$A:$A,$B5,Datos!$B:$B,JI$3)</f>
        <v>0</v>
      </c>
      <c r="JJ5" s="16">
        <f>SUMIFS(Datos!$F:$F,Datos!$A:$A,$B5,Datos!$B:$B,JJ$3)</f>
        <v>0</v>
      </c>
      <c r="JK5" s="16">
        <f>SUMIFS(Datos!$F:$F,Datos!$A:$A,$B5,Datos!$B:$B,JK$3)</f>
        <v>0</v>
      </c>
      <c r="JL5" s="16">
        <f>SUMIFS(Datos!$F:$F,Datos!$A:$A,$B5,Datos!$B:$B,JL$3)</f>
        <v>0</v>
      </c>
      <c r="JM5" s="16">
        <f>SUMIFS(Datos!$F:$F,Datos!$A:$A,$B5,Datos!$B:$B,JM$3)</f>
        <v>0</v>
      </c>
      <c r="JN5" s="16">
        <f>SUMIFS(Datos!$F:$F,Datos!$A:$A,$B5,Datos!$B:$B,JN$3)</f>
        <v>0</v>
      </c>
      <c r="JO5" s="16">
        <f>SUMIFS(Datos!$F:$F,Datos!$A:$A,$B5,Datos!$B:$B,JO$3)</f>
        <v>0</v>
      </c>
      <c r="JP5" s="16">
        <f>SUMIFS(Datos!$F:$F,Datos!$A:$A,$B5,Datos!$B:$B,JP$3)</f>
        <v>0</v>
      </c>
      <c r="JQ5" s="16">
        <f>SUMIFS(Datos!$F:$F,Datos!$A:$A,$B5,Datos!$B:$B,JQ$3)</f>
        <v>0</v>
      </c>
      <c r="JR5" s="16">
        <f>SUMIFS(Datos!$F:$F,Datos!$A:$A,$B5,Datos!$B:$B,JR$3)</f>
        <v>0</v>
      </c>
      <c r="JS5" s="16">
        <f>SUMIFS(Datos!$F:$F,Datos!$A:$A,$B5,Datos!$B:$B,JS$3)</f>
        <v>0</v>
      </c>
      <c r="JT5" s="16">
        <f>SUMIFS(Datos!$F:$F,Datos!$A:$A,$B5,Datos!$B:$B,JT$3)</f>
        <v>0</v>
      </c>
      <c r="JU5" s="16">
        <f>SUMIFS(Datos!$F:$F,Datos!$A:$A,$B5,Datos!$B:$B,JU$3)</f>
        <v>0</v>
      </c>
      <c r="JV5" s="16">
        <f>SUMIFS(Datos!$F:$F,Datos!$A:$A,$B5,Datos!$B:$B,JV$3)</f>
        <v>0</v>
      </c>
      <c r="JW5" s="16">
        <f>SUMIFS(Datos!$F:$F,Datos!$A:$A,$B5,Datos!$B:$B,JW$3)</f>
        <v>0</v>
      </c>
      <c r="JX5" s="16">
        <f>SUMIFS(Datos!$F:$F,Datos!$A:$A,$B5,Datos!$B:$B,JX$3)</f>
        <v>0</v>
      </c>
      <c r="JY5" s="16">
        <f>SUMIFS(Datos!$F:$F,Datos!$A:$A,$B5,Datos!$B:$B,JY$3)</f>
        <v>0</v>
      </c>
      <c r="JZ5" s="16">
        <f>SUMIFS(Datos!$F:$F,Datos!$A:$A,$B5,Datos!$B:$B,JZ$3)</f>
        <v>0</v>
      </c>
      <c r="KA5" s="16">
        <f>SUMIFS(Datos!$F:$F,Datos!$A:$A,$B5,Datos!$B:$B,KA$3)</f>
        <v>0</v>
      </c>
      <c r="KB5" s="16">
        <f>SUMIFS(Datos!$F:$F,Datos!$A:$A,$B5,Datos!$B:$B,KB$3)</f>
        <v>0</v>
      </c>
      <c r="KC5" s="16">
        <f>SUMIFS(Datos!$F:$F,Datos!$A:$A,$B5,Datos!$B:$B,KC$3)</f>
        <v>0</v>
      </c>
      <c r="KD5" s="16">
        <f>SUMIFS(Datos!$F:$F,Datos!$A:$A,$B5,Datos!$B:$B,KD$3)</f>
        <v>0</v>
      </c>
      <c r="KE5" s="16">
        <f>SUMIFS(Datos!$F:$F,Datos!$A:$A,$B5,Datos!$B:$B,KE$3)</f>
        <v>0</v>
      </c>
      <c r="KF5" s="16">
        <f>SUMIFS(Datos!$F:$F,Datos!$A:$A,$B5,Datos!$B:$B,KF$3)</f>
        <v>0</v>
      </c>
      <c r="KG5" s="16">
        <f>SUMIFS(Datos!$F:$F,Datos!$A:$A,$B5,Datos!$B:$B,KG$3)</f>
        <v>0</v>
      </c>
      <c r="KH5" s="16">
        <f>SUMIFS(Datos!$F:$F,Datos!$A:$A,$B5,Datos!$B:$B,KH$3)</f>
        <v>0</v>
      </c>
      <c r="KI5" s="16">
        <f>SUMIFS(Datos!$F:$F,Datos!$A:$A,$B5,Datos!$B:$B,KI$3)</f>
        <v>0</v>
      </c>
      <c r="KJ5" s="16">
        <f>SUMIFS(Datos!$F:$F,Datos!$A:$A,$B5,Datos!$B:$B,KJ$3)</f>
        <v>0</v>
      </c>
      <c r="KK5" s="16">
        <f>SUMIFS(Datos!$F:$F,Datos!$A:$A,$B5,Datos!$B:$B,KK$3)</f>
        <v>0</v>
      </c>
      <c r="KL5" s="16">
        <f>SUMIFS(Datos!$F:$F,Datos!$A:$A,$B5,Datos!$B:$B,KL$3)</f>
        <v>0</v>
      </c>
      <c r="KM5" s="16">
        <f>SUMIFS(Datos!$F:$F,Datos!$A:$A,$B5,Datos!$B:$B,KM$3)</f>
        <v>0</v>
      </c>
      <c r="KN5" s="16">
        <f>SUMIFS(Datos!$F:$F,Datos!$A:$A,$B5,Datos!$B:$B,KN$3)</f>
        <v>0</v>
      </c>
      <c r="KO5" s="16">
        <f>SUMIFS(Datos!$F:$F,Datos!$A:$A,$B5,Datos!$B:$B,KO$3)</f>
        <v>0</v>
      </c>
      <c r="KP5" s="16">
        <f>SUMIFS(Datos!$F:$F,Datos!$A:$A,$B5,Datos!$B:$B,KP$3)</f>
        <v>0</v>
      </c>
      <c r="KQ5" s="16">
        <f>SUMIFS(Datos!$F:$F,Datos!$A:$A,$B5,Datos!$B:$B,KQ$3)</f>
        <v>0</v>
      </c>
      <c r="KR5" s="16">
        <f>SUMIFS(Datos!$F:$F,Datos!$A:$A,$B5,Datos!$B:$B,KR$3)</f>
        <v>0</v>
      </c>
      <c r="KS5" s="16">
        <f>SUMIFS(Datos!$F:$F,Datos!$A:$A,$B5,Datos!$B:$B,KS$3)</f>
        <v>0</v>
      </c>
      <c r="KT5" s="16">
        <f>SUMIFS(Datos!$F:$F,Datos!$A:$A,$B5,Datos!$B:$B,KT$3)</f>
        <v>0</v>
      </c>
      <c r="KU5" s="16">
        <f>SUMIFS(Datos!$F:$F,Datos!$A:$A,$B5,Datos!$B:$B,KU$3)</f>
        <v>0</v>
      </c>
      <c r="KV5" s="16">
        <f>SUMIFS(Datos!$F:$F,Datos!$A:$A,$B5,Datos!$B:$B,KV$3)</f>
        <v>0</v>
      </c>
      <c r="KW5" s="16">
        <f>SUMIFS(Datos!$F:$F,Datos!$A:$A,$B5,Datos!$B:$B,KW$3)</f>
        <v>0</v>
      </c>
      <c r="KX5" s="16">
        <f>SUMIFS(Datos!$F:$F,Datos!$A:$A,$B5,Datos!$B:$B,KX$3)</f>
        <v>0</v>
      </c>
      <c r="KY5" s="16">
        <f>SUMIFS(Datos!$F:$F,Datos!$A:$A,$B5,Datos!$B:$B,KY$3)</f>
        <v>0</v>
      </c>
      <c r="KZ5" s="16">
        <f>SUMIFS(Datos!$F:$F,Datos!$A:$A,$B5,Datos!$B:$B,KZ$3)</f>
        <v>0</v>
      </c>
      <c r="LA5" s="16">
        <f>SUMIFS(Datos!$F:$F,Datos!$A:$A,$B5,Datos!$B:$B,LA$3)</f>
        <v>0</v>
      </c>
      <c r="LB5" s="16">
        <f>SUMIFS(Datos!$F:$F,Datos!$A:$A,$B5,Datos!$B:$B,LB$3)</f>
        <v>0</v>
      </c>
      <c r="LC5" s="16">
        <f>SUMIFS(Datos!$F:$F,Datos!$A:$A,$B5,Datos!$B:$B,LC$3)</f>
        <v>0</v>
      </c>
      <c r="LD5" s="16">
        <f>SUMIFS(Datos!$F:$F,Datos!$A:$A,$B5,Datos!$B:$B,LD$3)</f>
        <v>0</v>
      </c>
      <c r="LE5" s="16">
        <f>SUMIFS(Datos!$F:$F,Datos!$A:$A,$B5,Datos!$B:$B,LE$3)</f>
        <v>0</v>
      </c>
      <c r="LF5" s="16">
        <f>SUMIFS(Datos!$F:$F,Datos!$A:$A,$B5,Datos!$B:$B,LF$3)</f>
        <v>0</v>
      </c>
      <c r="LG5" s="16">
        <f>SUMIFS(Datos!$F:$F,Datos!$A:$A,$B5,Datos!$B:$B,LG$3)</f>
        <v>0</v>
      </c>
      <c r="LH5" s="16">
        <f>SUMIFS(Datos!$F:$F,Datos!$A:$A,$B5,Datos!$B:$B,LH$3)</f>
        <v>0</v>
      </c>
      <c r="LI5" s="16">
        <f>SUMIFS(Datos!$F:$F,Datos!$A:$A,$B5,Datos!$B:$B,LI$3)</f>
        <v>0</v>
      </c>
      <c r="LJ5" s="16">
        <f>SUMIFS(Datos!$F:$F,Datos!$A:$A,$B5,Datos!$B:$B,LJ$3)</f>
        <v>0</v>
      </c>
      <c r="LK5" s="16">
        <f>SUMIFS(Datos!$F:$F,Datos!$A:$A,$B5,Datos!$B:$B,LK$3)</f>
        <v>0</v>
      </c>
      <c r="LL5" s="16">
        <f>SUMIFS(Datos!$F:$F,Datos!$A:$A,$B5,Datos!$B:$B,LL$3)</f>
        <v>0</v>
      </c>
      <c r="LM5" s="16">
        <f>SUMIFS(Datos!$F:$F,Datos!$A:$A,$B5,Datos!$B:$B,LM$3)</f>
        <v>0</v>
      </c>
      <c r="LN5" s="16">
        <f>SUMIFS(Datos!$F:$F,Datos!$A:$A,$B5,Datos!$B:$B,LN$3)</f>
        <v>0</v>
      </c>
      <c r="LO5" s="16">
        <f>SUMIFS(Datos!$F:$F,Datos!$A:$A,$B5,Datos!$B:$B,LO$3)</f>
        <v>0</v>
      </c>
      <c r="LP5" s="16">
        <f>SUMIFS(Datos!$F:$F,Datos!$A:$A,$B5,Datos!$B:$B,LP$3)</f>
        <v>0</v>
      </c>
      <c r="LQ5" s="16">
        <f>SUMIFS(Datos!$F:$F,Datos!$A:$A,$B5,Datos!$B:$B,LQ$3)</f>
        <v>0</v>
      </c>
      <c r="LR5" s="16">
        <f>SUMIFS(Datos!$F:$F,Datos!$A:$A,$B5,Datos!$B:$B,LR$3)</f>
        <v>0</v>
      </c>
      <c r="LS5" s="16">
        <f>SUMIFS(Datos!$F:$F,Datos!$A:$A,$B5,Datos!$B:$B,LS$3)</f>
        <v>0</v>
      </c>
      <c r="LT5" s="16">
        <f>SUMIFS(Datos!$F:$F,Datos!$A:$A,$B5,Datos!$B:$B,LT$3)</f>
        <v>0</v>
      </c>
      <c r="LU5" s="16">
        <f>SUMIFS(Datos!$F:$F,Datos!$A:$A,$B5,Datos!$B:$B,LU$3)</f>
        <v>0</v>
      </c>
      <c r="LV5" s="16">
        <f>SUMIFS(Datos!$F:$F,Datos!$A:$A,$B5,Datos!$B:$B,LV$3)</f>
        <v>0</v>
      </c>
      <c r="LW5" s="16">
        <f>SUMIFS(Datos!$F:$F,Datos!$A:$A,$B5,Datos!$B:$B,LW$3)</f>
        <v>0</v>
      </c>
      <c r="LX5" s="16">
        <f>SUMIFS(Datos!$F:$F,Datos!$A:$A,$B5,Datos!$B:$B,LX$3)</f>
        <v>0</v>
      </c>
      <c r="LY5" s="16">
        <f>SUMIFS(Datos!$F:$F,Datos!$A:$A,$B5,Datos!$B:$B,LY$3)</f>
        <v>0</v>
      </c>
      <c r="LZ5" s="16">
        <f>SUMIFS(Datos!$F:$F,Datos!$A:$A,$B5,Datos!$B:$B,LZ$3)</f>
        <v>0</v>
      </c>
      <c r="MA5" s="16">
        <f>SUMIFS(Datos!$F:$F,Datos!$A:$A,$B5,Datos!$B:$B,MA$3)</f>
        <v>0</v>
      </c>
      <c r="MB5" s="16">
        <f>SUMIFS(Datos!$F:$F,Datos!$A:$A,$B5,Datos!$B:$B,MB$3)</f>
        <v>0</v>
      </c>
      <c r="MC5" s="16">
        <f>SUMIFS(Datos!$F:$F,Datos!$A:$A,$B5,Datos!$B:$B,MC$3)</f>
        <v>0</v>
      </c>
      <c r="MD5" s="16">
        <f>SUMIFS(Datos!$F:$F,Datos!$A:$A,$B5,Datos!$B:$B,MD$3)</f>
        <v>0</v>
      </c>
      <c r="ME5" s="16">
        <f>SUMIFS(Datos!$F:$F,Datos!$A:$A,$B5,Datos!$B:$B,ME$3)</f>
        <v>0</v>
      </c>
      <c r="MF5" s="16">
        <f>SUMIFS(Datos!$F:$F,Datos!$A:$A,$B5,Datos!$B:$B,MF$3)</f>
        <v>0</v>
      </c>
      <c r="MG5" s="16">
        <f>SUMIFS(Datos!$F:$F,Datos!$A:$A,$B5,Datos!$B:$B,MG$3)</f>
        <v>0</v>
      </c>
      <c r="MH5" s="16">
        <f>SUMIFS(Datos!$F:$F,Datos!$A:$A,$B5,Datos!$B:$B,MH$3)</f>
        <v>0</v>
      </c>
      <c r="MI5" s="16">
        <f>SUMIFS(Datos!$F:$F,Datos!$A:$A,$B5,Datos!$B:$B,MI$3)</f>
        <v>0</v>
      </c>
      <c r="MJ5" s="16">
        <f>SUMIFS(Datos!$F:$F,Datos!$A:$A,$B5,Datos!$B:$B,MJ$3)</f>
        <v>0</v>
      </c>
      <c r="MK5" s="16">
        <f>SUMIFS(Datos!$F:$F,Datos!$A:$A,$B5,Datos!$B:$B,MK$3)</f>
        <v>0</v>
      </c>
      <c r="ML5" s="16">
        <f>SUMIFS(Datos!$F:$F,Datos!$A:$A,$B5,Datos!$B:$B,ML$3)</f>
        <v>0</v>
      </c>
      <c r="MM5" s="16">
        <f>SUMIFS(Datos!$F:$F,Datos!$A:$A,$B5,Datos!$B:$B,MM$3)</f>
        <v>0</v>
      </c>
      <c r="MN5" s="16">
        <f>SUMIFS(Datos!$F:$F,Datos!$A:$A,$B5,Datos!$B:$B,MN$3)</f>
        <v>0</v>
      </c>
      <c r="MO5" s="16">
        <f>SUMIFS(Datos!$F:$F,Datos!$A:$A,$B5,Datos!$B:$B,MO$3)</f>
        <v>0</v>
      </c>
      <c r="MP5" s="16">
        <f>SUMIFS(Datos!$F:$F,Datos!$A:$A,$B5,Datos!$B:$B,MP$3)</f>
        <v>0</v>
      </c>
      <c r="MQ5" s="16">
        <f>SUMIFS(Datos!$F:$F,Datos!$A:$A,$B5,Datos!$B:$B,MQ$3)</f>
        <v>0</v>
      </c>
      <c r="MR5" s="16">
        <f>SUMIFS(Datos!$F:$F,Datos!$A:$A,$B5,Datos!$B:$B,MR$3)</f>
        <v>0</v>
      </c>
      <c r="MS5" s="16">
        <f>SUMIFS(Datos!$F:$F,Datos!$A:$A,$B5,Datos!$B:$B,MS$3)</f>
        <v>0</v>
      </c>
      <c r="MT5" s="16">
        <f>SUMIFS(Datos!$F:$F,Datos!$A:$A,$B5,Datos!$B:$B,MT$3)</f>
        <v>0</v>
      </c>
      <c r="MU5" s="16">
        <f>SUMIFS(Datos!$F:$F,Datos!$A:$A,$B5,Datos!$B:$B,MU$3)</f>
        <v>0</v>
      </c>
      <c r="MV5" s="16">
        <f>SUMIFS(Datos!$F:$F,Datos!$A:$A,$B5,Datos!$B:$B,MV$3)</f>
        <v>0</v>
      </c>
      <c r="MW5" s="16">
        <f>SUMIFS(Datos!$F:$F,Datos!$A:$A,$B5,Datos!$B:$B,MW$3)</f>
        <v>0</v>
      </c>
      <c r="MX5" s="16">
        <f>SUMIFS(Datos!$F:$F,Datos!$A:$A,$B5,Datos!$B:$B,MX$3)</f>
        <v>0</v>
      </c>
      <c r="MY5" s="16">
        <f>SUMIFS(Datos!$F:$F,Datos!$A:$A,$B5,Datos!$B:$B,MY$3)</f>
        <v>0</v>
      </c>
      <c r="MZ5" s="16">
        <f>SUMIFS(Datos!$F:$F,Datos!$A:$A,$B5,Datos!$B:$B,MZ$3)</f>
        <v>0</v>
      </c>
      <c r="NA5" s="16">
        <f>SUMIFS(Datos!$F:$F,Datos!$A:$A,$B5,Datos!$B:$B,NA$3)</f>
        <v>0</v>
      </c>
      <c r="NB5" s="16">
        <f>SUMIFS(Datos!$F:$F,Datos!$A:$A,$B5,Datos!$B:$B,NB$3)</f>
        <v>0</v>
      </c>
      <c r="NC5" s="16">
        <f>SUMIFS(Datos!$F:$F,Datos!$A:$A,$B5,Datos!$B:$B,NC$3)</f>
        <v>0</v>
      </c>
      <c r="ND5" s="16">
        <f>SUMIFS(Datos!$F:$F,Datos!$A:$A,$B5,Datos!$B:$B,ND$3)</f>
        <v>0</v>
      </c>
      <c r="NE5" s="16">
        <f>SUMIFS(Datos!$F:$F,Datos!$A:$A,$B5,Datos!$B:$B,NE$3)</f>
        <v>0</v>
      </c>
      <c r="NF5" s="16">
        <f>SUMIFS(Datos!$F:$F,Datos!$A:$A,$B5,Datos!$B:$B,NF$3)</f>
        <v>0</v>
      </c>
      <c r="NG5" s="16">
        <f>SUMIFS(Datos!$F:$F,Datos!$A:$A,$B5,Datos!$B:$B,NG$3)</f>
        <v>0</v>
      </c>
      <c r="NH5" s="16">
        <f>SUMIFS(Datos!$F:$F,Datos!$A:$A,$B5,Datos!$B:$B,NH$3)</f>
        <v>0</v>
      </c>
      <c r="NI5" s="16">
        <f>SUMIFS(Datos!$F:$F,Datos!$A:$A,$B5,Datos!$B:$B,NI$3)</f>
        <v>0</v>
      </c>
      <c r="NJ5" s="16">
        <f>SUMIFS(Datos!$F:$F,Datos!$A:$A,$B5,Datos!$B:$B,NJ$3)</f>
        <v>0</v>
      </c>
      <c r="NK5" s="16">
        <f>SUMIFS(Datos!$F:$F,Datos!$A:$A,$B5,Datos!$B:$B,NK$3)</f>
        <v>0</v>
      </c>
      <c r="NL5" s="16">
        <f>SUMIFS(Datos!$F:$F,Datos!$A:$A,$B5,Datos!$B:$B,NL$3)</f>
        <v>0</v>
      </c>
      <c r="NM5" s="16">
        <f>SUMIFS(Datos!$F:$F,Datos!$A:$A,$B5,Datos!$B:$B,NM$3)</f>
        <v>0</v>
      </c>
      <c r="NN5" s="16">
        <f>SUMIFS(Datos!$F:$F,Datos!$A:$A,$B5,Datos!$B:$B,NN$3)</f>
        <v>0</v>
      </c>
      <c r="NO5" s="16">
        <f>SUMIFS(Datos!$F:$F,Datos!$A:$A,$B5,Datos!$B:$B,NO$3)</f>
        <v>0</v>
      </c>
      <c r="NP5" s="16">
        <f>SUMIFS(Datos!$F:$F,Datos!$A:$A,$B5,Datos!$B:$B,NP$3)</f>
        <v>0</v>
      </c>
      <c r="NQ5" s="16">
        <f>SUMIFS(Datos!$F:$F,Datos!$A:$A,$B5,Datos!$B:$B,NQ$3)</f>
        <v>0</v>
      </c>
      <c r="NR5" s="16">
        <f>SUMIFS(Datos!$F:$F,Datos!$A:$A,$B5,Datos!$B:$B,NR$3)</f>
        <v>0</v>
      </c>
      <c r="NS5" s="16">
        <f>SUMIFS(Datos!$F:$F,Datos!$A:$A,$B5,Datos!$B:$B,NS$3)</f>
        <v>0</v>
      </c>
      <c r="NT5" s="16">
        <f>SUMIFS(Datos!$F:$F,Datos!$A:$A,$B5,Datos!$B:$B,NT$3)</f>
        <v>0</v>
      </c>
      <c r="NU5" s="16">
        <f>SUMIFS(Datos!$F:$F,Datos!$A:$A,$B5,Datos!$B:$B,NU$3)</f>
        <v>0</v>
      </c>
      <c r="NV5" s="16">
        <f>SUMIFS(Datos!$F:$F,Datos!$A:$A,$B5,Datos!$B:$B,NV$3)</f>
        <v>0</v>
      </c>
      <c r="NW5" s="16">
        <f>SUMIFS(Datos!$F:$F,Datos!$A:$A,$B5,Datos!$B:$B,NW$3)</f>
        <v>0</v>
      </c>
      <c r="NX5" s="16">
        <f>SUMIFS(Datos!$F:$F,Datos!$A:$A,$B5,Datos!$B:$B,NX$3)</f>
        <v>0</v>
      </c>
      <c r="NY5" s="16">
        <f>SUMIFS(Datos!$F:$F,Datos!$A:$A,$B5,Datos!$B:$B,NY$3)</f>
        <v>0</v>
      </c>
      <c r="NZ5" s="16">
        <f>SUMIFS(Datos!$F:$F,Datos!$A:$A,$B5,Datos!$B:$B,NZ$3)</f>
        <v>0</v>
      </c>
      <c r="OA5" s="16">
        <f>SUMIFS(Datos!$F:$F,Datos!$A:$A,$B5,Datos!$B:$B,OA$3)</f>
        <v>0</v>
      </c>
      <c r="OB5" s="16">
        <f>SUMIFS(Datos!$F:$F,Datos!$A:$A,$B5,Datos!$B:$B,OB$3)</f>
        <v>0</v>
      </c>
      <c r="OC5" s="16">
        <f>SUMIFS(Datos!$F:$F,Datos!$A:$A,$B5,Datos!$B:$B,OC$3)</f>
        <v>0</v>
      </c>
      <c r="OD5" s="16">
        <f>SUMIFS(Datos!$F:$F,Datos!$A:$A,$B5,Datos!$B:$B,OD$3)</f>
        <v>0</v>
      </c>
      <c r="OE5" s="16">
        <f>SUMIFS(Datos!$F:$F,Datos!$A:$A,$B5,Datos!$B:$B,OE$3)</f>
        <v>0</v>
      </c>
      <c r="OF5" s="16">
        <f>SUMIFS(Datos!$F:$F,Datos!$A:$A,$B5,Datos!$B:$B,OF$3)</f>
        <v>0</v>
      </c>
      <c r="OG5" s="16">
        <f>SUMIFS(Datos!$F:$F,Datos!$A:$A,$B5,Datos!$B:$B,OG$3)</f>
        <v>0</v>
      </c>
      <c r="OH5" s="16">
        <f>SUMIFS(Datos!$F:$F,Datos!$A:$A,$B5,Datos!$B:$B,OH$3)</f>
        <v>0</v>
      </c>
      <c r="OI5" s="16">
        <f>SUMIFS(Datos!$F:$F,Datos!$A:$A,$B5,Datos!$B:$B,OI$3)</f>
        <v>0</v>
      </c>
      <c r="OJ5" s="16">
        <f>SUMIFS(Datos!$F:$F,Datos!$A:$A,$B5,Datos!$B:$B,OJ$3)</f>
        <v>0</v>
      </c>
      <c r="OK5" s="16">
        <f>SUMIFS(Datos!$F:$F,Datos!$A:$A,$B5,Datos!$B:$B,OK$3)</f>
        <v>0</v>
      </c>
      <c r="OL5" s="16">
        <f>SUMIFS(Datos!$F:$F,Datos!$A:$A,$B5,Datos!$B:$B,OL$3)</f>
        <v>0</v>
      </c>
      <c r="OM5" s="16">
        <f>SUMIFS(Datos!$F:$F,Datos!$A:$A,$B5,Datos!$B:$B,OM$3)</f>
        <v>0</v>
      </c>
      <c r="ON5" s="16">
        <f>SUMIFS(Datos!$F:$F,Datos!$A:$A,$B5,Datos!$B:$B,ON$3)</f>
        <v>0</v>
      </c>
      <c r="OO5" s="16">
        <f>SUMIFS(Datos!$F:$F,Datos!$A:$A,$B5,Datos!$B:$B,OO$3)</f>
        <v>0</v>
      </c>
      <c r="OP5" s="16">
        <f>SUMIFS(Datos!$F:$F,Datos!$A:$A,$B5,Datos!$B:$B,OP$3)</f>
        <v>0</v>
      </c>
      <c r="OQ5" s="16">
        <f>SUMIFS(Datos!$F:$F,Datos!$A:$A,$B5,Datos!$B:$B,OQ$3)</f>
        <v>0</v>
      </c>
      <c r="OR5" s="16">
        <f>SUMIFS(Datos!$F:$F,Datos!$A:$A,$B5,Datos!$B:$B,OR$3)</f>
        <v>0</v>
      </c>
      <c r="OS5" s="16">
        <f>SUMIFS(Datos!$F:$F,Datos!$A:$A,$B5,Datos!$B:$B,OS$3)</f>
        <v>0</v>
      </c>
      <c r="OT5" s="16">
        <f>SUMIFS(Datos!$F:$F,Datos!$A:$A,$B5,Datos!$B:$B,OT$3)</f>
        <v>0</v>
      </c>
      <c r="OU5" s="16">
        <f>SUMIFS(Datos!$F:$F,Datos!$A:$A,$B5,Datos!$B:$B,OU$3)</f>
        <v>0</v>
      </c>
      <c r="OV5" s="16">
        <f>SUMIFS(Datos!$F:$F,Datos!$A:$A,$B5,Datos!$B:$B,OV$3)</f>
        <v>0</v>
      </c>
      <c r="OW5" s="16">
        <f>SUMIFS(Datos!$F:$F,Datos!$A:$A,$B5,Datos!$B:$B,OW$3)</f>
        <v>0</v>
      </c>
      <c r="OX5" s="16">
        <f>SUMIFS(Datos!$F:$F,Datos!$A:$A,$B5,Datos!$B:$B,OX$3)</f>
        <v>0</v>
      </c>
      <c r="OY5" s="16">
        <f>SUMIFS(Datos!$F:$F,Datos!$A:$A,$B5,Datos!$B:$B,OY$3)</f>
        <v>0</v>
      </c>
      <c r="OZ5" s="16">
        <f>SUMIFS(Datos!$F:$F,Datos!$A:$A,$B5,Datos!$B:$B,OZ$3)</f>
        <v>0</v>
      </c>
      <c r="PA5" s="16">
        <f>SUMIFS(Datos!$F:$F,Datos!$A:$A,$B5,Datos!$B:$B,PA$3)</f>
        <v>0</v>
      </c>
      <c r="PB5" s="16">
        <f>SUMIFS(Datos!$F:$F,Datos!$A:$A,$B5,Datos!$B:$B,PB$3)</f>
        <v>0</v>
      </c>
      <c r="PC5" s="16">
        <f>SUMIFS(Datos!$F:$F,Datos!$A:$A,$B5,Datos!$B:$B,PC$3)</f>
        <v>0</v>
      </c>
      <c r="PD5" s="16">
        <f>SUMIFS(Datos!$F:$F,Datos!$A:$A,$B5,Datos!$B:$B,PD$3)</f>
        <v>0</v>
      </c>
      <c r="PE5" s="16">
        <f>SUMIFS(Datos!$F:$F,Datos!$A:$A,$B5,Datos!$B:$B,PE$3)</f>
        <v>0</v>
      </c>
      <c r="PF5" s="16">
        <f>SUMIFS(Datos!$F:$F,Datos!$A:$A,$B5,Datos!$B:$B,PF$3)</f>
        <v>0</v>
      </c>
      <c r="PG5" s="16">
        <f>SUMIFS(Datos!$F:$F,Datos!$A:$A,$B5,Datos!$B:$B,PG$3)</f>
        <v>0</v>
      </c>
      <c r="PH5" s="16">
        <f>SUMIFS(Datos!$F:$F,Datos!$A:$A,$B5,Datos!$B:$B,PH$3)</f>
        <v>0</v>
      </c>
      <c r="PI5" s="16">
        <f>SUMIFS(Datos!$F:$F,Datos!$A:$A,$B5,Datos!$B:$B,PI$3)</f>
        <v>0</v>
      </c>
      <c r="PJ5" s="16">
        <f>SUMIFS(Datos!$F:$F,Datos!$A:$A,$B5,Datos!$B:$B,PJ$3)</f>
        <v>0</v>
      </c>
      <c r="PK5" s="16">
        <f>SUMIFS(Datos!$F:$F,Datos!$A:$A,$B5,Datos!$B:$B,PK$3)</f>
        <v>0</v>
      </c>
      <c r="PL5" s="16">
        <f>SUMIFS(Datos!$F:$F,Datos!$A:$A,$B5,Datos!$B:$B,PL$3)</f>
        <v>0</v>
      </c>
      <c r="PM5" s="16">
        <f>SUMIFS(Datos!$F:$F,Datos!$A:$A,$B5,Datos!$B:$B,PM$3)</f>
        <v>0</v>
      </c>
      <c r="PN5" s="16">
        <f>SUMIFS(Datos!$F:$F,Datos!$A:$A,$B5,Datos!$B:$B,PN$3)</f>
        <v>0</v>
      </c>
      <c r="PO5" s="16">
        <f>SUMIFS(Datos!$F:$F,Datos!$A:$A,$B5,Datos!$B:$B,PO$3)</f>
        <v>0</v>
      </c>
      <c r="PP5" s="16">
        <f>SUMIFS(Datos!$F:$F,Datos!$A:$A,$B5,Datos!$B:$B,PP$3)</f>
        <v>0</v>
      </c>
      <c r="PQ5" s="16">
        <f>SUMIFS(Datos!$F:$F,Datos!$A:$A,$B5,Datos!$B:$B,PQ$3)</f>
        <v>0</v>
      </c>
      <c r="PR5" s="16">
        <f>SUMIFS(Datos!$F:$F,Datos!$A:$A,$B5,Datos!$B:$B,PR$3)</f>
        <v>0</v>
      </c>
      <c r="PS5" s="16">
        <f>SUMIFS(Datos!$F:$F,Datos!$A:$A,$B5,Datos!$B:$B,PS$3)</f>
        <v>0</v>
      </c>
      <c r="PT5" s="16">
        <f>SUMIFS(Datos!$F:$F,Datos!$A:$A,$B5,Datos!$B:$B,PT$3)</f>
        <v>0</v>
      </c>
      <c r="PU5" s="16">
        <f>SUMIFS(Datos!$F:$F,Datos!$A:$A,$B5,Datos!$B:$B,PU$3)</f>
        <v>0</v>
      </c>
      <c r="PV5" s="16">
        <f>SUMIFS(Datos!$F:$F,Datos!$A:$A,$B5,Datos!$B:$B,PV$3)</f>
        <v>0</v>
      </c>
      <c r="PW5" s="16">
        <f>SUMIFS(Datos!$F:$F,Datos!$A:$A,$B5,Datos!$B:$B,PW$3)</f>
        <v>0</v>
      </c>
      <c r="PX5" s="16">
        <f>SUMIFS(Datos!$F:$F,Datos!$A:$A,$B5,Datos!$B:$B,PX$3)</f>
        <v>0</v>
      </c>
      <c r="PY5" s="16">
        <f>SUMIFS(Datos!$F:$F,Datos!$A:$A,$B5,Datos!$B:$B,PY$3)</f>
        <v>0</v>
      </c>
      <c r="PZ5" s="16">
        <f>SUMIFS(Datos!$F:$F,Datos!$A:$A,$B5,Datos!$B:$B,PZ$3)</f>
        <v>0</v>
      </c>
      <c r="QA5" s="16">
        <f>SUMIFS(Datos!$F:$F,Datos!$A:$A,$B5,Datos!$B:$B,QA$3)</f>
        <v>0</v>
      </c>
      <c r="QB5" s="16">
        <f>SUMIFS(Datos!$F:$F,Datos!$A:$A,$B5,Datos!$B:$B,QB$3)</f>
        <v>0</v>
      </c>
      <c r="QC5" s="16">
        <f>SUMIFS(Datos!$F:$F,Datos!$A:$A,$B5,Datos!$B:$B,QC$3)</f>
        <v>0</v>
      </c>
      <c r="QD5" s="16">
        <f>SUMIFS(Datos!$F:$F,Datos!$A:$A,$B5,Datos!$B:$B,QD$3)</f>
        <v>0</v>
      </c>
      <c r="QE5" s="16">
        <f>SUMIFS(Datos!$F:$F,Datos!$A:$A,$B5,Datos!$B:$B,QE$3)</f>
        <v>0</v>
      </c>
      <c r="QF5" s="16">
        <f>SUMIFS(Datos!$F:$F,Datos!$A:$A,$B5,Datos!$B:$B,QF$3)</f>
        <v>0</v>
      </c>
      <c r="QG5" s="16">
        <f>SUMIFS(Datos!$F:$F,Datos!$A:$A,$B5,Datos!$B:$B,QG$3)</f>
        <v>0</v>
      </c>
      <c r="QH5" s="16">
        <f>SUMIFS(Datos!$F:$F,Datos!$A:$A,$B5,Datos!$B:$B,QH$3)</f>
        <v>0</v>
      </c>
      <c r="QI5" s="16">
        <f>SUMIFS(Datos!$F:$F,Datos!$A:$A,$B5,Datos!$B:$B,QI$3)</f>
        <v>0</v>
      </c>
      <c r="QJ5" s="16">
        <f>SUMIFS(Datos!$F:$F,Datos!$A:$A,$B5,Datos!$B:$B,QJ$3)</f>
        <v>0</v>
      </c>
      <c r="QK5" s="16">
        <f>SUMIFS(Datos!$F:$F,Datos!$A:$A,$B5,Datos!$B:$B,QK$3)</f>
        <v>0</v>
      </c>
      <c r="QL5" s="16">
        <f>SUMIFS(Datos!$F:$F,Datos!$A:$A,$B5,Datos!$B:$B,QL$3)</f>
        <v>0</v>
      </c>
      <c r="QM5" s="16">
        <f>SUMIFS(Datos!$F:$F,Datos!$A:$A,$B5,Datos!$B:$B,QM$3)</f>
        <v>0</v>
      </c>
      <c r="QN5" s="16">
        <f>SUMIFS(Datos!$F:$F,Datos!$A:$A,$B5,Datos!$B:$B,QN$3)</f>
        <v>0</v>
      </c>
      <c r="QO5" s="16">
        <f>SUMIFS(Datos!$F:$F,Datos!$A:$A,$B5,Datos!$B:$B,QO$3)</f>
        <v>0</v>
      </c>
      <c r="QP5" s="16">
        <f>SUMIFS(Datos!$F:$F,Datos!$A:$A,$B5,Datos!$B:$B,QP$3)</f>
        <v>0</v>
      </c>
      <c r="QQ5" s="16">
        <f>SUMIFS(Datos!$F:$F,Datos!$A:$A,$B5,Datos!$B:$B,QQ$3)</f>
        <v>0</v>
      </c>
      <c r="QR5" s="16">
        <f>SUMIFS(Datos!$F:$F,Datos!$A:$A,$B5,Datos!$B:$B,QR$3)</f>
        <v>0</v>
      </c>
      <c r="QS5" s="16">
        <f>SUMIFS(Datos!$F:$F,Datos!$A:$A,$B5,Datos!$B:$B,QS$3)</f>
        <v>0</v>
      </c>
      <c r="QT5" s="16">
        <f>SUMIFS(Datos!$F:$F,Datos!$A:$A,$B5,Datos!$B:$B,QT$3)</f>
        <v>0</v>
      </c>
      <c r="QU5" s="16">
        <f>SUMIFS(Datos!$F:$F,Datos!$A:$A,$B5,Datos!$B:$B,QU$3)</f>
        <v>0</v>
      </c>
      <c r="QV5" s="16">
        <f>SUMIFS(Datos!$F:$F,Datos!$A:$A,$B5,Datos!$B:$B,QV$3)</f>
        <v>0</v>
      </c>
      <c r="QW5" s="16">
        <f>SUMIFS(Datos!$F:$F,Datos!$A:$A,$B5,Datos!$B:$B,QW$3)</f>
        <v>0</v>
      </c>
      <c r="QX5" s="16">
        <f>SUMIFS(Datos!$F:$F,Datos!$A:$A,$B5,Datos!$B:$B,QX$3)</f>
        <v>0</v>
      </c>
      <c r="QY5" s="16">
        <f>SUMIFS(Datos!$F:$F,Datos!$A:$A,$B5,Datos!$B:$B,QY$3)</f>
        <v>0</v>
      </c>
      <c r="QZ5" s="16">
        <f>SUMIFS(Datos!$F:$F,Datos!$A:$A,$B5,Datos!$B:$B,QZ$3)</f>
        <v>0</v>
      </c>
      <c r="RA5" s="16">
        <f>SUMIFS(Datos!$F:$F,Datos!$A:$A,$B5,Datos!$B:$B,RA$3)</f>
        <v>0</v>
      </c>
      <c r="RB5" s="16">
        <f>SUMIFS(Datos!$F:$F,Datos!$A:$A,$B5,Datos!$B:$B,RB$3)</f>
        <v>0</v>
      </c>
      <c r="RC5" s="16">
        <f>SUMIFS(Datos!$F:$F,Datos!$A:$A,$B5,Datos!$B:$B,RC$3)</f>
        <v>0</v>
      </c>
      <c r="RD5" s="16">
        <f>SUMIFS(Datos!$F:$F,Datos!$A:$A,$B5,Datos!$B:$B,RD$3)</f>
        <v>0</v>
      </c>
      <c r="RE5" s="16">
        <f>SUMIFS(Datos!$F:$F,Datos!$A:$A,$B5,Datos!$B:$B,RE$3)</f>
        <v>0</v>
      </c>
      <c r="RF5" s="16">
        <f>SUMIFS(Datos!$F:$F,Datos!$A:$A,$B5,Datos!$B:$B,RF$3)</f>
        <v>0</v>
      </c>
      <c r="RG5" s="16">
        <f>SUMIFS(Datos!$F:$F,Datos!$A:$A,$B5,Datos!$B:$B,RG$3)</f>
        <v>0</v>
      </c>
      <c r="RH5" s="16">
        <f>SUMIFS(Datos!$F:$F,Datos!$A:$A,$B5,Datos!$B:$B,RH$3)</f>
        <v>0</v>
      </c>
      <c r="RI5" s="16">
        <f>SUMIFS(Datos!$F:$F,Datos!$A:$A,$B5,Datos!$B:$B,RI$3)</f>
        <v>0</v>
      </c>
      <c r="RJ5" s="16">
        <f>SUMIFS(Datos!$F:$F,Datos!$A:$A,$B5,Datos!$B:$B,RJ$3)</f>
        <v>0</v>
      </c>
      <c r="RK5" s="16">
        <f>SUMIFS(Datos!$F:$F,Datos!$A:$A,$B5,Datos!$B:$B,RK$3)</f>
        <v>0</v>
      </c>
      <c r="RL5" s="16">
        <f>SUMIFS(Datos!$F:$F,Datos!$A:$A,$B5,Datos!$B:$B,RL$3)</f>
        <v>0</v>
      </c>
      <c r="RM5" s="16">
        <f>SUMIFS(Datos!$F:$F,Datos!$A:$A,$B5,Datos!$B:$B,RM$3)</f>
        <v>0</v>
      </c>
      <c r="RN5" s="16">
        <f>SUMIFS(Datos!$F:$F,Datos!$A:$A,$B5,Datos!$B:$B,RN$3)</f>
        <v>0</v>
      </c>
      <c r="RO5" s="16">
        <f>SUMIFS(Datos!$F:$F,Datos!$A:$A,$B5,Datos!$B:$B,RO$3)</f>
        <v>0</v>
      </c>
      <c r="RP5" s="16">
        <f>SUMIFS(Datos!$F:$F,Datos!$A:$A,$B5,Datos!$B:$B,RP$3)</f>
        <v>0</v>
      </c>
      <c r="RQ5" s="16">
        <f>SUMIFS(Datos!$F:$F,Datos!$A:$A,$B5,Datos!$B:$B,RQ$3)</f>
        <v>0</v>
      </c>
      <c r="RR5" s="16">
        <f>SUMIFS(Datos!$F:$F,Datos!$A:$A,$B5,Datos!$B:$B,RR$3)</f>
        <v>0</v>
      </c>
      <c r="RS5" s="16">
        <f>SUMIFS(Datos!$F:$F,Datos!$A:$A,$B5,Datos!$B:$B,RS$3)</f>
        <v>0</v>
      </c>
      <c r="RT5" s="16">
        <f>SUMIFS(Datos!$F:$F,Datos!$A:$A,$B5,Datos!$B:$B,RT$3)</f>
        <v>0</v>
      </c>
      <c r="RU5" s="16">
        <f>SUMIFS(Datos!$F:$F,Datos!$A:$A,$B5,Datos!$B:$B,RU$3)</f>
        <v>0</v>
      </c>
      <c r="RV5" s="16">
        <f>SUMIFS(Datos!$F:$F,Datos!$A:$A,$B5,Datos!$B:$B,RV$3)</f>
        <v>0</v>
      </c>
      <c r="RW5" s="16">
        <f>SUMIFS(Datos!$F:$F,Datos!$A:$A,$B5,Datos!$B:$B,RW$3)</f>
        <v>0</v>
      </c>
      <c r="RX5" s="16">
        <f>SUMIFS(Datos!$F:$F,Datos!$A:$A,$B5,Datos!$B:$B,RX$3)</f>
        <v>0</v>
      </c>
      <c r="RY5" s="16">
        <f>SUMIFS(Datos!$F:$F,Datos!$A:$A,$B5,Datos!$B:$B,RY$3)</f>
        <v>0</v>
      </c>
      <c r="RZ5" s="16">
        <f>SUMIFS(Datos!$F:$F,Datos!$A:$A,$B5,Datos!$B:$B,RZ$3)</f>
        <v>0</v>
      </c>
      <c r="SA5" s="16">
        <f>SUMIFS(Datos!$F:$F,Datos!$A:$A,$B5,Datos!$B:$B,SA$3)</f>
        <v>0</v>
      </c>
      <c r="SB5" s="16">
        <f>SUMIFS(Datos!$F:$F,Datos!$A:$A,$B5,Datos!$B:$B,SB$3)</f>
        <v>0</v>
      </c>
      <c r="SC5" s="16">
        <f>SUMIFS(Datos!$F:$F,Datos!$A:$A,$B5,Datos!$B:$B,SC$3)</f>
        <v>0</v>
      </c>
      <c r="SD5" s="16">
        <f>SUMIFS(Datos!$F:$F,Datos!$A:$A,$B5,Datos!$B:$B,SD$3)</f>
        <v>0</v>
      </c>
      <c r="SE5" s="16">
        <f>SUMIFS(Datos!$F:$F,Datos!$A:$A,$B5,Datos!$B:$B,SE$3)</f>
        <v>0</v>
      </c>
      <c r="SF5" s="16">
        <f>SUMIFS(Datos!$F:$F,Datos!$A:$A,$B5,Datos!$B:$B,SF$3)</f>
        <v>0</v>
      </c>
      <c r="SG5" s="16">
        <f>SUMIFS(Datos!$F:$F,Datos!$A:$A,$B5,Datos!$B:$B,SG$3)</f>
        <v>0</v>
      </c>
      <c r="SH5" s="16">
        <f>SUMIFS(Datos!$F:$F,Datos!$A:$A,$B5,Datos!$B:$B,SH$3)</f>
        <v>0</v>
      </c>
      <c r="SI5" s="16">
        <f>SUMIFS(Datos!$F:$F,Datos!$A:$A,$B5,Datos!$B:$B,SI$3)</f>
        <v>0</v>
      </c>
      <c r="SJ5" s="16">
        <f>SUMIFS(Datos!$F:$F,Datos!$A:$A,$B5,Datos!$B:$B,SJ$3)</f>
        <v>0</v>
      </c>
      <c r="SK5" s="16">
        <f>SUMIFS(Datos!$F:$F,Datos!$A:$A,$B5,Datos!$B:$B,SK$3)</f>
        <v>0</v>
      </c>
      <c r="SL5" s="16">
        <f>SUMIFS(Datos!$F:$F,Datos!$A:$A,$B5,Datos!$B:$B,SL$3)</f>
        <v>0</v>
      </c>
      <c r="SM5" s="16">
        <f>SUMIFS(Datos!$F:$F,Datos!$A:$A,$B5,Datos!$B:$B,SM$3)</f>
        <v>0</v>
      </c>
      <c r="SN5" s="16">
        <f>SUMIFS(Datos!$F:$F,Datos!$A:$A,$B5,Datos!$B:$B,SN$3)</f>
        <v>0</v>
      </c>
      <c r="SO5" s="16">
        <f>SUMIFS(Datos!$F:$F,Datos!$A:$A,$B5,Datos!$B:$B,SO$3)</f>
        <v>0</v>
      </c>
      <c r="SP5" s="16">
        <f>SUMIFS(Datos!$F:$F,Datos!$A:$A,$B5,Datos!$B:$B,SP$3)</f>
        <v>0</v>
      </c>
      <c r="SQ5" s="16">
        <f>SUMIFS(Datos!$F:$F,Datos!$A:$A,$B5,Datos!$B:$B,SQ$3)</f>
        <v>0</v>
      </c>
      <c r="SR5" s="16">
        <f>SUMIFS(Datos!$F:$F,Datos!$A:$A,$B5,Datos!$B:$B,SR$3)</f>
        <v>0</v>
      </c>
      <c r="SS5" s="16">
        <f>SUMIFS(Datos!$F:$F,Datos!$A:$A,$B5,Datos!$B:$B,SS$3)</f>
        <v>0</v>
      </c>
      <c r="ST5" s="16">
        <f>SUMIFS(Datos!$F:$F,Datos!$A:$A,$B5,Datos!$B:$B,ST$3)</f>
        <v>0</v>
      </c>
      <c r="SU5" s="16">
        <f>SUMIFS(Datos!$F:$F,Datos!$A:$A,$B5,Datos!$B:$B,SU$3)</f>
        <v>0</v>
      </c>
      <c r="SV5" s="16">
        <f>SUMIFS(Datos!$F:$F,Datos!$A:$A,$B5,Datos!$B:$B,SV$3)</f>
        <v>0</v>
      </c>
      <c r="SW5" s="16">
        <f>SUMIFS(Datos!$F:$F,Datos!$A:$A,$B5,Datos!$B:$B,SW$3)</f>
        <v>0</v>
      </c>
      <c r="SX5" s="16">
        <f>SUMIFS(Datos!$F:$F,Datos!$A:$A,$B5,Datos!$B:$B,SX$3)</f>
        <v>0</v>
      </c>
      <c r="SY5" s="16">
        <f>SUMIFS(Datos!$F:$F,Datos!$A:$A,$B5,Datos!$B:$B,SY$3)</f>
        <v>0</v>
      </c>
      <c r="SZ5" s="16">
        <f>SUMIFS(Datos!$F:$F,Datos!$A:$A,$B5,Datos!$B:$B,SZ$3)</f>
        <v>0</v>
      </c>
      <c r="TA5" s="16">
        <f>SUMIFS(Datos!$F:$F,Datos!$A:$A,$B5,Datos!$B:$B,TA$3)</f>
        <v>0</v>
      </c>
      <c r="TB5" s="16">
        <f>SUMIFS(Datos!$F:$F,Datos!$A:$A,$B5,Datos!$B:$B,TB$3)</f>
        <v>0</v>
      </c>
      <c r="TC5" s="16">
        <f>SUMIFS(Datos!$F:$F,Datos!$A:$A,$B5,Datos!$B:$B,TC$3)</f>
        <v>0</v>
      </c>
      <c r="TD5" s="16">
        <f>SUMIFS(Datos!$F:$F,Datos!$A:$A,$B5,Datos!$B:$B,TD$3)</f>
        <v>0</v>
      </c>
      <c r="TE5" s="16">
        <f>SUMIFS(Datos!$F:$F,Datos!$A:$A,$B5,Datos!$B:$B,TE$3)</f>
        <v>0</v>
      </c>
      <c r="TF5" s="16">
        <f>SUMIFS(Datos!$F:$F,Datos!$A:$A,$B5,Datos!$B:$B,TF$3)</f>
        <v>0</v>
      </c>
    </row>
    <row r="6" spans="1:526">
      <c r="A6" s="31" t="s">
        <v>48</v>
      </c>
      <c r="B6" s="4">
        <f>Cartera!B6</f>
        <v>0</v>
      </c>
      <c r="C6" s="4">
        <f>Cartera!C6</f>
        <v>0</v>
      </c>
      <c r="D6" s="16">
        <f>SUMIFS(Datos!$F:$F,Datos!$A:$A,$B6,Datos!$B:$B,D$3)</f>
        <v>0</v>
      </c>
      <c r="E6" s="16">
        <f>SUMIFS(Datos!$F:$F,Datos!$A:$A,$B6,Datos!$B:$B,E$3)</f>
        <v>0</v>
      </c>
      <c r="F6" s="16">
        <f>SUMIFS(Datos!$F:$F,Datos!$A:$A,$B6,Datos!$B:$B,F$3)</f>
        <v>0</v>
      </c>
      <c r="G6" s="16">
        <f>SUMIFS(Datos!$F:$F,Datos!$A:$A,$B6,Datos!$B:$B,G$3)</f>
        <v>0</v>
      </c>
      <c r="H6" s="16">
        <f>SUMIFS(Datos!$F:$F,Datos!$A:$A,$B6,Datos!$B:$B,H$3)</f>
        <v>0</v>
      </c>
      <c r="I6" s="16">
        <f>SUMIFS(Datos!$F:$F,Datos!$A:$A,$B6,Datos!$B:$B,I$3)</f>
        <v>0</v>
      </c>
      <c r="J6" s="16">
        <f>SUMIFS(Datos!$F:$F,Datos!$A:$A,$B6,Datos!$B:$B,J$3)</f>
        <v>0</v>
      </c>
      <c r="K6" s="16">
        <f>SUMIFS(Datos!$F:$F,Datos!$A:$A,$B6,Datos!$B:$B,K$3)</f>
        <v>0</v>
      </c>
      <c r="L6" s="16">
        <f>SUMIFS(Datos!$F:$F,Datos!$A:$A,$B6,Datos!$B:$B,L$3)</f>
        <v>0</v>
      </c>
      <c r="M6" s="16">
        <f>SUMIFS(Datos!$F:$F,Datos!$A:$A,$B6,Datos!$B:$B,M$3)</f>
        <v>0</v>
      </c>
      <c r="N6" s="16">
        <f>SUMIFS(Datos!$F:$F,Datos!$A:$A,$B6,Datos!$B:$B,N$3)</f>
        <v>0</v>
      </c>
      <c r="O6" s="16">
        <f>SUMIFS(Datos!$F:$F,Datos!$A:$A,$B6,Datos!$B:$B,O$3)</f>
        <v>0</v>
      </c>
      <c r="P6" s="16">
        <f>SUMIFS(Datos!$F:$F,Datos!$A:$A,$B6,Datos!$B:$B,P$3)</f>
        <v>0</v>
      </c>
      <c r="Q6" s="16">
        <f>SUMIFS(Datos!$F:$F,Datos!$A:$A,$B6,Datos!$B:$B,Q$3)</f>
        <v>0</v>
      </c>
      <c r="R6" s="16">
        <f>SUMIFS(Datos!$F:$F,Datos!$A:$A,$B6,Datos!$B:$B,R$3)</f>
        <v>0</v>
      </c>
      <c r="S6" s="16">
        <f>SUMIFS(Datos!$F:$F,Datos!$A:$A,$B6,Datos!$B:$B,S$3)</f>
        <v>0</v>
      </c>
      <c r="T6" s="16">
        <f>SUMIFS(Datos!$F:$F,Datos!$A:$A,$B6,Datos!$B:$B,T$3)</f>
        <v>0</v>
      </c>
      <c r="U6" s="16">
        <f>SUMIFS(Datos!$F:$F,Datos!$A:$A,$B6,Datos!$B:$B,U$3)</f>
        <v>0</v>
      </c>
      <c r="V6" s="16">
        <f>SUMIFS(Datos!$F:$F,Datos!$A:$A,$B6,Datos!$B:$B,V$3)</f>
        <v>0</v>
      </c>
      <c r="W6" s="16">
        <f>SUMIFS(Datos!$F:$F,Datos!$A:$A,$B6,Datos!$B:$B,W$3)</f>
        <v>0</v>
      </c>
      <c r="X6" s="16">
        <f>SUMIFS(Datos!$F:$F,Datos!$A:$A,$B6,Datos!$B:$B,X$3)</f>
        <v>0</v>
      </c>
      <c r="Y6" s="16">
        <f>SUMIFS(Datos!$F:$F,Datos!$A:$A,$B6,Datos!$B:$B,Y$3)</f>
        <v>0</v>
      </c>
      <c r="Z6" s="16">
        <f>SUMIFS(Datos!$F:$F,Datos!$A:$A,$B6,Datos!$B:$B,Z$3)</f>
        <v>0</v>
      </c>
      <c r="AA6" s="16">
        <f>SUMIFS(Datos!$F:$F,Datos!$A:$A,$B6,Datos!$B:$B,AA$3)</f>
        <v>0</v>
      </c>
      <c r="AB6" s="16">
        <f>SUMIFS(Datos!$F:$F,Datos!$A:$A,$B6,Datos!$B:$B,AB$3)</f>
        <v>0</v>
      </c>
      <c r="AC6" s="16">
        <f>SUMIFS(Datos!$F:$F,Datos!$A:$A,$B6,Datos!$B:$B,AC$3)</f>
        <v>0</v>
      </c>
      <c r="AD6" s="16">
        <f>SUMIFS(Datos!$F:$F,Datos!$A:$A,$B6,Datos!$B:$B,AD$3)</f>
        <v>0</v>
      </c>
      <c r="AE6" s="16">
        <f>SUMIFS(Datos!$F:$F,Datos!$A:$A,$B6,Datos!$B:$B,AE$3)</f>
        <v>0</v>
      </c>
      <c r="AF6" s="16">
        <f>SUMIFS(Datos!$F:$F,Datos!$A:$A,$B6,Datos!$B:$B,AF$3)</f>
        <v>0</v>
      </c>
      <c r="AG6" s="16">
        <f>SUMIFS(Datos!$F:$F,Datos!$A:$A,$B6,Datos!$B:$B,AG$3)</f>
        <v>0</v>
      </c>
      <c r="AH6" s="16">
        <f>SUMIFS(Datos!$F:$F,Datos!$A:$A,$B6,Datos!$B:$B,AH$3)</f>
        <v>0</v>
      </c>
      <c r="AI6" s="16">
        <f>SUMIFS(Datos!$F:$F,Datos!$A:$A,$B6,Datos!$B:$B,AI$3)</f>
        <v>0</v>
      </c>
      <c r="AJ6" s="16">
        <f>SUMIFS(Datos!$F:$F,Datos!$A:$A,$B6,Datos!$B:$B,AJ$3)</f>
        <v>0</v>
      </c>
      <c r="AK6" s="16">
        <f>SUMIFS(Datos!$F:$F,Datos!$A:$A,$B6,Datos!$B:$B,AK$3)</f>
        <v>0</v>
      </c>
      <c r="AL6" s="16">
        <f>SUMIFS(Datos!$F:$F,Datos!$A:$A,$B6,Datos!$B:$B,AL$3)</f>
        <v>0</v>
      </c>
      <c r="AM6" s="16">
        <f>SUMIFS(Datos!$F:$F,Datos!$A:$A,$B6,Datos!$B:$B,AM$3)</f>
        <v>0</v>
      </c>
      <c r="AN6" s="16">
        <f>SUMIFS(Datos!$F:$F,Datos!$A:$A,$B6,Datos!$B:$B,AN$3)</f>
        <v>0</v>
      </c>
      <c r="AO6" s="16">
        <f>SUMIFS(Datos!$F:$F,Datos!$A:$A,$B6,Datos!$B:$B,AO$3)</f>
        <v>0</v>
      </c>
      <c r="AP6" s="16">
        <f>SUMIFS(Datos!$F:$F,Datos!$A:$A,$B6,Datos!$B:$B,AP$3)</f>
        <v>0</v>
      </c>
      <c r="AQ6" s="16">
        <f>SUMIFS(Datos!$F:$F,Datos!$A:$A,$B6,Datos!$B:$B,AQ$3)</f>
        <v>0</v>
      </c>
      <c r="AR6" s="16">
        <f>SUMIFS(Datos!$F:$F,Datos!$A:$A,$B6,Datos!$B:$B,AR$3)</f>
        <v>0</v>
      </c>
      <c r="AS6" s="16">
        <f>SUMIFS(Datos!$F:$F,Datos!$A:$A,$B6,Datos!$B:$B,AS$3)</f>
        <v>0</v>
      </c>
      <c r="AT6" s="16">
        <f>SUMIFS(Datos!$F:$F,Datos!$A:$A,$B6,Datos!$B:$B,AT$3)</f>
        <v>0</v>
      </c>
      <c r="AU6" s="16">
        <f>SUMIFS(Datos!$F:$F,Datos!$A:$A,$B6,Datos!$B:$B,AU$3)</f>
        <v>0</v>
      </c>
      <c r="AV6" s="16">
        <f>SUMIFS(Datos!$F:$F,Datos!$A:$A,$B6,Datos!$B:$B,AV$3)</f>
        <v>0</v>
      </c>
      <c r="AW6" s="16">
        <f>SUMIFS(Datos!$F:$F,Datos!$A:$A,$B6,Datos!$B:$B,AW$3)</f>
        <v>0</v>
      </c>
      <c r="AX6" s="16">
        <f>SUMIFS(Datos!$F:$F,Datos!$A:$A,$B6,Datos!$B:$B,AX$3)</f>
        <v>0</v>
      </c>
      <c r="AY6" s="16">
        <f>SUMIFS(Datos!$F:$F,Datos!$A:$A,$B6,Datos!$B:$B,AY$3)</f>
        <v>0</v>
      </c>
      <c r="AZ6" s="16">
        <f>SUMIFS(Datos!$F:$F,Datos!$A:$A,$B6,Datos!$B:$B,AZ$3)</f>
        <v>0</v>
      </c>
      <c r="BA6" s="16">
        <f>SUMIFS(Datos!$F:$F,Datos!$A:$A,$B6,Datos!$B:$B,BA$3)</f>
        <v>0</v>
      </c>
      <c r="BB6" s="16">
        <f>SUMIFS(Datos!$F:$F,Datos!$A:$A,$B6,Datos!$B:$B,BB$3)</f>
        <v>0</v>
      </c>
      <c r="BC6" s="16">
        <f>SUMIFS(Datos!$F:$F,Datos!$A:$A,$B6,Datos!$B:$B,BC$3)</f>
        <v>0</v>
      </c>
      <c r="BD6" s="16">
        <f>SUMIFS(Datos!$F:$F,Datos!$A:$A,$B6,Datos!$B:$B,BD$3)</f>
        <v>0</v>
      </c>
      <c r="BE6" s="16">
        <f>SUMIFS(Datos!$F:$F,Datos!$A:$A,$B6,Datos!$B:$B,BE$3)</f>
        <v>0</v>
      </c>
      <c r="BF6" s="16">
        <f>SUMIFS(Datos!$F:$F,Datos!$A:$A,$B6,Datos!$B:$B,BF$3)</f>
        <v>0</v>
      </c>
      <c r="BG6" s="16">
        <f>SUMIFS(Datos!$F:$F,Datos!$A:$A,$B6,Datos!$B:$B,BG$3)</f>
        <v>0</v>
      </c>
      <c r="BH6" s="16">
        <f>SUMIFS(Datos!$F:$F,Datos!$A:$A,$B6,Datos!$B:$B,BH$3)</f>
        <v>0</v>
      </c>
      <c r="BI6" s="16">
        <f>SUMIFS(Datos!$F:$F,Datos!$A:$A,$B6,Datos!$B:$B,BI$3)</f>
        <v>0</v>
      </c>
      <c r="BJ6" s="16">
        <f>SUMIFS(Datos!$F:$F,Datos!$A:$A,$B6,Datos!$B:$B,BJ$3)</f>
        <v>0</v>
      </c>
      <c r="BK6" s="16">
        <f>SUMIFS(Datos!$F:$F,Datos!$A:$A,$B6,Datos!$B:$B,BK$3)</f>
        <v>0</v>
      </c>
      <c r="BL6" s="16">
        <f>SUMIFS(Datos!$F:$F,Datos!$A:$A,$B6,Datos!$B:$B,BL$3)</f>
        <v>0</v>
      </c>
      <c r="BM6" s="16">
        <f>SUMIFS(Datos!$F:$F,Datos!$A:$A,$B6,Datos!$B:$B,BM$3)</f>
        <v>0</v>
      </c>
      <c r="BN6" s="16">
        <f>SUMIFS(Datos!$F:$F,Datos!$A:$A,$B6,Datos!$B:$B,BN$3)</f>
        <v>0</v>
      </c>
      <c r="BO6" s="16">
        <f>SUMIFS(Datos!$F:$F,Datos!$A:$A,$B6,Datos!$B:$B,BO$3)</f>
        <v>0</v>
      </c>
      <c r="BP6" s="16">
        <f>SUMIFS(Datos!$F:$F,Datos!$A:$A,$B6,Datos!$B:$B,BP$3)</f>
        <v>0</v>
      </c>
      <c r="BQ6" s="16">
        <f>SUMIFS(Datos!$F:$F,Datos!$A:$A,$B6,Datos!$B:$B,BQ$3)</f>
        <v>0</v>
      </c>
      <c r="BR6" s="16">
        <f>SUMIFS(Datos!$F:$F,Datos!$A:$A,$B6,Datos!$B:$B,BR$3)</f>
        <v>0</v>
      </c>
      <c r="BS6" s="16">
        <f>SUMIFS(Datos!$F:$F,Datos!$A:$A,$B6,Datos!$B:$B,BS$3)</f>
        <v>0</v>
      </c>
      <c r="BT6" s="16">
        <f>SUMIFS(Datos!$F:$F,Datos!$A:$A,$B6,Datos!$B:$B,BT$3)</f>
        <v>0</v>
      </c>
      <c r="BU6" s="16">
        <f>SUMIFS(Datos!$F:$F,Datos!$A:$A,$B6,Datos!$B:$B,BU$3)</f>
        <v>0</v>
      </c>
      <c r="BV6" s="16">
        <f>SUMIFS(Datos!$F:$F,Datos!$A:$A,$B6,Datos!$B:$B,BV$3)</f>
        <v>0</v>
      </c>
      <c r="BW6" s="16">
        <f>SUMIFS(Datos!$F:$F,Datos!$A:$A,$B6,Datos!$B:$B,BW$3)</f>
        <v>0</v>
      </c>
      <c r="BX6" s="16">
        <f>SUMIFS(Datos!$F:$F,Datos!$A:$A,$B6,Datos!$B:$B,BX$3)</f>
        <v>0</v>
      </c>
      <c r="BY6" s="16">
        <f>SUMIFS(Datos!$F:$F,Datos!$A:$A,$B6,Datos!$B:$B,BY$3)</f>
        <v>0</v>
      </c>
      <c r="BZ6" s="16">
        <f>SUMIFS(Datos!$F:$F,Datos!$A:$A,$B6,Datos!$B:$B,BZ$3)</f>
        <v>0</v>
      </c>
      <c r="CA6" s="16">
        <f>SUMIFS(Datos!$F:$F,Datos!$A:$A,$B6,Datos!$B:$B,CA$3)</f>
        <v>0</v>
      </c>
      <c r="CB6" s="16">
        <f>SUMIFS(Datos!$F:$F,Datos!$A:$A,$B6,Datos!$B:$B,CB$3)</f>
        <v>0</v>
      </c>
      <c r="CC6" s="16">
        <f>SUMIFS(Datos!$F:$F,Datos!$A:$A,$B6,Datos!$B:$B,CC$3)</f>
        <v>0</v>
      </c>
      <c r="CD6" s="16">
        <f>SUMIFS(Datos!$F:$F,Datos!$A:$A,$B6,Datos!$B:$B,CD$3)</f>
        <v>0</v>
      </c>
      <c r="CE6" s="16">
        <f>SUMIFS(Datos!$F:$F,Datos!$A:$A,$B6,Datos!$B:$B,CE$3)</f>
        <v>0</v>
      </c>
      <c r="CF6" s="16">
        <f>SUMIFS(Datos!$F:$F,Datos!$A:$A,$B6,Datos!$B:$B,CF$3)</f>
        <v>0</v>
      </c>
      <c r="CG6" s="16">
        <f>SUMIFS(Datos!$F:$F,Datos!$A:$A,$B6,Datos!$B:$B,CG$3)</f>
        <v>0</v>
      </c>
      <c r="CH6" s="16">
        <f>SUMIFS(Datos!$F:$F,Datos!$A:$A,$B6,Datos!$B:$B,CH$3)</f>
        <v>0</v>
      </c>
      <c r="CI6" s="16">
        <f>SUMIFS(Datos!$F:$F,Datos!$A:$A,$B6,Datos!$B:$B,CI$3)</f>
        <v>0</v>
      </c>
      <c r="CJ6" s="16">
        <f>SUMIFS(Datos!$F:$F,Datos!$A:$A,$B6,Datos!$B:$B,CJ$3)</f>
        <v>0</v>
      </c>
      <c r="CK6" s="16">
        <f>SUMIFS(Datos!$F:$F,Datos!$A:$A,$B6,Datos!$B:$B,CK$3)</f>
        <v>0</v>
      </c>
      <c r="CL6" s="16">
        <f>SUMIFS(Datos!$F:$F,Datos!$A:$A,$B6,Datos!$B:$B,CL$3)</f>
        <v>0</v>
      </c>
      <c r="CM6" s="16">
        <f>SUMIFS(Datos!$F:$F,Datos!$A:$A,$B6,Datos!$B:$B,CM$3)</f>
        <v>0</v>
      </c>
      <c r="CN6" s="16">
        <f>SUMIFS(Datos!$F:$F,Datos!$A:$A,$B6,Datos!$B:$B,CN$3)</f>
        <v>0</v>
      </c>
      <c r="CO6" s="16">
        <f>SUMIFS(Datos!$F:$F,Datos!$A:$A,$B6,Datos!$B:$B,CO$3)</f>
        <v>0</v>
      </c>
      <c r="CP6" s="16">
        <f>SUMIFS(Datos!$F:$F,Datos!$A:$A,$B6,Datos!$B:$B,CP$3)</f>
        <v>0</v>
      </c>
      <c r="CQ6" s="16">
        <f>SUMIFS(Datos!$F:$F,Datos!$A:$A,$B6,Datos!$B:$B,CQ$3)</f>
        <v>0</v>
      </c>
      <c r="CR6" s="16">
        <f>SUMIFS(Datos!$F:$F,Datos!$A:$A,$B6,Datos!$B:$B,CR$3)</f>
        <v>0</v>
      </c>
      <c r="CS6" s="16">
        <f>SUMIFS(Datos!$F:$F,Datos!$A:$A,$B6,Datos!$B:$B,CS$3)</f>
        <v>0</v>
      </c>
      <c r="CT6" s="16">
        <f>SUMIFS(Datos!$F:$F,Datos!$A:$A,$B6,Datos!$B:$B,CT$3)</f>
        <v>0</v>
      </c>
      <c r="CU6" s="16">
        <f>SUMIFS(Datos!$F:$F,Datos!$A:$A,$B6,Datos!$B:$B,CU$3)</f>
        <v>0</v>
      </c>
      <c r="CV6" s="16">
        <f>SUMIFS(Datos!$F:$F,Datos!$A:$A,$B6,Datos!$B:$B,CV$3)</f>
        <v>0</v>
      </c>
      <c r="CW6" s="16">
        <f>SUMIFS(Datos!$F:$F,Datos!$A:$A,$B6,Datos!$B:$B,CW$3)</f>
        <v>0</v>
      </c>
      <c r="CX6" s="16">
        <f>SUMIFS(Datos!$F:$F,Datos!$A:$A,$B6,Datos!$B:$B,CX$3)</f>
        <v>0</v>
      </c>
      <c r="CY6" s="16">
        <f>SUMIFS(Datos!$F:$F,Datos!$A:$A,$B6,Datos!$B:$B,CY$3)</f>
        <v>0</v>
      </c>
      <c r="CZ6" s="16">
        <f>SUMIFS(Datos!$F:$F,Datos!$A:$A,$B6,Datos!$B:$B,CZ$3)</f>
        <v>0</v>
      </c>
      <c r="DA6" s="16">
        <f>SUMIFS(Datos!$F:$F,Datos!$A:$A,$B6,Datos!$B:$B,DA$3)</f>
        <v>0</v>
      </c>
      <c r="DB6" s="16">
        <f>SUMIFS(Datos!$F:$F,Datos!$A:$A,$B6,Datos!$B:$B,DB$3)</f>
        <v>0</v>
      </c>
      <c r="DC6" s="16">
        <f>SUMIFS(Datos!$F:$F,Datos!$A:$A,$B6,Datos!$B:$B,DC$3)</f>
        <v>0</v>
      </c>
      <c r="DD6" s="16">
        <f>SUMIFS(Datos!$F:$F,Datos!$A:$A,$B6,Datos!$B:$B,DD$3)</f>
        <v>0</v>
      </c>
      <c r="DE6" s="16">
        <f>SUMIFS(Datos!$F:$F,Datos!$A:$A,$B6,Datos!$B:$B,DE$3)</f>
        <v>0</v>
      </c>
      <c r="DF6" s="16">
        <f>SUMIFS(Datos!$F:$F,Datos!$A:$A,$B6,Datos!$B:$B,DF$3)</f>
        <v>0</v>
      </c>
      <c r="DG6" s="16">
        <f>SUMIFS(Datos!$F:$F,Datos!$A:$A,$B6,Datos!$B:$B,DG$3)</f>
        <v>0</v>
      </c>
      <c r="DH6" s="16">
        <f>SUMIFS(Datos!$F:$F,Datos!$A:$A,$B6,Datos!$B:$B,DH$3)</f>
        <v>0</v>
      </c>
      <c r="DI6" s="16">
        <f>SUMIFS(Datos!$F:$F,Datos!$A:$A,$B6,Datos!$B:$B,DI$3)</f>
        <v>0</v>
      </c>
      <c r="DJ6" s="16">
        <f>SUMIFS(Datos!$F:$F,Datos!$A:$A,$B6,Datos!$B:$B,DJ$3)</f>
        <v>0</v>
      </c>
      <c r="DK6" s="16">
        <f>SUMIFS(Datos!$F:$F,Datos!$A:$A,$B6,Datos!$B:$B,DK$3)</f>
        <v>0</v>
      </c>
      <c r="DL6" s="16">
        <f>SUMIFS(Datos!$F:$F,Datos!$A:$A,$B6,Datos!$B:$B,DL$3)</f>
        <v>0</v>
      </c>
      <c r="DM6" s="16">
        <f>SUMIFS(Datos!$F:$F,Datos!$A:$A,$B6,Datos!$B:$B,DM$3)</f>
        <v>0</v>
      </c>
      <c r="DN6" s="16">
        <f>SUMIFS(Datos!$F:$F,Datos!$A:$A,$B6,Datos!$B:$B,DN$3)</f>
        <v>0</v>
      </c>
      <c r="DO6" s="16">
        <f>SUMIFS(Datos!$F:$F,Datos!$A:$A,$B6,Datos!$B:$B,DO$3)</f>
        <v>0</v>
      </c>
      <c r="DP6" s="16">
        <f>SUMIFS(Datos!$F:$F,Datos!$A:$A,$B6,Datos!$B:$B,DP$3)</f>
        <v>0</v>
      </c>
      <c r="DQ6" s="16">
        <f>SUMIFS(Datos!$F:$F,Datos!$A:$A,$B6,Datos!$B:$B,DQ$3)</f>
        <v>0</v>
      </c>
      <c r="DR6" s="16">
        <f>SUMIFS(Datos!$F:$F,Datos!$A:$A,$B6,Datos!$B:$B,DR$3)</f>
        <v>0</v>
      </c>
      <c r="DS6" s="16">
        <f>SUMIFS(Datos!$F:$F,Datos!$A:$A,$B6,Datos!$B:$B,DS$3)</f>
        <v>0</v>
      </c>
      <c r="DT6" s="16">
        <f>SUMIFS(Datos!$F:$F,Datos!$A:$A,$B6,Datos!$B:$B,DT$3)</f>
        <v>0</v>
      </c>
      <c r="DU6" s="16">
        <f>SUMIFS(Datos!$F:$F,Datos!$A:$A,$B6,Datos!$B:$B,DU$3)</f>
        <v>0</v>
      </c>
      <c r="DV6" s="16">
        <f>SUMIFS(Datos!$F:$F,Datos!$A:$A,$B6,Datos!$B:$B,DV$3)</f>
        <v>0</v>
      </c>
      <c r="DW6" s="16">
        <f>SUMIFS(Datos!$F:$F,Datos!$A:$A,$B6,Datos!$B:$B,DW$3)</f>
        <v>0</v>
      </c>
      <c r="DX6" s="16">
        <f>SUMIFS(Datos!$F:$F,Datos!$A:$A,$B6,Datos!$B:$B,DX$3)</f>
        <v>0</v>
      </c>
      <c r="DY6" s="16">
        <f>SUMIFS(Datos!$F:$F,Datos!$A:$A,$B6,Datos!$B:$B,DY$3)</f>
        <v>0</v>
      </c>
      <c r="DZ6" s="16">
        <f>SUMIFS(Datos!$F:$F,Datos!$A:$A,$B6,Datos!$B:$B,DZ$3)</f>
        <v>0</v>
      </c>
      <c r="EA6" s="16">
        <f>SUMIFS(Datos!$F:$F,Datos!$A:$A,$B6,Datos!$B:$B,EA$3)</f>
        <v>0</v>
      </c>
      <c r="EB6" s="16">
        <f>SUMIFS(Datos!$F:$F,Datos!$A:$A,$B6,Datos!$B:$B,EB$3)</f>
        <v>0</v>
      </c>
      <c r="EC6" s="16">
        <f>SUMIFS(Datos!$F:$F,Datos!$A:$A,$B6,Datos!$B:$B,EC$3)</f>
        <v>0</v>
      </c>
      <c r="ED6" s="16">
        <f>SUMIFS(Datos!$F:$F,Datos!$A:$A,$B6,Datos!$B:$B,ED$3)</f>
        <v>0</v>
      </c>
      <c r="EE6" s="16">
        <f>SUMIFS(Datos!$F:$F,Datos!$A:$A,$B6,Datos!$B:$B,EE$3)</f>
        <v>0</v>
      </c>
      <c r="EF6" s="16">
        <f>SUMIFS(Datos!$F:$F,Datos!$A:$A,$B6,Datos!$B:$B,EF$3)</f>
        <v>0</v>
      </c>
      <c r="EG6" s="16">
        <f>SUMIFS(Datos!$F:$F,Datos!$A:$A,$B6,Datos!$B:$B,EG$3)</f>
        <v>0</v>
      </c>
      <c r="EH6" s="16">
        <f>SUMIFS(Datos!$F:$F,Datos!$A:$A,$B6,Datos!$B:$B,EH$3)</f>
        <v>0</v>
      </c>
      <c r="EI6" s="16">
        <f>SUMIFS(Datos!$F:$F,Datos!$A:$A,$B6,Datos!$B:$B,EI$3)</f>
        <v>0</v>
      </c>
      <c r="EJ6" s="16">
        <f>SUMIFS(Datos!$F:$F,Datos!$A:$A,$B6,Datos!$B:$B,EJ$3)</f>
        <v>0</v>
      </c>
      <c r="EK6" s="16">
        <f>SUMIFS(Datos!$F:$F,Datos!$A:$A,$B6,Datos!$B:$B,EK$3)</f>
        <v>0</v>
      </c>
      <c r="EL6" s="16">
        <f>SUMIFS(Datos!$F:$F,Datos!$A:$A,$B6,Datos!$B:$B,EL$3)</f>
        <v>0</v>
      </c>
      <c r="EM6" s="16">
        <f>SUMIFS(Datos!$F:$F,Datos!$A:$A,$B6,Datos!$B:$B,EM$3)</f>
        <v>0</v>
      </c>
      <c r="EN6" s="16">
        <f>SUMIFS(Datos!$F:$F,Datos!$A:$A,$B6,Datos!$B:$B,EN$3)</f>
        <v>0</v>
      </c>
      <c r="EO6" s="16">
        <f>SUMIFS(Datos!$F:$F,Datos!$A:$A,$B6,Datos!$B:$B,EO$3)</f>
        <v>0</v>
      </c>
      <c r="EP6" s="16">
        <f>SUMIFS(Datos!$F:$F,Datos!$A:$A,$B6,Datos!$B:$B,EP$3)</f>
        <v>0</v>
      </c>
      <c r="EQ6" s="16">
        <f>SUMIFS(Datos!$F:$F,Datos!$A:$A,$B6,Datos!$B:$B,EQ$3)</f>
        <v>0</v>
      </c>
      <c r="ER6" s="16">
        <f>SUMIFS(Datos!$F:$F,Datos!$A:$A,$B6,Datos!$B:$B,ER$3)</f>
        <v>0</v>
      </c>
      <c r="ES6" s="16">
        <f>SUMIFS(Datos!$F:$F,Datos!$A:$A,$B6,Datos!$B:$B,ES$3)</f>
        <v>0</v>
      </c>
      <c r="ET6" s="16">
        <f>SUMIFS(Datos!$F:$F,Datos!$A:$A,$B6,Datos!$B:$B,ET$3)</f>
        <v>0</v>
      </c>
      <c r="EU6" s="16">
        <f>SUMIFS(Datos!$F:$F,Datos!$A:$A,$B6,Datos!$B:$B,EU$3)</f>
        <v>0</v>
      </c>
      <c r="EV6" s="16">
        <f>SUMIFS(Datos!$F:$F,Datos!$A:$A,$B6,Datos!$B:$B,EV$3)</f>
        <v>0</v>
      </c>
      <c r="EW6" s="16">
        <f>SUMIFS(Datos!$F:$F,Datos!$A:$A,$B6,Datos!$B:$B,EW$3)</f>
        <v>0</v>
      </c>
      <c r="EX6" s="16">
        <f>SUMIFS(Datos!$F:$F,Datos!$A:$A,$B6,Datos!$B:$B,EX$3)</f>
        <v>0</v>
      </c>
      <c r="EY6" s="16">
        <f>SUMIFS(Datos!$F:$F,Datos!$A:$A,$B6,Datos!$B:$B,EY$3)</f>
        <v>0</v>
      </c>
      <c r="EZ6" s="16">
        <f>SUMIFS(Datos!$F:$F,Datos!$A:$A,$B6,Datos!$B:$B,EZ$3)</f>
        <v>0</v>
      </c>
      <c r="FA6" s="16">
        <f>SUMIFS(Datos!$F:$F,Datos!$A:$A,$B6,Datos!$B:$B,FA$3)</f>
        <v>0</v>
      </c>
      <c r="FB6" s="16">
        <f>SUMIFS(Datos!$F:$F,Datos!$A:$A,$B6,Datos!$B:$B,FB$3)</f>
        <v>0</v>
      </c>
      <c r="FC6" s="16">
        <f>SUMIFS(Datos!$F:$F,Datos!$A:$A,$B6,Datos!$B:$B,FC$3)</f>
        <v>0</v>
      </c>
      <c r="FD6" s="16">
        <f>SUMIFS(Datos!$F:$F,Datos!$A:$A,$B6,Datos!$B:$B,FD$3)</f>
        <v>0</v>
      </c>
      <c r="FE6" s="16">
        <f>SUMIFS(Datos!$F:$F,Datos!$A:$A,$B6,Datos!$B:$B,FE$3)</f>
        <v>0</v>
      </c>
      <c r="FF6" s="16">
        <f>SUMIFS(Datos!$F:$F,Datos!$A:$A,$B6,Datos!$B:$B,FF$3)</f>
        <v>0</v>
      </c>
      <c r="FG6" s="16">
        <f>SUMIFS(Datos!$F:$F,Datos!$A:$A,$B6,Datos!$B:$B,FG$3)</f>
        <v>0</v>
      </c>
      <c r="FH6" s="16">
        <f>SUMIFS(Datos!$F:$F,Datos!$A:$A,$B6,Datos!$B:$B,FH$3)</f>
        <v>0</v>
      </c>
      <c r="FI6" s="16">
        <f>SUMIFS(Datos!$F:$F,Datos!$A:$A,$B6,Datos!$B:$B,FI$3)</f>
        <v>0</v>
      </c>
      <c r="FJ6" s="16">
        <f>SUMIFS(Datos!$F:$F,Datos!$A:$A,$B6,Datos!$B:$B,FJ$3)</f>
        <v>0</v>
      </c>
      <c r="FK6" s="16">
        <f>SUMIFS(Datos!$F:$F,Datos!$A:$A,$B6,Datos!$B:$B,FK$3)</f>
        <v>0</v>
      </c>
      <c r="FL6" s="16">
        <f>SUMIFS(Datos!$F:$F,Datos!$A:$A,$B6,Datos!$B:$B,FL$3)</f>
        <v>0</v>
      </c>
      <c r="FM6" s="16">
        <f>SUMIFS(Datos!$F:$F,Datos!$A:$A,$B6,Datos!$B:$B,FM$3)</f>
        <v>0</v>
      </c>
      <c r="FN6" s="16">
        <f>SUMIFS(Datos!$F:$F,Datos!$A:$A,$B6,Datos!$B:$B,FN$3)</f>
        <v>0</v>
      </c>
      <c r="FO6" s="16">
        <f>SUMIFS(Datos!$F:$F,Datos!$A:$A,$B6,Datos!$B:$B,FO$3)</f>
        <v>0</v>
      </c>
      <c r="FP6" s="16">
        <f>SUMIFS(Datos!$F:$F,Datos!$A:$A,$B6,Datos!$B:$B,FP$3)</f>
        <v>0</v>
      </c>
      <c r="FQ6" s="16">
        <f>SUMIFS(Datos!$F:$F,Datos!$A:$A,$B6,Datos!$B:$B,FQ$3)</f>
        <v>0</v>
      </c>
      <c r="FR6" s="16">
        <f>SUMIFS(Datos!$F:$F,Datos!$A:$A,$B6,Datos!$B:$B,FR$3)</f>
        <v>0</v>
      </c>
      <c r="FS6" s="16">
        <f>SUMIFS(Datos!$F:$F,Datos!$A:$A,$B6,Datos!$B:$B,FS$3)</f>
        <v>0</v>
      </c>
      <c r="FT6" s="16">
        <f>SUMIFS(Datos!$F:$F,Datos!$A:$A,$B6,Datos!$B:$B,FT$3)</f>
        <v>0</v>
      </c>
      <c r="FU6" s="16">
        <f>SUMIFS(Datos!$F:$F,Datos!$A:$A,$B6,Datos!$B:$B,FU$3)</f>
        <v>0</v>
      </c>
      <c r="FV6" s="16">
        <f>SUMIFS(Datos!$F:$F,Datos!$A:$A,$B6,Datos!$B:$B,FV$3)</f>
        <v>0</v>
      </c>
      <c r="FW6" s="16">
        <f>SUMIFS(Datos!$F:$F,Datos!$A:$A,$B6,Datos!$B:$B,FW$3)</f>
        <v>0</v>
      </c>
      <c r="FX6" s="16">
        <f>SUMIFS(Datos!$F:$F,Datos!$A:$A,$B6,Datos!$B:$B,FX$3)</f>
        <v>0</v>
      </c>
      <c r="FY6" s="16">
        <f>SUMIFS(Datos!$F:$F,Datos!$A:$A,$B6,Datos!$B:$B,FY$3)</f>
        <v>0</v>
      </c>
      <c r="FZ6" s="16">
        <f>SUMIFS(Datos!$F:$F,Datos!$A:$A,$B6,Datos!$B:$B,FZ$3)</f>
        <v>0</v>
      </c>
      <c r="GA6" s="16">
        <f>SUMIFS(Datos!$F:$F,Datos!$A:$A,$B6,Datos!$B:$B,GA$3)</f>
        <v>0</v>
      </c>
      <c r="GB6" s="16">
        <f>SUMIFS(Datos!$F:$F,Datos!$A:$A,$B6,Datos!$B:$B,GB$3)</f>
        <v>0</v>
      </c>
      <c r="GC6" s="16">
        <f>SUMIFS(Datos!$F:$F,Datos!$A:$A,$B6,Datos!$B:$B,GC$3)</f>
        <v>0</v>
      </c>
      <c r="GD6" s="16">
        <f>SUMIFS(Datos!$F:$F,Datos!$A:$A,$B6,Datos!$B:$B,GD$3)</f>
        <v>0</v>
      </c>
      <c r="GE6" s="16">
        <f>SUMIFS(Datos!$F:$F,Datos!$A:$A,$B6,Datos!$B:$B,GE$3)</f>
        <v>0</v>
      </c>
      <c r="GF6" s="16">
        <f>SUMIFS(Datos!$F:$F,Datos!$A:$A,$B6,Datos!$B:$B,GF$3)</f>
        <v>0</v>
      </c>
      <c r="GG6" s="16">
        <f>SUMIFS(Datos!$F:$F,Datos!$A:$A,$B6,Datos!$B:$B,GG$3)</f>
        <v>0</v>
      </c>
      <c r="GH6" s="16">
        <f>SUMIFS(Datos!$F:$F,Datos!$A:$A,$B6,Datos!$B:$B,GH$3)</f>
        <v>0</v>
      </c>
      <c r="GI6" s="16">
        <f>SUMIFS(Datos!$F:$F,Datos!$A:$A,$B6,Datos!$B:$B,GI$3)</f>
        <v>0</v>
      </c>
      <c r="GJ6" s="16">
        <f>SUMIFS(Datos!$F:$F,Datos!$A:$A,$B6,Datos!$B:$B,GJ$3)</f>
        <v>0</v>
      </c>
      <c r="GK6" s="16">
        <f>SUMIFS(Datos!$F:$F,Datos!$A:$A,$B6,Datos!$B:$B,GK$3)</f>
        <v>0</v>
      </c>
      <c r="GL6" s="16">
        <f>SUMIFS(Datos!$F:$F,Datos!$A:$A,$B6,Datos!$B:$B,GL$3)</f>
        <v>0</v>
      </c>
      <c r="GM6" s="16">
        <f>SUMIFS(Datos!$F:$F,Datos!$A:$A,$B6,Datos!$B:$B,GM$3)</f>
        <v>0</v>
      </c>
      <c r="GN6" s="16">
        <f>SUMIFS(Datos!$F:$F,Datos!$A:$A,$B6,Datos!$B:$B,GN$3)</f>
        <v>0</v>
      </c>
      <c r="GO6" s="16">
        <f>SUMIFS(Datos!$F:$F,Datos!$A:$A,$B6,Datos!$B:$B,GO$3)</f>
        <v>0</v>
      </c>
      <c r="GP6" s="16">
        <f>SUMIFS(Datos!$F:$F,Datos!$A:$A,$B6,Datos!$B:$B,GP$3)</f>
        <v>0</v>
      </c>
      <c r="GQ6" s="16">
        <f>SUMIFS(Datos!$F:$F,Datos!$A:$A,$B6,Datos!$B:$B,GQ$3)</f>
        <v>0</v>
      </c>
      <c r="GR6" s="16">
        <f>SUMIFS(Datos!$F:$F,Datos!$A:$A,$B6,Datos!$B:$B,GR$3)</f>
        <v>0</v>
      </c>
      <c r="GS6" s="16">
        <f>SUMIFS(Datos!$F:$F,Datos!$A:$A,$B6,Datos!$B:$B,GS$3)</f>
        <v>0</v>
      </c>
      <c r="GT6" s="16">
        <f>SUMIFS(Datos!$F:$F,Datos!$A:$A,$B6,Datos!$B:$B,GT$3)</f>
        <v>0</v>
      </c>
      <c r="GU6" s="16">
        <f>SUMIFS(Datos!$F:$F,Datos!$A:$A,$B6,Datos!$B:$B,GU$3)</f>
        <v>0</v>
      </c>
      <c r="GV6" s="16">
        <f>SUMIFS(Datos!$F:$F,Datos!$A:$A,$B6,Datos!$B:$B,GV$3)</f>
        <v>0</v>
      </c>
      <c r="GW6" s="16">
        <f>SUMIFS(Datos!$F:$F,Datos!$A:$A,$B6,Datos!$B:$B,GW$3)</f>
        <v>0</v>
      </c>
      <c r="GX6" s="16">
        <f>SUMIFS(Datos!$F:$F,Datos!$A:$A,$B6,Datos!$B:$B,GX$3)</f>
        <v>0</v>
      </c>
      <c r="GY6" s="16">
        <f>SUMIFS(Datos!$F:$F,Datos!$A:$A,$B6,Datos!$B:$B,GY$3)</f>
        <v>0</v>
      </c>
      <c r="GZ6" s="16">
        <f>SUMIFS(Datos!$F:$F,Datos!$A:$A,$B6,Datos!$B:$B,GZ$3)</f>
        <v>0</v>
      </c>
      <c r="HA6" s="16">
        <f>SUMIFS(Datos!$F:$F,Datos!$A:$A,$B6,Datos!$B:$B,HA$3)</f>
        <v>0</v>
      </c>
      <c r="HB6" s="16">
        <f>SUMIFS(Datos!$F:$F,Datos!$A:$A,$B6,Datos!$B:$B,HB$3)</f>
        <v>0</v>
      </c>
      <c r="HC6" s="16">
        <f>SUMIFS(Datos!$F:$F,Datos!$A:$A,$B6,Datos!$B:$B,HC$3)</f>
        <v>0</v>
      </c>
      <c r="HD6" s="16">
        <f>SUMIFS(Datos!$F:$F,Datos!$A:$A,$B6,Datos!$B:$B,HD$3)</f>
        <v>0</v>
      </c>
      <c r="HE6" s="16">
        <f>SUMIFS(Datos!$F:$F,Datos!$A:$A,$B6,Datos!$B:$B,HE$3)</f>
        <v>0</v>
      </c>
      <c r="HF6" s="16">
        <f>SUMIFS(Datos!$F:$F,Datos!$A:$A,$B6,Datos!$B:$B,HF$3)</f>
        <v>0</v>
      </c>
      <c r="HG6" s="16">
        <f>SUMIFS(Datos!$F:$F,Datos!$A:$A,$B6,Datos!$B:$B,HG$3)</f>
        <v>0</v>
      </c>
      <c r="HH6" s="16">
        <f>SUMIFS(Datos!$F:$F,Datos!$A:$A,$B6,Datos!$B:$B,HH$3)</f>
        <v>0</v>
      </c>
      <c r="HI6" s="16">
        <f>SUMIFS(Datos!$F:$F,Datos!$A:$A,$B6,Datos!$B:$B,HI$3)</f>
        <v>0</v>
      </c>
      <c r="HJ6" s="16">
        <f>SUMIFS(Datos!$F:$F,Datos!$A:$A,$B6,Datos!$B:$B,HJ$3)</f>
        <v>0</v>
      </c>
      <c r="HK6" s="16">
        <f>SUMIFS(Datos!$F:$F,Datos!$A:$A,$B6,Datos!$B:$B,HK$3)</f>
        <v>0</v>
      </c>
      <c r="HL6" s="16">
        <f>SUMIFS(Datos!$F:$F,Datos!$A:$A,$B6,Datos!$B:$B,HL$3)</f>
        <v>0</v>
      </c>
      <c r="HM6" s="16">
        <f>SUMIFS(Datos!$F:$F,Datos!$A:$A,$B6,Datos!$B:$B,HM$3)</f>
        <v>0</v>
      </c>
      <c r="HN6" s="16">
        <f>SUMIFS(Datos!$F:$F,Datos!$A:$A,$B6,Datos!$B:$B,HN$3)</f>
        <v>0</v>
      </c>
      <c r="HO6" s="16">
        <f>SUMIFS(Datos!$F:$F,Datos!$A:$A,$B6,Datos!$B:$B,HO$3)</f>
        <v>0</v>
      </c>
      <c r="HP6" s="16">
        <f>SUMIFS(Datos!$F:$F,Datos!$A:$A,$B6,Datos!$B:$B,HP$3)</f>
        <v>0</v>
      </c>
      <c r="HQ6" s="16">
        <f>SUMIFS(Datos!$F:$F,Datos!$A:$A,$B6,Datos!$B:$B,HQ$3)</f>
        <v>0</v>
      </c>
      <c r="HR6" s="16">
        <f>SUMIFS(Datos!$F:$F,Datos!$A:$A,$B6,Datos!$B:$B,HR$3)</f>
        <v>0</v>
      </c>
      <c r="HS6" s="16">
        <f>SUMIFS(Datos!$F:$F,Datos!$A:$A,$B6,Datos!$B:$B,HS$3)</f>
        <v>0</v>
      </c>
      <c r="HT6" s="16">
        <f>SUMIFS(Datos!$F:$F,Datos!$A:$A,$B6,Datos!$B:$B,HT$3)</f>
        <v>0</v>
      </c>
      <c r="HU6" s="16">
        <f>SUMIFS(Datos!$F:$F,Datos!$A:$A,$B6,Datos!$B:$B,HU$3)</f>
        <v>0</v>
      </c>
      <c r="HV6" s="16">
        <f>SUMIFS(Datos!$F:$F,Datos!$A:$A,$B6,Datos!$B:$B,HV$3)</f>
        <v>0</v>
      </c>
      <c r="HW6" s="16">
        <f>SUMIFS(Datos!$F:$F,Datos!$A:$A,$B6,Datos!$B:$B,HW$3)</f>
        <v>0</v>
      </c>
      <c r="HX6" s="16">
        <f>SUMIFS(Datos!$F:$F,Datos!$A:$A,$B6,Datos!$B:$B,HX$3)</f>
        <v>0</v>
      </c>
      <c r="HY6" s="16">
        <f>SUMIFS(Datos!$F:$F,Datos!$A:$A,$B6,Datos!$B:$B,HY$3)</f>
        <v>0</v>
      </c>
      <c r="HZ6" s="16">
        <f>SUMIFS(Datos!$F:$F,Datos!$A:$A,$B6,Datos!$B:$B,HZ$3)</f>
        <v>0</v>
      </c>
      <c r="IA6" s="16">
        <f>SUMIFS(Datos!$F:$F,Datos!$A:$A,$B6,Datos!$B:$B,IA$3)</f>
        <v>0</v>
      </c>
      <c r="IB6" s="16">
        <f>SUMIFS(Datos!$F:$F,Datos!$A:$A,$B6,Datos!$B:$B,IB$3)</f>
        <v>0</v>
      </c>
      <c r="IC6" s="16">
        <f>SUMIFS(Datos!$F:$F,Datos!$A:$A,$B6,Datos!$B:$B,IC$3)</f>
        <v>0</v>
      </c>
      <c r="ID6" s="16">
        <f>SUMIFS(Datos!$F:$F,Datos!$A:$A,$B6,Datos!$B:$B,ID$3)</f>
        <v>0</v>
      </c>
      <c r="IE6" s="16">
        <f>SUMIFS(Datos!$F:$F,Datos!$A:$A,$B6,Datos!$B:$B,IE$3)</f>
        <v>0</v>
      </c>
      <c r="IF6" s="16">
        <f>SUMIFS(Datos!$F:$F,Datos!$A:$A,$B6,Datos!$B:$B,IF$3)</f>
        <v>0</v>
      </c>
      <c r="IG6" s="16">
        <f>SUMIFS(Datos!$F:$F,Datos!$A:$A,$B6,Datos!$B:$B,IG$3)</f>
        <v>0</v>
      </c>
      <c r="IH6" s="16">
        <f>SUMIFS(Datos!$F:$F,Datos!$A:$A,$B6,Datos!$B:$B,IH$3)</f>
        <v>0</v>
      </c>
      <c r="II6" s="16">
        <f>SUMIFS(Datos!$F:$F,Datos!$A:$A,$B6,Datos!$B:$B,II$3)</f>
        <v>0</v>
      </c>
      <c r="IJ6" s="16">
        <f>SUMIFS(Datos!$F:$F,Datos!$A:$A,$B6,Datos!$B:$B,IJ$3)</f>
        <v>0</v>
      </c>
      <c r="IK6" s="16">
        <f>SUMIFS(Datos!$F:$F,Datos!$A:$A,$B6,Datos!$B:$B,IK$3)</f>
        <v>0</v>
      </c>
      <c r="IL6" s="16">
        <f>SUMIFS(Datos!$F:$F,Datos!$A:$A,$B6,Datos!$B:$B,IL$3)</f>
        <v>0</v>
      </c>
      <c r="IM6" s="16">
        <f>SUMIFS(Datos!$F:$F,Datos!$A:$A,$B6,Datos!$B:$B,IM$3)</f>
        <v>0</v>
      </c>
      <c r="IN6" s="16">
        <f>SUMIFS(Datos!$F:$F,Datos!$A:$A,$B6,Datos!$B:$B,IN$3)</f>
        <v>0</v>
      </c>
      <c r="IO6" s="16">
        <f>SUMIFS(Datos!$F:$F,Datos!$A:$A,$B6,Datos!$B:$B,IO$3)</f>
        <v>0</v>
      </c>
      <c r="IP6" s="16">
        <f>SUMIFS(Datos!$F:$F,Datos!$A:$A,$B6,Datos!$B:$B,IP$3)</f>
        <v>0</v>
      </c>
      <c r="IQ6" s="16">
        <f>SUMIFS(Datos!$F:$F,Datos!$A:$A,$B6,Datos!$B:$B,IQ$3)</f>
        <v>0</v>
      </c>
      <c r="IR6" s="16">
        <f>SUMIFS(Datos!$F:$F,Datos!$A:$A,$B6,Datos!$B:$B,IR$3)</f>
        <v>0</v>
      </c>
      <c r="IS6" s="16">
        <f>SUMIFS(Datos!$F:$F,Datos!$A:$A,$B6,Datos!$B:$B,IS$3)</f>
        <v>0</v>
      </c>
      <c r="IT6" s="16">
        <f>SUMIFS(Datos!$F:$F,Datos!$A:$A,$B6,Datos!$B:$B,IT$3)</f>
        <v>0</v>
      </c>
      <c r="IU6" s="16">
        <f>SUMIFS(Datos!$F:$F,Datos!$A:$A,$B6,Datos!$B:$B,IU$3)</f>
        <v>0</v>
      </c>
      <c r="IV6" s="16">
        <f>SUMIFS(Datos!$F:$F,Datos!$A:$A,$B6,Datos!$B:$B,IV$3)</f>
        <v>0</v>
      </c>
      <c r="IW6" s="16">
        <f>SUMIFS(Datos!$F:$F,Datos!$A:$A,$B6,Datos!$B:$B,IW$3)</f>
        <v>0</v>
      </c>
      <c r="IX6" s="16">
        <f>SUMIFS(Datos!$F:$F,Datos!$A:$A,$B6,Datos!$B:$B,IX$3)</f>
        <v>0</v>
      </c>
      <c r="IY6" s="16">
        <f>SUMIFS(Datos!$F:$F,Datos!$A:$A,$B6,Datos!$B:$B,IY$3)</f>
        <v>0</v>
      </c>
      <c r="IZ6" s="16">
        <f>SUMIFS(Datos!$F:$F,Datos!$A:$A,$B6,Datos!$B:$B,IZ$3)</f>
        <v>0</v>
      </c>
      <c r="JA6" s="16">
        <f>SUMIFS(Datos!$F:$F,Datos!$A:$A,$B6,Datos!$B:$B,JA$3)</f>
        <v>0</v>
      </c>
      <c r="JB6" s="16">
        <f>SUMIFS(Datos!$F:$F,Datos!$A:$A,$B6,Datos!$B:$B,JB$3)</f>
        <v>0</v>
      </c>
      <c r="JC6" s="16">
        <f>SUMIFS(Datos!$F:$F,Datos!$A:$A,$B6,Datos!$B:$B,JC$3)</f>
        <v>0</v>
      </c>
      <c r="JD6" s="16">
        <f>SUMIFS(Datos!$F:$F,Datos!$A:$A,$B6,Datos!$B:$B,JD$3)</f>
        <v>0</v>
      </c>
      <c r="JE6" s="16">
        <f>SUMIFS(Datos!$F:$F,Datos!$A:$A,$B6,Datos!$B:$B,JE$3)</f>
        <v>0</v>
      </c>
      <c r="JF6" s="16">
        <f>SUMIFS(Datos!$F:$F,Datos!$A:$A,$B6,Datos!$B:$B,JF$3)</f>
        <v>0</v>
      </c>
      <c r="JG6" s="16">
        <f>SUMIFS(Datos!$F:$F,Datos!$A:$A,$B6,Datos!$B:$B,JG$3)</f>
        <v>0</v>
      </c>
      <c r="JH6" s="16">
        <f>SUMIFS(Datos!$F:$F,Datos!$A:$A,$B6,Datos!$B:$B,JH$3)</f>
        <v>0</v>
      </c>
      <c r="JI6" s="16">
        <f>SUMIFS(Datos!$F:$F,Datos!$A:$A,$B6,Datos!$B:$B,JI$3)</f>
        <v>0</v>
      </c>
      <c r="JJ6" s="16">
        <f>SUMIFS(Datos!$F:$F,Datos!$A:$A,$B6,Datos!$B:$B,JJ$3)</f>
        <v>0</v>
      </c>
      <c r="JK6" s="16">
        <f>SUMIFS(Datos!$F:$F,Datos!$A:$A,$B6,Datos!$B:$B,JK$3)</f>
        <v>0</v>
      </c>
      <c r="JL6" s="16">
        <f>SUMIFS(Datos!$F:$F,Datos!$A:$A,$B6,Datos!$B:$B,JL$3)</f>
        <v>0</v>
      </c>
      <c r="JM6" s="16">
        <f>SUMIFS(Datos!$F:$F,Datos!$A:$A,$B6,Datos!$B:$B,JM$3)</f>
        <v>0</v>
      </c>
      <c r="JN6" s="16">
        <f>SUMIFS(Datos!$F:$F,Datos!$A:$A,$B6,Datos!$B:$B,JN$3)</f>
        <v>0</v>
      </c>
      <c r="JO6" s="16">
        <f>SUMIFS(Datos!$F:$F,Datos!$A:$A,$B6,Datos!$B:$B,JO$3)</f>
        <v>0</v>
      </c>
      <c r="JP6" s="16">
        <f>SUMIFS(Datos!$F:$F,Datos!$A:$A,$B6,Datos!$B:$B,JP$3)</f>
        <v>0</v>
      </c>
      <c r="JQ6" s="16">
        <f>SUMIFS(Datos!$F:$F,Datos!$A:$A,$B6,Datos!$B:$B,JQ$3)</f>
        <v>0</v>
      </c>
      <c r="JR6" s="16">
        <f>SUMIFS(Datos!$F:$F,Datos!$A:$A,$B6,Datos!$B:$B,JR$3)</f>
        <v>0</v>
      </c>
      <c r="JS6" s="16">
        <f>SUMIFS(Datos!$F:$F,Datos!$A:$A,$B6,Datos!$B:$B,JS$3)</f>
        <v>0</v>
      </c>
      <c r="JT6" s="16">
        <f>SUMIFS(Datos!$F:$F,Datos!$A:$A,$B6,Datos!$B:$B,JT$3)</f>
        <v>0</v>
      </c>
      <c r="JU6" s="16">
        <f>SUMIFS(Datos!$F:$F,Datos!$A:$A,$B6,Datos!$B:$B,JU$3)</f>
        <v>0</v>
      </c>
      <c r="JV6" s="16">
        <f>SUMIFS(Datos!$F:$F,Datos!$A:$A,$B6,Datos!$B:$B,JV$3)</f>
        <v>0</v>
      </c>
      <c r="JW6" s="16">
        <f>SUMIFS(Datos!$F:$F,Datos!$A:$A,$B6,Datos!$B:$B,JW$3)</f>
        <v>0</v>
      </c>
      <c r="JX6" s="16">
        <f>SUMIFS(Datos!$F:$F,Datos!$A:$A,$B6,Datos!$B:$B,JX$3)</f>
        <v>0</v>
      </c>
      <c r="JY6" s="16">
        <f>SUMIFS(Datos!$F:$F,Datos!$A:$A,$B6,Datos!$B:$B,JY$3)</f>
        <v>0</v>
      </c>
      <c r="JZ6" s="16">
        <f>SUMIFS(Datos!$F:$F,Datos!$A:$A,$B6,Datos!$B:$B,JZ$3)</f>
        <v>0</v>
      </c>
      <c r="KA6" s="16">
        <f>SUMIFS(Datos!$F:$F,Datos!$A:$A,$B6,Datos!$B:$B,KA$3)</f>
        <v>0</v>
      </c>
      <c r="KB6" s="16">
        <f>SUMIFS(Datos!$F:$F,Datos!$A:$A,$B6,Datos!$B:$B,KB$3)</f>
        <v>0</v>
      </c>
      <c r="KC6" s="16">
        <f>SUMIFS(Datos!$F:$F,Datos!$A:$A,$B6,Datos!$B:$B,KC$3)</f>
        <v>0</v>
      </c>
      <c r="KD6" s="16">
        <f>SUMIFS(Datos!$F:$F,Datos!$A:$A,$B6,Datos!$B:$B,KD$3)</f>
        <v>0</v>
      </c>
      <c r="KE6" s="16">
        <f>SUMIFS(Datos!$F:$F,Datos!$A:$A,$B6,Datos!$B:$B,KE$3)</f>
        <v>0</v>
      </c>
      <c r="KF6" s="16">
        <f>SUMIFS(Datos!$F:$F,Datos!$A:$A,$B6,Datos!$B:$B,KF$3)</f>
        <v>0</v>
      </c>
      <c r="KG6" s="16">
        <f>SUMIFS(Datos!$F:$F,Datos!$A:$A,$B6,Datos!$B:$B,KG$3)</f>
        <v>0</v>
      </c>
      <c r="KH6" s="16">
        <f>SUMIFS(Datos!$F:$F,Datos!$A:$A,$B6,Datos!$B:$B,KH$3)</f>
        <v>0</v>
      </c>
      <c r="KI6" s="16">
        <f>SUMIFS(Datos!$F:$F,Datos!$A:$A,$B6,Datos!$B:$B,KI$3)</f>
        <v>0</v>
      </c>
      <c r="KJ6" s="16">
        <f>SUMIFS(Datos!$F:$F,Datos!$A:$A,$B6,Datos!$B:$B,KJ$3)</f>
        <v>0</v>
      </c>
      <c r="KK6" s="16">
        <f>SUMIFS(Datos!$F:$F,Datos!$A:$A,$B6,Datos!$B:$B,KK$3)</f>
        <v>0</v>
      </c>
      <c r="KL6" s="16">
        <f>SUMIFS(Datos!$F:$F,Datos!$A:$A,$B6,Datos!$B:$B,KL$3)</f>
        <v>0</v>
      </c>
      <c r="KM6" s="16">
        <f>SUMIFS(Datos!$F:$F,Datos!$A:$A,$B6,Datos!$B:$B,KM$3)</f>
        <v>0</v>
      </c>
      <c r="KN6" s="16">
        <f>SUMIFS(Datos!$F:$F,Datos!$A:$A,$B6,Datos!$B:$B,KN$3)</f>
        <v>0</v>
      </c>
      <c r="KO6" s="16">
        <f>SUMIFS(Datos!$F:$F,Datos!$A:$A,$B6,Datos!$B:$B,KO$3)</f>
        <v>0</v>
      </c>
      <c r="KP6" s="16">
        <f>SUMIFS(Datos!$F:$F,Datos!$A:$A,$B6,Datos!$B:$B,KP$3)</f>
        <v>0</v>
      </c>
      <c r="KQ6" s="16">
        <f>SUMIFS(Datos!$F:$F,Datos!$A:$A,$B6,Datos!$B:$B,KQ$3)</f>
        <v>0</v>
      </c>
      <c r="KR6" s="16">
        <f>SUMIFS(Datos!$F:$F,Datos!$A:$A,$B6,Datos!$B:$B,KR$3)</f>
        <v>0</v>
      </c>
      <c r="KS6" s="16">
        <f>SUMIFS(Datos!$F:$F,Datos!$A:$A,$B6,Datos!$B:$B,KS$3)</f>
        <v>0</v>
      </c>
      <c r="KT6" s="16">
        <f>SUMIFS(Datos!$F:$F,Datos!$A:$A,$B6,Datos!$B:$B,KT$3)</f>
        <v>0</v>
      </c>
      <c r="KU6" s="16">
        <f>SUMIFS(Datos!$F:$F,Datos!$A:$A,$B6,Datos!$B:$B,KU$3)</f>
        <v>0</v>
      </c>
      <c r="KV6" s="16">
        <f>SUMIFS(Datos!$F:$F,Datos!$A:$A,$B6,Datos!$B:$B,KV$3)</f>
        <v>0</v>
      </c>
      <c r="KW6" s="16">
        <f>SUMIFS(Datos!$F:$F,Datos!$A:$A,$B6,Datos!$B:$B,KW$3)</f>
        <v>0</v>
      </c>
      <c r="KX6" s="16">
        <f>SUMIFS(Datos!$F:$F,Datos!$A:$A,$B6,Datos!$B:$B,KX$3)</f>
        <v>0</v>
      </c>
      <c r="KY6" s="16">
        <f>SUMIFS(Datos!$F:$F,Datos!$A:$A,$B6,Datos!$B:$B,KY$3)</f>
        <v>0</v>
      </c>
      <c r="KZ6" s="16">
        <f>SUMIFS(Datos!$F:$F,Datos!$A:$A,$B6,Datos!$B:$B,KZ$3)</f>
        <v>0</v>
      </c>
      <c r="LA6" s="16">
        <f>SUMIFS(Datos!$F:$F,Datos!$A:$A,$B6,Datos!$B:$B,LA$3)</f>
        <v>0</v>
      </c>
      <c r="LB6" s="16">
        <f>SUMIFS(Datos!$F:$F,Datos!$A:$A,$B6,Datos!$B:$B,LB$3)</f>
        <v>0</v>
      </c>
      <c r="LC6" s="16">
        <f>SUMIFS(Datos!$F:$F,Datos!$A:$A,$B6,Datos!$B:$B,LC$3)</f>
        <v>0</v>
      </c>
      <c r="LD6" s="16">
        <f>SUMIFS(Datos!$F:$F,Datos!$A:$A,$B6,Datos!$B:$B,LD$3)</f>
        <v>0</v>
      </c>
      <c r="LE6" s="16">
        <f>SUMIFS(Datos!$F:$F,Datos!$A:$A,$B6,Datos!$B:$B,LE$3)</f>
        <v>0</v>
      </c>
      <c r="LF6" s="16">
        <f>SUMIFS(Datos!$F:$F,Datos!$A:$A,$B6,Datos!$B:$B,LF$3)</f>
        <v>0</v>
      </c>
      <c r="LG6" s="16">
        <f>SUMIFS(Datos!$F:$F,Datos!$A:$A,$B6,Datos!$B:$B,LG$3)</f>
        <v>0</v>
      </c>
      <c r="LH6" s="16">
        <f>SUMIFS(Datos!$F:$F,Datos!$A:$A,$B6,Datos!$B:$B,LH$3)</f>
        <v>0</v>
      </c>
      <c r="LI6" s="16">
        <f>SUMIFS(Datos!$F:$F,Datos!$A:$A,$B6,Datos!$B:$B,LI$3)</f>
        <v>0</v>
      </c>
      <c r="LJ6" s="16">
        <f>SUMIFS(Datos!$F:$F,Datos!$A:$A,$B6,Datos!$B:$B,LJ$3)</f>
        <v>0</v>
      </c>
      <c r="LK6" s="16">
        <f>SUMIFS(Datos!$F:$F,Datos!$A:$A,$B6,Datos!$B:$B,LK$3)</f>
        <v>0</v>
      </c>
      <c r="LL6" s="16">
        <f>SUMIFS(Datos!$F:$F,Datos!$A:$A,$B6,Datos!$B:$B,LL$3)</f>
        <v>0</v>
      </c>
      <c r="LM6" s="16">
        <f>SUMIFS(Datos!$F:$F,Datos!$A:$A,$B6,Datos!$B:$B,LM$3)</f>
        <v>0</v>
      </c>
      <c r="LN6" s="16">
        <f>SUMIFS(Datos!$F:$F,Datos!$A:$A,$B6,Datos!$B:$B,LN$3)</f>
        <v>0</v>
      </c>
      <c r="LO6" s="16">
        <f>SUMIFS(Datos!$F:$F,Datos!$A:$A,$B6,Datos!$B:$B,LO$3)</f>
        <v>0</v>
      </c>
      <c r="LP6" s="16">
        <f>SUMIFS(Datos!$F:$F,Datos!$A:$A,$B6,Datos!$B:$B,LP$3)</f>
        <v>0</v>
      </c>
      <c r="LQ6" s="16">
        <f>SUMIFS(Datos!$F:$F,Datos!$A:$A,$B6,Datos!$B:$B,LQ$3)</f>
        <v>0</v>
      </c>
      <c r="LR6" s="16">
        <f>SUMIFS(Datos!$F:$F,Datos!$A:$A,$B6,Datos!$B:$B,LR$3)</f>
        <v>0</v>
      </c>
      <c r="LS6" s="16">
        <f>SUMIFS(Datos!$F:$F,Datos!$A:$A,$B6,Datos!$B:$B,LS$3)</f>
        <v>0</v>
      </c>
      <c r="LT6" s="16">
        <f>SUMIFS(Datos!$F:$F,Datos!$A:$A,$B6,Datos!$B:$B,LT$3)</f>
        <v>0</v>
      </c>
      <c r="LU6" s="16">
        <f>SUMIFS(Datos!$F:$F,Datos!$A:$A,$B6,Datos!$B:$B,LU$3)</f>
        <v>0</v>
      </c>
      <c r="LV6" s="16">
        <f>SUMIFS(Datos!$F:$F,Datos!$A:$A,$B6,Datos!$B:$B,LV$3)</f>
        <v>0</v>
      </c>
      <c r="LW6" s="16">
        <f>SUMIFS(Datos!$F:$F,Datos!$A:$A,$B6,Datos!$B:$B,LW$3)</f>
        <v>0</v>
      </c>
      <c r="LX6" s="16">
        <f>SUMIFS(Datos!$F:$F,Datos!$A:$A,$B6,Datos!$B:$B,LX$3)</f>
        <v>0</v>
      </c>
      <c r="LY6" s="16">
        <f>SUMIFS(Datos!$F:$F,Datos!$A:$A,$B6,Datos!$B:$B,LY$3)</f>
        <v>0</v>
      </c>
      <c r="LZ6" s="16">
        <f>SUMIFS(Datos!$F:$F,Datos!$A:$A,$B6,Datos!$B:$B,LZ$3)</f>
        <v>0</v>
      </c>
      <c r="MA6" s="16">
        <f>SUMIFS(Datos!$F:$F,Datos!$A:$A,$B6,Datos!$B:$B,MA$3)</f>
        <v>0</v>
      </c>
      <c r="MB6" s="16">
        <f>SUMIFS(Datos!$F:$F,Datos!$A:$A,$B6,Datos!$B:$B,MB$3)</f>
        <v>0</v>
      </c>
      <c r="MC6" s="16">
        <f>SUMIFS(Datos!$F:$F,Datos!$A:$A,$B6,Datos!$B:$B,MC$3)</f>
        <v>0</v>
      </c>
      <c r="MD6" s="16">
        <f>SUMIFS(Datos!$F:$F,Datos!$A:$A,$B6,Datos!$B:$B,MD$3)</f>
        <v>0</v>
      </c>
      <c r="ME6" s="16">
        <f>SUMIFS(Datos!$F:$F,Datos!$A:$A,$B6,Datos!$B:$B,ME$3)</f>
        <v>0</v>
      </c>
      <c r="MF6" s="16">
        <f>SUMIFS(Datos!$F:$F,Datos!$A:$A,$B6,Datos!$B:$B,MF$3)</f>
        <v>0</v>
      </c>
      <c r="MG6" s="16">
        <f>SUMIFS(Datos!$F:$F,Datos!$A:$A,$B6,Datos!$B:$B,MG$3)</f>
        <v>0</v>
      </c>
      <c r="MH6" s="16">
        <f>SUMIFS(Datos!$F:$F,Datos!$A:$A,$B6,Datos!$B:$B,MH$3)</f>
        <v>0</v>
      </c>
      <c r="MI6" s="16">
        <f>SUMIFS(Datos!$F:$F,Datos!$A:$A,$B6,Datos!$B:$B,MI$3)</f>
        <v>0</v>
      </c>
      <c r="MJ6" s="16">
        <f>SUMIFS(Datos!$F:$F,Datos!$A:$A,$B6,Datos!$B:$B,MJ$3)</f>
        <v>0</v>
      </c>
      <c r="MK6" s="16">
        <f>SUMIFS(Datos!$F:$F,Datos!$A:$A,$B6,Datos!$B:$B,MK$3)</f>
        <v>0</v>
      </c>
      <c r="ML6" s="16">
        <f>SUMIFS(Datos!$F:$F,Datos!$A:$A,$B6,Datos!$B:$B,ML$3)</f>
        <v>0</v>
      </c>
      <c r="MM6" s="16">
        <f>SUMIFS(Datos!$F:$F,Datos!$A:$A,$B6,Datos!$B:$B,MM$3)</f>
        <v>0</v>
      </c>
      <c r="MN6" s="16">
        <f>SUMIFS(Datos!$F:$F,Datos!$A:$A,$B6,Datos!$B:$B,MN$3)</f>
        <v>0</v>
      </c>
      <c r="MO6" s="16">
        <f>SUMIFS(Datos!$F:$F,Datos!$A:$A,$B6,Datos!$B:$B,MO$3)</f>
        <v>0</v>
      </c>
      <c r="MP6" s="16">
        <f>SUMIFS(Datos!$F:$F,Datos!$A:$A,$B6,Datos!$B:$B,MP$3)</f>
        <v>0</v>
      </c>
      <c r="MQ6" s="16">
        <f>SUMIFS(Datos!$F:$F,Datos!$A:$A,$B6,Datos!$B:$B,MQ$3)</f>
        <v>0</v>
      </c>
      <c r="MR6" s="16">
        <f>SUMIFS(Datos!$F:$F,Datos!$A:$A,$B6,Datos!$B:$B,MR$3)</f>
        <v>0</v>
      </c>
      <c r="MS6" s="16">
        <f>SUMIFS(Datos!$F:$F,Datos!$A:$A,$B6,Datos!$B:$B,MS$3)</f>
        <v>0</v>
      </c>
      <c r="MT6" s="16">
        <f>SUMIFS(Datos!$F:$F,Datos!$A:$A,$B6,Datos!$B:$B,MT$3)</f>
        <v>0</v>
      </c>
      <c r="MU6" s="16">
        <f>SUMIFS(Datos!$F:$F,Datos!$A:$A,$B6,Datos!$B:$B,MU$3)</f>
        <v>0</v>
      </c>
      <c r="MV6" s="16">
        <f>SUMIFS(Datos!$F:$F,Datos!$A:$A,$B6,Datos!$B:$B,MV$3)</f>
        <v>0</v>
      </c>
      <c r="MW6" s="16">
        <f>SUMIFS(Datos!$F:$F,Datos!$A:$A,$B6,Datos!$B:$B,MW$3)</f>
        <v>0</v>
      </c>
      <c r="MX6" s="16">
        <f>SUMIFS(Datos!$F:$F,Datos!$A:$A,$B6,Datos!$B:$B,MX$3)</f>
        <v>0</v>
      </c>
      <c r="MY6" s="16">
        <f>SUMIFS(Datos!$F:$F,Datos!$A:$A,$B6,Datos!$B:$B,MY$3)</f>
        <v>0</v>
      </c>
      <c r="MZ6" s="16">
        <f>SUMIFS(Datos!$F:$F,Datos!$A:$A,$B6,Datos!$B:$B,MZ$3)</f>
        <v>0</v>
      </c>
      <c r="NA6" s="16">
        <f>SUMIFS(Datos!$F:$F,Datos!$A:$A,$B6,Datos!$B:$B,NA$3)</f>
        <v>0</v>
      </c>
      <c r="NB6" s="16">
        <f>SUMIFS(Datos!$F:$F,Datos!$A:$A,$B6,Datos!$B:$B,NB$3)</f>
        <v>0</v>
      </c>
      <c r="NC6" s="16">
        <f>SUMIFS(Datos!$F:$F,Datos!$A:$A,$B6,Datos!$B:$B,NC$3)</f>
        <v>0</v>
      </c>
      <c r="ND6" s="16">
        <f>SUMIFS(Datos!$F:$F,Datos!$A:$A,$B6,Datos!$B:$B,ND$3)</f>
        <v>0</v>
      </c>
      <c r="NE6" s="16">
        <f>SUMIFS(Datos!$F:$F,Datos!$A:$A,$B6,Datos!$B:$B,NE$3)</f>
        <v>0</v>
      </c>
      <c r="NF6" s="16">
        <f>SUMIFS(Datos!$F:$F,Datos!$A:$A,$B6,Datos!$B:$B,NF$3)</f>
        <v>0</v>
      </c>
      <c r="NG6" s="16">
        <f>SUMIFS(Datos!$F:$F,Datos!$A:$A,$B6,Datos!$B:$B,NG$3)</f>
        <v>0</v>
      </c>
      <c r="NH6" s="16">
        <f>SUMIFS(Datos!$F:$F,Datos!$A:$A,$B6,Datos!$B:$B,NH$3)</f>
        <v>0</v>
      </c>
      <c r="NI6" s="16">
        <f>SUMIFS(Datos!$F:$F,Datos!$A:$A,$B6,Datos!$B:$B,NI$3)</f>
        <v>0</v>
      </c>
      <c r="NJ6" s="16">
        <f>SUMIFS(Datos!$F:$F,Datos!$A:$A,$B6,Datos!$B:$B,NJ$3)</f>
        <v>0</v>
      </c>
      <c r="NK6" s="16">
        <f>SUMIFS(Datos!$F:$F,Datos!$A:$A,$B6,Datos!$B:$B,NK$3)</f>
        <v>0</v>
      </c>
      <c r="NL6" s="16">
        <f>SUMIFS(Datos!$F:$F,Datos!$A:$A,$B6,Datos!$B:$B,NL$3)</f>
        <v>0</v>
      </c>
      <c r="NM6" s="16">
        <f>SUMIFS(Datos!$F:$F,Datos!$A:$A,$B6,Datos!$B:$B,NM$3)</f>
        <v>0</v>
      </c>
      <c r="NN6" s="16">
        <f>SUMIFS(Datos!$F:$F,Datos!$A:$A,$B6,Datos!$B:$B,NN$3)</f>
        <v>0</v>
      </c>
      <c r="NO6" s="16">
        <f>SUMIFS(Datos!$F:$F,Datos!$A:$A,$B6,Datos!$B:$B,NO$3)</f>
        <v>0</v>
      </c>
      <c r="NP6" s="16">
        <f>SUMIFS(Datos!$F:$F,Datos!$A:$A,$B6,Datos!$B:$B,NP$3)</f>
        <v>0</v>
      </c>
      <c r="NQ6" s="16">
        <f>SUMIFS(Datos!$F:$F,Datos!$A:$A,$B6,Datos!$B:$B,NQ$3)</f>
        <v>0</v>
      </c>
      <c r="NR6" s="16">
        <f>SUMIFS(Datos!$F:$F,Datos!$A:$A,$B6,Datos!$B:$B,NR$3)</f>
        <v>0</v>
      </c>
      <c r="NS6" s="16">
        <f>SUMIFS(Datos!$F:$F,Datos!$A:$A,$B6,Datos!$B:$B,NS$3)</f>
        <v>0</v>
      </c>
      <c r="NT6" s="16">
        <f>SUMIFS(Datos!$F:$F,Datos!$A:$A,$B6,Datos!$B:$B,NT$3)</f>
        <v>0</v>
      </c>
      <c r="NU6" s="16">
        <f>SUMIFS(Datos!$F:$F,Datos!$A:$A,$B6,Datos!$B:$B,NU$3)</f>
        <v>0</v>
      </c>
      <c r="NV6" s="16">
        <f>SUMIFS(Datos!$F:$F,Datos!$A:$A,$B6,Datos!$B:$B,NV$3)</f>
        <v>0</v>
      </c>
      <c r="NW6" s="16">
        <f>SUMIFS(Datos!$F:$F,Datos!$A:$A,$B6,Datos!$B:$B,NW$3)</f>
        <v>0</v>
      </c>
      <c r="NX6" s="16">
        <f>SUMIFS(Datos!$F:$F,Datos!$A:$A,$B6,Datos!$B:$B,NX$3)</f>
        <v>0</v>
      </c>
      <c r="NY6" s="16">
        <f>SUMIFS(Datos!$F:$F,Datos!$A:$A,$B6,Datos!$B:$B,NY$3)</f>
        <v>0</v>
      </c>
      <c r="NZ6" s="16">
        <f>SUMIFS(Datos!$F:$F,Datos!$A:$A,$B6,Datos!$B:$B,NZ$3)</f>
        <v>0</v>
      </c>
      <c r="OA6" s="16">
        <f>SUMIFS(Datos!$F:$F,Datos!$A:$A,$B6,Datos!$B:$B,OA$3)</f>
        <v>0</v>
      </c>
      <c r="OB6" s="16">
        <f>SUMIFS(Datos!$F:$F,Datos!$A:$A,$B6,Datos!$B:$B,OB$3)</f>
        <v>0</v>
      </c>
      <c r="OC6" s="16">
        <f>SUMIFS(Datos!$F:$F,Datos!$A:$A,$B6,Datos!$B:$B,OC$3)</f>
        <v>0</v>
      </c>
      <c r="OD6" s="16">
        <f>SUMIFS(Datos!$F:$F,Datos!$A:$A,$B6,Datos!$B:$B,OD$3)</f>
        <v>0</v>
      </c>
      <c r="OE6" s="16">
        <f>SUMIFS(Datos!$F:$F,Datos!$A:$A,$B6,Datos!$B:$B,OE$3)</f>
        <v>0</v>
      </c>
      <c r="OF6" s="16">
        <f>SUMIFS(Datos!$F:$F,Datos!$A:$A,$B6,Datos!$B:$B,OF$3)</f>
        <v>0</v>
      </c>
      <c r="OG6" s="16">
        <f>SUMIFS(Datos!$F:$F,Datos!$A:$A,$B6,Datos!$B:$B,OG$3)</f>
        <v>0</v>
      </c>
      <c r="OH6" s="16">
        <f>SUMIFS(Datos!$F:$F,Datos!$A:$A,$B6,Datos!$B:$B,OH$3)</f>
        <v>0</v>
      </c>
      <c r="OI6" s="16">
        <f>SUMIFS(Datos!$F:$F,Datos!$A:$A,$B6,Datos!$B:$B,OI$3)</f>
        <v>0</v>
      </c>
      <c r="OJ6" s="16">
        <f>SUMIFS(Datos!$F:$F,Datos!$A:$A,$B6,Datos!$B:$B,OJ$3)</f>
        <v>0</v>
      </c>
      <c r="OK6" s="16">
        <f>SUMIFS(Datos!$F:$F,Datos!$A:$A,$B6,Datos!$B:$B,OK$3)</f>
        <v>0</v>
      </c>
      <c r="OL6" s="16">
        <f>SUMIFS(Datos!$F:$F,Datos!$A:$A,$B6,Datos!$B:$B,OL$3)</f>
        <v>0</v>
      </c>
      <c r="OM6" s="16">
        <f>SUMIFS(Datos!$F:$F,Datos!$A:$A,$B6,Datos!$B:$B,OM$3)</f>
        <v>0</v>
      </c>
      <c r="ON6" s="16">
        <f>SUMIFS(Datos!$F:$F,Datos!$A:$A,$B6,Datos!$B:$B,ON$3)</f>
        <v>0</v>
      </c>
      <c r="OO6" s="16">
        <f>SUMIFS(Datos!$F:$F,Datos!$A:$A,$B6,Datos!$B:$B,OO$3)</f>
        <v>0</v>
      </c>
      <c r="OP6" s="16">
        <f>SUMIFS(Datos!$F:$F,Datos!$A:$A,$B6,Datos!$B:$B,OP$3)</f>
        <v>0</v>
      </c>
      <c r="OQ6" s="16">
        <f>SUMIFS(Datos!$F:$F,Datos!$A:$A,$B6,Datos!$B:$B,OQ$3)</f>
        <v>0</v>
      </c>
      <c r="OR6" s="16">
        <f>SUMIFS(Datos!$F:$F,Datos!$A:$A,$B6,Datos!$B:$B,OR$3)</f>
        <v>0</v>
      </c>
      <c r="OS6" s="16">
        <f>SUMIFS(Datos!$F:$F,Datos!$A:$A,$B6,Datos!$B:$B,OS$3)</f>
        <v>0</v>
      </c>
      <c r="OT6" s="16">
        <f>SUMIFS(Datos!$F:$F,Datos!$A:$A,$B6,Datos!$B:$B,OT$3)</f>
        <v>0</v>
      </c>
      <c r="OU6" s="16">
        <f>SUMIFS(Datos!$F:$F,Datos!$A:$A,$B6,Datos!$B:$B,OU$3)</f>
        <v>0</v>
      </c>
      <c r="OV6" s="16">
        <f>SUMIFS(Datos!$F:$F,Datos!$A:$A,$B6,Datos!$B:$B,OV$3)</f>
        <v>0</v>
      </c>
      <c r="OW6" s="16">
        <f>SUMIFS(Datos!$F:$F,Datos!$A:$A,$B6,Datos!$B:$B,OW$3)</f>
        <v>0</v>
      </c>
      <c r="OX6" s="16">
        <f>SUMIFS(Datos!$F:$F,Datos!$A:$A,$B6,Datos!$B:$B,OX$3)</f>
        <v>0</v>
      </c>
      <c r="OY6" s="16">
        <f>SUMIFS(Datos!$F:$F,Datos!$A:$A,$B6,Datos!$B:$B,OY$3)</f>
        <v>0</v>
      </c>
      <c r="OZ6" s="16">
        <f>SUMIFS(Datos!$F:$F,Datos!$A:$A,$B6,Datos!$B:$B,OZ$3)</f>
        <v>0</v>
      </c>
      <c r="PA6" s="16">
        <f>SUMIFS(Datos!$F:$F,Datos!$A:$A,$B6,Datos!$B:$B,PA$3)</f>
        <v>0</v>
      </c>
      <c r="PB6" s="16">
        <f>SUMIFS(Datos!$F:$F,Datos!$A:$A,$B6,Datos!$B:$B,PB$3)</f>
        <v>0</v>
      </c>
      <c r="PC6" s="16">
        <f>SUMIFS(Datos!$F:$F,Datos!$A:$A,$B6,Datos!$B:$B,PC$3)</f>
        <v>0</v>
      </c>
      <c r="PD6" s="16">
        <f>SUMIFS(Datos!$F:$F,Datos!$A:$A,$B6,Datos!$B:$B,PD$3)</f>
        <v>0</v>
      </c>
      <c r="PE6" s="16">
        <f>SUMIFS(Datos!$F:$F,Datos!$A:$A,$B6,Datos!$B:$B,PE$3)</f>
        <v>0</v>
      </c>
      <c r="PF6" s="16">
        <f>SUMIFS(Datos!$F:$F,Datos!$A:$A,$B6,Datos!$B:$B,PF$3)</f>
        <v>0</v>
      </c>
      <c r="PG6" s="16">
        <f>SUMIFS(Datos!$F:$F,Datos!$A:$A,$B6,Datos!$B:$B,PG$3)</f>
        <v>0</v>
      </c>
      <c r="PH6" s="16">
        <f>SUMIFS(Datos!$F:$F,Datos!$A:$A,$B6,Datos!$B:$B,PH$3)</f>
        <v>0</v>
      </c>
      <c r="PI6" s="16">
        <f>SUMIFS(Datos!$F:$F,Datos!$A:$A,$B6,Datos!$B:$B,PI$3)</f>
        <v>0</v>
      </c>
      <c r="PJ6" s="16">
        <f>SUMIFS(Datos!$F:$F,Datos!$A:$A,$B6,Datos!$B:$B,PJ$3)</f>
        <v>0</v>
      </c>
      <c r="PK6" s="16">
        <f>SUMIFS(Datos!$F:$F,Datos!$A:$A,$B6,Datos!$B:$B,PK$3)</f>
        <v>0</v>
      </c>
      <c r="PL6" s="16">
        <f>SUMIFS(Datos!$F:$F,Datos!$A:$A,$B6,Datos!$B:$B,PL$3)</f>
        <v>0</v>
      </c>
      <c r="PM6" s="16">
        <f>SUMIFS(Datos!$F:$F,Datos!$A:$A,$B6,Datos!$B:$B,PM$3)</f>
        <v>0</v>
      </c>
      <c r="PN6" s="16">
        <f>SUMIFS(Datos!$F:$F,Datos!$A:$A,$B6,Datos!$B:$B,PN$3)</f>
        <v>0</v>
      </c>
      <c r="PO6" s="16">
        <f>SUMIFS(Datos!$F:$F,Datos!$A:$A,$B6,Datos!$B:$B,PO$3)</f>
        <v>0</v>
      </c>
      <c r="PP6" s="16">
        <f>SUMIFS(Datos!$F:$F,Datos!$A:$A,$B6,Datos!$B:$B,PP$3)</f>
        <v>0</v>
      </c>
      <c r="PQ6" s="16">
        <f>SUMIFS(Datos!$F:$F,Datos!$A:$A,$B6,Datos!$B:$B,PQ$3)</f>
        <v>0</v>
      </c>
      <c r="PR6" s="16">
        <f>SUMIFS(Datos!$F:$F,Datos!$A:$A,$B6,Datos!$B:$B,PR$3)</f>
        <v>0</v>
      </c>
      <c r="PS6" s="16">
        <f>SUMIFS(Datos!$F:$F,Datos!$A:$A,$B6,Datos!$B:$B,PS$3)</f>
        <v>0</v>
      </c>
      <c r="PT6" s="16">
        <f>SUMIFS(Datos!$F:$F,Datos!$A:$A,$B6,Datos!$B:$B,PT$3)</f>
        <v>0</v>
      </c>
      <c r="PU6" s="16">
        <f>SUMIFS(Datos!$F:$F,Datos!$A:$A,$B6,Datos!$B:$B,PU$3)</f>
        <v>0</v>
      </c>
      <c r="PV6" s="16">
        <f>SUMIFS(Datos!$F:$F,Datos!$A:$A,$B6,Datos!$B:$B,PV$3)</f>
        <v>0</v>
      </c>
      <c r="PW6" s="16">
        <f>SUMIFS(Datos!$F:$F,Datos!$A:$A,$B6,Datos!$B:$B,PW$3)</f>
        <v>0</v>
      </c>
      <c r="PX6" s="16">
        <f>SUMIFS(Datos!$F:$F,Datos!$A:$A,$B6,Datos!$B:$B,PX$3)</f>
        <v>0</v>
      </c>
      <c r="PY6" s="16">
        <f>SUMIFS(Datos!$F:$F,Datos!$A:$A,$B6,Datos!$B:$B,PY$3)</f>
        <v>0</v>
      </c>
      <c r="PZ6" s="16">
        <f>SUMIFS(Datos!$F:$F,Datos!$A:$A,$B6,Datos!$B:$B,PZ$3)</f>
        <v>0</v>
      </c>
      <c r="QA6" s="16">
        <f>SUMIFS(Datos!$F:$F,Datos!$A:$A,$B6,Datos!$B:$B,QA$3)</f>
        <v>0</v>
      </c>
      <c r="QB6" s="16">
        <f>SUMIFS(Datos!$F:$F,Datos!$A:$A,$B6,Datos!$B:$B,QB$3)</f>
        <v>0</v>
      </c>
      <c r="QC6" s="16">
        <f>SUMIFS(Datos!$F:$F,Datos!$A:$A,$B6,Datos!$B:$B,QC$3)</f>
        <v>0</v>
      </c>
      <c r="QD6" s="16">
        <f>SUMIFS(Datos!$F:$F,Datos!$A:$A,$B6,Datos!$B:$B,QD$3)</f>
        <v>0</v>
      </c>
      <c r="QE6" s="16">
        <f>SUMIFS(Datos!$F:$F,Datos!$A:$A,$B6,Datos!$B:$B,QE$3)</f>
        <v>0</v>
      </c>
      <c r="QF6" s="16">
        <f>SUMIFS(Datos!$F:$F,Datos!$A:$A,$B6,Datos!$B:$B,QF$3)</f>
        <v>0</v>
      </c>
      <c r="QG6" s="16">
        <f>SUMIFS(Datos!$F:$F,Datos!$A:$A,$B6,Datos!$B:$B,QG$3)</f>
        <v>0</v>
      </c>
      <c r="QH6" s="16">
        <f>SUMIFS(Datos!$F:$F,Datos!$A:$A,$B6,Datos!$B:$B,QH$3)</f>
        <v>0</v>
      </c>
      <c r="QI6" s="16">
        <f>SUMIFS(Datos!$F:$F,Datos!$A:$A,$B6,Datos!$B:$B,QI$3)</f>
        <v>0</v>
      </c>
      <c r="QJ6" s="16">
        <f>SUMIFS(Datos!$F:$F,Datos!$A:$A,$B6,Datos!$B:$B,QJ$3)</f>
        <v>0</v>
      </c>
      <c r="QK6" s="16">
        <f>SUMIFS(Datos!$F:$F,Datos!$A:$A,$B6,Datos!$B:$B,QK$3)</f>
        <v>0</v>
      </c>
      <c r="QL6" s="16">
        <f>SUMIFS(Datos!$F:$F,Datos!$A:$A,$B6,Datos!$B:$B,QL$3)</f>
        <v>0</v>
      </c>
      <c r="QM6" s="16">
        <f>SUMIFS(Datos!$F:$F,Datos!$A:$A,$B6,Datos!$B:$B,QM$3)</f>
        <v>0</v>
      </c>
      <c r="QN6" s="16">
        <f>SUMIFS(Datos!$F:$F,Datos!$A:$A,$B6,Datos!$B:$B,QN$3)</f>
        <v>0</v>
      </c>
      <c r="QO6" s="16">
        <f>SUMIFS(Datos!$F:$F,Datos!$A:$A,$B6,Datos!$B:$B,QO$3)</f>
        <v>0</v>
      </c>
      <c r="QP6" s="16">
        <f>SUMIFS(Datos!$F:$F,Datos!$A:$A,$B6,Datos!$B:$B,QP$3)</f>
        <v>0</v>
      </c>
      <c r="QQ6" s="16">
        <f>SUMIFS(Datos!$F:$F,Datos!$A:$A,$B6,Datos!$B:$B,QQ$3)</f>
        <v>0</v>
      </c>
      <c r="QR6" s="16">
        <f>SUMIFS(Datos!$F:$F,Datos!$A:$A,$B6,Datos!$B:$B,QR$3)</f>
        <v>0</v>
      </c>
      <c r="QS6" s="16">
        <f>SUMIFS(Datos!$F:$F,Datos!$A:$A,$B6,Datos!$B:$B,QS$3)</f>
        <v>0</v>
      </c>
      <c r="QT6" s="16">
        <f>SUMIFS(Datos!$F:$F,Datos!$A:$A,$B6,Datos!$B:$B,QT$3)</f>
        <v>0</v>
      </c>
      <c r="QU6" s="16">
        <f>SUMIFS(Datos!$F:$F,Datos!$A:$A,$B6,Datos!$B:$B,QU$3)</f>
        <v>0</v>
      </c>
      <c r="QV6" s="16">
        <f>SUMIFS(Datos!$F:$F,Datos!$A:$A,$B6,Datos!$B:$B,QV$3)</f>
        <v>0</v>
      </c>
      <c r="QW6" s="16">
        <f>SUMIFS(Datos!$F:$F,Datos!$A:$A,$B6,Datos!$B:$B,QW$3)</f>
        <v>0</v>
      </c>
      <c r="QX6" s="16">
        <f>SUMIFS(Datos!$F:$F,Datos!$A:$A,$B6,Datos!$B:$B,QX$3)</f>
        <v>0</v>
      </c>
      <c r="QY6" s="16">
        <f>SUMIFS(Datos!$F:$F,Datos!$A:$A,$B6,Datos!$B:$B,QY$3)</f>
        <v>0</v>
      </c>
      <c r="QZ6" s="16">
        <f>SUMIFS(Datos!$F:$F,Datos!$A:$A,$B6,Datos!$B:$B,QZ$3)</f>
        <v>0</v>
      </c>
      <c r="RA6" s="16">
        <f>SUMIFS(Datos!$F:$F,Datos!$A:$A,$B6,Datos!$B:$B,RA$3)</f>
        <v>0</v>
      </c>
      <c r="RB6" s="16">
        <f>SUMIFS(Datos!$F:$F,Datos!$A:$A,$B6,Datos!$B:$B,RB$3)</f>
        <v>0</v>
      </c>
      <c r="RC6" s="16">
        <f>SUMIFS(Datos!$F:$F,Datos!$A:$A,$B6,Datos!$B:$B,RC$3)</f>
        <v>0</v>
      </c>
      <c r="RD6" s="16">
        <f>SUMIFS(Datos!$F:$F,Datos!$A:$A,$B6,Datos!$B:$B,RD$3)</f>
        <v>0</v>
      </c>
      <c r="RE6" s="16">
        <f>SUMIFS(Datos!$F:$F,Datos!$A:$A,$B6,Datos!$B:$B,RE$3)</f>
        <v>0</v>
      </c>
      <c r="RF6" s="16">
        <f>SUMIFS(Datos!$F:$F,Datos!$A:$A,$B6,Datos!$B:$B,RF$3)</f>
        <v>0</v>
      </c>
      <c r="RG6" s="16">
        <f>SUMIFS(Datos!$F:$F,Datos!$A:$A,$B6,Datos!$B:$B,RG$3)</f>
        <v>0</v>
      </c>
      <c r="RH6" s="16">
        <f>SUMIFS(Datos!$F:$F,Datos!$A:$A,$B6,Datos!$B:$B,RH$3)</f>
        <v>0</v>
      </c>
      <c r="RI6" s="16">
        <f>SUMIFS(Datos!$F:$F,Datos!$A:$A,$B6,Datos!$B:$B,RI$3)</f>
        <v>0</v>
      </c>
      <c r="RJ6" s="16">
        <f>SUMIFS(Datos!$F:$F,Datos!$A:$A,$B6,Datos!$B:$B,RJ$3)</f>
        <v>0</v>
      </c>
      <c r="RK6" s="16">
        <f>SUMIFS(Datos!$F:$F,Datos!$A:$A,$B6,Datos!$B:$B,RK$3)</f>
        <v>0</v>
      </c>
      <c r="RL6" s="16">
        <f>SUMIFS(Datos!$F:$F,Datos!$A:$A,$B6,Datos!$B:$B,RL$3)</f>
        <v>0</v>
      </c>
      <c r="RM6" s="16">
        <f>SUMIFS(Datos!$F:$F,Datos!$A:$A,$B6,Datos!$B:$B,RM$3)</f>
        <v>0</v>
      </c>
      <c r="RN6" s="16">
        <f>SUMIFS(Datos!$F:$F,Datos!$A:$A,$B6,Datos!$B:$B,RN$3)</f>
        <v>0</v>
      </c>
      <c r="RO6" s="16">
        <f>SUMIFS(Datos!$F:$F,Datos!$A:$A,$B6,Datos!$B:$B,RO$3)</f>
        <v>0</v>
      </c>
      <c r="RP6" s="16">
        <f>SUMIFS(Datos!$F:$F,Datos!$A:$A,$B6,Datos!$B:$B,RP$3)</f>
        <v>0</v>
      </c>
      <c r="RQ6" s="16">
        <f>SUMIFS(Datos!$F:$F,Datos!$A:$A,$B6,Datos!$B:$B,RQ$3)</f>
        <v>0</v>
      </c>
      <c r="RR6" s="16">
        <f>SUMIFS(Datos!$F:$F,Datos!$A:$A,$B6,Datos!$B:$B,RR$3)</f>
        <v>0</v>
      </c>
      <c r="RS6" s="16">
        <f>SUMIFS(Datos!$F:$F,Datos!$A:$A,$B6,Datos!$B:$B,RS$3)</f>
        <v>0</v>
      </c>
      <c r="RT6" s="16">
        <f>SUMIFS(Datos!$F:$F,Datos!$A:$A,$B6,Datos!$B:$B,RT$3)</f>
        <v>0</v>
      </c>
      <c r="RU6" s="16">
        <f>SUMIFS(Datos!$F:$F,Datos!$A:$A,$B6,Datos!$B:$B,RU$3)</f>
        <v>0</v>
      </c>
      <c r="RV6" s="16">
        <f>SUMIFS(Datos!$F:$F,Datos!$A:$A,$B6,Datos!$B:$B,RV$3)</f>
        <v>0</v>
      </c>
      <c r="RW6" s="16">
        <f>SUMIFS(Datos!$F:$F,Datos!$A:$A,$B6,Datos!$B:$B,RW$3)</f>
        <v>0</v>
      </c>
      <c r="RX6" s="16">
        <f>SUMIFS(Datos!$F:$F,Datos!$A:$A,$B6,Datos!$B:$B,RX$3)</f>
        <v>0</v>
      </c>
      <c r="RY6" s="16">
        <f>SUMIFS(Datos!$F:$F,Datos!$A:$A,$B6,Datos!$B:$B,RY$3)</f>
        <v>0</v>
      </c>
      <c r="RZ6" s="16">
        <f>SUMIFS(Datos!$F:$F,Datos!$A:$A,$B6,Datos!$B:$B,RZ$3)</f>
        <v>0</v>
      </c>
      <c r="SA6" s="16">
        <f>SUMIFS(Datos!$F:$F,Datos!$A:$A,$B6,Datos!$B:$B,SA$3)</f>
        <v>0</v>
      </c>
      <c r="SB6" s="16">
        <f>SUMIFS(Datos!$F:$F,Datos!$A:$A,$B6,Datos!$B:$B,SB$3)</f>
        <v>0</v>
      </c>
      <c r="SC6" s="16">
        <f>SUMIFS(Datos!$F:$F,Datos!$A:$A,$B6,Datos!$B:$B,SC$3)</f>
        <v>0</v>
      </c>
      <c r="SD6" s="16">
        <f>SUMIFS(Datos!$F:$F,Datos!$A:$A,$B6,Datos!$B:$B,SD$3)</f>
        <v>0</v>
      </c>
      <c r="SE6" s="16">
        <f>SUMIFS(Datos!$F:$F,Datos!$A:$A,$B6,Datos!$B:$B,SE$3)</f>
        <v>0</v>
      </c>
      <c r="SF6" s="16">
        <f>SUMIFS(Datos!$F:$F,Datos!$A:$A,$B6,Datos!$B:$B,SF$3)</f>
        <v>0</v>
      </c>
      <c r="SG6" s="16">
        <f>SUMIFS(Datos!$F:$F,Datos!$A:$A,$B6,Datos!$B:$B,SG$3)</f>
        <v>0</v>
      </c>
      <c r="SH6" s="16">
        <f>SUMIFS(Datos!$F:$F,Datos!$A:$A,$B6,Datos!$B:$B,SH$3)</f>
        <v>0</v>
      </c>
      <c r="SI6" s="16">
        <f>SUMIFS(Datos!$F:$F,Datos!$A:$A,$B6,Datos!$B:$B,SI$3)</f>
        <v>0</v>
      </c>
      <c r="SJ6" s="16">
        <f>SUMIFS(Datos!$F:$F,Datos!$A:$A,$B6,Datos!$B:$B,SJ$3)</f>
        <v>0</v>
      </c>
      <c r="SK6" s="16">
        <f>SUMIFS(Datos!$F:$F,Datos!$A:$A,$B6,Datos!$B:$B,SK$3)</f>
        <v>0</v>
      </c>
      <c r="SL6" s="16">
        <f>SUMIFS(Datos!$F:$F,Datos!$A:$A,$B6,Datos!$B:$B,SL$3)</f>
        <v>0</v>
      </c>
      <c r="SM6" s="16">
        <f>SUMIFS(Datos!$F:$F,Datos!$A:$A,$B6,Datos!$B:$B,SM$3)</f>
        <v>0</v>
      </c>
      <c r="SN6" s="16">
        <f>SUMIFS(Datos!$F:$F,Datos!$A:$A,$B6,Datos!$B:$B,SN$3)</f>
        <v>0</v>
      </c>
      <c r="SO6" s="16">
        <f>SUMIFS(Datos!$F:$F,Datos!$A:$A,$B6,Datos!$B:$B,SO$3)</f>
        <v>0</v>
      </c>
      <c r="SP6" s="16">
        <f>SUMIFS(Datos!$F:$F,Datos!$A:$A,$B6,Datos!$B:$B,SP$3)</f>
        <v>0</v>
      </c>
      <c r="SQ6" s="16">
        <f>SUMIFS(Datos!$F:$F,Datos!$A:$A,$B6,Datos!$B:$B,SQ$3)</f>
        <v>0</v>
      </c>
      <c r="SR6" s="16">
        <f>SUMIFS(Datos!$F:$F,Datos!$A:$A,$B6,Datos!$B:$B,SR$3)</f>
        <v>0</v>
      </c>
      <c r="SS6" s="16">
        <f>SUMIFS(Datos!$F:$F,Datos!$A:$A,$B6,Datos!$B:$B,SS$3)</f>
        <v>0</v>
      </c>
      <c r="ST6" s="16">
        <f>SUMIFS(Datos!$F:$F,Datos!$A:$A,$B6,Datos!$B:$B,ST$3)</f>
        <v>0</v>
      </c>
      <c r="SU6" s="16">
        <f>SUMIFS(Datos!$F:$F,Datos!$A:$A,$B6,Datos!$B:$B,SU$3)</f>
        <v>0</v>
      </c>
      <c r="SV6" s="16">
        <f>SUMIFS(Datos!$F:$F,Datos!$A:$A,$B6,Datos!$B:$B,SV$3)</f>
        <v>0</v>
      </c>
      <c r="SW6" s="16">
        <f>SUMIFS(Datos!$F:$F,Datos!$A:$A,$B6,Datos!$B:$B,SW$3)</f>
        <v>0</v>
      </c>
      <c r="SX6" s="16">
        <f>SUMIFS(Datos!$F:$F,Datos!$A:$A,$B6,Datos!$B:$B,SX$3)</f>
        <v>0</v>
      </c>
      <c r="SY6" s="16">
        <f>SUMIFS(Datos!$F:$F,Datos!$A:$A,$B6,Datos!$B:$B,SY$3)</f>
        <v>0</v>
      </c>
      <c r="SZ6" s="16">
        <f>SUMIFS(Datos!$F:$F,Datos!$A:$A,$B6,Datos!$B:$B,SZ$3)</f>
        <v>0</v>
      </c>
      <c r="TA6" s="16">
        <f>SUMIFS(Datos!$F:$F,Datos!$A:$A,$B6,Datos!$B:$B,TA$3)</f>
        <v>0</v>
      </c>
      <c r="TB6" s="16">
        <f>SUMIFS(Datos!$F:$F,Datos!$A:$A,$B6,Datos!$B:$B,TB$3)</f>
        <v>0</v>
      </c>
      <c r="TC6" s="16">
        <f>SUMIFS(Datos!$F:$F,Datos!$A:$A,$B6,Datos!$B:$B,TC$3)</f>
        <v>0</v>
      </c>
      <c r="TD6" s="16">
        <f>SUMIFS(Datos!$F:$F,Datos!$A:$A,$B6,Datos!$B:$B,TD$3)</f>
        <v>0</v>
      </c>
      <c r="TE6" s="16">
        <f>SUMIFS(Datos!$F:$F,Datos!$A:$A,$B6,Datos!$B:$B,TE$3)</f>
        <v>0</v>
      </c>
      <c r="TF6" s="16">
        <f>SUMIFS(Datos!$F:$F,Datos!$A:$A,$B6,Datos!$B:$B,TF$3)</f>
        <v>0</v>
      </c>
    </row>
    <row r="7" spans="1:526">
      <c r="A7" s="31" t="s">
        <v>48</v>
      </c>
      <c r="B7" s="4">
        <f>Cartera!B7</f>
        <v>0</v>
      </c>
      <c r="C7" s="4">
        <f>Cartera!C7</f>
        <v>0</v>
      </c>
      <c r="D7" s="16">
        <f>SUMIFS(Datos!$F:$F,Datos!$A:$A,$B7,Datos!$B:$B,D$3)</f>
        <v>0</v>
      </c>
      <c r="E7" s="16">
        <f>SUMIFS(Datos!$F:$F,Datos!$A:$A,$B7,Datos!$B:$B,E$3)</f>
        <v>0</v>
      </c>
      <c r="F7" s="16">
        <f>SUMIFS(Datos!$F:$F,Datos!$A:$A,$B7,Datos!$B:$B,F$3)</f>
        <v>0</v>
      </c>
      <c r="G7" s="16">
        <f>SUMIFS(Datos!$F:$F,Datos!$A:$A,$B7,Datos!$B:$B,G$3)</f>
        <v>0</v>
      </c>
      <c r="H7" s="16">
        <f>SUMIFS(Datos!$F:$F,Datos!$A:$A,$B7,Datos!$B:$B,H$3)</f>
        <v>0</v>
      </c>
      <c r="I7" s="16">
        <f>SUMIFS(Datos!$F:$F,Datos!$A:$A,$B7,Datos!$B:$B,I$3)</f>
        <v>0</v>
      </c>
      <c r="J7" s="16">
        <f>SUMIFS(Datos!$F:$F,Datos!$A:$A,$B7,Datos!$B:$B,J$3)</f>
        <v>0</v>
      </c>
      <c r="K7" s="16">
        <f>SUMIFS(Datos!$F:$F,Datos!$A:$A,$B7,Datos!$B:$B,K$3)</f>
        <v>0</v>
      </c>
      <c r="L7" s="16">
        <f>SUMIFS(Datos!$F:$F,Datos!$A:$A,$B7,Datos!$B:$B,L$3)</f>
        <v>0</v>
      </c>
      <c r="M7" s="16">
        <f>SUMIFS(Datos!$F:$F,Datos!$A:$A,$B7,Datos!$B:$B,M$3)</f>
        <v>0</v>
      </c>
      <c r="N7" s="16">
        <f>SUMIFS(Datos!$F:$F,Datos!$A:$A,$B7,Datos!$B:$B,N$3)</f>
        <v>0</v>
      </c>
      <c r="O7" s="16">
        <f>SUMIFS(Datos!$F:$F,Datos!$A:$A,$B7,Datos!$B:$B,O$3)</f>
        <v>0</v>
      </c>
      <c r="P7" s="16">
        <f>SUMIFS(Datos!$F:$F,Datos!$A:$A,$B7,Datos!$B:$B,P$3)</f>
        <v>0</v>
      </c>
      <c r="Q7" s="16">
        <f>SUMIFS(Datos!$F:$F,Datos!$A:$A,$B7,Datos!$B:$B,Q$3)</f>
        <v>0</v>
      </c>
      <c r="R7" s="16">
        <f>SUMIFS(Datos!$F:$F,Datos!$A:$A,$B7,Datos!$B:$B,R$3)</f>
        <v>0</v>
      </c>
      <c r="S7" s="16">
        <f>SUMIFS(Datos!$F:$F,Datos!$A:$A,$B7,Datos!$B:$B,S$3)</f>
        <v>0</v>
      </c>
      <c r="T7" s="16">
        <f>SUMIFS(Datos!$F:$F,Datos!$A:$A,$B7,Datos!$B:$B,T$3)</f>
        <v>0</v>
      </c>
      <c r="U7" s="16">
        <f>SUMIFS(Datos!$F:$F,Datos!$A:$A,$B7,Datos!$B:$B,U$3)</f>
        <v>0</v>
      </c>
      <c r="V7" s="16">
        <f>SUMIFS(Datos!$F:$F,Datos!$A:$A,$B7,Datos!$B:$B,V$3)</f>
        <v>0</v>
      </c>
      <c r="W7" s="16">
        <f>SUMIFS(Datos!$F:$F,Datos!$A:$A,$B7,Datos!$B:$B,W$3)</f>
        <v>0</v>
      </c>
      <c r="X7" s="16">
        <f>SUMIFS(Datos!$F:$F,Datos!$A:$A,$B7,Datos!$B:$B,X$3)</f>
        <v>0</v>
      </c>
      <c r="Y7" s="16">
        <f>SUMIFS(Datos!$F:$F,Datos!$A:$A,$B7,Datos!$B:$B,Y$3)</f>
        <v>0</v>
      </c>
      <c r="Z7" s="16">
        <f>SUMIFS(Datos!$F:$F,Datos!$A:$A,$B7,Datos!$B:$B,Z$3)</f>
        <v>0</v>
      </c>
      <c r="AA7" s="16">
        <f>SUMIFS(Datos!$F:$F,Datos!$A:$A,$B7,Datos!$B:$B,AA$3)</f>
        <v>0</v>
      </c>
      <c r="AB7" s="16">
        <f>SUMIFS(Datos!$F:$F,Datos!$A:$A,$B7,Datos!$B:$B,AB$3)</f>
        <v>0</v>
      </c>
      <c r="AC7" s="16">
        <f>SUMIFS(Datos!$F:$F,Datos!$A:$A,$B7,Datos!$B:$B,AC$3)</f>
        <v>0</v>
      </c>
      <c r="AD7" s="16">
        <f>SUMIFS(Datos!$F:$F,Datos!$A:$A,$B7,Datos!$B:$B,AD$3)</f>
        <v>0</v>
      </c>
      <c r="AE7" s="16">
        <f>SUMIFS(Datos!$F:$F,Datos!$A:$A,$B7,Datos!$B:$B,AE$3)</f>
        <v>0</v>
      </c>
      <c r="AF7" s="16">
        <f>SUMIFS(Datos!$F:$F,Datos!$A:$A,$B7,Datos!$B:$B,AF$3)</f>
        <v>0</v>
      </c>
      <c r="AG7" s="16">
        <f>SUMIFS(Datos!$F:$F,Datos!$A:$A,$B7,Datos!$B:$B,AG$3)</f>
        <v>0</v>
      </c>
      <c r="AH7" s="16">
        <f>SUMIFS(Datos!$F:$F,Datos!$A:$A,$B7,Datos!$B:$B,AH$3)</f>
        <v>0</v>
      </c>
      <c r="AI7" s="16">
        <f>SUMIFS(Datos!$F:$F,Datos!$A:$A,$B7,Datos!$B:$B,AI$3)</f>
        <v>0</v>
      </c>
      <c r="AJ7" s="16">
        <f>SUMIFS(Datos!$F:$F,Datos!$A:$A,$B7,Datos!$B:$B,AJ$3)</f>
        <v>0</v>
      </c>
      <c r="AK7" s="16">
        <f>SUMIFS(Datos!$F:$F,Datos!$A:$A,$B7,Datos!$B:$B,AK$3)</f>
        <v>0</v>
      </c>
      <c r="AL7" s="16">
        <f>SUMIFS(Datos!$F:$F,Datos!$A:$A,$B7,Datos!$B:$B,AL$3)</f>
        <v>0</v>
      </c>
      <c r="AM7" s="16">
        <f>SUMIFS(Datos!$F:$F,Datos!$A:$A,$B7,Datos!$B:$B,AM$3)</f>
        <v>0</v>
      </c>
      <c r="AN7" s="16">
        <f>SUMIFS(Datos!$F:$F,Datos!$A:$A,$B7,Datos!$B:$B,AN$3)</f>
        <v>0</v>
      </c>
      <c r="AO7" s="16">
        <f>SUMIFS(Datos!$F:$F,Datos!$A:$A,$B7,Datos!$B:$B,AO$3)</f>
        <v>0</v>
      </c>
      <c r="AP7" s="16">
        <f>SUMIFS(Datos!$F:$F,Datos!$A:$A,$B7,Datos!$B:$B,AP$3)</f>
        <v>0</v>
      </c>
      <c r="AQ7" s="16">
        <f>SUMIFS(Datos!$F:$F,Datos!$A:$A,$B7,Datos!$B:$B,AQ$3)</f>
        <v>0</v>
      </c>
      <c r="AR7" s="16">
        <f>SUMIFS(Datos!$F:$F,Datos!$A:$A,$B7,Datos!$B:$B,AR$3)</f>
        <v>0</v>
      </c>
      <c r="AS7" s="16">
        <f>SUMIFS(Datos!$F:$F,Datos!$A:$A,$B7,Datos!$B:$B,AS$3)</f>
        <v>0</v>
      </c>
      <c r="AT7" s="16">
        <f>SUMIFS(Datos!$F:$F,Datos!$A:$A,$B7,Datos!$B:$B,AT$3)</f>
        <v>0</v>
      </c>
      <c r="AU7" s="16">
        <f>SUMIFS(Datos!$F:$F,Datos!$A:$A,$B7,Datos!$B:$B,AU$3)</f>
        <v>0</v>
      </c>
      <c r="AV7" s="16">
        <f>SUMIFS(Datos!$F:$F,Datos!$A:$A,$B7,Datos!$B:$B,AV$3)</f>
        <v>0</v>
      </c>
      <c r="AW7" s="16">
        <f>SUMIFS(Datos!$F:$F,Datos!$A:$A,$B7,Datos!$B:$B,AW$3)</f>
        <v>0</v>
      </c>
      <c r="AX7" s="16">
        <f>SUMIFS(Datos!$F:$F,Datos!$A:$A,$B7,Datos!$B:$B,AX$3)</f>
        <v>0</v>
      </c>
      <c r="AY7" s="16">
        <f>SUMIFS(Datos!$F:$F,Datos!$A:$A,$B7,Datos!$B:$B,AY$3)</f>
        <v>0</v>
      </c>
      <c r="AZ7" s="16">
        <f>SUMIFS(Datos!$F:$F,Datos!$A:$A,$B7,Datos!$B:$B,AZ$3)</f>
        <v>0</v>
      </c>
      <c r="BA7" s="16">
        <f>SUMIFS(Datos!$F:$F,Datos!$A:$A,$B7,Datos!$B:$B,BA$3)</f>
        <v>0</v>
      </c>
      <c r="BB7" s="16">
        <f>SUMIFS(Datos!$F:$F,Datos!$A:$A,$B7,Datos!$B:$B,BB$3)</f>
        <v>0</v>
      </c>
      <c r="BC7" s="16">
        <f>SUMIFS(Datos!$F:$F,Datos!$A:$A,$B7,Datos!$B:$B,BC$3)</f>
        <v>0</v>
      </c>
      <c r="BD7" s="16">
        <f>SUMIFS(Datos!$F:$F,Datos!$A:$A,$B7,Datos!$B:$B,BD$3)</f>
        <v>0</v>
      </c>
      <c r="BE7" s="16">
        <f>SUMIFS(Datos!$F:$F,Datos!$A:$A,$B7,Datos!$B:$B,BE$3)</f>
        <v>0</v>
      </c>
      <c r="BF7" s="16">
        <f>SUMIFS(Datos!$F:$F,Datos!$A:$A,$B7,Datos!$B:$B,BF$3)</f>
        <v>0</v>
      </c>
      <c r="BG7" s="16">
        <f>SUMIFS(Datos!$F:$F,Datos!$A:$A,$B7,Datos!$B:$B,BG$3)</f>
        <v>0</v>
      </c>
      <c r="BH7" s="16">
        <f>SUMIFS(Datos!$F:$F,Datos!$A:$A,$B7,Datos!$B:$B,BH$3)</f>
        <v>0</v>
      </c>
      <c r="BI7" s="16">
        <f>SUMIFS(Datos!$F:$F,Datos!$A:$A,$B7,Datos!$B:$B,BI$3)</f>
        <v>0</v>
      </c>
      <c r="BJ7" s="16">
        <f>SUMIFS(Datos!$F:$F,Datos!$A:$A,$B7,Datos!$B:$B,BJ$3)</f>
        <v>0</v>
      </c>
      <c r="BK7" s="16">
        <f>SUMIFS(Datos!$F:$F,Datos!$A:$A,$B7,Datos!$B:$B,BK$3)</f>
        <v>0</v>
      </c>
      <c r="BL7" s="16">
        <f>SUMIFS(Datos!$F:$F,Datos!$A:$A,$B7,Datos!$B:$B,BL$3)</f>
        <v>0</v>
      </c>
      <c r="BM7" s="16">
        <f>SUMIFS(Datos!$F:$F,Datos!$A:$A,$B7,Datos!$B:$B,BM$3)</f>
        <v>0</v>
      </c>
      <c r="BN7" s="16">
        <f>SUMIFS(Datos!$F:$F,Datos!$A:$A,$B7,Datos!$B:$B,BN$3)</f>
        <v>0</v>
      </c>
      <c r="BO7" s="16">
        <f>SUMIFS(Datos!$F:$F,Datos!$A:$A,$B7,Datos!$B:$B,BO$3)</f>
        <v>0</v>
      </c>
      <c r="BP7" s="16">
        <f>SUMIFS(Datos!$F:$F,Datos!$A:$A,$B7,Datos!$B:$B,BP$3)</f>
        <v>0</v>
      </c>
      <c r="BQ7" s="16">
        <f>SUMIFS(Datos!$F:$F,Datos!$A:$A,$B7,Datos!$B:$B,BQ$3)</f>
        <v>0</v>
      </c>
      <c r="BR7" s="16">
        <f>SUMIFS(Datos!$F:$F,Datos!$A:$A,$B7,Datos!$B:$B,BR$3)</f>
        <v>0</v>
      </c>
      <c r="BS7" s="16">
        <f>SUMIFS(Datos!$F:$F,Datos!$A:$A,$B7,Datos!$B:$B,BS$3)</f>
        <v>0</v>
      </c>
      <c r="BT7" s="16">
        <f>SUMIFS(Datos!$F:$F,Datos!$A:$A,$B7,Datos!$B:$B,BT$3)</f>
        <v>0</v>
      </c>
      <c r="BU7" s="16">
        <f>SUMIFS(Datos!$F:$F,Datos!$A:$A,$B7,Datos!$B:$B,BU$3)</f>
        <v>0</v>
      </c>
      <c r="BV7" s="16">
        <f>SUMIFS(Datos!$F:$F,Datos!$A:$A,$B7,Datos!$B:$B,BV$3)</f>
        <v>0</v>
      </c>
      <c r="BW7" s="16">
        <f>SUMIFS(Datos!$F:$F,Datos!$A:$A,$B7,Datos!$B:$B,BW$3)</f>
        <v>0</v>
      </c>
      <c r="BX7" s="16">
        <f>SUMIFS(Datos!$F:$F,Datos!$A:$A,$B7,Datos!$B:$B,BX$3)</f>
        <v>0</v>
      </c>
      <c r="BY7" s="16">
        <f>SUMIFS(Datos!$F:$F,Datos!$A:$A,$B7,Datos!$B:$B,BY$3)</f>
        <v>0</v>
      </c>
      <c r="BZ7" s="16">
        <f>SUMIFS(Datos!$F:$F,Datos!$A:$A,$B7,Datos!$B:$B,BZ$3)</f>
        <v>0</v>
      </c>
      <c r="CA7" s="16">
        <f>SUMIFS(Datos!$F:$F,Datos!$A:$A,$B7,Datos!$B:$B,CA$3)</f>
        <v>0</v>
      </c>
      <c r="CB7" s="16">
        <f>SUMIFS(Datos!$F:$F,Datos!$A:$A,$B7,Datos!$B:$B,CB$3)</f>
        <v>0</v>
      </c>
      <c r="CC7" s="16">
        <f>SUMIFS(Datos!$F:$F,Datos!$A:$A,$B7,Datos!$B:$B,CC$3)</f>
        <v>0</v>
      </c>
      <c r="CD7" s="16">
        <f>SUMIFS(Datos!$F:$F,Datos!$A:$A,$B7,Datos!$B:$B,CD$3)</f>
        <v>0</v>
      </c>
      <c r="CE7" s="16">
        <f>SUMIFS(Datos!$F:$F,Datos!$A:$A,$B7,Datos!$B:$B,CE$3)</f>
        <v>0</v>
      </c>
      <c r="CF7" s="16">
        <f>SUMIFS(Datos!$F:$F,Datos!$A:$A,$B7,Datos!$B:$B,CF$3)</f>
        <v>0</v>
      </c>
      <c r="CG7" s="16">
        <f>SUMIFS(Datos!$F:$F,Datos!$A:$A,$B7,Datos!$B:$B,CG$3)</f>
        <v>0</v>
      </c>
      <c r="CH7" s="16">
        <f>SUMIFS(Datos!$F:$F,Datos!$A:$A,$B7,Datos!$B:$B,CH$3)</f>
        <v>0</v>
      </c>
      <c r="CI7" s="16">
        <f>SUMIFS(Datos!$F:$F,Datos!$A:$A,$B7,Datos!$B:$B,CI$3)</f>
        <v>0</v>
      </c>
      <c r="CJ7" s="16">
        <f>SUMIFS(Datos!$F:$F,Datos!$A:$A,$B7,Datos!$B:$B,CJ$3)</f>
        <v>0</v>
      </c>
      <c r="CK7" s="16">
        <f>SUMIFS(Datos!$F:$F,Datos!$A:$A,$B7,Datos!$B:$B,CK$3)</f>
        <v>0</v>
      </c>
      <c r="CL7" s="16">
        <f>SUMIFS(Datos!$F:$F,Datos!$A:$A,$B7,Datos!$B:$B,CL$3)</f>
        <v>0</v>
      </c>
      <c r="CM7" s="16">
        <f>SUMIFS(Datos!$F:$F,Datos!$A:$A,$B7,Datos!$B:$B,CM$3)</f>
        <v>0</v>
      </c>
      <c r="CN7" s="16">
        <f>SUMIFS(Datos!$F:$F,Datos!$A:$A,$B7,Datos!$B:$B,CN$3)</f>
        <v>0</v>
      </c>
      <c r="CO7" s="16">
        <f>SUMIFS(Datos!$F:$F,Datos!$A:$A,$B7,Datos!$B:$B,CO$3)</f>
        <v>0</v>
      </c>
      <c r="CP7" s="16">
        <f>SUMIFS(Datos!$F:$F,Datos!$A:$A,$B7,Datos!$B:$B,CP$3)</f>
        <v>0</v>
      </c>
      <c r="CQ7" s="16">
        <f>SUMIFS(Datos!$F:$F,Datos!$A:$A,$B7,Datos!$B:$B,CQ$3)</f>
        <v>0</v>
      </c>
      <c r="CR7" s="16">
        <f>SUMIFS(Datos!$F:$F,Datos!$A:$A,$B7,Datos!$B:$B,CR$3)</f>
        <v>0</v>
      </c>
      <c r="CS7" s="16">
        <f>SUMIFS(Datos!$F:$F,Datos!$A:$A,$B7,Datos!$B:$B,CS$3)</f>
        <v>0</v>
      </c>
      <c r="CT7" s="16">
        <f>SUMIFS(Datos!$F:$F,Datos!$A:$A,$B7,Datos!$B:$B,CT$3)</f>
        <v>0</v>
      </c>
      <c r="CU7" s="16">
        <f>SUMIFS(Datos!$F:$F,Datos!$A:$A,$B7,Datos!$B:$B,CU$3)</f>
        <v>0</v>
      </c>
      <c r="CV7" s="16">
        <f>SUMIFS(Datos!$F:$F,Datos!$A:$A,$B7,Datos!$B:$B,CV$3)</f>
        <v>0</v>
      </c>
      <c r="CW7" s="16">
        <f>SUMIFS(Datos!$F:$F,Datos!$A:$A,$B7,Datos!$B:$B,CW$3)</f>
        <v>0</v>
      </c>
      <c r="CX7" s="16">
        <f>SUMIFS(Datos!$F:$F,Datos!$A:$A,$B7,Datos!$B:$B,CX$3)</f>
        <v>0</v>
      </c>
      <c r="CY7" s="16">
        <f>SUMIFS(Datos!$F:$F,Datos!$A:$A,$B7,Datos!$B:$B,CY$3)</f>
        <v>0</v>
      </c>
      <c r="CZ7" s="16">
        <f>SUMIFS(Datos!$F:$F,Datos!$A:$A,$B7,Datos!$B:$B,CZ$3)</f>
        <v>0</v>
      </c>
      <c r="DA7" s="16">
        <f>SUMIFS(Datos!$F:$F,Datos!$A:$A,$B7,Datos!$B:$B,DA$3)</f>
        <v>0</v>
      </c>
      <c r="DB7" s="16">
        <f>SUMIFS(Datos!$F:$F,Datos!$A:$A,$B7,Datos!$B:$B,DB$3)</f>
        <v>0</v>
      </c>
      <c r="DC7" s="16">
        <f>SUMIFS(Datos!$F:$F,Datos!$A:$A,$B7,Datos!$B:$B,DC$3)</f>
        <v>0</v>
      </c>
      <c r="DD7" s="16">
        <f>SUMIFS(Datos!$F:$F,Datos!$A:$A,$B7,Datos!$B:$B,DD$3)</f>
        <v>0</v>
      </c>
      <c r="DE7" s="16">
        <f>SUMIFS(Datos!$F:$F,Datos!$A:$A,$B7,Datos!$B:$B,DE$3)</f>
        <v>0</v>
      </c>
      <c r="DF7" s="16">
        <f>SUMIFS(Datos!$F:$F,Datos!$A:$A,$B7,Datos!$B:$B,DF$3)</f>
        <v>0</v>
      </c>
      <c r="DG7" s="16">
        <f>SUMIFS(Datos!$F:$F,Datos!$A:$A,$B7,Datos!$B:$B,DG$3)</f>
        <v>0</v>
      </c>
      <c r="DH7" s="16">
        <f>SUMIFS(Datos!$F:$F,Datos!$A:$A,$B7,Datos!$B:$B,DH$3)</f>
        <v>0</v>
      </c>
      <c r="DI7" s="16">
        <f>SUMIFS(Datos!$F:$F,Datos!$A:$A,$B7,Datos!$B:$B,DI$3)</f>
        <v>0</v>
      </c>
      <c r="DJ7" s="16">
        <f>SUMIFS(Datos!$F:$F,Datos!$A:$A,$B7,Datos!$B:$B,DJ$3)</f>
        <v>0</v>
      </c>
      <c r="DK7" s="16">
        <f>SUMIFS(Datos!$F:$F,Datos!$A:$A,$B7,Datos!$B:$B,DK$3)</f>
        <v>0</v>
      </c>
      <c r="DL7" s="16">
        <f>SUMIFS(Datos!$F:$F,Datos!$A:$A,$B7,Datos!$B:$B,DL$3)</f>
        <v>0</v>
      </c>
      <c r="DM7" s="16">
        <f>SUMIFS(Datos!$F:$F,Datos!$A:$A,$B7,Datos!$B:$B,DM$3)</f>
        <v>0</v>
      </c>
      <c r="DN7" s="16">
        <f>SUMIFS(Datos!$F:$F,Datos!$A:$A,$B7,Datos!$B:$B,DN$3)</f>
        <v>0</v>
      </c>
      <c r="DO7" s="16">
        <f>SUMIFS(Datos!$F:$F,Datos!$A:$A,$B7,Datos!$B:$B,DO$3)</f>
        <v>0</v>
      </c>
      <c r="DP7" s="16">
        <f>SUMIFS(Datos!$F:$F,Datos!$A:$A,$B7,Datos!$B:$B,DP$3)</f>
        <v>0</v>
      </c>
      <c r="DQ7" s="16">
        <f>SUMIFS(Datos!$F:$F,Datos!$A:$A,$B7,Datos!$B:$B,DQ$3)</f>
        <v>0</v>
      </c>
      <c r="DR7" s="16">
        <f>SUMIFS(Datos!$F:$F,Datos!$A:$A,$B7,Datos!$B:$B,DR$3)</f>
        <v>0</v>
      </c>
      <c r="DS7" s="16">
        <f>SUMIFS(Datos!$F:$F,Datos!$A:$A,$B7,Datos!$B:$B,DS$3)</f>
        <v>0</v>
      </c>
      <c r="DT7" s="16">
        <f>SUMIFS(Datos!$F:$F,Datos!$A:$A,$B7,Datos!$B:$B,DT$3)</f>
        <v>0</v>
      </c>
      <c r="DU7" s="16">
        <f>SUMIFS(Datos!$F:$F,Datos!$A:$A,$B7,Datos!$B:$B,DU$3)</f>
        <v>0</v>
      </c>
      <c r="DV7" s="16">
        <f>SUMIFS(Datos!$F:$F,Datos!$A:$A,$B7,Datos!$B:$B,DV$3)</f>
        <v>0</v>
      </c>
      <c r="DW7" s="16">
        <f>SUMIFS(Datos!$F:$F,Datos!$A:$A,$B7,Datos!$B:$B,DW$3)</f>
        <v>0</v>
      </c>
      <c r="DX7" s="16">
        <f>SUMIFS(Datos!$F:$F,Datos!$A:$A,$B7,Datos!$B:$B,DX$3)</f>
        <v>0</v>
      </c>
      <c r="DY7" s="16">
        <f>SUMIFS(Datos!$F:$F,Datos!$A:$A,$B7,Datos!$B:$B,DY$3)</f>
        <v>0</v>
      </c>
      <c r="DZ7" s="16">
        <f>SUMIFS(Datos!$F:$F,Datos!$A:$A,$B7,Datos!$B:$B,DZ$3)</f>
        <v>0</v>
      </c>
      <c r="EA7" s="16">
        <f>SUMIFS(Datos!$F:$F,Datos!$A:$A,$B7,Datos!$B:$B,EA$3)</f>
        <v>0</v>
      </c>
      <c r="EB7" s="16">
        <f>SUMIFS(Datos!$F:$F,Datos!$A:$A,$B7,Datos!$B:$B,EB$3)</f>
        <v>0</v>
      </c>
      <c r="EC7" s="16">
        <f>SUMIFS(Datos!$F:$F,Datos!$A:$A,$B7,Datos!$B:$B,EC$3)</f>
        <v>0</v>
      </c>
      <c r="ED7" s="16">
        <f>SUMIFS(Datos!$F:$F,Datos!$A:$A,$B7,Datos!$B:$B,ED$3)</f>
        <v>0</v>
      </c>
      <c r="EE7" s="16">
        <f>SUMIFS(Datos!$F:$F,Datos!$A:$A,$B7,Datos!$B:$B,EE$3)</f>
        <v>0</v>
      </c>
      <c r="EF7" s="16">
        <f>SUMIFS(Datos!$F:$F,Datos!$A:$A,$B7,Datos!$B:$B,EF$3)</f>
        <v>0</v>
      </c>
      <c r="EG7" s="16">
        <f>SUMIFS(Datos!$F:$F,Datos!$A:$A,$B7,Datos!$B:$B,EG$3)</f>
        <v>0</v>
      </c>
      <c r="EH7" s="16">
        <f>SUMIFS(Datos!$F:$F,Datos!$A:$A,$B7,Datos!$B:$B,EH$3)</f>
        <v>0</v>
      </c>
      <c r="EI7" s="16">
        <f>SUMIFS(Datos!$F:$F,Datos!$A:$A,$B7,Datos!$B:$B,EI$3)</f>
        <v>0</v>
      </c>
      <c r="EJ7" s="16">
        <f>SUMIFS(Datos!$F:$F,Datos!$A:$A,$B7,Datos!$B:$B,EJ$3)</f>
        <v>0</v>
      </c>
      <c r="EK7" s="16">
        <f>SUMIFS(Datos!$F:$F,Datos!$A:$A,$B7,Datos!$B:$B,EK$3)</f>
        <v>0</v>
      </c>
      <c r="EL7" s="16">
        <f>SUMIFS(Datos!$F:$F,Datos!$A:$A,$B7,Datos!$B:$B,EL$3)</f>
        <v>0</v>
      </c>
      <c r="EM7" s="16">
        <f>SUMIFS(Datos!$F:$F,Datos!$A:$A,$B7,Datos!$B:$B,EM$3)</f>
        <v>0</v>
      </c>
      <c r="EN7" s="16">
        <f>SUMIFS(Datos!$F:$F,Datos!$A:$A,$B7,Datos!$B:$B,EN$3)</f>
        <v>0</v>
      </c>
      <c r="EO7" s="16">
        <f>SUMIFS(Datos!$F:$F,Datos!$A:$A,$B7,Datos!$B:$B,EO$3)</f>
        <v>0</v>
      </c>
      <c r="EP7" s="16">
        <f>SUMIFS(Datos!$F:$F,Datos!$A:$A,$B7,Datos!$B:$B,EP$3)</f>
        <v>0</v>
      </c>
      <c r="EQ7" s="16">
        <f>SUMIFS(Datos!$F:$F,Datos!$A:$A,$B7,Datos!$B:$B,EQ$3)</f>
        <v>0</v>
      </c>
      <c r="ER7" s="16">
        <f>SUMIFS(Datos!$F:$F,Datos!$A:$A,$B7,Datos!$B:$B,ER$3)</f>
        <v>0</v>
      </c>
      <c r="ES7" s="16">
        <f>SUMIFS(Datos!$F:$F,Datos!$A:$A,$B7,Datos!$B:$B,ES$3)</f>
        <v>0</v>
      </c>
      <c r="ET7" s="16">
        <f>SUMIFS(Datos!$F:$F,Datos!$A:$A,$B7,Datos!$B:$B,ET$3)</f>
        <v>0</v>
      </c>
      <c r="EU7" s="16">
        <f>SUMIFS(Datos!$F:$F,Datos!$A:$A,$B7,Datos!$B:$B,EU$3)</f>
        <v>0</v>
      </c>
      <c r="EV7" s="16">
        <f>SUMIFS(Datos!$F:$F,Datos!$A:$A,$B7,Datos!$B:$B,EV$3)</f>
        <v>0</v>
      </c>
      <c r="EW7" s="16">
        <f>SUMIFS(Datos!$F:$F,Datos!$A:$A,$B7,Datos!$B:$B,EW$3)</f>
        <v>0</v>
      </c>
      <c r="EX7" s="16">
        <f>SUMIFS(Datos!$F:$F,Datos!$A:$A,$B7,Datos!$B:$B,EX$3)</f>
        <v>0</v>
      </c>
      <c r="EY7" s="16">
        <f>SUMIFS(Datos!$F:$F,Datos!$A:$A,$B7,Datos!$B:$B,EY$3)</f>
        <v>0</v>
      </c>
      <c r="EZ7" s="16">
        <f>SUMIFS(Datos!$F:$F,Datos!$A:$A,$B7,Datos!$B:$B,EZ$3)</f>
        <v>0</v>
      </c>
      <c r="FA7" s="16">
        <f>SUMIFS(Datos!$F:$F,Datos!$A:$A,$B7,Datos!$B:$B,FA$3)</f>
        <v>0</v>
      </c>
      <c r="FB7" s="16">
        <f>SUMIFS(Datos!$F:$F,Datos!$A:$A,$B7,Datos!$B:$B,FB$3)</f>
        <v>0</v>
      </c>
      <c r="FC7" s="16">
        <f>SUMIFS(Datos!$F:$F,Datos!$A:$A,$B7,Datos!$B:$B,FC$3)</f>
        <v>0</v>
      </c>
      <c r="FD7" s="16">
        <f>SUMIFS(Datos!$F:$F,Datos!$A:$A,$B7,Datos!$B:$B,FD$3)</f>
        <v>0</v>
      </c>
      <c r="FE7" s="16">
        <f>SUMIFS(Datos!$F:$F,Datos!$A:$A,$B7,Datos!$B:$B,FE$3)</f>
        <v>0</v>
      </c>
      <c r="FF7" s="16">
        <f>SUMIFS(Datos!$F:$F,Datos!$A:$A,$B7,Datos!$B:$B,FF$3)</f>
        <v>0</v>
      </c>
      <c r="FG7" s="16">
        <f>SUMIFS(Datos!$F:$F,Datos!$A:$A,$B7,Datos!$B:$B,FG$3)</f>
        <v>0</v>
      </c>
      <c r="FH7" s="16">
        <f>SUMIFS(Datos!$F:$F,Datos!$A:$A,$B7,Datos!$B:$B,FH$3)</f>
        <v>0</v>
      </c>
      <c r="FI7" s="16">
        <f>SUMIFS(Datos!$F:$F,Datos!$A:$A,$B7,Datos!$B:$B,FI$3)</f>
        <v>0</v>
      </c>
      <c r="FJ7" s="16">
        <f>SUMIFS(Datos!$F:$F,Datos!$A:$A,$B7,Datos!$B:$B,FJ$3)</f>
        <v>0</v>
      </c>
      <c r="FK7" s="16">
        <f>SUMIFS(Datos!$F:$F,Datos!$A:$A,$B7,Datos!$B:$B,FK$3)</f>
        <v>0</v>
      </c>
      <c r="FL7" s="16">
        <f>SUMIFS(Datos!$F:$F,Datos!$A:$A,$B7,Datos!$B:$B,FL$3)</f>
        <v>0</v>
      </c>
      <c r="FM7" s="16">
        <f>SUMIFS(Datos!$F:$F,Datos!$A:$A,$B7,Datos!$B:$B,FM$3)</f>
        <v>0</v>
      </c>
      <c r="FN7" s="16">
        <f>SUMIFS(Datos!$F:$F,Datos!$A:$A,$B7,Datos!$B:$B,FN$3)</f>
        <v>0</v>
      </c>
      <c r="FO7" s="16">
        <f>SUMIFS(Datos!$F:$F,Datos!$A:$A,$B7,Datos!$B:$B,FO$3)</f>
        <v>0</v>
      </c>
      <c r="FP7" s="16">
        <f>SUMIFS(Datos!$F:$F,Datos!$A:$A,$B7,Datos!$B:$B,FP$3)</f>
        <v>0</v>
      </c>
      <c r="FQ7" s="16">
        <f>SUMIFS(Datos!$F:$F,Datos!$A:$A,$B7,Datos!$B:$B,FQ$3)</f>
        <v>0</v>
      </c>
      <c r="FR7" s="16">
        <f>SUMIFS(Datos!$F:$F,Datos!$A:$A,$B7,Datos!$B:$B,FR$3)</f>
        <v>0</v>
      </c>
      <c r="FS7" s="16">
        <f>SUMIFS(Datos!$F:$F,Datos!$A:$A,$B7,Datos!$B:$B,FS$3)</f>
        <v>0</v>
      </c>
      <c r="FT7" s="16">
        <f>SUMIFS(Datos!$F:$F,Datos!$A:$A,$B7,Datos!$B:$B,FT$3)</f>
        <v>0</v>
      </c>
      <c r="FU7" s="16">
        <f>SUMIFS(Datos!$F:$F,Datos!$A:$A,$B7,Datos!$B:$B,FU$3)</f>
        <v>0</v>
      </c>
      <c r="FV7" s="16">
        <f>SUMIFS(Datos!$F:$F,Datos!$A:$A,$B7,Datos!$B:$B,FV$3)</f>
        <v>0</v>
      </c>
      <c r="FW7" s="16">
        <f>SUMIFS(Datos!$F:$F,Datos!$A:$A,$B7,Datos!$B:$B,FW$3)</f>
        <v>0</v>
      </c>
      <c r="FX7" s="16">
        <f>SUMIFS(Datos!$F:$F,Datos!$A:$A,$B7,Datos!$B:$B,FX$3)</f>
        <v>0</v>
      </c>
      <c r="FY7" s="16">
        <f>SUMIFS(Datos!$F:$F,Datos!$A:$A,$B7,Datos!$B:$B,FY$3)</f>
        <v>0</v>
      </c>
      <c r="FZ7" s="16">
        <f>SUMIFS(Datos!$F:$F,Datos!$A:$A,$B7,Datos!$B:$B,FZ$3)</f>
        <v>0</v>
      </c>
      <c r="GA7" s="16">
        <f>SUMIFS(Datos!$F:$F,Datos!$A:$A,$B7,Datos!$B:$B,GA$3)</f>
        <v>0</v>
      </c>
      <c r="GB7" s="16">
        <f>SUMIFS(Datos!$F:$F,Datos!$A:$A,$B7,Datos!$B:$B,GB$3)</f>
        <v>0</v>
      </c>
      <c r="GC7" s="16">
        <f>SUMIFS(Datos!$F:$F,Datos!$A:$A,$B7,Datos!$B:$B,GC$3)</f>
        <v>0</v>
      </c>
      <c r="GD7" s="16">
        <f>SUMIFS(Datos!$F:$F,Datos!$A:$A,$B7,Datos!$B:$B,GD$3)</f>
        <v>0</v>
      </c>
      <c r="GE7" s="16">
        <f>SUMIFS(Datos!$F:$F,Datos!$A:$A,$B7,Datos!$B:$B,GE$3)</f>
        <v>0</v>
      </c>
      <c r="GF7" s="16">
        <f>SUMIFS(Datos!$F:$F,Datos!$A:$A,$B7,Datos!$B:$B,GF$3)</f>
        <v>0</v>
      </c>
      <c r="GG7" s="16">
        <f>SUMIFS(Datos!$F:$F,Datos!$A:$A,$B7,Datos!$B:$B,GG$3)</f>
        <v>0</v>
      </c>
      <c r="GH7" s="16">
        <f>SUMIFS(Datos!$F:$F,Datos!$A:$A,$B7,Datos!$B:$B,GH$3)</f>
        <v>0</v>
      </c>
      <c r="GI7" s="16">
        <f>SUMIFS(Datos!$F:$F,Datos!$A:$A,$B7,Datos!$B:$B,GI$3)</f>
        <v>0</v>
      </c>
      <c r="GJ7" s="16">
        <f>SUMIFS(Datos!$F:$F,Datos!$A:$A,$B7,Datos!$B:$B,GJ$3)</f>
        <v>0</v>
      </c>
      <c r="GK7" s="16">
        <f>SUMIFS(Datos!$F:$F,Datos!$A:$A,$B7,Datos!$B:$B,GK$3)</f>
        <v>0</v>
      </c>
      <c r="GL7" s="16">
        <f>SUMIFS(Datos!$F:$F,Datos!$A:$A,$B7,Datos!$B:$B,GL$3)</f>
        <v>0</v>
      </c>
      <c r="GM7" s="16">
        <f>SUMIFS(Datos!$F:$F,Datos!$A:$A,$B7,Datos!$B:$B,GM$3)</f>
        <v>0</v>
      </c>
      <c r="GN7" s="16">
        <f>SUMIFS(Datos!$F:$F,Datos!$A:$A,$B7,Datos!$B:$B,GN$3)</f>
        <v>0</v>
      </c>
      <c r="GO7" s="16">
        <f>SUMIFS(Datos!$F:$F,Datos!$A:$A,$B7,Datos!$B:$B,GO$3)</f>
        <v>0</v>
      </c>
      <c r="GP7" s="16">
        <f>SUMIFS(Datos!$F:$F,Datos!$A:$A,$B7,Datos!$B:$B,GP$3)</f>
        <v>0</v>
      </c>
      <c r="GQ7" s="16">
        <f>SUMIFS(Datos!$F:$F,Datos!$A:$A,$B7,Datos!$B:$B,GQ$3)</f>
        <v>0</v>
      </c>
      <c r="GR7" s="16">
        <f>SUMIFS(Datos!$F:$F,Datos!$A:$A,$B7,Datos!$B:$B,GR$3)</f>
        <v>0</v>
      </c>
      <c r="GS7" s="16">
        <f>SUMIFS(Datos!$F:$F,Datos!$A:$A,$B7,Datos!$B:$B,GS$3)</f>
        <v>0</v>
      </c>
      <c r="GT7" s="16">
        <f>SUMIFS(Datos!$F:$F,Datos!$A:$A,$B7,Datos!$B:$B,GT$3)</f>
        <v>0</v>
      </c>
      <c r="GU7" s="16">
        <f>SUMIFS(Datos!$F:$F,Datos!$A:$A,$B7,Datos!$B:$B,GU$3)</f>
        <v>0</v>
      </c>
      <c r="GV7" s="16">
        <f>SUMIFS(Datos!$F:$F,Datos!$A:$A,$B7,Datos!$B:$B,GV$3)</f>
        <v>0</v>
      </c>
      <c r="GW7" s="16">
        <f>SUMIFS(Datos!$F:$F,Datos!$A:$A,$B7,Datos!$B:$B,GW$3)</f>
        <v>0</v>
      </c>
      <c r="GX7" s="16">
        <f>SUMIFS(Datos!$F:$F,Datos!$A:$A,$B7,Datos!$B:$B,GX$3)</f>
        <v>0</v>
      </c>
      <c r="GY7" s="16">
        <f>SUMIFS(Datos!$F:$F,Datos!$A:$A,$B7,Datos!$B:$B,GY$3)</f>
        <v>0</v>
      </c>
      <c r="GZ7" s="16">
        <f>SUMIFS(Datos!$F:$F,Datos!$A:$A,$B7,Datos!$B:$B,GZ$3)</f>
        <v>0</v>
      </c>
      <c r="HA7" s="16">
        <f>SUMIFS(Datos!$F:$F,Datos!$A:$A,$B7,Datos!$B:$B,HA$3)</f>
        <v>0</v>
      </c>
      <c r="HB7" s="16">
        <f>SUMIFS(Datos!$F:$F,Datos!$A:$A,$B7,Datos!$B:$B,HB$3)</f>
        <v>0</v>
      </c>
      <c r="HC7" s="16">
        <f>SUMIFS(Datos!$F:$F,Datos!$A:$A,$B7,Datos!$B:$B,HC$3)</f>
        <v>0</v>
      </c>
      <c r="HD7" s="16">
        <f>SUMIFS(Datos!$F:$F,Datos!$A:$A,$B7,Datos!$B:$B,HD$3)</f>
        <v>0</v>
      </c>
      <c r="HE7" s="16">
        <f>SUMIFS(Datos!$F:$F,Datos!$A:$A,$B7,Datos!$B:$B,HE$3)</f>
        <v>0</v>
      </c>
      <c r="HF7" s="16">
        <f>SUMIFS(Datos!$F:$F,Datos!$A:$A,$B7,Datos!$B:$B,HF$3)</f>
        <v>0</v>
      </c>
      <c r="HG7" s="16">
        <f>SUMIFS(Datos!$F:$F,Datos!$A:$A,$B7,Datos!$B:$B,HG$3)</f>
        <v>0</v>
      </c>
      <c r="HH7" s="16">
        <f>SUMIFS(Datos!$F:$F,Datos!$A:$A,$B7,Datos!$B:$B,HH$3)</f>
        <v>0</v>
      </c>
      <c r="HI7" s="16">
        <f>SUMIFS(Datos!$F:$F,Datos!$A:$A,$B7,Datos!$B:$B,HI$3)</f>
        <v>0</v>
      </c>
      <c r="HJ7" s="16">
        <f>SUMIFS(Datos!$F:$F,Datos!$A:$A,$B7,Datos!$B:$B,HJ$3)</f>
        <v>0</v>
      </c>
      <c r="HK7" s="16">
        <f>SUMIFS(Datos!$F:$F,Datos!$A:$A,$B7,Datos!$B:$B,HK$3)</f>
        <v>0</v>
      </c>
      <c r="HL7" s="16">
        <f>SUMIFS(Datos!$F:$F,Datos!$A:$A,$B7,Datos!$B:$B,HL$3)</f>
        <v>0</v>
      </c>
      <c r="HM7" s="16">
        <f>SUMIFS(Datos!$F:$F,Datos!$A:$A,$B7,Datos!$B:$B,HM$3)</f>
        <v>0</v>
      </c>
      <c r="HN7" s="16">
        <f>SUMIFS(Datos!$F:$F,Datos!$A:$A,$B7,Datos!$B:$B,HN$3)</f>
        <v>0</v>
      </c>
      <c r="HO7" s="16">
        <f>SUMIFS(Datos!$F:$F,Datos!$A:$A,$B7,Datos!$B:$B,HO$3)</f>
        <v>0</v>
      </c>
      <c r="HP7" s="16">
        <f>SUMIFS(Datos!$F:$F,Datos!$A:$A,$B7,Datos!$B:$B,HP$3)</f>
        <v>0</v>
      </c>
      <c r="HQ7" s="16">
        <f>SUMIFS(Datos!$F:$F,Datos!$A:$A,$B7,Datos!$B:$B,HQ$3)</f>
        <v>0</v>
      </c>
      <c r="HR7" s="16">
        <f>SUMIFS(Datos!$F:$F,Datos!$A:$A,$B7,Datos!$B:$B,HR$3)</f>
        <v>0</v>
      </c>
      <c r="HS7" s="16">
        <f>SUMIFS(Datos!$F:$F,Datos!$A:$A,$B7,Datos!$B:$B,HS$3)</f>
        <v>0</v>
      </c>
      <c r="HT7" s="16">
        <f>SUMIFS(Datos!$F:$F,Datos!$A:$A,$B7,Datos!$B:$B,HT$3)</f>
        <v>0</v>
      </c>
      <c r="HU7" s="16">
        <f>SUMIFS(Datos!$F:$F,Datos!$A:$A,$B7,Datos!$B:$B,HU$3)</f>
        <v>0</v>
      </c>
      <c r="HV7" s="16">
        <f>SUMIFS(Datos!$F:$F,Datos!$A:$A,$B7,Datos!$B:$B,HV$3)</f>
        <v>0</v>
      </c>
      <c r="HW7" s="16">
        <f>SUMIFS(Datos!$F:$F,Datos!$A:$A,$B7,Datos!$B:$B,HW$3)</f>
        <v>0</v>
      </c>
      <c r="HX7" s="16">
        <f>SUMIFS(Datos!$F:$F,Datos!$A:$A,$B7,Datos!$B:$B,HX$3)</f>
        <v>0</v>
      </c>
      <c r="HY7" s="16">
        <f>SUMIFS(Datos!$F:$F,Datos!$A:$A,$B7,Datos!$B:$B,HY$3)</f>
        <v>0</v>
      </c>
      <c r="HZ7" s="16">
        <f>SUMIFS(Datos!$F:$F,Datos!$A:$A,$B7,Datos!$B:$B,HZ$3)</f>
        <v>0</v>
      </c>
      <c r="IA7" s="16">
        <f>SUMIFS(Datos!$F:$F,Datos!$A:$A,$B7,Datos!$B:$B,IA$3)</f>
        <v>0</v>
      </c>
      <c r="IB7" s="16">
        <f>SUMIFS(Datos!$F:$F,Datos!$A:$A,$B7,Datos!$B:$B,IB$3)</f>
        <v>0</v>
      </c>
      <c r="IC7" s="16">
        <f>SUMIFS(Datos!$F:$F,Datos!$A:$A,$B7,Datos!$B:$B,IC$3)</f>
        <v>0</v>
      </c>
      <c r="ID7" s="16">
        <f>SUMIFS(Datos!$F:$F,Datos!$A:$A,$B7,Datos!$B:$B,ID$3)</f>
        <v>0</v>
      </c>
      <c r="IE7" s="16">
        <f>SUMIFS(Datos!$F:$F,Datos!$A:$A,$B7,Datos!$B:$B,IE$3)</f>
        <v>0</v>
      </c>
      <c r="IF7" s="16">
        <f>SUMIFS(Datos!$F:$F,Datos!$A:$A,$B7,Datos!$B:$B,IF$3)</f>
        <v>0</v>
      </c>
      <c r="IG7" s="16">
        <f>SUMIFS(Datos!$F:$F,Datos!$A:$A,$B7,Datos!$B:$B,IG$3)</f>
        <v>0</v>
      </c>
      <c r="IH7" s="16">
        <f>SUMIFS(Datos!$F:$F,Datos!$A:$A,$B7,Datos!$B:$B,IH$3)</f>
        <v>0</v>
      </c>
      <c r="II7" s="16">
        <f>SUMIFS(Datos!$F:$F,Datos!$A:$A,$B7,Datos!$B:$B,II$3)</f>
        <v>0</v>
      </c>
      <c r="IJ7" s="16">
        <f>SUMIFS(Datos!$F:$F,Datos!$A:$A,$B7,Datos!$B:$B,IJ$3)</f>
        <v>0</v>
      </c>
      <c r="IK7" s="16">
        <f>SUMIFS(Datos!$F:$F,Datos!$A:$A,$B7,Datos!$B:$B,IK$3)</f>
        <v>0</v>
      </c>
      <c r="IL7" s="16">
        <f>SUMIFS(Datos!$F:$F,Datos!$A:$A,$B7,Datos!$B:$B,IL$3)</f>
        <v>0</v>
      </c>
      <c r="IM7" s="16">
        <f>SUMIFS(Datos!$F:$F,Datos!$A:$A,$B7,Datos!$B:$B,IM$3)</f>
        <v>0</v>
      </c>
      <c r="IN7" s="16">
        <f>SUMIFS(Datos!$F:$F,Datos!$A:$A,$B7,Datos!$B:$B,IN$3)</f>
        <v>0</v>
      </c>
      <c r="IO7" s="16">
        <f>SUMIFS(Datos!$F:$F,Datos!$A:$A,$B7,Datos!$B:$B,IO$3)</f>
        <v>0</v>
      </c>
      <c r="IP7" s="16">
        <f>SUMIFS(Datos!$F:$F,Datos!$A:$A,$B7,Datos!$B:$B,IP$3)</f>
        <v>0</v>
      </c>
      <c r="IQ7" s="16">
        <f>SUMIFS(Datos!$F:$F,Datos!$A:$A,$B7,Datos!$B:$B,IQ$3)</f>
        <v>0</v>
      </c>
      <c r="IR7" s="16">
        <f>SUMIFS(Datos!$F:$F,Datos!$A:$A,$B7,Datos!$B:$B,IR$3)</f>
        <v>0</v>
      </c>
      <c r="IS7" s="16">
        <f>SUMIFS(Datos!$F:$F,Datos!$A:$A,$B7,Datos!$B:$B,IS$3)</f>
        <v>0</v>
      </c>
      <c r="IT7" s="16">
        <f>SUMIFS(Datos!$F:$F,Datos!$A:$A,$B7,Datos!$B:$B,IT$3)</f>
        <v>0</v>
      </c>
      <c r="IU7" s="16">
        <f>SUMIFS(Datos!$F:$F,Datos!$A:$A,$B7,Datos!$B:$B,IU$3)</f>
        <v>0</v>
      </c>
      <c r="IV7" s="16">
        <f>SUMIFS(Datos!$F:$F,Datos!$A:$A,$B7,Datos!$B:$B,IV$3)</f>
        <v>0</v>
      </c>
      <c r="IW7" s="16">
        <f>SUMIFS(Datos!$F:$F,Datos!$A:$A,$B7,Datos!$B:$B,IW$3)</f>
        <v>0</v>
      </c>
      <c r="IX7" s="16">
        <f>SUMIFS(Datos!$F:$F,Datos!$A:$A,$B7,Datos!$B:$B,IX$3)</f>
        <v>0</v>
      </c>
      <c r="IY7" s="16">
        <f>SUMIFS(Datos!$F:$F,Datos!$A:$A,$B7,Datos!$B:$B,IY$3)</f>
        <v>0</v>
      </c>
      <c r="IZ7" s="16">
        <f>SUMIFS(Datos!$F:$F,Datos!$A:$A,$B7,Datos!$B:$B,IZ$3)</f>
        <v>0</v>
      </c>
      <c r="JA7" s="16">
        <f>SUMIFS(Datos!$F:$F,Datos!$A:$A,$B7,Datos!$B:$B,JA$3)</f>
        <v>0</v>
      </c>
      <c r="JB7" s="16">
        <f>SUMIFS(Datos!$F:$F,Datos!$A:$A,$B7,Datos!$B:$B,JB$3)</f>
        <v>0</v>
      </c>
      <c r="JC7" s="16">
        <f>SUMIFS(Datos!$F:$F,Datos!$A:$A,$B7,Datos!$B:$B,JC$3)</f>
        <v>0</v>
      </c>
      <c r="JD7" s="16">
        <f>SUMIFS(Datos!$F:$F,Datos!$A:$A,$B7,Datos!$B:$B,JD$3)</f>
        <v>0</v>
      </c>
      <c r="JE7" s="16">
        <f>SUMIFS(Datos!$F:$F,Datos!$A:$A,$B7,Datos!$B:$B,JE$3)</f>
        <v>0</v>
      </c>
      <c r="JF7" s="16">
        <f>SUMIFS(Datos!$F:$F,Datos!$A:$A,$B7,Datos!$B:$B,JF$3)</f>
        <v>0</v>
      </c>
      <c r="JG7" s="16">
        <f>SUMIFS(Datos!$F:$F,Datos!$A:$A,$B7,Datos!$B:$B,JG$3)</f>
        <v>0</v>
      </c>
      <c r="JH7" s="16">
        <f>SUMIFS(Datos!$F:$F,Datos!$A:$A,$B7,Datos!$B:$B,JH$3)</f>
        <v>0</v>
      </c>
      <c r="JI7" s="16">
        <f>SUMIFS(Datos!$F:$F,Datos!$A:$A,$B7,Datos!$B:$B,JI$3)</f>
        <v>0</v>
      </c>
      <c r="JJ7" s="16">
        <f>SUMIFS(Datos!$F:$F,Datos!$A:$A,$B7,Datos!$B:$B,JJ$3)</f>
        <v>0</v>
      </c>
      <c r="JK7" s="16">
        <f>SUMIFS(Datos!$F:$F,Datos!$A:$A,$B7,Datos!$B:$B,JK$3)</f>
        <v>0</v>
      </c>
      <c r="JL7" s="16">
        <f>SUMIFS(Datos!$F:$F,Datos!$A:$A,$B7,Datos!$B:$B,JL$3)</f>
        <v>0</v>
      </c>
      <c r="JM7" s="16">
        <f>SUMIFS(Datos!$F:$F,Datos!$A:$A,$B7,Datos!$B:$B,JM$3)</f>
        <v>0</v>
      </c>
      <c r="JN7" s="16">
        <f>SUMIFS(Datos!$F:$F,Datos!$A:$A,$B7,Datos!$B:$B,JN$3)</f>
        <v>0</v>
      </c>
      <c r="JO7" s="16">
        <f>SUMIFS(Datos!$F:$F,Datos!$A:$A,$B7,Datos!$B:$B,JO$3)</f>
        <v>0</v>
      </c>
      <c r="JP7" s="16">
        <f>SUMIFS(Datos!$F:$F,Datos!$A:$A,$B7,Datos!$B:$B,JP$3)</f>
        <v>0</v>
      </c>
      <c r="JQ7" s="16">
        <f>SUMIFS(Datos!$F:$F,Datos!$A:$A,$B7,Datos!$B:$B,JQ$3)</f>
        <v>0</v>
      </c>
      <c r="JR7" s="16">
        <f>SUMIFS(Datos!$F:$F,Datos!$A:$A,$B7,Datos!$B:$B,JR$3)</f>
        <v>0</v>
      </c>
      <c r="JS7" s="16">
        <f>SUMIFS(Datos!$F:$F,Datos!$A:$A,$B7,Datos!$B:$B,JS$3)</f>
        <v>0</v>
      </c>
      <c r="JT7" s="16">
        <f>SUMIFS(Datos!$F:$F,Datos!$A:$A,$B7,Datos!$B:$B,JT$3)</f>
        <v>0</v>
      </c>
      <c r="JU7" s="16">
        <f>SUMIFS(Datos!$F:$F,Datos!$A:$A,$B7,Datos!$B:$B,JU$3)</f>
        <v>0</v>
      </c>
      <c r="JV7" s="16">
        <f>SUMIFS(Datos!$F:$F,Datos!$A:$A,$B7,Datos!$B:$B,JV$3)</f>
        <v>0</v>
      </c>
      <c r="JW7" s="16">
        <f>SUMIFS(Datos!$F:$F,Datos!$A:$A,$B7,Datos!$B:$B,JW$3)</f>
        <v>0</v>
      </c>
      <c r="JX7" s="16">
        <f>SUMIFS(Datos!$F:$F,Datos!$A:$A,$B7,Datos!$B:$B,JX$3)</f>
        <v>0</v>
      </c>
      <c r="JY7" s="16">
        <f>SUMIFS(Datos!$F:$F,Datos!$A:$A,$B7,Datos!$B:$B,JY$3)</f>
        <v>0</v>
      </c>
      <c r="JZ7" s="16">
        <f>SUMIFS(Datos!$F:$F,Datos!$A:$A,$B7,Datos!$B:$B,JZ$3)</f>
        <v>0</v>
      </c>
      <c r="KA7" s="16">
        <f>SUMIFS(Datos!$F:$F,Datos!$A:$A,$B7,Datos!$B:$B,KA$3)</f>
        <v>0</v>
      </c>
      <c r="KB7" s="16">
        <f>SUMIFS(Datos!$F:$F,Datos!$A:$A,$B7,Datos!$B:$B,KB$3)</f>
        <v>0</v>
      </c>
      <c r="KC7" s="16">
        <f>SUMIFS(Datos!$F:$F,Datos!$A:$A,$B7,Datos!$B:$B,KC$3)</f>
        <v>0</v>
      </c>
      <c r="KD7" s="16">
        <f>SUMIFS(Datos!$F:$F,Datos!$A:$A,$B7,Datos!$B:$B,KD$3)</f>
        <v>0</v>
      </c>
      <c r="KE7" s="16">
        <f>SUMIFS(Datos!$F:$F,Datos!$A:$A,$B7,Datos!$B:$B,KE$3)</f>
        <v>0</v>
      </c>
      <c r="KF7" s="16">
        <f>SUMIFS(Datos!$F:$F,Datos!$A:$A,$B7,Datos!$B:$B,KF$3)</f>
        <v>0</v>
      </c>
      <c r="KG7" s="16">
        <f>SUMIFS(Datos!$F:$F,Datos!$A:$A,$B7,Datos!$B:$B,KG$3)</f>
        <v>0</v>
      </c>
      <c r="KH7" s="16">
        <f>SUMIFS(Datos!$F:$F,Datos!$A:$A,$B7,Datos!$B:$B,KH$3)</f>
        <v>0</v>
      </c>
      <c r="KI7" s="16">
        <f>SUMIFS(Datos!$F:$F,Datos!$A:$A,$B7,Datos!$B:$B,KI$3)</f>
        <v>0</v>
      </c>
      <c r="KJ7" s="16">
        <f>SUMIFS(Datos!$F:$F,Datos!$A:$A,$B7,Datos!$B:$B,KJ$3)</f>
        <v>0</v>
      </c>
      <c r="KK7" s="16">
        <f>SUMIFS(Datos!$F:$F,Datos!$A:$A,$B7,Datos!$B:$B,KK$3)</f>
        <v>0</v>
      </c>
      <c r="KL7" s="16">
        <f>SUMIFS(Datos!$F:$F,Datos!$A:$A,$B7,Datos!$B:$B,KL$3)</f>
        <v>0</v>
      </c>
      <c r="KM7" s="16">
        <f>SUMIFS(Datos!$F:$F,Datos!$A:$A,$B7,Datos!$B:$B,KM$3)</f>
        <v>0</v>
      </c>
      <c r="KN7" s="16">
        <f>SUMIFS(Datos!$F:$F,Datos!$A:$A,$B7,Datos!$B:$B,KN$3)</f>
        <v>0</v>
      </c>
      <c r="KO7" s="16">
        <f>SUMIFS(Datos!$F:$F,Datos!$A:$A,$B7,Datos!$B:$B,KO$3)</f>
        <v>0</v>
      </c>
      <c r="KP7" s="16">
        <f>SUMIFS(Datos!$F:$F,Datos!$A:$A,$B7,Datos!$B:$B,KP$3)</f>
        <v>0</v>
      </c>
      <c r="KQ7" s="16">
        <f>SUMIFS(Datos!$F:$F,Datos!$A:$A,$B7,Datos!$B:$B,KQ$3)</f>
        <v>0</v>
      </c>
      <c r="KR7" s="16">
        <f>SUMIFS(Datos!$F:$F,Datos!$A:$A,$B7,Datos!$B:$B,KR$3)</f>
        <v>0</v>
      </c>
      <c r="KS7" s="16">
        <f>SUMIFS(Datos!$F:$F,Datos!$A:$A,$B7,Datos!$B:$B,KS$3)</f>
        <v>0</v>
      </c>
      <c r="KT7" s="16">
        <f>SUMIFS(Datos!$F:$F,Datos!$A:$A,$B7,Datos!$B:$B,KT$3)</f>
        <v>0</v>
      </c>
      <c r="KU7" s="16">
        <f>SUMIFS(Datos!$F:$F,Datos!$A:$A,$B7,Datos!$B:$B,KU$3)</f>
        <v>0</v>
      </c>
      <c r="KV7" s="16">
        <f>SUMIFS(Datos!$F:$F,Datos!$A:$A,$B7,Datos!$B:$B,KV$3)</f>
        <v>0</v>
      </c>
      <c r="KW7" s="16">
        <f>SUMIFS(Datos!$F:$F,Datos!$A:$A,$B7,Datos!$B:$B,KW$3)</f>
        <v>0</v>
      </c>
      <c r="KX7" s="16">
        <f>SUMIFS(Datos!$F:$F,Datos!$A:$A,$B7,Datos!$B:$B,KX$3)</f>
        <v>0</v>
      </c>
      <c r="KY7" s="16">
        <f>SUMIFS(Datos!$F:$F,Datos!$A:$A,$B7,Datos!$B:$B,KY$3)</f>
        <v>0</v>
      </c>
      <c r="KZ7" s="16">
        <f>SUMIFS(Datos!$F:$F,Datos!$A:$A,$B7,Datos!$B:$B,KZ$3)</f>
        <v>0</v>
      </c>
      <c r="LA7" s="16">
        <f>SUMIFS(Datos!$F:$F,Datos!$A:$A,$B7,Datos!$B:$B,LA$3)</f>
        <v>0</v>
      </c>
      <c r="LB7" s="16">
        <f>SUMIFS(Datos!$F:$F,Datos!$A:$A,$B7,Datos!$B:$B,LB$3)</f>
        <v>0</v>
      </c>
      <c r="LC7" s="16">
        <f>SUMIFS(Datos!$F:$F,Datos!$A:$A,$B7,Datos!$B:$B,LC$3)</f>
        <v>0</v>
      </c>
      <c r="LD7" s="16">
        <f>SUMIFS(Datos!$F:$F,Datos!$A:$A,$B7,Datos!$B:$B,LD$3)</f>
        <v>0</v>
      </c>
      <c r="LE7" s="16">
        <f>SUMIFS(Datos!$F:$F,Datos!$A:$A,$B7,Datos!$B:$B,LE$3)</f>
        <v>0</v>
      </c>
      <c r="LF7" s="16">
        <f>SUMIFS(Datos!$F:$F,Datos!$A:$A,$B7,Datos!$B:$B,LF$3)</f>
        <v>0</v>
      </c>
      <c r="LG7" s="16">
        <f>SUMIFS(Datos!$F:$F,Datos!$A:$A,$B7,Datos!$B:$B,LG$3)</f>
        <v>0</v>
      </c>
      <c r="LH7" s="16">
        <f>SUMIFS(Datos!$F:$F,Datos!$A:$A,$B7,Datos!$B:$B,LH$3)</f>
        <v>0</v>
      </c>
      <c r="LI7" s="16">
        <f>SUMIFS(Datos!$F:$F,Datos!$A:$A,$B7,Datos!$B:$B,LI$3)</f>
        <v>0</v>
      </c>
      <c r="LJ7" s="16">
        <f>SUMIFS(Datos!$F:$F,Datos!$A:$A,$B7,Datos!$B:$B,LJ$3)</f>
        <v>0</v>
      </c>
      <c r="LK7" s="16">
        <f>SUMIFS(Datos!$F:$F,Datos!$A:$A,$B7,Datos!$B:$B,LK$3)</f>
        <v>0</v>
      </c>
      <c r="LL7" s="16">
        <f>SUMIFS(Datos!$F:$F,Datos!$A:$A,$B7,Datos!$B:$B,LL$3)</f>
        <v>0</v>
      </c>
      <c r="LM7" s="16">
        <f>SUMIFS(Datos!$F:$F,Datos!$A:$A,$B7,Datos!$B:$B,LM$3)</f>
        <v>0</v>
      </c>
      <c r="LN7" s="16">
        <f>SUMIFS(Datos!$F:$F,Datos!$A:$A,$B7,Datos!$B:$B,LN$3)</f>
        <v>0</v>
      </c>
      <c r="LO7" s="16">
        <f>SUMIFS(Datos!$F:$F,Datos!$A:$A,$B7,Datos!$B:$B,LO$3)</f>
        <v>0</v>
      </c>
      <c r="LP7" s="16">
        <f>SUMIFS(Datos!$F:$F,Datos!$A:$A,$B7,Datos!$B:$B,LP$3)</f>
        <v>0</v>
      </c>
      <c r="LQ7" s="16">
        <f>SUMIFS(Datos!$F:$F,Datos!$A:$A,$B7,Datos!$B:$B,LQ$3)</f>
        <v>0</v>
      </c>
      <c r="LR7" s="16">
        <f>SUMIFS(Datos!$F:$F,Datos!$A:$A,$B7,Datos!$B:$B,LR$3)</f>
        <v>0</v>
      </c>
      <c r="LS7" s="16">
        <f>SUMIFS(Datos!$F:$F,Datos!$A:$A,$B7,Datos!$B:$B,LS$3)</f>
        <v>0</v>
      </c>
      <c r="LT7" s="16">
        <f>SUMIFS(Datos!$F:$F,Datos!$A:$A,$B7,Datos!$B:$B,LT$3)</f>
        <v>0</v>
      </c>
      <c r="LU7" s="16">
        <f>SUMIFS(Datos!$F:$F,Datos!$A:$A,$B7,Datos!$B:$B,LU$3)</f>
        <v>0</v>
      </c>
      <c r="LV7" s="16">
        <f>SUMIFS(Datos!$F:$F,Datos!$A:$A,$B7,Datos!$B:$B,LV$3)</f>
        <v>0</v>
      </c>
      <c r="LW7" s="16">
        <f>SUMIFS(Datos!$F:$F,Datos!$A:$A,$B7,Datos!$B:$B,LW$3)</f>
        <v>0</v>
      </c>
      <c r="LX7" s="16">
        <f>SUMIFS(Datos!$F:$F,Datos!$A:$A,$B7,Datos!$B:$B,LX$3)</f>
        <v>0</v>
      </c>
      <c r="LY7" s="16">
        <f>SUMIFS(Datos!$F:$F,Datos!$A:$A,$B7,Datos!$B:$B,LY$3)</f>
        <v>0</v>
      </c>
      <c r="LZ7" s="16">
        <f>SUMIFS(Datos!$F:$F,Datos!$A:$A,$B7,Datos!$B:$B,LZ$3)</f>
        <v>0</v>
      </c>
      <c r="MA7" s="16">
        <f>SUMIFS(Datos!$F:$F,Datos!$A:$A,$B7,Datos!$B:$B,MA$3)</f>
        <v>0</v>
      </c>
      <c r="MB7" s="16">
        <f>SUMIFS(Datos!$F:$F,Datos!$A:$A,$B7,Datos!$B:$B,MB$3)</f>
        <v>0</v>
      </c>
      <c r="MC7" s="16">
        <f>SUMIFS(Datos!$F:$F,Datos!$A:$A,$B7,Datos!$B:$B,MC$3)</f>
        <v>0</v>
      </c>
      <c r="MD7" s="16">
        <f>SUMIFS(Datos!$F:$F,Datos!$A:$A,$B7,Datos!$B:$B,MD$3)</f>
        <v>0</v>
      </c>
      <c r="ME7" s="16">
        <f>SUMIFS(Datos!$F:$F,Datos!$A:$A,$B7,Datos!$B:$B,ME$3)</f>
        <v>0</v>
      </c>
      <c r="MF7" s="16">
        <f>SUMIFS(Datos!$F:$F,Datos!$A:$A,$B7,Datos!$B:$B,MF$3)</f>
        <v>0</v>
      </c>
      <c r="MG7" s="16">
        <f>SUMIFS(Datos!$F:$F,Datos!$A:$A,$B7,Datos!$B:$B,MG$3)</f>
        <v>0</v>
      </c>
      <c r="MH7" s="16">
        <f>SUMIFS(Datos!$F:$F,Datos!$A:$A,$B7,Datos!$B:$B,MH$3)</f>
        <v>0</v>
      </c>
      <c r="MI7" s="16">
        <f>SUMIFS(Datos!$F:$F,Datos!$A:$A,$B7,Datos!$B:$B,MI$3)</f>
        <v>0</v>
      </c>
      <c r="MJ7" s="16">
        <f>SUMIFS(Datos!$F:$F,Datos!$A:$A,$B7,Datos!$B:$B,MJ$3)</f>
        <v>0</v>
      </c>
      <c r="MK7" s="16">
        <f>SUMIFS(Datos!$F:$F,Datos!$A:$A,$B7,Datos!$B:$B,MK$3)</f>
        <v>0</v>
      </c>
      <c r="ML7" s="16">
        <f>SUMIFS(Datos!$F:$F,Datos!$A:$A,$B7,Datos!$B:$B,ML$3)</f>
        <v>0</v>
      </c>
      <c r="MM7" s="16">
        <f>SUMIFS(Datos!$F:$F,Datos!$A:$A,$B7,Datos!$B:$B,MM$3)</f>
        <v>0</v>
      </c>
      <c r="MN7" s="16">
        <f>SUMIFS(Datos!$F:$F,Datos!$A:$A,$B7,Datos!$B:$B,MN$3)</f>
        <v>0</v>
      </c>
      <c r="MO7" s="16">
        <f>SUMIFS(Datos!$F:$F,Datos!$A:$A,$B7,Datos!$B:$B,MO$3)</f>
        <v>0</v>
      </c>
      <c r="MP7" s="16">
        <f>SUMIFS(Datos!$F:$F,Datos!$A:$A,$B7,Datos!$B:$B,MP$3)</f>
        <v>0</v>
      </c>
      <c r="MQ7" s="16">
        <f>SUMIFS(Datos!$F:$F,Datos!$A:$A,$B7,Datos!$B:$B,MQ$3)</f>
        <v>0</v>
      </c>
      <c r="MR7" s="16">
        <f>SUMIFS(Datos!$F:$F,Datos!$A:$A,$B7,Datos!$B:$B,MR$3)</f>
        <v>0</v>
      </c>
      <c r="MS7" s="16">
        <f>SUMIFS(Datos!$F:$F,Datos!$A:$A,$B7,Datos!$B:$B,MS$3)</f>
        <v>0</v>
      </c>
      <c r="MT7" s="16">
        <f>SUMIFS(Datos!$F:$F,Datos!$A:$A,$B7,Datos!$B:$B,MT$3)</f>
        <v>0</v>
      </c>
      <c r="MU7" s="16">
        <f>SUMIFS(Datos!$F:$F,Datos!$A:$A,$B7,Datos!$B:$B,MU$3)</f>
        <v>0</v>
      </c>
      <c r="MV7" s="16">
        <f>SUMIFS(Datos!$F:$F,Datos!$A:$A,$B7,Datos!$B:$B,MV$3)</f>
        <v>0</v>
      </c>
      <c r="MW7" s="16">
        <f>SUMIFS(Datos!$F:$F,Datos!$A:$A,$B7,Datos!$B:$B,MW$3)</f>
        <v>0</v>
      </c>
      <c r="MX7" s="16">
        <f>SUMIFS(Datos!$F:$F,Datos!$A:$A,$B7,Datos!$B:$B,MX$3)</f>
        <v>0</v>
      </c>
      <c r="MY7" s="16">
        <f>SUMIFS(Datos!$F:$F,Datos!$A:$A,$B7,Datos!$B:$B,MY$3)</f>
        <v>0</v>
      </c>
      <c r="MZ7" s="16">
        <f>SUMIFS(Datos!$F:$F,Datos!$A:$A,$B7,Datos!$B:$B,MZ$3)</f>
        <v>0</v>
      </c>
      <c r="NA7" s="16">
        <f>SUMIFS(Datos!$F:$F,Datos!$A:$A,$B7,Datos!$B:$B,NA$3)</f>
        <v>0</v>
      </c>
      <c r="NB7" s="16">
        <f>SUMIFS(Datos!$F:$F,Datos!$A:$A,$B7,Datos!$B:$B,NB$3)</f>
        <v>0</v>
      </c>
      <c r="NC7" s="16">
        <f>SUMIFS(Datos!$F:$F,Datos!$A:$A,$B7,Datos!$B:$B,NC$3)</f>
        <v>0</v>
      </c>
      <c r="ND7" s="16">
        <f>SUMIFS(Datos!$F:$F,Datos!$A:$A,$B7,Datos!$B:$B,ND$3)</f>
        <v>0</v>
      </c>
      <c r="NE7" s="16">
        <f>SUMIFS(Datos!$F:$F,Datos!$A:$A,$B7,Datos!$B:$B,NE$3)</f>
        <v>0</v>
      </c>
      <c r="NF7" s="16">
        <f>SUMIFS(Datos!$F:$F,Datos!$A:$A,$B7,Datos!$B:$B,NF$3)</f>
        <v>0</v>
      </c>
      <c r="NG7" s="16">
        <f>SUMIFS(Datos!$F:$F,Datos!$A:$A,$B7,Datos!$B:$B,NG$3)</f>
        <v>0</v>
      </c>
      <c r="NH7" s="16">
        <f>SUMIFS(Datos!$F:$F,Datos!$A:$A,$B7,Datos!$B:$B,NH$3)</f>
        <v>0</v>
      </c>
      <c r="NI7" s="16">
        <f>SUMIFS(Datos!$F:$F,Datos!$A:$A,$B7,Datos!$B:$B,NI$3)</f>
        <v>0</v>
      </c>
      <c r="NJ7" s="16">
        <f>SUMIFS(Datos!$F:$F,Datos!$A:$A,$B7,Datos!$B:$B,NJ$3)</f>
        <v>0</v>
      </c>
      <c r="NK7" s="16">
        <f>SUMIFS(Datos!$F:$F,Datos!$A:$A,$B7,Datos!$B:$B,NK$3)</f>
        <v>0</v>
      </c>
      <c r="NL7" s="16">
        <f>SUMIFS(Datos!$F:$F,Datos!$A:$A,$B7,Datos!$B:$B,NL$3)</f>
        <v>0</v>
      </c>
      <c r="NM7" s="16">
        <f>SUMIFS(Datos!$F:$F,Datos!$A:$A,$B7,Datos!$B:$B,NM$3)</f>
        <v>0</v>
      </c>
      <c r="NN7" s="16">
        <f>SUMIFS(Datos!$F:$F,Datos!$A:$A,$B7,Datos!$B:$B,NN$3)</f>
        <v>0</v>
      </c>
      <c r="NO7" s="16">
        <f>SUMIFS(Datos!$F:$F,Datos!$A:$A,$B7,Datos!$B:$B,NO$3)</f>
        <v>0</v>
      </c>
      <c r="NP7" s="16">
        <f>SUMIFS(Datos!$F:$F,Datos!$A:$A,$B7,Datos!$B:$B,NP$3)</f>
        <v>0</v>
      </c>
      <c r="NQ7" s="16">
        <f>SUMIFS(Datos!$F:$F,Datos!$A:$A,$B7,Datos!$B:$B,NQ$3)</f>
        <v>0</v>
      </c>
      <c r="NR7" s="16">
        <f>SUMIFS(Datos!$F:$F,Datos!$A:$A,$B7,Datos!$B:$B,NR$3)</f>
        <v>0</v>
      </c>
      <c r="NS7" s="16">
        <f>SUMIFS(Datos!$F:$F,Datos!$A:$A,$B7,Datos!$B:$B,NS$3)</f>
        <v>0</v>
      </c>
      <c r="NT7" s="16">
        <f>SUMIFS(Datos!$F:$F,Datos!$A:$A,$B7,Datos!$B:$B,NT$3)</f>
        <v>0</v>
      </c>
      <c r="NU7" s="16">
        <f>SUMIFS(Datos!$F:$F,Datos!$A:$A,$B7,Datos!$B:$B,NU$3)</f>
        <v>0</v>
      </c>
      <c r="NV7" s="16">
        <f>SUMIFS(Datos!$F:$F,Datos!$A:$A,$B7,Datos!$B:$B,NV$3)</f>
        <v>0</v>
      </c>
      <c r="NW7" s="16">
        <f>SUMIFS(Datos!$F:$F,Datos!$A:$A,$B7,Datos!$B:$B,NW$3)</f>
        <v>0</v>
      </c>
      <c r="NX7" s="16">
        <f>SUMIFS(Datos!$F:$F,Datos!$A:$A,$B7,Datos!$B:$B,NX$3)</f>
        <v>0</v>
      </c>
      <c r="NY7" s="16">
        <f>SUMIFS(Datos!$F:$F,Datos!$A:$A,$B7,Datos!$B:$B,NY$3)</f>
        <v>0</v>
      </c>
      <c r="NZ7" s="16">
        <f>SUMIFS(Datos!$F:$F,Datos!$A:$A,$B7,Datos!$B:$B,NZ$3)</f>
        <v>0</v>
      </c>
      <c r="OA7" s="16">
        <f>SUMIFS(Datos!$F:$F,Datos!$A:$A,$B7,Datos!$B:$B,OA$3)</f>
        <v>0</v>
      </c>
      <c r="OB7" s="16">
        <f>SUMIFS(Datos!$F:$F,Datos!$A:$A,$B7,Datos!$B:$B,OB$3)</f>
        <v>0</v>
      </c>
      <c r="OC7" s="16">
        <f>SUMIFS(Datos!$F:$F,Datos!$A:$A,$B7,Datos!$B:$B,OC$3)</f>
        <v>0</v>
      </c>
      <c r="OD7" s="16">
        <f>SUMIFS(Datos!$F:$F,Datos!$A:$A,$B7,Datos!$B:$B,OD$3)</f>
        <v>0</v>
      </c>
      <c r="OE7" s="16">
        <f>SUMIFS(Datos!$F:$F,Datos!$A:$A,$B7,Datos!$B:$B,OE$3)</f>
        <v>0</v>
      </c>
      <c r="OF7" s="16">
        <f>SUMIFS(Datos!$F:$F,Datos!$A:$A,$B7,Datos!$B:$B,OF$3)</f>
        <v>0</v>
      </c>
      <c r="OG7" s="16">
        <f>SUMIFS(Datos!$F:$F,Datos!$A:$A,$B7,Datos!$B:$B,OG$3)</f>
        <v>0</v>
      </c>
      <c r="OH7" s="16">
        <f>SUMIFS(Datos!$F:$F,Datos!$A:$A,$B7,Datos!$B:$B,OH$3)</f>
        <v>0</v>
      </c>
      <c r="OI7" s="16">
        <f>SUMIFS(Datos!$F:$F,Datos!$A:$A,$B7,Datos!$B:$B,OI$3)</f>
        <v>0</v>
      </c>
      <c r="OJ7" s="16">
        <f>SUMIFS(Datos!$F:$F,Datos!$A:$A,$B7,Datos!$B:$B,OJ$3)</f>
        <v>0</v>
      </c>
      <c r="OK7" s="16">
        <f>SUMIFS(Datos!$F:$F,Datos!$A:$A,$B7,Datos!$B:$B,OK$3)</f>
        <v>0</v>
      </c>
      <c r="OL7" s="16">
        <f>SUMIFS(Datos!$F:$F,Datos!$A:$A,$B7,Datos!$B:$B,OL$3)</f>
        <v>0</v>
      </c>
      <c r="OM7" s="16">
        <f>SUMIFS(Datos!$F:$F,Datos!$A:$A,$B7,Datos!$B:$B,OM$3)</f>
        <v>0</v>
      </c>
      <c r="ON7" s="16">
        <f>SUMIFS(Datos!$F:$F,Datos!$A:$A,$B7,Datos!$B:$B,ON$3)</f>
        <v>0</v>
      </c>
      <c r="OO7" s="16">
        <f>SUMIFS(Datos!$F:$F,Datos!$A:$A,$B7,Datos!$B:$B,OO$3)</f>
        <v>0</v>
      </c>
      <c r="OP7" s="16">
        <f>SUMIFS(Datos!$F:$F,Datos!$A:$A,$B7,Datos!$B:$B,OP$3)</f>
        <v>0</v>
      </c>
      <c r="OQ7" s="16">
        <f>SUMIFS(Datos!$F:$F,Datos!$A:$A,$B7,Datos!$B:$B,OQ$3)</f>
        <v>0</v>
      </c>
      <c r="OR7" s="16">
        <f>SUMIFS(Datos!$F:$F,Datos!$A:$A,$B7,Datos!$B:$B,OR$3)</f>
        <v>0</v>
      </c>
      <c r="OS7" s="16">
        <f>SUMIFS(Datos!$F:$F,Datos!$A:$A,$B7,Datos!$B:$B,OS$3)</f>
        <v>0</v>
      </c>
      <c r="OT7" s="16">
        <f>SUMIFS(Datos!$F:$F,Datos!$A:$A,$B7,Datos!$B:$B,OT$3)</f>
        <v>0</v>
      </c>
      <c r="OU7" s="16">
        <f>SUMIFS(Datos!$F:$F,Datos!$A:$A,$B7,Datos!$B:$B,OU$3)</f>
        <v>0</v>
      </c>
      <c r="OV7" s="16">
        <f>SUMIFS(Datos!$F:$F,Datos!$A:$A,$B7,Datos!$B:$B,OV$3)</f>
        <v>0</v>
      </c>
      <c r="OW7" s="16">
        <f>SUMIFS(Datos!$F:$F,Datos!$A:$A,$B7,Datos!$B:$B,OW$3)</f>
        <v>0</v>
      </c>
      <c r="OX7" s="16">
        <f>SUMIFS(Datos!$F:$F,Datos!$A:$A,$B7,Datos!$B:$B,OX$3)</f>
        <v>0</v>
      </c>
      <c r="OY7" s="16">
        <f>SUMIFS(Datos!$F:$F,Datos!$A:$A,$B7,Datos!$B:$B,OY$3)</f>
        <v>0</v>
      </c>
      <c r="OZ7" s="16">
        <f>SUMIFS(Datos!$F:$F,Datos!$A:$A,$B7,Datos!$B:$B,OZ$3)</f>
        <v>0</v>
      </c>
      <c r="PA7" s="16">
        <f>SUMIFS(Datos!$F:$F,Datos!$A:$A,$B7,Datos!$B:$B,PA$3)</f>
        <v>0</v>
      </c>
      <c r="PB7" s="16">
        <f>SUMIFS(Datos!$F:$F,Datos!$A:$A,$B7,Datos!$B:$B,PB$3)</f>
        <v>0</v>
      </c>
      <c r="PC7" s="16">
        <f>SUMIFS(Datos!$F:$F,Datos!$A:$A,$B7,Datos!$B:$B,PC$3)</f>
        <v>0</v>
      </c>
      <c r="PD7" s="16">
        <f>SUMIFS(Datos!$F:$F,Datos!$A:$A,$B7,Datos!$B:$B,PD$3)</f>
        <v>0</v>
      </c>
      <c r="PE7" s="16">
        <f>SUMIFS(Datos!$F:$F,Datos!$A:$A,$B7,Datos!$B:$B,PE$3)</f>
        <v>0</v>
      </c>
      <c r="PF7" s="16">
        <f>SUMIFS(Datos!$F:$F,Datos!$A:$A,$B7,Datos!$B:$B,PF$3)</f>
        <v>0</v>
      </c>
      <c r="PG7" s="16">
        <f>SUMIFS(Datos!$F:$F,Datos!$A:$A,$B7,Datos!$B:$B,PG$3)</f>
        <v>0</v>
      </c>
      <c r="PH7" s="16">
        <f>SUMIFS(Datos!$F:$F,Datos!$A:$A,$B7,Datos!$B:$B,PH$3)</f>
        <v>0</v>
      </c>
      <c r="PI7" s="16">
        <f>SUMIFS(Datos!$F:$F,Datos!$A:$A,$B7,Datos!$B:$B,PI$3)</f>
        <v>0</v>
      </c>
      <c r="PJ7" s="16">
        <f>SUMIFS(Datos!$F:$F,Datos!$A:$A,$B7,Datos!$B:$B,PJ$3)</f>
        <v>0</v>
      </c>
      <c r="PK7" s="16">
        <f>SUMIFS(Datos!$F:$F,Datos!$A:$A,$B7,Datos!$B:$B,PK$3)</f>
        <v>0</v>
      </c>
      <c r="PL7" s="16">
        <f>SUMIFS(Datos!$F:$F,Datos!$A:$A,$B7,Datos!$B:$B,PL$3)</f>
        <v>0</v>
      </c>
      <c r="PM7" s="16">
        <f>SUMIFS(Datos!$F:$F,Datos!$A:$A,$B7,Datos!$B:$B,PM$3)</f>
        <v>0</v>
      </c>
      <c r="PN7" s="16">
        <f>SUMIFS(Datos!$F:$F,Datos!$A:$A,$B7,Datos!$B:$B,PN$3)</f>
        <v>0</v>
      </c>
      <c r="PO7" s="16">
        <f>SUMIFS(Datos!$F:$F,Datos!$A:$A,$B7,Datos!$B:$B,PO$3)</f>
        <v>0</v>
      </c>
      <c r="PP7" s="16">
        <f>SUMIFS(Datos!$F:$F,Datos!$A:$A,$B7,Datos!$B:$B,PP$3)</f>
        <v>0</v>
      </c>
      <c r="PQ7" s="16">
        <f>SUMIFS(Datos!$F:$F,Datos!$A:$A,$B7,Datos!$B:$B,PQ$3)</f>
        <v>0</v>
      </c>
      <c r="PR7" s="16">
        <f>SUMIFS(Datos!$F:$F,Datos!$A:$A,$B7,Datos!$B:$B,PR$3)</f>
        <v>0</v>
      </c>
      <c r="PS7" s="16">
        <f>SUMIFS(Datos!$F:$F,Datos!$A:$A,$B7,Datos!$B:$B,PS$3)</f>
        <v>0</v>
      </c>
      <c r="PT7" s="16">
        <f>SUMIFS(Datos!$F:$F,Datos!$A:$A,$B7,Datos!$B:$B,PT$3)</f>
        <v>0</v>
      </c>
      <c r="PU7" s="16">
        <f>SUMIFS(Datos!$F:$F,Datos!$A:$A,$B7,Datos!$B:$B,PU$3)</f>
        <v>0</v>
      </c>
      <c r="PV7" s="16">
        <f>SUMIFS(Datos!$F:$F,Datos!$A:$A,$B7,Datos!$B:$B,PV$3)</f>
        <v>0</v>
      </c>
      <c r="PW7" s="16">
        <f>SUMIFS(Datos!$F:$F,Datos!$A:$A,$B7,Datos!$B:$B,PW$3)</f>
        <v>0</v>
      </c>
      <c r="PX7" s="16">
        <f>SUMIFS(Datos!$F:$F,Datos!$A:$A,$B7,Datos!$B:$B,PX$3)</f>
        <v>0</v>
      </c>
      <c r="PY7" s="16">
        <f>SUMIFS(Datos!$F:$F,Datos!$A:$A,$B7,Datos!$B:$B,PY$3)</f>
        <v>0</v>
      </c>
      <c r="PZ7" s="16">
        <f>SUMIFS(Datos!$F:$F,Datos!$A:$A,$B7,Datos!$B:$B,PZ$3)</f>
        <v>0</v>
      </c>
      <c r="QA7" s="16">
        <f>SUMIFS(Datos!$F:$F,Datos!$A:$A,$B7,Datos!$B:$B,QA$3)</f>
        <v>0</v>
      </c>
      <c r="QB7" s="16">
        <f>SUMIFS(Datos!$F:$F,Datos!$A:$A,$B7,Datos!$B:$B,QB$3)</f>
        <v>0</v>
      </c>
      <c r="QC7" s="16">
        <f>SUMIFS(Datos!$F:$F,Datos!$A:$A,$B7,Datos!$B:$B,QC$3)</f>
        <v>0</v>
      </c>
      <c r="QD7" s="16">
        <f>SUMIFS(Datos!$F:$F,Datos!$A:$A,$B7,Datos!$B:$B,QD$3)</f>
        <v>0</v>
      </c>
      <c r="QE7" s="16">
        <f>SUMIFS(Datos!$F:$F,Datos!$A:$A,$B7,Datos!$B:$B,QE$3)</f>
        <v>0</v>
      </c>
      <c r="QF7" s="16">
        <f>SUMIFS(Datos!$F:$F,Datos!$A:$A,$B7,Datos!$B:$B,QF$3)</f>
        <v>0</v>
      </c>
      <c r="QG7" s="16">
        <f>SUMIFS(Datos!$F:$F,Datos!$A:$A,$B7,Datos!$B:$B,QG$3)</f>
        <v>0</v>
      </c>
      <c r="QH7" s="16">
        <f>SUMIFS(Datos!$F:$F,Datos!$A:$A,$B7,Datos!$B:$B,QH$3)</f>
        <v>0</v>
      </c>
      <c r="QI7" s="16">
        <f>SUMIFS(Datos!$F:$F,Datos!$A:$A,$B7,Datos!$B:$B,QI$3)</f>
        <v>0</v>
      </c>
      <c r="QJ7" s="16">
        <f>SUMIFS(Datos!$F:$F,Datos!$A:$A,$B7,Datos!$B:$B,QJ$3)</f>
        <v>0</v>
      </c>
      <c r="QK7" s="16">
        <f>SUMIFS(Datos!$F:$F,Datos!$A:$A,$B7,Datos!$B:$B,QK$3)</f>
        <v>0</v>
      </c>
      <c r="QL7" s="16">
        <f>SUMIFS(Datos!$F:$F,Datos!$A:$A,$B7,Datos!$B:$B,QL$3)</f>
        <v>0</v>
      </c>
      <c r="QM7" s="16">
        <f>SUMIFS(Datos!$F:$F,Datos!$A:$A,$B7,Datos!$B:$B,QM$3)</f>
        <v>0</v>
      </c>
      <c r="QN7" s="16">
        <f>SUMIFS(Datos!$F:$F,Datos!$A:$A,$B7,Datos!$B:$B,QN$3)</f>
        <v>0</v>
      </c>
      <c r="QO7" s="16">
        <f>SUMIFS(Datos!$F:$F,Datos!$A:$A,$B7,Datos!$B:$B,QO$3)</f>
        <v>0</v>
      </c>
      <c r="QP7" s="16">
        <f>SUMIFS(Datos!$F:$F,Datos!$A:$A,$B7,Datos!$B:$B,QP$3)</f>
        <v>0</v>
      </c>
      <c r="QQ7" s="16">
        <f>SUMIFS(Datos!$F:$F,Datos!$A:$A,$B7,Datos!$B:$B,QQ$3)</f>
        <v>0</v>
      </c>
      <c r="QR7" s="16">
        <f>SUMIFS(Datos!$F:$F,Datos!$A:$A,$B7,Datos!$B:$B,QR$3)</f>
        <v>0</v>
      </c>
      <c r="QS7" s="16">
        <f>SUMIFS(Datos!$F:$F,Datos!$A:$A,$B7,Datos!$B:$B,QS$3)</f>
        <v>0</v>
      </c>
      <c r="QT7" s="16">
        <f>SUMIFS(Datos!$F:$F,Datos!$A:$A,$B7,Datos!$B:$B,QT$3)</f>
        <v>0</v>
      </c>
      <c r="QU7" s="16">
        <f>SUMIFS(Datos!$F:$F,Datos!$A:$A,$B7,Datos!$B:$B,QU$3)</f>
        <v>0</v>
      </c>
      <c r="QV7" s="16">
        <f>SUMIFS(Datos!$F:$F,Datos!$A:$A,$B7,Datos!$B:$B,QV$3)</f>
        <v>0</v>
      </c>
      <c r="QW7" s="16">
        <f>SUMIFS(Datos!$F:$F,Datos!$A:$A,$B7,Datos!$B:$B,QW$3)</f>
        <v>0</v>
      </c>
      <c r="QX7" s="16">
        <f>SUMIFS(Datos!$F:$F,Datos!$A:$A,$B7,Datos!$B:$B,QX$3)</f>
        <v>0</v>
      </c>
      <c r="QY7" s="16">
        <f>SUMIFS(Datos!$F:$F,Datos!$A:$A,$B7,Datos!$B:$B,QY$3)</f>
        <v>0</v>
      </c>
      <c r="QZ7" s="16">
        <f>SUMIFS(Datos!$F:$F,Datos!$A:$A,$B7,Datos!$B:$B,QZ$3)</f>
        <v>0</v>
      </c>
      <c r="RA7" s="16">
        <f>SUMIFS(Datos!$F:$F,Datos!$A:$A,$B7,Datos!$B:$B,RA$3)</f>
        <v>0</v>
      </c>
      <c r="RB7" s="16">
        <f>SUMIFS(Datos!$F:$F,Datos!$A:$A,$B7,Datos!$B:$B,RB$3)</f>
        <v>0</v>
      </c>
      <c r="RC7" s="16">
        <f>SUMIFS(Datos!$F:$F,Datos!$A:$A,$B7,Datos!$B:$B,RC$3)</f>
        <v>0</v>
      </c>
      <c r="RD7" s="16">
        <f>SUMIFS(Datos!$F:$F,Datos!$A:$A,$B7,Datos!$B:$B,RD$3)</f>
        <v>0</v>
      </c>
      <c r="RE7" s="16">
        <f>SUMIFS(Datos!$F:$F,Datos!$A:$A,$B7,Datos!$B:$B,RE$3)</f>
        <v>0</v>
      </c>
      <c r="RF7" s="16">
        <f>SUMIFS(Datos!$F:$F,Datos!$A:$A,$B7,Datos!$B:$B,RF$3)</f>
        <v>0</v>
      </c>
      <c r="RG7" s="16">
        <f>SUMIFS(Datos!$F:$F,Datos!$A:$A,$B7,Datos!$B:$B,RG$3)</f>
        <v>0</v>
      </c>
      <c r="RH7" s="16">
        <f>SUMIFS(Datos!$F:$F,Datos!$A:$A,$B7,Datos!$B:$B,RH$3)</f>
        <v>0</v>
      </c>
      <c r="RI7" s="16">
        <f>SUMIFS(Datos!$F:$F,Datos!$A:$A,$B7,Datos!$B:$B,RI$3)</f>
        <v>0</v>
      </c>
      <c r="RJ7" s="16">
        <f>SUMIFS(Datos!$F:$F,Datos!$A:$A,$B7,Datos!$B:$B,RJ$3)</f>
        <v>0</v>
      </c>
      <c r="RK7" s="16">
        <f>SUMIFS(Datos!$F:$F,Datos!$A:$A,$B7,Datos!$B:$B,RK$3)</f>
        <v>0</v>
      </c>
      <c r="RL7" s="16">
        <f>SUMIFS(Datos!$F:$F,Datos!$A:$A,$B7,Datos!$B:$B,RL$3)</f>
        <v>0</v>
      </c>
      <c r="RM7" s="16">
        <f>SUMIFS(Datos!$F:$F,Datos!$A:$A,$B7,Datos!$B:$B,RM$3)</f>
        <v>0</v>
      </c>
      <c r="RN7" s="16">
        <f>SUMIFS(Datos!$F:$F,Datos!$A:$A,$B7,Datos!$B:$B,RN$3)</f>
        <v>0</v>
      </c>
      <c r="RO7" s="16">
        <f>SUMIFS(Datos!$F:$F,Datos!$A:$A,$B7,Datos!$B:$B,RO$3)</f>
        <v>0</v>
      </c>
      <c r="RP7" s="16">
        <f>SUMIFS(Datos!$F:$F,Datos!$A:$A,$B7,Datos!$B:$B,RP$3)</f>
        <v>0</v>
      </c>
      <c r="RQ7" s="16">
        <f>SUMIFS(Datos!$F:$F,Datos!$A:$A,$B7,Datos!$B:$B,RQ$3)</f>
        <v>0</v>
      </c>
      <c r="RR7" s="16">
        <f>SUMIFS(Datos!$F:$F,Datos!$A:$A,$B7,Datos!$B:$B,RR$3)</f>
        <v>0</v>
      </c>
      <c r="RS7" s="16">
        <f>SUMIFS(Datos!$F:$F,Datos!$A:$A,$B7,Datos!$B:$B,RS$3)</f>
        <v>0</v>
      </c>
      <c r="RT7" s="16">
        <f>SUMIFS(Datos!$F:$F,Datos!$A:$A,$B7,Datos!$B:$B,RT$3)</f>
        <v>0</v>
      </c>
      <c r="RU7" s="16">
        <f>SUMIFS(Datos!$F:$F,Datos!$A:$A,$B7,Datos!$B:$B,RU$3)</f>
        <v>0</v>
      </c>
      <c r="RV7" s="16">
        <f>SUMIFS(Datos!$F:$F,Datos!$A:$A,$B7,Datos!$B:$B,RV$3)</f>
        <v>0</v>
      </c>
      <c r="RW7" s="16">
        <f>SUMIFS(Datos!$F:$F,Datos!$A:$A,$B7,Datos!$B:$B,RW$3)</f>
        <v>0</v>
      </c>
      <c r="RX7" s="16">
        <f>SUMIFS(Datos!$F:$F,Datos!$A:$A,$B7,Datos!$B:$B,RX$3)</f>
        <v>0</v>
      </c>
      <c r="RY7" s="16">
        <f>SUMIFS(Datos!$F:$F,Datos!$A:$A,$B7,Datos!$B:$B,RY$3)</f>
        <v>0</v>
      </c>
      <c r="RZ7" s="16">
        <f>SUMIFS(Datos!$F:$F,Datos!$A:$A,$B7,Datos!$B:$B,RZ$3)</f>
        <v>0</v>
      </c>
      <c r="SA7" s="16">
        <f>SUMIFS(Datos!$F:$F,Datos!$A:$A,$B7,Datos!$B:$B,SA$3)</f>
        <v>0</v>
      </c>
      <c r="SB7" s="16">
        <f>SUMIFS(Datos!$F:$F,Datos!$A:$A,$B7,Datos!$B:$B,SB$3)</f>
        <v>0</v>
      </c>
      <c r="SC7" s="16">
        <f>SUMIFS(Datos!$F:$F,Datos!$A:$A,$B7,Datos!$B:$B,SC$3)</f>
        <v>0</v>
      </c>
      <c r="SD7" s="16">
        <f>SUMIFS(Datos!$F:$F,Datos!$A:$A,$B7,Datos!$B:$B,SD$3)</f>
        <v>0</v>
      </c>
      <c r="SE7" s="16">
        <f>SUMIFS(Datos!$F:$F,Datos!$A:$A,$B7,Datos!$B:$B,SE$3)</f>
        <v>0</v>
      </c>
      <c r="SF7" s="16">
        <f>SUMIFS(Datos!$F:$F,Datos!$A:$A,$B7,Datos!$B:$B,SF$3)</f>
        <v>0</v>
      </c>
      <c r="SG7" s="16">
        <f>SUMIFS(Datos!$F:$F,Datos!$A:$A,$B7,Datos!$B:$B,SG$3)</f>
        <v>0</v>
      </c>
      <c r="SH7" s="16">
        <f>SUMIFS(Datos!$F:$F,Datos!$A:$A,$B7,Datos!$B:$B,SH$3)</f>
        <v>0</v>
      </c>
      <c r="SI7" s="16">
        <f>SUMIFS(Datos!$F:$F,Datos!$A:$A,$B7,Datos!$B:$B,SI$3)</f>
        <v>0</v>
      </c>
      <c r="SJ7" s="16">
        <f>SUMIFS(Datos!$F:$F,Datos!$A:$A,$B7,Datos!$B:$B,SJ$3)</f>
        <v>0</v>
      </c>
      <c r="SK7" s="16">
        <f>SUMIFS(Datos!$F:$F,Datos!$A:$A,$B7,Datos!$B:$B,SK$3)</f>
        <v>0</v>
      </c>
      <c r="SL7" s="16">
        <f>SUMIFS(Datos!$F:$F,Datos!$A:$A,$B7,Datos!$B:$B,SL$3)</f>
        <v>0</v>
      </c>
      <c r="SM7" s="16">
        <f>SUMIFS(Datos!$F:$F,Datos!$A:$A,$B7,Datos!$B:$B,SM$3)</f>
        <v>0</v>
      </c>
      <c r="SN7" s="16">
        <f>SUMIFS(Datos!$F:$F,Datos!$A:$A,$B7,Datos!$B:$B,SN$3)</f>
        <v>0</v>
      </c>
      <c r="SO7" s="16">
        <f>SUMIFS(Datos!$F:$F,Datos!$A:$A,$B7,Datos!$B:$B,SO$3)</f>
        <v>0</v>
      </c>
      <c r="SP7" s="16">
        <f>SUMIFS(Datos!$F:$F,Datos!$A:$A,$B7,Datos!$B:$B,SP$3)</f>
        <v>0</v>
      </c>
      <c r="SQ7" s="16">
        <f>SUMIFS(Datos!$F:$F,Datos!$A:$A,$B7,Datos!$B:$B,SQ$3)</f>
        <v>0</v>
      </c>
      <c r="SR7" s="16">
        <f>SUMIFS(Datos!$F:$F,Datos!$A:$A,$B7,Datos!$B:$B,SR$3)</f>
        <v>0</v>
      </c>
      <c r="SS7" s="16">
        <f>SUMIFS(Datos!$F:$F,Datos!$A:$A,$B7,Datos!$B:$B,SS$3)</f>
        <v>0</v>
      </c>
      <c r="ST7" s="16">
        <f>SUMIFS(Datos!$F:$F,Datos!$A:$A,$B7,Datos!$B:$B,ST$3)</f>
        <v>0</v>
      </c>
      <c r="SU7" s="16">
        <f>SUMIFS(Datos!$F:$F,Datos!$A:$A,$B7,Datos!$B:$B,SU$3)</f>
        <v>0</v>
      </c>
      <c r="SV7" s="16">
        <f>SUMIFS(Datos!$F:$F,Datos!$A:$A,$B7,Datos!$B:$B,SV$3)</f>
        <v>0</v>
      </c>
      <c r="SW7" s="16">
        <f>SUMIFS(Datos!$F:$F,Datos!$A:$A,$B7,Datos!$B:$B,SW$3)</f>
        <v>0</v>
      </c>
      <c r="SX7" s="16">
        <f>SUMIFS(Datos!$F:$F,Datos!$A:$A,$B7,Datos!$B:$B,SX$3)</f>
        <v>0</v>
      </c>
      <c r="SY7" s="16">
        <f>SUMIFS(Datos!$F:$F,Datos!$A:$A,$B7,Datos!$B:$B,SY$3)</f>
        <v>0</v>
      </c>
      <c r="SZ7" s="16">
        <f>SUMIFS(Datos!$F:$F,Datos!$A:$A,$B7,Datos!$B:$B,SZ$3)</f>
        <v>0</v>
      </c>
      <c r="TA7" s="16">
        <f>SUMIFS(Datos!$F:$F,Datos!$A:$A,$B7,Datos!$B:$B,TA$3)</f>
        <v>0</v>
      </c>
      <c r="TB7" s="16">
        <f>SUMIFS(Datos!$F:$F,Datos!$A:$A,$B7,Datos!$B:$B,TB$3)</f>
        <v>0</v>
      </c>
      <c r="TC7" s="16">
        <f>SUMIFS(Datos!$F:$F,Datos!$A:$A,$B7,Datos!$B:$B,TC$3)</f>
        <v>0</v>
      </c>
      <c r="TD7" s="16">
        <f>SUMIFS(Datos!$F:$F,Datos!$A:$A,$B7,Datos!$B:$B,TD$3)</f>
        <v>0</v>
      </c>
      <c r="TE7" s="16">
        <f>SUMIFS(Datos!$F:$F,Datos!$A:$A,$B7,Datos!$B:$B,TE$3)</f>
        <v>0</v>
      </c>
      <c r="TF7" s="16">
        <f>SUMIFS(Datos!$F:$F,Datos!$A:$A,$B7,Datos!$B:$B,TF$3)</f>
        <v>0</v>
      </c>
    </row>
    <row r="8" spans="1:526">
      <c r="A8" s="31" t="s">
        <v>48</v>
      </c>
      <c r="B8" s="4">
        <f>Cartera!B8</f>
        <v>0</v>
      </c>
      <c r="C8" s="4">
        <f>Cartera!C8</f>
        <v>0</v>
      </c>
      <c r="D8" s="16">
        <f>SUMIFS(Datos!$F:$F,Datos!$A:$A,$B8,Datos!$B:$B,D$3)</f>
        <v>0</v>
      </c>
      <c r="E8" s="16">
        <f>SUMIFS(Datos!$F:$F,Datos!$A:$A,$B8,Datos!$B:$B,E$3)</f>
        <v>0</v>
      </c>
      <c r="F8" s="16">
        <f>SUMIFS(Datos!$F:$F,Datos!$A:$A,$B8,Datos!$B:$B,F$3)</f>
        <v>0</v>
      </c>
      <c r="G8" s="16">
        <f>SUMIFS(Datos!$F:$F,Datos!$A:$A,$B8,Datos!$B:$B,G$3)</f>
        <v>0</v>
      </c>
      <c r="H8" s="16">
        <f>SUMIFS(Datos!$F:$F,Datos!$A:$A,$B8,Datos!$B:$B,H$3)</f>
        <v>0</v>
      </c>
      <c r="I8" s="16">
        <f>SUMIFS(Datos!$F:$F,Datos!$A:$A,$B8,Datos!$B:$B,I$3)</f>
        <v>0</v>
      </c>
      <c r="J8" s="16">
        <f>SUMIFS(Datos!$F:$F,Datos!$A:$A,$B8,Datos!$B:$B,J$3)</f>
        <v>0</v>
      </c>
      <c r="K8" s="16">
        <f>SUMIFS(Datos!$F:$F,Datos!$A:$A,$B8,Datos!$B:$B,K$3)</f>
        <v>0</v>
      </c>
      <c r="L8" s="16">
        <f>SUMIFS(Datos!$F:$F,Datos!$A:$A,$B8,Datos!$B:$B,L$3)</f>
        <v>0</v>
      </c>
      <c r="M8" s="16">
        <f>SUMIFS(Datos!$F:$F,Datos!$A:$A,$B8,Datos!$B:$B,M$3)</f>
        <v>0</v>
      </c>
      <c r="N8" s="16">
        <f>SUMIFS(Datos!$F:$F,Datos!$A:$A,$B8,Datos!$B:$B,N$3)</f>
        <v>0</v>
      </c>
      <c r="O8" s="16">
        <f>SUMIFS(Datos!$F:$F,Datos!$A:$A,$B8,Datos!$B:$B,O$3)</f>
        <v>0</v>
      </c>
      <c r="P8" s="16">
        <f>SUMIFS(Datos!$F:$F,Datos!$A:$A,$B8,Datos!$B:$B,P$3)</f>
        <v>0</v>
      </c>
      <c r="Q8" s="16">
        <f>SUMIFS(Datos!$F:$F,Datos!$A:$A,$B8,Datos!$B:$B,Q$3)</f>
        <v>0</v>
      </c>
      <c r="R8" s="16">
        <f>SUMIFS(Datos!$F:$F,Datos!$A:$A,$B8,Datos!$B:$B,R$3)</f>
        <v>0</v>
      </c>
      <c r="S8" s="16">
        <f>SUMIFS(Datos!$F:$F,Datos!$A:$A,$B8,Datos!$B:$B,S$3)</f>
        <v>0</v>
      </c>
      <c r="T8" s="16">
        <f>SUMIFS(Datos!$F:$F,Datos!$A:$A,$B8,Datos!$B:$B,T$3)</f>
        <v>0</v>
      </c>
      <c r="U8" s="16">
        <f>SUMIFS(Datos!$F:$F,Datos!$A:$A,$B8,Datos!$B:$B,U$3)</f>
        <v>0</v>
      </c>
      <c r="V8" s="16">
        <f>SUMIFS(Datos!$F:$F,Datos!$A:$A,$B8,Datos!$B:$B,V$3)</f>
        <v>0</v>
      </c>
      <c r="W8" s="16">
        <f>SUMIFS(Datos!$F:$F,Datos!$A:$A,$B8,Datos!$B:$B,W$3)</f>
        <v>0</v>
      </c>
      <c r="X8" s="16">
        <f>SUMIFS(Datos!$F:$F,Datos!$A:$A,$B8,Datos!$B:$B,X$3)</f>
        <v>0</v>
      </c>
      <c r="Y8" s="16">
        <f>SUMIFS(Datos!$F:$F,Datos!$A:$A,$B8,Datos!$B:$B,Y$3)</f>
        <v>0</v>
      </c>
      <c r="Z8" s="16">
        <f>SUMIFS(Datos!$F:$F,Datos!$A:$A,$B8,Datos!$B:$B,Z$3)</f>
        <v>0</v>
      </c>
      <c r="AA8" s="16">
        <f>SUMIFS(Datos!$F:$F,Datos!$A:$A,$B8,Datos!$B:$B,AA$3)</f>
        <v>0</v>
      </c>
      <c r="AB8" s="16">
        <f>SUMIFS(Datos!$F:$F,Datos!$A:$A,$B8,Datos!$B:$B,AB$3)</f>
        <v>0</v>
      </c>
      <c r="AC8" s="16">
        <f>SUMIFS(Datos!$F:$F,Datos!$A:$A,$B8,Datos!$B:$B,AC$3)</f>
        <v>0</v>
      </c>
      <c r="AD8" s="16">
        <f>SUMIFS(Datos!$F:$F,Datos!$A:$A,$B8,Datos!$B:$B,AD$3)</f>
        <v>0</v>
      </c>
      <c r="AE8" s="16">
        <f>SUMIFS(Datos!$F:$F,Datos!$A:$A,$B8,Datos!$B:$B,AE$3)</f>
        <v>0</v>
      </c>
      <c r="AF8" s="16">
        <f>SUMIFS(Datos!$F:$F,Datos!$A:$A,$B8,Datos!$B:$B,AF$3)</f>
        <v>0</v>
      </c>
      <c r="AG8" s="16">
        <f>SUMIFS(Datos!$F:$F,Datos!$A:$A,$B8,Datos!$B:$B,AG$3)</f>
        <v>0</v>
      </c>
      <c r="AH8" s="16">
        <f>SUMIFS(Datos!$F:$F,Datos!$A:$A,$B8,Datos!$B:$B,AH$3)</f>
        <v>0</v>
      </c>
      <c r="AI8" s="16">
        <f>SUMIFS(Datos!$F:$F,Datos!$A:$A,$B8,Datos!$B:$B,AI$3)</f>
        <v>0</v>
      </c>
      <c r="AJ8" s="16">
        <f>SUMIFS(Datos!$F:$F,Datos!$A:$A,$B8,Datos!$B:$B,AJ$3)</f>
        <v>0</v>
      </c>
      <c r="AK8" s="16">
        <f>SUMIFS(Datos!$F:$F,Datos!$A:$A,$B8,Datos!$B:$B,AK$3)</f>
        <v>0</v>
      </c>
      <c r="AL8" s="16">
        <f>SUMIFS(Datos!$F:$F,Datos!$A:$A,$B8,Datos!$B:$B,AL$3)</f>
        <v>0</v>
      </c>
      <c r="AM8" s="16">
        <f>SUMIFS(Datos!$F:$F,Datos!$A:$A,$B8,Datos!$B:$B,AM$3)</f>
        <v>0</v>
      </c>
      <c r="AN8" s="16">
        <f>SUMIFS(Datos!$F:$F,Datos!$A:$A,$B8,Datos!$B:$B,AN$3)</f>
        <v>0</v>
      </c>
      <c r="AO8" s="16">
        <f>SUMIFS(Datos!$F:$F,Datos!$A:$A,$B8,Datos!$B:$B,AO$3)</f>
        <v>0</v>
      </c>
      <c r="AP8" s="16">
        <f>SUMIFS(Datos!$F:$F,Datos!$A:$A,$B8,Datos!$B:$B,AP$3)</f>
        <v>0</v>
      </c>
      <c r="AQ8" s="16">
        <f>SUMIFS(Datos!$F:$F,Datos!$A:$A,$B8,Datos!$B:$B,AQ$3)</f>
        <v>0</v>
      </c>
      <c r="AR8" s="16">
        <f>SUMIFS(Datos!$F:$F,Datos!$A:$A,$B8,Datos!$B:$B,AR$3)</f>
        <v>0</v>
      </c>
      <c r="AS8" s="16">
        <f>SUMIFS(Datos!$F:$F,Datos!$A:$A,$B8,Datos!$B:$B,AS$3)</f>
        <v>0</v>
      </c>
      <c r="AT8" s="16">
        <f>SUMIFS(Datos!$F:$F,Datos!$A:$A,$B8,Datos!$B:$B,AT$3)</f>
        <v>0</v>
      </c>
      <c r="AU8" s="16">
        <f>SUMIFS(Datos!$F:$F,Datos!$A:$A,$B8,Datos!$B:$B,AU$3)</f>
        <v>0</v>
      </c>
      <c r="AV8" s="16">
        <f>SUMIFS(Datos!$F:$F,Datos!$A:$A,$B8,Datos!$B:$B,AV$3)</f>
        <v>0</v>
      </c>
      <c r="AW8" s="16">
        <f>SUMIFS(Datos!$F:$F,Datos!$A:$A,$B8,Datos!$B:$B,AW$3)</f>
        <v>0</v>
      </c>
      <c r="AX8" s="16">
        <f>SUMIFS(Datos!$F:$F,Datos!$A:$A,$B8,Datos!$B:$B,AX$3)</f>
        <v>0</v>
      </c>
      <c r="AY8" s="16">
        <f>SUMIFS(Datos!$F:$F,Datos!$A:$A,$B8,Datos!$B:$B,AY$3)</f>
        <v>0</v>
      </c>
      <c r="AZ8" s="16">
        <f>SUMIFS(Datos!$F:$F,Datos!$A:$A,$B8,Datos!$B:$B,AZ$3)</f>
        <v>0</v>
      </c>
      <c r="BA8" s="16">
        <f>SUMIFS(Datos!$F:$F,Datos!$A:$A,$B8,Datos!$B:$B,BA$3)</f>
        <v>0</v>
      </c>
      <c r="BB8" s="16">
        <f>SUMIFS(Datos!$F:$F,Datos!$A:$A,$B8,Datos!$B:$B,BB$3)</f>
        <v>0</v>
      </c>
      <c r="BC8" s="16">
        <f>SUMIFS(Datos!$F:$F,Datos!$A:$A,$B8,Datos!$B:$B,BC$3)</f>
        <v>0</v>
      </c>
      <c r="BD8" s="16">
        <f>SUMIFS(Datos!$F:$F,Datos!$A:$A,$B8,Datos!$B:$B,BD$3)</f>
        <v>0</v>
      </c>
      <c r="BE8" s="16">
        <f>SUMIFS(Datos!$F:$F,Datos!$A:$A,$B8,Datos!$B:$B,BE$3)</f>
        <v>0</v>
      </c>
      <c r="BF8" s="16">
        <f>SUMIFS(Datos!$F:$F,Datos!$A:$A,$B8,Datos!$B:$B,BF$3)</f>
        <v>0</v>
      </c>
      <c r="BG8" s="16">
        <f>SUMIFS(Datos!$F:$F,Datos!$A:$A,$B8,Datos!$B:$B,BG$3)</f>
        <v>0</v>
      </c>
      <c r="BH8" s="16">
        <f>SUMIFS(Datos!$F:$F,Datos!$A:$A,$B8,Datos!$B:$B,BH$3)</f>
        <v>0</v>
      </c>
      <c r="BI8" s="16">
        <f>SUMIFS(Datos!$F:$F,Datos!$A:$A,$B8,Datos!$B:$B,BI$3)</f>
        <v>0</v>
      </c>
      <c r="BJ8" s="16">
        <f>SUMIFS(Datos!$F:$F,Datos!$A:$A,$B8,Datos!$B:$B,BJ$3)</f>
        <v>0</v>
      </c>
      <c r="BK8" s="16">
        <f>SUMIFS(Datos!$F:$F,Datos!$A:$A,$B8,Datos!$B:$B,BK$3)</f>
        <v>0</v>
      </c>
      <c r="BL8" s="16">
        <f>SUMIFS(Datos!$F:$F,Datos!$A:$A,$B8,Datos!$B:$B,BL$3)</f>
        <v>0</v>
      </c>
      <c r="BM8" s="16">
        <f>SUMIFS(Datos!$F:$F,Datos!$A:$A,$B8,Datos!$B:$B,BM$3)</f>
        <v>0</v>
      </c>
      <c r="BN8" s="16">
        <f>SUMIFS(Datos!$F:$F,Datos!$A:$A,$B8,Datos!$B:$B,BN$3)</f>
        <v>0</v>
      </c>
      <c r="BO8" s="16">
        <f>SUMIFS(Datos!$F:$F,Datos!$A:$A,$B8,Datos!$B:$B,BO$3)</f>
        <v>0</v>
      </c>
      <c r="BP8" s="16">
        <f>SUMIFS(Datos!$F:$F,Datos!$A:$A,$B8,Datos!$B:$B,BP$3)</f>
        <v>0</v>
      </c>
      <c r="BQ8" s="16">
        <f>SUMIFS(Datos!$F:$F,Datos!$A:$A,$B8,Datos!$B:$B,BQ$3)</f>
        <v>0</v>
      </c>
      <c r="BR8" s="16">
        <f>SUMIFS(Datos!$F:$F,Datos!$A:$A,$B8,Datos!$B:$B,BR$3)</f>
        <v>0</v>
      </c>
      <c r="BS8" s="16">
        <f>SUMIFS(Datos!$F:$F,Datos!$A:$A,$B8,Datos!$B:$B,BS$3)</f>
        <v>0</v>
      </c>
      <c r="BT8" s="16">
        <f>SUMIFS(Datos!$F:$F,Datos!$A:$A,$B8,Datos!$B:$B,BT$3)</f>
        <v>0</v>
      </c>
      <c r="BU8" s="16">
        <f>SUMIFS(Datos!$F:$F,Datos!$A:$A,$B8,Datos!$B:$B,BU$3)</f>
        <v>0</v>
      </c>
      <c r="BV8" s="16">
        <f>SUMIFS(Datos!$F:$F,Datos!$A:$A,$B8,Datos!$B:$B,BV$3)</f>
        <v>0</v>
      </c>
      <c r="BW8" s="16">
        <f>SUMIFS(Datos!$F:$F,Datos!$A:$A,$B8,Datos!$B:$B,BW$3)</f>
        <v>0</v>
      </c>
      <c r="BX8" s="16">
        <f>SUMIFS(Datos!$F:$F,Datos!$A:$A,$B8,Datos!$B:$B,BX$3)</f>
        <v>0</v>
      </c>
      <c r="BY8" s="16">
        <f>SUMIFS(Datos!$F:$F,Datos!$A:$A,$B8,Datos!$B:$B,BY$3)</f>
        <v>0</v>
      </c>
      <c r="BZ8" s="16">
        <f>SUMIFS(Datos!$F:$F,Datos!$A:$A,$B8,Datos!$B:$B,BZ$3)</f>
        <v>0</v>
      </c>
      <c r="CA8" s="16">
        <f>SUMIFS(Datos!$F:$F,Datos!$A:$A,$B8,Datos!$B:$B,CA$3)</f>
        <v>0</v>
      </c>
      <c r="CB8" s="16">
        <f>SUMIFS(Datos!$F:$F,Datos!$A:$A,$B8,Datos!$B:$B,CB$3)</f>
        <v>0</v>
      </c>
      <c r="CC8" s="16">
        <f>SUMIFS(Datos!$F:$F,Datos!$A:$A,$B8,Datos!$B:$B,CC$3)</f>
        <v>0</v>
      </c>
      <c r="CD8" s="16">
        <f>SUMIFS(Datos!$F:$F,Datos!$A:$A,$B8,Datos!$B:$B,CD$3)</f>
        <v>0</v>
      </c>
      <c r="CE8" s="16">
        <f>SUMIFS(Datos!$F:$F,Datos!$A:$A,$B8,Datos!$B:$B,CE$3)</f>
        <v>0</v>
      </c>
      <c r="CF8" s="16">
        <f>SUMIFS(Datos!$F:$F,Datos!$A:$A,$B8,Datos!$B:$B,CF$3)</f>
        <v>0</v>
      </c>
      <c r="CG8" s="16">
        <f>SUMIFS(Datos!$F:$F,Datos!$A:$A,$B8,Datos!$B:$B,CG$3)</f>
        <v>0</v>
      </c>
      <c r="CH8" s="16">
        <f>SUMIFS(Datos!$F:$F,Datos!$A:$A,$B8,Datos!$B:$B,CH$3)</f>
        <v>0</v>
      </c>
      <c r="CI8" s="16">
        <f>SUMIFS(Datos!$F:$F,Datos!$A:$A,$B8,Datos!$B:$B,CI$3)</f>
        <v>0</v>
      </c>
      <c r="CJ8" s="16">
        <f>SUMIFS(Datos!$F:$F,Datos!$A:$A,$B8,Datos!$B:$B,CJ$3)</f>
        <v>0</v>
      </c>
      <c r="CK8" s="16">
        <f>SUMIFS(Datos!$F:$F,Datos!$A:$A,$B8,Datos!$B:$B,CK$3)</f>
        <v>0</v>
      </c>
      <c r="CL8" s="16">
        <f>SUMIFS(Datos!$F:$F,Datos!$A:$A,$B8,Datos!$B:$B,CL$3)</f>
        <v>0</v>
      </c>
      <c r="CM8" s="16">
        <f>SUMIFS(Datos!$F:$F,Datos!$A:$A,$B8,Datos!$B:$B,CM$3)</f>
        <v>0</v>
      </c>
      <c r="CN8" s="16">
        <f>SUMIFS(Datos!$F:$F,Datos!$A:$A,$B8,Datos!$B:$B,CN$3)</f>
        <v>0</v>
      </c>
      <c r="CO8" s="16">
        <f>SUMIFS(Datos!$F:$F,Datos!$A:$A,$B8,Datos!$B:$B,CO$3)</f>
        <v>0</v>
      </c>
      <c r="CP8" s="16">
        <f>SUMIFS(Datos!$F:$F,Datos!$A:$A,$B8,Datos!$B:$B,CP$3)</f>
        <v>0</v>
      </c>
      <c r="CQ8" s="16">
        <f>SUMIFS(Datos!$F:$F,Datos!$A:$A,$B8,Datos!$B:$B,CQ$3)</f>
        <v>0</v>
      </c>
      <c r="CR8" s="16">
        <f>SUMIFS(Datos!$F:$F,Datos!$A:$A,$B8,Datos!$B:$B,CR$3)</f>
        <v>0</v>
      </c>
      <c r="CS8" s="16">
        <f>SUMIFS(Datos!$F:$F,Datos!$A:$A,$B8,Datos!$B:$B,CS$3)</f>
        <v>0</v>
      </c>
      <c r="CT8" s="16">
        <f>SUMIFS(Datos!$F:$F,Datos!$A:$A,$B8,Datos!$B:$B,CT$3)</f>
        <v>0</v>
      </c>
      <c r="CU8" s="16">
        <f>SUMIFS(Datos!$F:$F,Datos!$A:$A,$B8,Datos!$B:$B,CU$3)</f>
        <v>0</v>
      </c>
      <c r="CV8" s="16">
        <f>SUMIFS(Datos!$F:$F,Datos!$A:$A,$B8,Datos!$B:$B,CV$3)</f>
        <v>0</v>
      </c>
      <c r="CW8" s="16">
        <f>SUMIFS(Datos!$F:$F,Datos!$A:$A,$B8,Datos!$B:$B,CW$3)</f>
        <v>0</v>
      </c>
      <c r="CX8" s="16">
        <f>SUMIFS(Datos!$F:$F,Datos!$A:$A,$B8,Datos!$B:$B,CX$3)</f>
        <v>0</v>
      </c>
      <c r="CY8" s="16">
        <f>SUMIFS(Datos!$F:$F,Datos!$A:$A,$B8,Datos!$B:$B,CY$3)</f>
        <v>0</v>
      </c>
      <c r="CZ8" s="16">
        <f>SUMIFS(Datos!$F:$F,Datos!$A:$A,$B8,Datos!$B:$B,CZ$3)</f>
        <v>0</v>
      </c>
      <c r="DA8" s="16">
        <f>SUMIFS(Datos!$F:$F,Datos!$A:$A,$B8,Datos!$B:$B,DA$3)</f>
        <v>0</v>
      </c>
      <c r="DB8" s="16">
        <f>SUMIFS(Datos!$F:$F,Datos!$A:$A,$B8,Datos!$B:$B,DB$3)</f>
        <v>0</v>
      </c>
      <c r="DC8" s="16">
        <f>SUMIFS(Datos!$F:$F,Datos!$A:$A,$B8,Datos!$B:$B,DC$3)</f>
        <v>0</v>
      </c>
      <c r="DD8" s="16">
        <f>SUMIFS(Datos!$F:$F,Datos!$A:$A,$B8,Datos!$B:$B,DD$3)</f>
        <v>0</v>
      </c>
      <c r="DE8" s="16">
        <f>SUMIFS(Datos!$F:$F,Datos!$A:$A,$B8,Datos!$B:$B,DE$3)</f>
        <v>0</v>
      </c>
      <c r="DF8" s="16">
        <f>SUMIFS(Datos!$F:$F,Datos!$A:$A,$B8,Datos!$B:$B,DF$3)</f>
        <v>0</v>
      </c>
      <c r="DG8" s="16">
        <f>SUMIFS(Datos!$F:$F,Datos!$A:$A,$B8,Datos!$B:$B,DG$3)</f>
        <v>0</v>
      </c>
      <c r="DH8" s="16">
        <f>SUMIFS(Datos!$F:$F,Datos!$A:$A,$B8,Datos!$B:$B,DH$3)</f>
        <v>0</v>
      </c>
      <c r="DI8" s="16">
        <f>SUMIFS(Datos!$F:$F,Datos!$A:$A,$B8,Datos!$B:$B,DI$3)</f>
        <v>0</v>
      </c>
      <c r="DJ8" s="16">
        <f>SUMIFS(Datos!$F:$F,Datos!$A:$A,$B8,Datos!$B:$B,DJ$3)</f>
        <v>0</v>
      </c>
      <c r="DK8" s="16">
        <f>SUMIFS(Datos!$F:$F,Datos!$A:$A,$B8,Datos!$B:$B,DK$3)</f>
        <v>0</v>
      </c>
      <c r="DL8" s="16">
        <f>SUMIFS(Datos!$F:$F,Datos!$A:$A,$B8,Datos!$B:$B,DL$3)</f>
        <v>0</v>
      </c>
      <c r="DM8" s="16">
        <f>SUMIFS(Datos!$F:$F,Datos!$A:$A,$B8,Datos!$B:$B,DM$3)</f>
        <v>0</v>
      </c>
      <c r="DN8" s="16">
        <f>SUMIFS(Datos!$F:$F,Datos!$A:$A,$B8,Datos!$B:$B,DN$3)</f>
        <v>0</v>
      </c>
      <c r="DO8" s="16">
        <f>SUMIFS(Datos!$F:$F,Datos!$A:$A,$B8,Datos!$B:$B,DO$3)</f>
        <v>0</v>
      </c>
      <c r="DP8" s="16">
        <f>SUMIFS(Datos!$F:$F,Datos!$A:$A,$B8,Datos!$B:$B,DP$3)</f>
        <v>0</v>
      </c>
      <c r="DQ8" s="16">
        <f>SUMIFS(Datos!$F:$F,Datos!$A:$A,$B8,Datos!$B:$B,DQ$3)</f>
        <v>0</v>
      </c>
      <c r="DR8" s="16">
        <f>SUMIFS(Datos!$F:$F,Datos!$A:$A,$B8,Datos!$B:$B,DR$3)</f>
        <v>0</v>
      </c>
      <c r="DS8" s="16">
        <f>SUMIFS(Datos!$F:$F,Datos!$A:$A,$B8,Datos!$B:$B,DS$3)</f>
        <v>0</v>
      </c>
      <c r="DT8" s="16">
        <f>SUMIFS(Datos!$F:$F,Datos!$A:$A,$B8,Datos!$B:$B,DT$3)</f>
        <v>0</v>
      </c>
      <c r="DU8" s="16">
        <f>SUMIFS(Datos!$F:$F,Datos!$A:$A,$B8,Datos!$B:$B,DU$3)</f>
        <v>0</v>
      </c>
      <c r="DV8" s="16">
        <f>SUMIFS(Datos!$F:$F,Datos!$A:$A,$B8,Datos!$B:$B,DV$3)</f>
        <v>0</v>
      </c>
      <c r="DW8" s="16">
        <f>SUMIFS(Datos!$F:$F,Datos!$A:$A,$B8,Datos!$B:$B,DW$3)</f>
        <v>0</v>
      </c>
      <c r="DX8" s="16">
        <f>SUMIFS(Datos!$F:$F,Datos!$A:$A,$B8,Datos!$B:$B,DX$3)</f>
        <v>0</v>
      </c>
      <c r="DY8" s="16">
        <f>SUMIFS(Datos!$F:$F,Datos!$A:$A,$B8,Datos!$B:$B,DY$3)</f>
        <v>0</v>
      </c>
      <c r="DZ8" s="16">
        <f>SUMIFS(Datos!$F:$F,Datos!$A:$A,$B8,Datos!$B:$B,DZ$3)</f>
        <v>0</v>
      </c>
      <c r="EA8" s="16">
        <f>SUMIFS(Datos!$F:$F,Datos!$A:$A,$B8,Datos!$B:$B,EA$3)</f>
        <v>0</v>
      </c>
      <c r="EB8" s="16">
        <f>SUMIFS(Datos!$F:$F,Datos!$A:$A,$B8,Datos!$B:$B,EB$3)</f>
        <v>0</v>
      </c>
      <c r="EC8" s="16">
        <f>SUMIFS(Datos!$F:$F,Datos!$A:$A,$B8,Datos!$B:$B,EC$3)</f>
        <v>0</v>
      </c>
      <c r="ED8" s="16">
        <f>SUMIFS(Datos!$F:$F,Datos!$A:$A,$B8,Datos!$B:$B,ED$3)</f>
        <v>0</v>
      </c>
      <c r="EE8" s="16">
        <f>SUMIFS(Datos!$F:$F,Datos!$A:$A,$B8,Datos!$B:$B,EE$3)</f>
        <v>0</v>
      </c>
      <c r="EF8" s="16">
        <f>SUMIFS(Datos!$F:$F,Datos!$A:$A,$B8,Datos!$B:$B,EF$3)</f>
        <v>0</v>
      </c>
      <c r="EG8" s="16">
        <f>SUMIFS(Datos!$F:$F,Datos!$A:$A,$B8,Datos!$B:$B,EG$3)</f>
        <v>0</v>
      </c>
      <c r="EH8" s="16">
        <f>SUMIFS(Datos!$F:$F,Datos!$A:$A,$B8,Datos!$B:$B,EH$3)</f>
        <v>0</v>
      </c>
      <c r="EI8" s="16">
        <f>SUMIFS(Datos!$F:$F,Datos!$A:$A,$B8,Datos!$B:$B,EI$3)</f>
        <v>0</v>
      </c>
      <c r="EJ8" s="16">
        <f>SUMIFS(Datos!$F:$F,Datos!$A:$A,$B8,Datos!$B:$B,EJ$3)</f>
        <v>0</v>
      </c>
      <c r="EK8" s="16">
        <f>SUMIFS(Datos!$F:$F,Datos!$A:$A,$B8,Datos!$B:$B,EK$3)</f>
        <v>0</v>
      </c>
      <c r="EL8" s="16">
        <f>SUMIFS(Datos!$F:$F,Datos!$A:$A,$B8,Datos!$B:$B,EL$3)</f>
        <v>0</v>
      </c>
      <c r="EM8" s="16">
        <f>SUMIFS(Datos!$F:$F,Datos!$A:$A,$B8,Datos!$B:$B,EM$3)</f>
        <v>0</v>
      </c>
      <c r="EN8" s="16">
        <f>SUMIFS(Datos!$F:$F,Datos!$A:$A,$B8,Datos!$B:$B,EN$3)</f>
        <v>0</v>
      </c>
      <c r="EO8" s="16">
        <f>SUMIFS(Datos!$F:$F,Datos!$A:$A,$B8,Datos!$B:$B,EO$3)</f>
        <v>0</v>
      </c>
      <c r="EP8" s="16">
        <f>SUMIFS(Datos!$F:$F,Datos!$A:$A,$B8,Datos!$B:$B,EP$3)</f>
        <v>0</v>
      </c>
      <c r="EQ8" s="16">
        <f>SUMIFS(Datos!$F:$F,Datos!$A:$A,$B8,Datos!$B:$B,EQ$3)</f>
        <v>0</v>
      </c>
      <c r="ER8" s="16">
        <f>SUMIFS(Datos!$F:$F,Datos!$A:$A,$B8,Datos!$B:$B,ER$3)</f>
        <v>0</v>
      </c>
      <c r="ES8" s="16">
        <f>SUMIFS(Datos!$F:$F,Datos!$A:$A,$B8,Datos!$B:$B,ES$3)</f>
        <v>0</v>
      </c>
      <c r="ET8" s="16">
        <f>SUMIFS(Datos!$F:$F,Datos!$A:$A,$B8,Datos!$B:$B,ET$3)</f>
        <v>0</v>
      </c>
      <c r="EU8" s="16">
        <f>SUMIFS(Datos!$F:$F,Datos!$A:$A,$B8,Datos!$B:$B,EU$3)</f>
        <v>0</v>
      </c>
      <c r="EV8" s="16">
        <f>SUMIFS(Datos!$F:$F,Datos!$A:$A,$B8,Datos!$B:$B,EV$3)</f>
        <v>0</v>
      </c>
      <c r="EW8" s="16">
        <f>SUMIFS(Datos!$F:$F,Datos!$A:$A,$B8,Datos!$B:$B,EW$3)</f>
        <v>0</v>
      </c>
      <c r="EX8" s="16">
        <f>SUMIFS(Datos!$F:$F,Datos!$A:$A,$B8,Datos!$B:$B,EX$3)</f>
        <v>0</v>
      </c>
      <c r="EY8" s="16">
        <f>SUMIFS(Datos!$F:$F,Datos!$A:$A,$B8,Datos!$B:$B,EY$3)</f>
        <v>0</v>
      </c>
      <c r="EZ8" s="16">
        <f>SUMIFS(Datos!$F:$F,Datos!$A:$A,$B8,Datos!$B:$B,EZ$3)</f>
        <v>0</v>
      </c>
      <c r="FA8" s="16">
        <f>SUMIFS(Datos!$F:$F,Datos!$A:$A,$B8,Datos!$B:$B,FA$3)</f>
        <v>0</v>
      </c>
      <c r="FB8" s="16">
        <f>SUMIFS(Datos!$F:$F,Datos!$A:$A,$B8,Datos!$B:$B,FB$3)</f>
        <v>0</v>
      </c>
      <c r="FC8" s="16">
        <f>SUMIFS(Datos!$F:$F,Datos!$A:$A,$B8,Datos!$B:$B,FC$3)</f>
        <v>0</v>
      </c>
      <c r="FD8" s="16">
        <f>SUMIFS(Datos!$F:$F,Datos!$A:$A,$B8,Datos!$B:$B,FD$3)</f>
        <v>0</v>
      </c>
      <c r="FE8" s="16">
        <f>SUMIFS(Datos!$F:$F,Datos!$A:$A,$B8,Datos!$B:$B,FE$3)</f>
        <v>0</v>
      </c>
      <c r="FF8" s="16">
        <f>SUMIFS(Datos!$F:$F,Datos!$A:$A,$B8,Datos!$B:$B,FF$3)</f>
        <v>0</v>
      </c>
      <c r="FG8" s="16">
        <f>SUMIFS(Datos!$F:$F,Datos!$A:$A,$B8,Datos!$B:$B,FG$3)</f>
        <v>0</v>
      </c>
      <c r="FH8" s="16">
        <f>SUMIFS(Datos!$F:$F,Datos!$A:$A,$B8,Datos!$B:$B,FH$3)</f>
        <v>0</v>
      </c>
      <c r="FI8" s="16">
        <f>SUMIFS(Datos!$F:$F,Datos!$A:$A,$B8,Datos!$B:$B,FI$3)</f>
        <v>0</v>
      </c>
      <c r="FJ8" s="16">
        <f>SUMIFS(Datos!$F:$F,Datos!$A:$A,$B8,Datos!$B:$B,FJ$3)</f>
        <v>0</v>
      </c>
      <c r="FK8" s="16">
        <f>SUMIFS(Datos!$F:$F,Datos!$A:$A,$B8,Datos!$B:$B,FK$3)</f>
        <v>0</v>
      </c>
      <c r="FL8" s="16">
        <f>SUMIFS(Datos!$F:$F,Datos!$A:$A,$B8,Datos!$B:$B,FL$3)</f>
        <v>0</v>
      </c>
      <c r="FM8" s="16">
        <f>SUMIFS(Datos!$F:$F,Datos!$A:$A,$B8,Datos!$B:$B,FM$3)</f>
        <v>0</v>
      </c>
      <c r="FN8" s="16">
        <f>SUMIFS(Datos!$F:$F,Datos!$A:$A,$B8,Datos!$B:$B,FN$3)</f>
        <v>0</v>
      </c>
      <c r="FO8" s="16">
        <f>SUMIFS(Datos!$F:$F,Datos!$A:$A,$B8,Datos!$B:$B,FO$3)</f>
        <v>0</v>
      </c>
      <c r="FP8" s="16">
        <f>SUMIFS(Datos!$F:$F,Datos!$A:$A,$B8,Datos!$B:$B,FP$3)</f>
        <v>0</v>
      </c>
      <c r="FQ8" s="16">
        <f>SUMIFS(Datos!$F:$F,Datos!$A:$A,$B8,Datos!$B:$B,FQ$3)</f>
        <v>0</v>
      </c>
      <c r="FR8" s="16">
        <f>SUMIFS(Datos!$F:$F,Datos!$A:$A,$B8,Datos!$B:$B,FR$3)</f>
        <v>0</v>
      </c>
      <c r="FS8" s="16">
        <f>SUMIFS(Datos!$F:$F,Datos!$A:$A,$B8,Datos!$B:$B,FS$3)</f>
        <v>0</v>
      </c>
      <c r="FT8" s="16">
        <f>SUMIFS(Datos!$F:$F,Datos!$A:$A,$B8,Datos!$B:$B,FT$3)</f>
        <v>0</v>
      </c>
      <c r="FU8" s="16">
        <f>SUMIFS(Datos!$F:$F,Datos!$A:$A,$B8,Datos!$B:$B,FU$3)</f>
        <v>0</v>
      </c>
      <c r="FV8" s="16">
        <f>SUMIFS(Datos!$F:$F,Datos!$A:$A,$B8,Datos!$B:$B,FV$3)</f>
        <v>0</v>
      </c>
      <c r="FW8" s="16">
        <f>SUMIFS(Datos!$F:$F,Datos!$A:$A,$B8,Datos!$B:$B,FW$3)</f>
        <v>0</v>
      </c>
      <c r="FX8" s="16">
        <f>SUMIFS(Datos!$F:$F,Datos!$A:$A,$B8,Datos!$B:$B,FX$3)</f>
        <v>0</v>
      </c>
      <c r="FY8" s="16">
        <f>SUMIFS(Datos!$F:$F,Datos!$A:$A,$B8,Datos!$B:$B,FY$3)</f>
        <v>0</v>
      </c>
      <c r="FZ8" s="16">
        <f>SUMIFS(Datos!$F:$F,Datos!$A:$A,$B8,Datos!$B:$B,FZ$3)</f>
        <v>0</v>
      </c>
      <c r="GA8" s="16">
        <f>SUMIFS(Datos!$F:$F,Datos!$A:$A,$B8,Datos!$B:$B,GA$3)</f>
        <v>0</v>
      </c>
      <c r="GB8" s="16">
        <f>SUMIFS(Datos!$F:$F,Datos!$A:$A,$B8,Datos!$B:$B,GB$3)</f>
        <v>0</v>
      </c>
      <c r="GC8" s="16">
        <f>SUMIFS(Datos!$F:$F,Datos!$A:$A,$B8,Datos!$B:$B,GC$3)</f>
        <v>0</v>
      </c>
      <c r="GD8" s="16">
        <f>SUMIFS(Datos!$F:$F,Datos!$A:$A,$B8,Datos!$B:$B,GD$3)</f>
        <v>0</v>
      </c>
      <c r="GE8" s="16">
        <f>SUMIFS(Datos!$F:$F,Datos!$A:$A,$B8,Datos!$B:$B,GE$3)</f>
        <v>0</v>
      </c>
      <c r="GF8" s="16">
        <f>SUMIFS(Datos!$F:$F,Datos!$A:$A,$B8,Datos!$B:$B,GF$3)</f>
        <v>0</v>
      </c>
      <c r="GG8" s="16">
        <f>SUMIFS(Datos!$F:$F,Datos!$A:$A,$B8,Datos!$B:$B,GG$3)</f>
        <v>0</v>
      </c>
      <c r="GH8" s="16">
        <f>SUMIFS(Datos!$F:$F,Datos!$A:$A,$B8,Datos!$B:$B,GH$3)</f>
        <v>0</v>
      </c>
      <c r="GI8" s="16">
        <f>SUMIFS(Datos!$F:$F,Datos!$A:$A,$B8,Datos!$B:$B,GI$3)</f>
        <v>0</v>
      </c>
      <c r="GJ8" s="16">
        <f>SUMIFS(Datos!$F:$F,Datos!$A:$A,$B8,Datos!$B:$B,GJ$3)</f>
        <v>0</v>
      </c>
      <c r="GK8" s="16">
        <f>SUMIFS(Datos!$F:$F,Datos!$A:$A,$B8,Datos!$B:$B,GK$3)</f>
        <v>0</v>
      </c>
      <c r="GL8" s="16">
        <f>SUMIFS(Datos!$F:$F,Datos!$A:$A,$B8,Datos!$B:$B,GL$3)</f>
        <v>0</v>
      </c>
      <c r="GM8" s="16">
        <f>SUMIFS(Datos!$F:$F,Datos!$A:$A,$B8,Datos!$B:$B,GM$3)</f>
        <v>0</v>
      </c>
      <c r="GN8" s="16">
        <f>SUMIFS(Datos!$F:$F,Datos!$A:$A,$B8,Datos!$B:$B,GN$3)</f>
        <v>0</v>
      </c>
      <c r="GO8" s="16">
        <f>SUMIFS(Datos!$F:$F,Datos!$A:$A,$B8,Datos!$B:$B,GO$3)</f>
        <v>0</v>
      </c>
      <c r="GP8" s="16">
        <f>SUMIFS(Datos!$F:$F,Datos!$A:$A,$B8,Datos!$B:$B,GP$3)</f>
        <v>0</v>
      </c>
      <c r="GQ8" s="16">
        <f>SUMIFS(Datos!$F:$F,Datos!$A:$A,$B8,Datos!$B:$B,GQ$3)</f>
        <v>0</v>
      </c>
      <c r="GR8" s="16">
        <f>SUMIFS(Datos!$F:$F,Datos!$A:$A,$B8,Datos!$B:$B,GR$3)</f>
        <v>0</v>
      </c>
      <c r="GS8" s="16">
        <f>SUMIFS(Datos!$F:$F,Datos!$A:$A,$B8,Datos!$B:$B,GS$3)</f>
        <v>0</v>
      </c>
      <c r="GT8" s="16">
        <f>SUMIFS(Datos!$F:$F,Datos!$A:$A,$B8,Datos!$B:$B,GT$3)</f>
        <v>0</v>
      </c>
      <c r="GU8" s="16">
        <f>SUMIFS(Datos!$F:$F,Datos!$A:$A,$B8,Datos!$B:$B,GU$3)</f>
        <v>0</v>
      </c>
      <c r="GV8" s="16">
        <f>SUMIFS(Datos!$F:$F,Datos!$A:$A,$B8,Datos!$B:$B,GV$3)</f>
        <v>0</v>
      </c>
      <c r="GW8" s="16">
        <f>SUMIFS(Datos!$F:$F,Datos!$A:$A,$B8,Datos!$B:$B,GW$3)</f>
        <v>0</v>
      </c>
      <c r="GX8" s="16">
        <f>SUMIFS(Datos!$F:$F,Datos!$A:$A,$B8,Datos!$B:$B,GX$3)</f>
        <v>0</v>
      </c>
      <c r="GY8" s="16">
        <f>SUMIFS(Datos!$F:$F,Datos!$A:$A,$B8,Datos!$B:$B,GY$3)</f>
        <v>0</v>
      </c>
      <c r="GZ8" s="16">
        <f>SUMIFS(Datos!$F:$F,Datos!$A:$A,$B8,Datos!$B:$B,GZ$3)</f>
        <v>0</v>
      </c>
      <c r="HA8" s="16">
        <f>SUMIFS(Datos!$F:$F,Datos!$A:$A,$B8,Datos!$B:$B,HA$3)</f>
        <v>0</v>
      </c>
      <c r="HB8" s="16">
        <f>SUMIFS(Datos!$F:$F,Datos!$A:$A,$B8,Datos!$B:$B,HB$3)</f>
        <v>0</v>
      </c>
      <c r="HC8" s="16">
        <f>SUMIFS(Datos!$F:$F,Datos!$A:$A,$B8,Datos!$B:$B,HC$3)</f>
        <v>0</v>
      </c>
      <c r="HD8" s="16">
        <f>SUMIFS(Datos!$F:$F,Datos!$A:$A,$B8,Datos!$B:$B,HD$3)</f>
        <v>0</v>
      </c>
      <c r="HE8" s="16">
        <f>SUMIFS(Datos!$F:$F,Datos!$A:$A,$B8,Datos!$B:$B,HE$3)</f>
        <v>0</v>
      </c>
      <c r="HF8" s="16">
        <f>SUMIFS(Datos!$F:$F,Datos!$A:$A,$B8,Datos!$B:$B,HF$3)</f>
        <v>0</v>
      </c>
      <c r="HG8" s="16">
        <f>SUMIFS(Datos!$F:$F,Datos!$A:$A,$B8,Datos!$B:$B,HG$3)</f>
        <v>0</v>
      </c>
      <c r="HH8" s="16">
        <f>SUMIFS(Datos!$F:$F,Datos!$A:$A,$B8,Datos!$B:$B,HH$3)</f>
        <v>0</v>
      </c>
      <c r="HI8" s="16">
        <f>SUMIFS(Datos!$F:$F,Datos!$A:$A,$B8,Datos!$B:$B,HI$3)</f>
        <v>0</v>
      </c>
      <c r="HJ8" s="16">
        <f>SUMIFS(Datos!$F:$F,Datos!$A:$A,$B8,Datos!$B:$B,HJ$3)</f>
        <v>0</v>
      </c>
      <c r="HK8" s="16">
        <f>SUMIFS(Datos!$F:$F,Datos!$A:$A,$B8,Datos!$B:$B,HK$3)</f>
        <v>0</v>
      </c>
      <c r="HL8" s="16">
        <f>SUMIFS(Datos!$F:$F,Datos!$A:$A,$B8,Datos!$B:$B,HL$3)</f>
        <v>0</v>
      </c>
      <c r="HM8" s="16">
        <f>SUMIFS(Datos!$F:$F,Datos!$A:$A,$B8,Datos!$B:$B,HM$3)</f>
        <v>0</v>
      </c>
      <c r="HN8" s="16">
        <f>SUMIFS(Datos!$F:$F,Datos!$A:$A,$B8,Datos!$B:$B,HN$3)</f>
        <v>0</v>
      </c>
      <c r="HO8" s="16">
        <f>SUMIFS(Datos!$F:$F,Datos!$A:$A,$B8,Datos!$B:$B,HO$3)</f>
        <v>0</v>
      </c>
      <c r="HP8" s="16">
        <f>SUMIFS(Datos!$F:$F,Datos!$A:$A,$B8,Datos!$B:$B,HP$3)</f>
        <v>0</v>
      </c>
      <c r="HQ8" s="16">
        <f>SUMIFS(Datos!$F:$F,Datos!$A:$A,$B8,Datos!$B:$B,HQ$3)</f>
        <v>0</v>
      </c>
      <c r="HR8" s="16">
        <f>SUMIFS(Datos!$F:$F,Datos!$A:$A,$B8,Datos!$B:$B,HR$3)</f>
        <v>0</v>
      </c>
      <c r="HS8" s="16">
        <f>SUMIFS(Datos!$F:$F,Datos!$A:$A,$B8,Datos!$B:$B,HS$3)</f>
        <v>0</v>
      </c>
      <c r="HT8" s="16">
        <f>SUMIFS(Datos!$F:$F,Datos!$A:$A,$B8,Datos!$B:$B,HT$3)</f>
        <v>0</v>
      </c>
      <c r="HU8" s="16">
        <f>SUMIFS(Datos!$F:$F,Datos!$A:$A,$B8,Datos!$B:$B,HU$3)</f>
        <v>0</v>
      </c>
      <c r="HV8" s="16">
        <f>SUMIFS(Datos!$F:$F,Datos!$A:$A,$B8,Datos!$B:$B,HV$3)</f>
        <v>0</v>
      </c>
      <c r="HW8" s="16">
        <f>SUMIFS(Datos!$F:$F,Datos!$A:$A,$B8,Datos!$B:$B,HW$3)</f>
        <v>0</v>
      </c>
      <c r="HX8" s="16">
        <f>SUMIFS(Datos!$F:$F,Datos!$A:$A,$B8,Datos!$B:$B,HX$3)</f>
        <v>0</v>
      </c>
      <c r="HY8" s="16">
        <f>SUMIFS(Datos!$F:$F,Datos!$A:$A,$B8,Datos!$B:$B,HY$3)</f>
        <v>0</v>
      </c>
      <c r="HZ8" s="16">
        <f>SUMIFS(Datos!$F:$F,Datos!$A:$A,$B8,Datos!$B:$B,HZ$3)</f>
        <v>0</v>
      </c>
      <c r="IA8" s="16">
        <f>SUMIFS(Datos!$F:$F,Datos!$A:$A,$B8,Datos!$B:$B,IA$3)</f>
        <v>0</v>
      </c>
      <c r="IB8" s="16">
        <f>SUMIFS(Datos!$F:$F,Datos!$A:$A,$B8,Datos!$B:$B,IB$3)</f>
        <v>0</v>
      </c>
      <c r="IC8" s="16">
        <f>SUMIFS(Datos!$F:$F,Datos!$A:$A,$B8,Datos!$B:$B,IC$3)</f>
        <v>0</v>
      </c>
      <c r="ID8" s="16">
        <f>SUMIFS(Datos!$F:$F,Datos!$A:$A,$B8,Datos!$B:$B,ID$3)</f>
        <v>0</v>
      </c>
      <c r="IE8" s="16">
        <f>SUMIFS(Datos!$F:$F,Datos!$A:$A,$B8,Datos!$B:$B,IE$3)</f>
        <v>0</v>
      </c>
      <c r="IF8" s="16">
        <f>SUMIFS(Datos!$F:$F,Datos!$A:$A,$B8,Datos!$B:$B,IF$3)</f>
        <v>0</v>
      </c>
      <c r="IG8" s="16">
        <f>SUMIFS(Datos!$F:$F,Datos!$A:$A,$B8,Datos!$B:$B,IG$3)</f>
        <v>0</v>
      </c>
      <c r="IH8" s="16">
        <f>SUMIFS(Datos!$F:$F,Datos!$A:$A,$B8,Datos!$B:$B,IH$3)</f>
        <v>0</v>
      </c>
      <c r="II8" s="16">
        <f>SUMIFS(Datos!$F:$F,Datos!$A:$A,$B8,Datos!$B:$B,II$3)</f>
        <v>0</v>
      </c>
      <c r="IJ8" s="16">
        <f>SUMIFS(Datos!$F:$F,Datos!$A:$A,$B8,Datos!$B:$B,IJ$3)</f>
        <v>0</v>
      </c>
      <c r="IK8" s="16">
        <f>SUMIFS(Datos!$F:$F,Datos!$A:$A,$B8,Datos!$B:$B,IK$3)</f>
        <v>0</v>
      </c>
      <c r="IL8" s="16">
        <f>SUMIFS(Datos!$F:$F,Datos!$A:$A,$B8,Datos!$B:$B,IL$3)</f>
        <v>0</v>
      </c>
      <c r="IM8" s="16">
        <f>SUMIFS(Datos!$F:$F,Datos!$A:$A,$B8,Datos!$B:$B,IM$3)</f>
        <v>0</v>
      </c>
      <c r="IN8" s="16">
        <f>SUMIFS(Datos!$F:$F,Datos!$A:$A,$B8,Datos!$B:$B,IN$3)</f>
        <v>0</v>
      </c>
      <c r="IO8" s="16">
        <f>SUMIFS(Datos!$F:$F,Datos!$A:$A,$B8,Datos!$B:$B,IO$3)</f>
        <v>0</v>
      </c>
      <c r="IP8" s="16">
        <f>SUMIFS(Datos!$F:$F,Datos!$A:$A,$B8,Datos!$B:$B,IP$3)</f>
        <v>0</v>
      </c>
      <c r="IQ8" s="16">
        <f>SUMIFS(Datos!$F:$F,Datos!$A:$A,$B8,Datos!$B:$B,IQ$3)</f>
        <v>0</v>
      </c>
      <c r="IR8" s="16">
        <f>SUMIFS(Datos!$F:$F,Datos!$A:$A,$B8,Datos!$B:$B,IR$3)</f>
        <v>0</v>
      </c>
      <c r="IS8" s="16">
        <f>SUMIFS(Datos!$F:$F,Datos!$A:$A,$B8,Datos!$B:$B,IS$3)</f>
        <v>0</v>
      </c>
      <c r="IT8" s="16">
        <f>SUMIFS(Datos!$F:$F,Datos!$A:$A,$B8,Datos!$B:$B,IT$3)</f>
        <v>0</v>
      </c>
      <c r="IU8" s="16">
        <f>SUMIFS(Datos!$F:$F,Datos!$A:$A,$B8,Datos!$B:$B,IU$3)</f>
        <v>0</v>
      </c>
      <c r="IV8" s="16">
        <f>SUMIFS(Datos!$F:$F,Datos!$A:$A,$B8,Datos!$B:$B,IV$3)</f>
        <v>0</v>
      </c>
      <c r="IW8" s="16">
        <f>SUMIFS(Datos!$F:$F,Datos!$A:$A,$B8,Datos!$B:$B,IW$3)</f>
        <v>0</v>
      </c>
      <c r="IX8" s="16">
        <f>SUMIFS(Datos!$F:$F,Datos!$A:$A,$B8,Datos!$B:$B,IX$3)</f>
        <v>0</v>
      </c>
      <c r="IY8" s="16">
        <f>SUMIFS(Datos!$F:$F,Datos!$A:$A,$B8,Datos!$B:$B,IY$3)</f>
        <v>0</v>
      </c>
      <c r="IZ8" s="16">
        <f>SUMIFS(Datos!$F:$F,Datos!$A:$A,$B8,Datos!$B:$B,IZ$3)</f>
        <v>0</v>
      </c>
      <c r="JA8" s="16">
        <f>SUMIFS(Datos!$F:$F,Datos!$A:$A,$B8,Datos!$B:$B,JA$3)</f>
        <v>0</v>
      </c>
      <c r="JB8" s="16">
        <f>SUMIFS(Datos!$F:$F,Datos!$A:$A,$B8,Datos!$B:$B,JB$3)</f>
        <v>0</v>
      </c>
      <c r="JC8" s="16">
        <f>SUMIFS(Datos!$F:$F,Datos!$A:$A,$B8,Datos!$B:$B,JC$3)</f>
        <v>0</v>
      </c>
      <c r="JD8" s="16">
        <f>SUMIFS(Datos!$F:$F,Datos!$A:$A,$B8,Datos!$B:$B,JD$3)</f>
        <v>0</v>
      </c>
      <c r="JE8" s="16">
        <f>SUMIFS(Datos!$F:$F,Datos!$A:$A,$B8,Datos!$B:$B,JE$3)</f>
        <v>0</v>
      </c>
      <c r="JF8" s="16">
        <f>SUMIFS(Datos!$F:$F,Datos!$A:$A,$B8,Datos!$B:$B,JF$3)</f>
        <v>0</v>
      </c>
      <c r="JG8" s="16">
        <f>SUMIFS(Datos!$F:$F,Datos!$A:$A,$B8,Datos!$B:$B,JG$3)</f>
        <v>0</v>
      </c>
      <c r="JH8" s="16">
        <f>SUMIFS(Datos!$F:$F,Datos!$A:$A,$B8,Datos!$B:$B,JH$3)</f>
        <v>0</v>
      </c>
      <c r="JI8" s="16">
        <f>SUMIFS(Datos!$F:$F,Datos!$A:$A,$B8,Datos!$B:$B,JI$3)</f>
        <v>0</v>
      </c>
      <c r="JJ8" s="16">
        <f>SUMIFS(Datos!$F:$F,Datos!$A:$A,$B8,Datos!$B:$B,JJ$3)</f>
        <v>0</v>
      </c>
      <c r="JK8" s="16">
        <f>SUMIFS(Datos!$F:$F,Datos!$A:$A,$B8,Datos!$B:$B,JK$3)</f>
        <v>0</v>
      </c>
      <c r="JL8" s="16">
        <f>SUMIFS(Datos!$F:$F,Datos!$A:$A,$B8,Datos!$B:$B,JL$3)</f>
        <v>0</v>
      </c>
      <c r="JM8" s="16">
        <f>SUMIFS(Datos!$F:$F,Datos!$A:$A,$B8,Datos!$B:$B,JM$3)</f>
        <v>0</v>
      </c>
      <c r="JN8" s="16">
        <f>SUMIFS(Datos!$F:$F,Datos!$A:$A,$B8,Datos!$B:$B,JN$3)</f>
        <v>0</v>
      </c>
      <c r="JO8" s="16">
        <f>SUMIFS(Datos!$F:$F,Datos!$A:$A,$B8,Datos!$B:$B,JO$3)</f>
        <v>0</v>
      </c>
      <c r="JP8" s="16">
        <f>SUMIFS(Datos!$F:$F,Datos!$A:$A,$B8,Datos!$B:$B,JP$3)</f>
        <v>0</v>
      </c>
      <c r="JQ8" s="16">
        <f>SUMIFS(Datos!$F:$F,Datos!$A:$A,$B8,Datos!$B:$B,JQ$3)</f>
        <v>0</v>
      </c>
      <c r="JR8" s="16">
        <f>SUMIFS(Datos!$F:$F,Datos!$A:$A,$B8,Datos!$B:$B,JR$3)</f>
        <v>0</v>
      </c>
      <c r="JS8" s="16">
        <f>SUMIFS(Datos!$F:$F,Datos!$A:$A,$B8,Datos!$B:$B,JS$3)</f>
        <v>0</v>
      </c>
      <c r="JT8" s="16">
        <f>SUMIFS(Datos!$F:$F,Datos!$A:$A,$B8,Datos!$B:$B,JT$3)</f>
        <v>0</v>
      </c>
      <c r="JU8" s="16">
        <f>SUMIFS(Datos!$F:$F,Datos!$A:$A,$B8,Datos!$B:$B,JU$3)</f>
        <v>0</v>
      </c>
      <c r="JV8" s="16">
        <f>SUMIFS(Datos!$F:$F,Datos!$A:$A,$B8,Datos!$B:$B,JV$3)</f>
        <v>0</v>
      </c>
      <c r="JW8" s="16">
        <f>SUMIFS(Datos!$F:$F,Datos!$A:$A,$B8,Datos!$B:$B,JW$3)</f>
        <v>0</v>
      </c>
      <c r="JX8" s="16">
        <f>SUMIFS(Datos!$F:$F,Datos!$A:$A,$B8,Datos!$B:$B,JX$3)</f>
        <v>0</v>
      </c>
      <c r="JY8" s="16">
        <f>SUMIFS(Datos!$F:$F,Datos!$A:$A,$B8,Datos!$B:$B,JY$3)</f>
        <v>0</v>
      </c>
      <c r="JZ8" s="16">
        <f>SUMIFS(Datos!$F:$F,Datos!$A:$A,$B8,Datos!$B:$B,JZ$3)</f>
        <v>0</v>
      </c>
      <c r="KA8" s="16">
        <f>SUMIFS(Datos!$F:$F,Datos!$A:$A,$B8,Datos!$B:$B,KA$3)</f>
        <v>0</v>
      </c>
      <c r="KB8" s="16">
        <f>SUMIFS(Datos!$F:$F,Datos!$A:$A,$B8,Datos!$B:$B,KB$3)</f>
        <v>0</v>
      </c>
      <c r="KC8" s="16">
        <f>SUMIFS(Datos!$F:$F,Datos!$A:$A,$B8,Datos!$B:$B,KC$3)</f>
        <v>0</v>
      </c>
      <c r="KD8" s="16">
        <f>SUMIFS(Datos!$F:$F,Datos!$A:$A,$B8,Datos!$B:$B,KD$3)</f>
        <v>0</v>
      </c>
      <c r="KE8" s="16">
        <f>SUMIFS(Datos!$F:$F,Datos!$A:$A,$B8,Datos!$B:$B,KE$3)</f>
        <v>0</v>
      </c>
      <c r="KF8" s="16">
        <f>SUMIFS(Datos!$F:$F,Datos!$A:$A,$B8,Datos!$B:$B,KF$3)</f>
        <v>0</v>
      </c>
      <c r="KG8" s="16">
        <f>SUMIFS(Datos!$F:$F,Datos!$A:$A,$B8,Datos!$B:$B,KG$3)</f>
        <v>0</v>
      </c>
      <c r="KH8" s="16">
        <f>SUMIFS(Datos!$F:$F,Datos!$A:$A,$B8,Datos!$B:$B,KH$3)</f>
        <v>0</v>
      </c>
      <c r="KI8" s="16">
        <f>SUMIFS(Datos!$F:$F,Datos!$A:$A,$B8,Datos!$B:$B,KI$3)</f>
        <v>0</v>
      </c>
      <c r="KJ8" s="16">
        <f>SUMIFS(Datos!$F:$F,Datos!$A:$A,$B8,Datos!$B:$B,KJ$3)</f>
        <v>0</v>
      </c>
      <c r="KK8" s="16">
        <f>SUMIFS(Datos!$F:$F,Datos!$A:$A,$B8,Datos!$B:$B,KK$3)</f>
        <v>0</v>
      </c>
      <c r="KL8" s="16">
        <f>SUMIFS(Datos!$F:$F,Datos!$A:$A,$B8,Datos!$B:$B,KL$3)</f>
        <v>0</v>
      </c>
      <c r="KM8" s="16">
        <f>SUMIFS(Datos!$F:$F,Datos!$A:$A,$B8,Datos!$B:$B,KM$3)</f>
        <v>0</v>
      </c>
      <c r="KN8" s="16">
        <f>SUMIFS(Datos!$F:$F,Datos!$A:$A,$B8,Datos!$B:$B,KN$3)</f>
        <v>0</v>
      </c>
      <c r="KO8" s="16">
        <f>SUMIFS(Datos!$F:$F,Datos!$A:$A,$B8,Datos!$B:$B,KO$3)</f>
        <v>0</v>
      </c>
      <c r="KP8" s="16">
        <f>SUMIFS(Datos!$F:$F,Datos!$A:$A,$B8,Datos!$B:$B,KP$3)</f>
        <v>0</v>
      </c>
      <c r="KQ8" s="16">
        <f>SUMIFS(Datos!$F:$F,Datos!$A:$A,$B8,Datos!$B:$B,KQ$3)</f>
        <v>0</v>
      </c>
      <c r="KR8" s="16">
        <f>SUMIFS(Datos!$F:$F,Datos!$A:$A,$B8,Datos!$B:$B,KR$3)</f>
        <v>0</v>
      </c>
      <c r="KS8" s="16">
        <f>SUMIFS(Datos!$F:$F,Datos!$A:$A,$B8,Datos!$B:$B,KS$3)</f>
        <v>0</v>
      </c>
      <c r="KT8" s="16">
        <f>SUMIFS(Datos!$F:$F,Datos!$A:$A,$B8,Datos!$B:$B,KT$3)</f>
        <v>0</v>
      </c>
      <c r="KU8" s="16">
        <f>SUMIFS(Datos!$F:$F,Datos!$A:$A,$B8,Datos!$B:$B,KU$3)</f>
        <v>0</v>
      </c>
      <c r="KV8" s="16">
        <f>SUMIFS(Datos!$F:$F,Datos!$A:$A,$B8,Datos!$B:$B,KV$3)</f>
        <v>0</v>
      </c>
      <c r="KW8" s="16">
        <f>SUMIFS(Datos!$F:$F,Datos!$A:$A,$B8,Datos!$B:$B,KW$3)</f>
        <v>0</v>
      </c>
      <c r="KX8" s="16">
        <f>SUMIFS(Datos!$F:$F,Datos!$A:$A,$B8,Datos!$B:$B,KX$3)</f>
        <v>0</v>
      </c>
      <c r="KY8" s="16">
        <f>SUMIFS(Datos!$F:$F,Datos!$A:$A,$B8,Datos!$B:$B,KY$3)</f>
        <v>0</v>
      </c>
      <c r="KZ8" s="16">
        <f>SUMIFS(Datos!$F:$F,Datos!$A:$A,$B8,Datos!$B:$B,KZ$3)</f>
        <v>0</v>
      </c>
      <c r="LA8" s="16">
        <f>SUMIFS(Datos!$F:$F,Datos!$A:$A,$B8,Datos!$B:$B,LA$3)</f>
        <v>0</v>
      </c>
      <c r="LB8" s="16">
        <f>SUMIFS(Datos!$F:$F,Datos!$A:$A,$B8,Datos!$B:$B,LB$3)</f>
        <v>0</v>
      </c>
      <c r="LC8" s="16">
        <f>SUMIFS(Datos!$F:$F,Datos!$A:$A,$B8,Datos!$B:$B,LC$3)</f>
        <v>0</v>
      </c>
      <c r="LD8" s="16">
        <f>SUMIFS(Datos!$F:$F,Datos!$A:$A,$B8,Datos!$B:$B,LD$3)</f>
        <v>0</v>
      </c>
      <c r="LE8" s="16">
        <f>SUMIFS(Datos!$F:$F,Datos!$A:$A,$B8,Datos!$B:$B,LE$3)</f>
        <v>0</v>
      </c>
      <c r="LF8" s="16">
        <f>SUMIFS(Datos!$F:$F,Datos!$A:$A,$B8,Datos!$B:$B,LF$3)</f>
        <v>0</v>
      </c>
      <c r="LG8" s="16">
        <f>SUMIFS(Datos!$F:$F,Datos!$A:$A,$B8,Datos!$B:$B,LG$3)</f>
        <v>0</v>
      </c>
      <c r="LH8" s="16">
        <f>SUMIFS(Datos!$F:$F,Datos!$A:$A,$B8,Datos!$B:$B,LH$3)</f>
        <v>0</v>
      </c>
      <c r="LI8" s="16">
        <f>SUMIFS(Datos!$F:$F,Datos!$A:$A,$B8,Datos!$B:$B,LI$3)</f>
        <v>0</v>
      </c>
      <c r="LJ8" s="16">
        <f>SUMIFS(Datos!$F:$F,Datos!$A:$A,$B8,Datos!$B:$B,LJ$3)</f>
        <v>0</v>
      </c>
      <c r="LK8" s="16">
        <f>SUMIFS(Datos!$F:$F,Datos!$A:$A,$B8,Datos!$B:$B,LK$3)</f>
        <v>0</v>
      </c>
      <c r="LL8" s="16">
        <f>SUMIFS(Datos!$F:$F,Datos!$A:$A,$B8,Datos!$B:$B,LL$3)</f>
        <v>0</v>
      </c>
      <c r="LM8" s="16">
        <f>SUMIFS(Datos!$F:$F,Datos!$A:$A,$B8,Datos!$B:$B,LM$3)</f>
        <v>0</v>
      </c>
      <c r="LN8" s="16">
        <f>SUMIFS(Datos!$F:$F,Datos!$A:$A,$B8,Datos!$B:$B,LN$3)</f>
        <v>0</v>
      </c>
      <c r="LO8" s="16">
        <f>SUMIFS(Datos!$F:$F,Datos!$A:$A,$B8,Datos!$B:$B,LO$3)</f>
        <v>0</v>
      </c>
      <c r="LP8" s="16">
        <f>SUMIFS(Datos!$F:$F,Datos!$A:$A,$B8,Datos!$B:$B,LP$3)</f>
        <v>0</v>
      </c>
      <c r="LQ8" s="16">
        <f>SUMIFS(Datos!$F:$F,Datos!$A:$A,$B8,Datos!$B:$B,LQ$3)</f>
        <v>0</v>
      </c>
      <c r="LR8" s="16">
        <f>SUMIFS(Datos!$F:$F,Datos!$A:$A,$B8,Datos!$B:$B,LR$3)</f>
        <v>0</v>
      </c>
      <c r="LS8" s="16">
        <f>SUMIFS(Datos!$F:$F,Datos!$A:$A,$B8,Datos!$B:$B,LS$3)</f>
        <v>0</v>
      </c>
      <c r="LT8" s="16">
        <f>SUMIFS(Datos!$F:$F,Datos!$A:$A,$B8,Datos!$B:$B,LT$3)</f>
        <v>0</v>
      </c>
      <c r="LU8" s="16">
        <f>SUMIFS(Datos!$F:$F,Datos!$A:$A,$B8,Datos!$B:$B,LU$3)</f>
        <v>0</v>
      </c>
      <c r="LV8" s="16">
        <f>SUMIFS(Datos!$F:$F,Datos!$A:$A,$B8,Datos!$B:$B,LV$3)</f>
        <v>0</v>
      </c>
      <c r="LW8" s="16">
        <f>SUMIFS(Datos!$F:$F,Datos!$A:$A,$B8,Datos!$B:$B,LW$3)</f>
        <v>0</v>
      </c>
      <c r="LX8" s="16">
        <f>SUMIFS(Datos!$F:$F,Datos!$A:$A,$B8,Datos!$B:$B,LX$3)</f>
        <v>0</v>
      </c>
      <c r="LY8" s="16">
        <f>SUMIFS(Datos!$F:$F,Datos!$A:$A,$B8,Datos!$B:$B,LY$3)</f>
        <v>0</v>
      </c>
      <c r="LZ8" s="16">
        <f>SUMIFS(Datos!$F:$F,Datos!$A:$A,$B8,Datos!$B:$B,LZ$3)</f>
        <v>0</v>
      </c>
      <c r="MA8" s="16">
        <f>SUMIFS(Datos!$F:$F,Datos!$A:$A,$B8,Datos!$B:$B,MA$3)</f>
        <v>0</v>
      </c>
      <c r="MB8" s="16">
        <f>SUMIFS(Datos!$F:$F,Datos!$A:$A,$B8,Datos!$B:$B,MB$3)</f>
        <v>0</v>
      </c>
      <c r="MC8" s="16">
        <f>SUMIFS(Datos!$F:$F,Datos!$A:$A,$B8,Datos!$B:$B,MC$3)</f>
        <v>0</v>
      </c>
      <c r="MD8" s="16">
        <f>SUMIFS(Datos!$F:$F,Datos!$A:$A,$B8,Datos!$B:$B,MD$3)</f>
        <v>0</v>
      </c>
      <c r="ME8" s="16">
        <f>SUMIFS(Datos!$F:$F,Datos!$A:$A,$B8,Datos!$B:$B,ME$3)</f>
        <v>0</v>
      </c>
      <c r="MF8" s="16">
        <f>SUMIFS(Datos!$F:$F,Datos!$A:$A,$B8,Datos!$B:$B,MF$3)</f>
        <v>0</v>
      </c>
      <c r="MG8" s="16">
        <f>SUMIFS(Datos!$F:$F,Datos!$A:$A,$B8,Datos!$B:$B,MG$3)</f>
        <v>0</v>
      </c>
      <c r="MH8" s="16">
        <f>SUMIFS(Datos!$F:$F,Datos!$A:$A,$B8,Datos!$B:$B,MH$3)</f>
        <v>0</v>
      </c>
      <c r="MI8" s="16">
        <f>SUMIFS(Datos!$F:$F,Datos!$A:$A,$B8,Datos!$B:$B,MI$3)</f>
        <v>0</v>
      </c>
      <c r="MJ8" s="16">
        <f>SUMIFS(Datos!$F:$F,Datos!$A:$A,$B8,Datos!$B:$B,MJ$3)</f>
        <v>0</v>
      </c>
      <c r="MK8" s="16">
        <f>SUMIFS(Datos!$F:$F,Datos!$A:$A,$B8,Datos!$B:$B,MK$3)</f>
        <v>0</v>
      </c>
      <c r="ML8" s="16">
        <f>SUMIFS(Datos!$F:$F,Datos!$A:$A,$B8,Datos!$B:$B,ML$3)</f>
        <v>0</v>
      </c>
      <c r="MM8" s="16">
        <f>SUMIFS(Datos!$F:$F,Datos!$A:$A,$B8,Datos!$B:$B,MM$3)</f>
        <v>0</v>
      </c>
      <c r="MN8" s="16">
        <f>SUMIFS(Datos!$F:$F,Datos!$A:$A,$B8,Datos!$B:$B,MN$3)</f>
        <v>0</v>
      </c>
      <c r="MO8" s="16">
        <f>SUMIFS(Datos!$F:$F,Datos!$A:$A,$B8,Datos!$B:$B,MO$3)</f>
        <v>0</v>
      </c>
      <c r="MP8" s="16">
        <f>SUMIFS(Datos!$F:$F,Datos!$A:$A,$B8,Datos!$B:$B,MP$3)</f>
        <v>0</v>
      </c>
      <c r="MQ8" s="16">
        <f>SUMIFS(Datos!$F:$F,Datos!$A:$A,$B8,Datos!$B:$B,MQ$3)</f>
        <v>0</v>
      </c>
      <c r="MR8" s="16">
        <f>SUMIFS(Datos!$F:$F,Datos!$A:$A,$B8,Datos!$B:$B,MR$3)</f>
        <v>0</v>
      </c>
      <c r="MS8" s="16">
        <f>SUMIFS(Datos!$F:$F,Datos!$A:$A,$B8,Datos!$B:$B,MS$3)</f>
        <v>0</v>
      </c>
      <c r="MT8" s="16">
        <f>SUMIFS(Datos!$F:$F,Datos!$A:$A,$B8,Datos!$B:$B,MT$3)</f>
        <v>0</v>
      </c>
      <c r="MU8" s="16">
        <f>SUMIFS(Datos!$F:$F,Datos!$A:$A,$B8,Datos!$B:$B,MU$3)</f>
        <v>0</v>
      </c>
      <c r="MV8" s="16">
        <f>SUMIFS(Datos!$F:$F,Datos!$A:$A,$B8,Datos!$B:$B,MV$3)</f>
        <v>0</v>
      </c>
      <c r="MW8" s="16">
        <f>SUMIFS(Datos!$F:$F,Datos!$A:$A,$B8,Datos!$B:$B,MW$3)</f>
        <v>0</v>
      </c>
      <c r="MX8" s="16">
        <f>SUMIFS(Datos!$F:$F,Datos!$A:$A,$B8,Datos!$B:$B,MX$3)</f>
        <v>0</v>
      </c>
      <c r="MY8" s="16">
        <f>SUMIFS(Datos!$F:$F,Datos!$A:$A,$B8,Datos!$B:$B,MY$3)</f>
        <v>0</v>
      </c>
      <c r="MZ8" s="16">
        <f>SUMIFS(Datos!$F:$F,Datos!$A:$A,$B8,Datos!$B:$B,MZ$3)</f>
        <v>0</v>
      </c>
      <c r="NA8" s="16">
        <f>SUMIFS(Datos!$F:$F,Datos!$A:$A,$B8,Datos!$B:$B,NA$3)</f>
        <v>0</v>
      </c>
      <c r="NB8" s="16">
        <f>SUMIFS(Datos!$F:$F,Datos!$A:$A,$B8,Datos!$B:$B,NB$3)</f>
        <v>0</v>
      </c>
      <c r="NC8" s="16">
        <f>SUMIFS(Datos!$F:$F,Datos!$A:$A,$B8,Datos!$B:$B,NC$3)</f>
        <v>0</v>
      </c>
      <c r="ND8" s="16">
        <f>SUMIFS(Datos!$F:$F,Datos!$A:$A,$B8,Datos!$B:$B,ND$3)</f>
        <v>0</v>
      </c>
      <c r="NE8" s="16">
        <f>SUMIFS(Datos!$F:$F,Datos!$A:$A,$B8,Datos!$B:$B,NE$3)</f>
        <v>0</v>
      </c>
      <c r="NF8" s="16">
        <f>SUMIFS(Datos!$F:$F,Datos!$A:$A,$B8,Datos!$B:$B,NF$3)</f>
        <v>0</v>
      </c>
      <c r="NG8" s="16">
        <f>SUMIFS(Datos!$F:$F,Datos!$A:$A,$B8,Datos!$B:$B,NG$3)</f>
        <v>0</v>
      </c>
      <c r="NH8" s="16">
        <f>SUMIFS(Datos!$F:$F,Datos!$A:$A,$B8,Datos!$B:$B,NH$3)</f>
        <v>0</v>
      </c>
      <c r="NI8" s="16">
        <f>SUMIFS(Datos!$F:$F,Datos!$A:$A,$B8,Datos!$B:$B,NI$3)</f>
        <v>0</v>
      </c>
      <c r="NJ8" s="16">
        <f>SUMIFS(Datos!$F:$F,Datos!$A:$A,$B8,Datos!$B:$B,NJ$3)</f>
        <v>0</v>
      </c>
      <c r="NK8" s="16">
        <f>SUMIFS(Datos!$F:$F,Datos!$A:$A,$B8,Datos!$B:$B,NK$3)</f>
        <v>0</v>
      </c>
      <c r="NL8" s="16">
        <f>SUMIFS(Datos!$F:$F,Datos!$A:$A,$B8,Datos!$B:$B,NL$3)</f>
        <v>0</v>
      </c>
      <c r="NM8" s="16">
        <f>SUMIFS(Datos!$F:$F,Datos!$A:$A,$B8,Datos!$B:$B,NM$3)</f>
        <v>0</v>
      </c>
      <c r="NN8" s="16">
        <f>SUMIFS(Datos!$F:$F,Datos!$A:$A,$B8,Datos!$B:$B,NN$3)</f>
        <v>0</v>
      </c>
      <c r="NO8" s="16">
        <f>SUMIFS(Datos!$F:$F,Datos!$A:$A,$B8,Datos!$B:$B,NO$3)</f>
        <v>0</v>
      </c>
      <c r="NP8" s="16">
        <f>SUMIFS(Datos!$F:$F,Datos!$A:$A,$B8,Datos!$B:$B,NP$3)</f>
        <v>0</v>
      </c>
      <c r="NQ8" s="16">
        <f>SUMIFS(Datos!$F:$F,Datos!$A:$A,$B8,Datos!$B:$B,NQ$3)</f>
        <v>0</v>
      </c>
      <c r="NR8" s="16">
        <f>SUMIFS(Datos!$F:$F,Datos!$A:$A,$B8,Datos!$B:$B,NR$3)</f>
        <v>0</v>
      </c>
      <c r="NS8" s="16">
        <f>SUMIFS(Datos!$F:$F,Datos!$A:$A,$B8,Datos!$B:$B,NS$3)</f>
        <v>0</v>
      </c>
      <c r="NT8" s="16">
        <f>SUMIFS(Datos!$F:$F,Datos!$A:$A,$B8,Datos!$B:$B,NT$3)</f>
        <v>0</v>
      </c>
      <c r="NU8" s="16">
        <f>SUMIFS(Datos!$F:$F,Datos!$A:$A,$B8,Datos!$B:$B,NU$3)</f>
        <v>0</v>
      </c>
      <c r="NV8" s="16">
        <f>SUMIFS(Datos!$F:$F,Datos!$A:$A,$B8,Datos!$B:$B,NV$3)</f>
        <v>0</v>
      </c>
      <c r="NW8" s="16">
        <f>SUMIFS(Datos!$F:$F,Datos!$A:$A,$B8,Datos!$B:$B,NW$3)</f>
        <v>0</v>
      </c>
      <c r="NX8" s="16">
        <f>SUMIFS(Datos!$F:$F,Datos!$A:$A,$B8,Datos!$B:$B,NX$3)</f>
        <v>0</v>
      </c>
      <c r="NY8" s="16">
        <f>SUMIFS(Datos!$F:$F,Datos!$A:$A,$B8,Datos!$B:$B,NY$3)</f>
        <v>0</v>
      </c>
      <c r="NZ8" s="16">
        <f>SUMIFS(Datos!$F:$F,Datos!$A:$A,$B8,Datos!$B:$B,NZ$3)</f>
        <v>0</v>
      </c>
      <c r="OA8" s="16">
        <f>SUMIFS(Datos!$F:$F,Datos!$A:$A,$B8,Datos!$B:$B,OA$3)</f>
        <v>0</v>
      </c>
      <c r="OB8" s="16">
        <f>SUMIFS(Datos!$F:$F,Datos!$A:$A,$B8,Datos!$B:$B,OB$3)</f>
        <v>0</v>
      </c>
      <c r="OC8" s="16">
        <f>SUMIFS(Datos!$F:$F,Datos!$A:$A,$B8,Datos!$B:$B,OC$3)</f>
        <v>0</v>
      </c>
      <c r="OD8" s="16">
        <f>SUMIFS(Datos!$F:$F,Datos!$A:$A,$B8,Datos!$B:$B,OD$3)</f>
        <v>0</v>
      </c>
      <c r="OE8" s="16">
        <f>SUMIFS(Datos!$F:$F,Datos!$A:$A,$B8,Datos!$B:$B,OE$3)</f>
        <v>0</v>
      </c>
      <c r="OF8" s="16">
        <f>SUMIFS(Datos!$F:$F,Datos!$A:$A,$B8,Datos!$B:$B,OF$3)</f>
        <v>0</v>
      </c>
      <c r="OG8" s="16">
        <f>SUMIFS(Datos!$F:$F,Datos!$A:$A,$B8,Datos!$B:$B,OG$3)</f>
        <v>0</v>
      </c>
      <c r="OH8" s="16">
        <f>SUMIFS(Datos!$F:$F,Datos!$A:$A,$B8,Datos!$B:$B,OH$3)</f>
        <v>0</v>
      </c>
      <c r="OI8" s="16">
        <f>SUMIFS(Datos!$F:$F,Datos!$A:$A,$B8,Datos!$B:$B,OI$3)</f>
        <v>0</v>
      </c>
      <c r="OJ8" s="16">
        <f>SUMIFS(Datos!$F:$F,Datos!$A:$A,$B8,Datos!$B:$B,OJ$3)</f>
        <v>0</v>
      </c>
      <c r="OK8" s="16">
        <f>SUMIFS(Datos!$F:$F,Datos!$A:$A,$B8,Datos!$B:$B,OK$3)</f>
        <v>0</v>
      </c>
      <c r="OL8" s="16">
        <f>SUMIFS(Datos!$F:$F,Datos!$A:$A,$B8,Datos!$B:$B,OL$3)</f>
        <v>0</v>
      </c>
      <c r="OM8" s="16">
        <f>SUMIFS(Datos!$F:$F,Datos!$A:$A,$B8,Datos!$B:$B,OM$3)</f>
        <v>0</v>
      </c>
      <c r="ON8" s="16">
        <f>SUMIFS(Datos!$F:$F,Datos!$A:$A,$B8,Datos!$B:$B,ON$3)</f>
        <v>0</v>
      </c>
      <c r="OO8" s="16">
        <f>SUMIFS(Datos!$F:$F,Datos!$A:$A,$B8,Datos!$B:$B,OO$3)</f>
        <v>0</v>
      </c>
      <c r="OP8" s="16">
        <f>SUMIFS(Datos!$F:$F,Datos!$A:$A,$B8,Datos!$B:$B,OP$3)</f>
        <v>0</v>
      </c>
      <c r="OQ8" s="16">
        <f>SUMIFS(Datos!$F:$F,Datos!$A:$A,$B8,Datos!$B:$B,OQ$3)</f>
        <v>0</v>
      </c>
      <c r="OR8" s="16">
        <f>SUMIFS(Datos!$F:$F,Datos!$A:$A,$B8,Datos!$B:$B,OR$3)</f>
        <v>0</v>
      </c>
      <c r="OS8" s="16">
        <f>SUMIFS(Datos!$F:$F,Datos!$A:$A,$B8,Datos!$B:$B,OS$3)</f>
        <v>0</v>
      </c>
      <c r="OT8" s="16">
        <f>SUMIFS(Datos!$F:$F,Datos!$A:$A,$B8,Datos!$B:$B,OT$3)</f>
        <v>0</v>
      </c>
      <c r="OU8" s="16">
        <f>SUMIFS(Datos!$F:$F,Datos!$A:$A,$B8,Datos!$B:$B,OU$3)</f>
        <v>0</v>
      </c>
      <c r="OV8" s="16">
        <f>SUMIFS(Datos!$F:$F,Datos!$A:$A,$B8,Datos!$B:$B,OV$3)</f>
        <v>0</v>
      </c>
      <c r="OW8" s="16">
        <f>SUMIFS(Datos!$F:$F,Datos!$A:$A,$B8,Datos!$B:$B,OW$3)</f>
        <v>0</v>
      </c>
      <c r="OX8" s="16">
        <f>SUMIFS(Datos!$F:$F,Datos!$A:$A,$B8,Datos!$B:$B,OX$3)</f>
        <v>0</v>
      </c>
      <c r="OY8" s="16">
        <f>SUMIFS(Datos!$F:$F,Datos!$A:$A,$B8,Datos!$B:$B,OY$3)</f>
        <v>0</v>
      </c>
      <c r="OZ8" s="16">
        <f>SUMIFS(Datos!$F:$F,Datos!$A:$A,$B8,Datos!$B:$B,OZ$3)</f>
        <v>0</v>
      </c>
      <c r="PA8" s="16">
        <f>SUMIFS(Datos!$F:$F,Datos!$A:$A,$B8,Datos!$B:$B,PA$3)</f>
        <v>0</v>
      </c>
      <c r="PB8" s="16">
        <f>SUMIFS(Datos!$F:$F,Datos!$A:$A,$B8,Datos!$B:$B,PB$3)</f>
        <v>0</v>
      </c>
      <c r="PC8" s="16">
        <f>SUMIFS(Datos!$F:$F,Datos!$A:$A,$B8,Datos!$B:$B,PC$3)</f>
        <v>0</v>
      </c>
      <c r="PD8" s="16">
        <f>SUMIFS(Datos!$F:$F,Datos!$A:$A,$B8,Datos!$B:$B,PD$3)</f>
        <v>0</v>
      </c>
      <c r="PE8" s="16">
        <f>SUMIFS(Datos!$F:$F,Datos!$A:$A,$B8,Datos!$B:$B,PE$3)</f>
        <v>0</v>
      </c>
      <c r="PF8" s="16">
        <f>SUMIFS(Datos!$F:$F,Datos!$A:$A,$B8,Datos!$B:$B,PF$3)</f>
        <v>0</v>
      </c>
      <c r="PG8" s="16">
        <f>SUMIFS(Datos!$F:$F,Datos!$A:$A,$B8,Datos!$B:$B,PG$3)</f>
        <v>0</v>
      </c>
      <c r="PH8" s="16">
        <f>SUMIFS(Datos!$F:$F,Datos!$A:$A,$B8,Datos!$B:$B,PH$3)</f>
        <v>0</v>
      </c>
      <c r="PI8" s="16">
        <f>SUMIFS(Datos!$F:$F,Datos!$A:$A,$B8,Datos!$B:$B,PI$3)</f>
        <v>0</v>
      </c>
      <c r="PJ8" s="16">
        <f>SUMIFS(Datos!$F:$F,Datos!$A:$A,$B8,Datos!$B:$B,PJ$3)</f>
        <v>0</v>
      </c>
      <c r="PK8" s="16">
        <f>SUMIFS(Datos!$F:$F,Datos!$A:$A,$B8,Datos!$B:$B,PK$3)</f>
        <v>0</v>
      </c>
      <c r="PL8" s="16">
        <f>SUMIFS(Datos!$F:$F,Datos!$A:$A,$B8,Datos!$B:$B,PL$3)</f>
        <v>0</v>
      </c>
      <c r="PM8" s="16">
        <f>SUMIFS(Datos!$F:$F,Datos!$A:$A,$B8,Datos!$B:$B,PM$3)</f>
        <v>0</v>
      </c>
      <c r="PN8" s="16">
        <f>SUMIFS(Datos!$F:$F,Datos!$A:$A,$B8,Datos!$B:$B,PN$3)</f>
        <v>0</v>
      </c>
      <c r="PO8" s="16">
        <f>SUMIFS(Datos!$F:$F,Datos!$A:$A,$B8,Datos!$B:$B,PO$3)</f>
        <v>0</v>
      </c>
      <c r="PP8" s="16">
        <f>SUMIFS(Datos!$F:$F,Datos!$A:$A,$B8,Datos!$B:$B,PP$3)</f>
        <v>0</v>
      </c>
      <c r="PQ8" s="16">
        <f>SUMIFS(Datos!$F:$F,Datos!$A:$A,$B8,Datos!$B:$B,PQ$3)</f>
        <v>0</v>
      </c>
      <c r="PR8" s="16">
        <f>SUMIFS(Datos!$F:$F,Datos!$A:$A,$B8,Datos!$B:$B,PR$3)</f>
        <v>0</v>
      </c>
      <c r="PS8" s="16">
        <f>SUMIFS(Datos!$F:$F,Datos!$A:$A,$B8,Datos!$B:$B,PS$3)</f>
        <v>0</v>
      </c>
      <c r="PT8" s="16">
        <f>SUMIFS(Datos!$F:$F,Datos!$A:$A,$B8,Datos!$B:$B,PT$3)</f>
        <v>0</v>
      </c>
      <c r="PU8" s="16">
        <f>SUMIFS(Datos!$F:$F,Datos!$A:$A,$B8,Datos!$B:$B,PU$3)</f>
        <v>0</v>
      </c>
      <c r="PV8" s="16">
        <f>SUMIFS(Datos!$F:$F,Datos!$A:$A,$B8,Datos!$B:$B,PV$3)</f>
        <v>0</v>
      </c>
      <c r="PW8" s="16">
        <f>SUMIFS(Datos!$F:$F,Datos!$A:$A,$B8,Datos!$B:$B,PW$3)</f>
        <v>0</v>
      </c>
      <c r="PX8" s="16">
        <f>SUMIFS(Datos!$F:$F,Datos!$A:$A,$B8,Datos!$B:$B,PX$3)</f>
        <v>0</v>
      </c>
      <c r="PY8" s="16">
        <f>SUMIFS(Datos!$F:$F,Datos!$A:$A,$B8,Datos!$B:$B,PY$3)</f>
        <v>0</v>
      </c>
      <c r="PZ8" s="16">
        <f>SUMIFS(Datos!$F:$F,Datos!$A:$A,$B8,Datos!$B:$B,PZ$3)</f>
        <v>0</v>
      </c>
      <c r="QA8" s="16">
        <f>SUMIFS(Datos!$F:$F,Datos!$A:$A,$B8,Datos!$B:$B,QA$3)</f>
        <v>0</v>
      </c>
      <c r="QB8" s="16">
        <f>SUMIFS(Datos!$F:$F,Datos!$A:$A,$B8,Datos!$B:$B,QB$3)</f>
        <v>0</v>
      </c>
      <c r="QC8" s="16">
        <f>SUMIFS(Datos!$F:$F,Datos!$A:$A,$B8,Datos!$B:$B,QC$3)</f>
        <v>0</v>
      </c>
      <c r="QD8" s="16">
        <f>SUMIFS(Datos!$F:$F,Datos!$A:$A,$B8,Datos!$B:$B,QD$3)</f>
        <v>0</v>
      </c>
      <c r="QE8" s="16">
        <f>SUMIFS(Datos!$F:$F,Datos!$A:$A,$B8,Datos!$B:$B,QE$3)</f>
        <v>0</v>
      </c>
      <c r="QF8" s="16">
        <f>SUMIFS(Datos!$F:$F,Datos!$A:$A,$B8,Datos!$B:$B,QF$3)</f>
        <v>0</v>
      </c>
      <c r="QG8" s="16">
        <f>SUMIFS(Datos!$F:$F,Datos!$A:$A,$B8,Datos!$B:$B,QG$3)</f>
        <v>0</v>
      </c>
      <c r="QH8" s="16">
        <f>SUMIFS(Datos!$F:$F,Datos!$A:$A,$B8,Datos!$B:$B,QH$3)</f>
        <v>0</v>
      </c>
      <c r="QI8" s="16">
        <f>SUMIFS(Datos!$F:$F,Datos!$A:$A,$B8,Datos!$B:$B,QI$3)</f>
        <v>0</v>
      </c>
      <c r="QJ8" s="16">
        <f>SUMIFS(Datos!$F:$F,Datos!$A:$A,$B8,Datos!$B:$B,QJ$3)</f>
        <v>0</v>
      </c>
      <c r="QK8" s="16">
        <f>SUMIFS(Datos!$F:$F,Datos!$A:$A,$B8,Datos!$B:$B,QK$3)</f>
        <v>0</v>
      </c>
      <c r="QL8" s="16">
        <f>SUMIFS(Datos!$F:$F,Datos!$A:$A,$B8,Datos!$B:$B,QL$3)</f>
        <v>0</v>
      </c>
      <c r="QM8" s="16">
        <f>SUMIFS(Datos!$F:$F,Datos!$A:$A,$B8,Datos!$B:$B,QM$3)</f>
        <v>0</v>
      </c>
      <c r="QN8" s="16">
        <f>SUMIFS(Datos!$F:$F,Datos!$A:$A,$B8,Datos!$B:$B,QN$3)</f>
        <v>0</v>
      </c>
      <c r="QO8" s="16">
        <f>SUMIFS(Datos!$F:$F,Datos!$A:$A,$B8,Datos!$B:$B,QO$3)</f>
        <v>0</v>
      </c>
      <c r="QP8" s="16">
        <f>SUMIFS(Datos!$F:$F,Datos!$A:$A,$B8,Datos!$B:$B,QP$3)</f>
        <v>0</v>
      </c>
      <c r="QQ8" s="16">
        <f>SUMIFS(Datos!$F:$F,Datos!$A:$A,$B8,Datos!$B:$B,QQ$3)</f>
        <v>0</v>
      </c>
      <c r="QR8" s="16">
        <f>SUMIFS(Datos!$F:$F,Datos!$A:$A,$B8,Datos!$B:$B,QR$3)</f>
        <v>0</v>
      </c>
      <c r="QS8" s="16">
        <f>SUMIFS(Datos!$F:$F,Datos!$A:$A,$B8,Datos!$B:$B,QS$3)</f>
        <v>0</v>
      </c>
      <c r="QT8" s="16">
        <f>SUMIFS(Datos!$F:$F,Datos!$A:$A,$B8,Datos!$B:$B,QT$3)</f>
        <v>0</v>
      </c>
      <c r="QU8" s="16">
        <f>SUMIFS(Datos!$F:$F,Datos!$A:$A,$B8,Datos!$B:$B,QU$3)</f>
        <v>0</v>
      </c>
      <c r="QV8" s="16">
        <f>SUMIFS(Datos!$F:$F,Datos!$A:$A,$B8,Datos!$B:$B,QV$3)</f>
        <v>0</v>
      </c>
      <c r="QW8" s="16">
        <f>SUMIFS(Datos!$F:$F,Datos!$A:$A,$B8,Datos!$B:$B,QW$3)</f>
        <v>0</v>
      </c>
      <c r="QX8" s="16">
        <f>SUMIFS(Datos!$F:$F,Datos!$A:$A,$B8,Datos!$B:$B,QX$3)</f>
        <v>0</v>
      </c>
      <c r="QY8" s="16">
        <f>SUMIFS(Datos!$F:$F,Datos!$A:$A,$B8,Datos!$B:$B,QY$3)</f>
        <v>0</v>
      </c>
      <c r="QZ8" s="16">
        <f>SUMIFS(Datos!$F:$F,Datos!$A:$A,$B8,Datos!$B:$B,QZ$3)</f>
        <v>0</v>
      </c>
      <c r="RA8" s="16">
        <f>SUMIFS(Datos!$F:$F,Datos!$A:$A,$B8,Datos!$B:$B,RA$3)</f>
        <v>0</v>
      </c>
      <c r="RB8" s="16">
        <f>SUMIFS(Datos!$F:$F,Datos!$A:$A,$B8,Datos!$B:$B,RB$3)</f>
        <v>0</v>
      </c>
      <c r="RC8" s="16">
        <f>SUMIFS(Datos!$F:$F,Datos!$A:$A,$B8,Datos!$B:$B,RC$3)</f>
        <v>0</v>
      </c>
      <c r="RD8" s="16">
        <f>SUMIFS(Datos!$F:$F,Datos!$A:$A,$B8,Datos!$B:$B,RD$3)</f>
        <v>0</v>
      </c>
      <c r="RE8" s="16">
        <f>SUMIFS(Datos!$F:$F,Datos!$A:$A,$B8,Datos!$B:$B,RE$3)</f>
        <v>0</v>
      </c>
      <c r="RF8" s="16">
        <f>SUMIFS(Datos!$F:$F,Datos!$A:$A,$B8,Datos!$B:$B,RF$3)</f>
        <v>0</v>
      </c>
      <c r="RG8" s="16">
        <f>SUMIFS(Datos!$F:$F,Datos!$A:$A,$B8,Datos!$B:$B,RG$3)</f>
        <v>0</v>
      </c>
      <c r="RH8" s="16">
        <f>SUMIFS(Datos!$F:$F,Datos!$A:$A,$B8,Datos!$B:$B,RH$3)</f>
        <v>0</v>
      </c>
      <c r="RI8" s="16">
        <f>SUMIFS(Datos!$F:$F,Datos!$A:$A,$B8,Datos!$B:$B,RI$3)</f>
        <v>0</v>
      </c>
      <c r="RJ8" s="16">
        <f>SUMIFS(Datos!$F:$F,Datos!$A:$A,$B8,Datos!$B:$B,RJ$3)</f>
        <v>0</v>
      </c>
      <c r="RK8" s="16">
        <f>SUMIFS(Datos!$F:$F,Datos!$A:$A,$B8,Datos!$B:$B,RK$3)</f>
        <v>0</v>
      </c>
      <c r="RL8" s="16">
        <f>SUMIFS(Datos!$F:$F,Datos!$A:$A,$B8,Datos!$B:$B,RL$3)</f>
        <v>0</v>
      </c>
      <c r="RM8" s="16">
        <f>SUMIFS(Datos!$F:$F,Datos!$A:$A,$B8,Datos!$B:$B,RM$3)</f>
        <v>0</v>
      </c>
      <c r="RN8" s="16">
        <f>SUMIFS(Datos!$F:$F,Datos!$A:$A,$B8,Datos!$B:$B,RN$3)</f>
        <v>0</v>
      </c>
      <c r="RO8" s="16">
        <f>SUMIFS(Datos!$F:$F,Datos!$A:$A,$B8,Datos!$B:$B,RO$3)</f>
        <v>0</v>
      </c>
      <c r="RP8" s="16">
        <f>SUMIFS(Datos!$F:$F,Datos!$A:$A,$B8,Datos!$B:$B,RP$3)</f>
        <v>0</v>
      </c>
      <c r="RQ8" s="16">
        <f>SUMIFS(Datos!$F:$F,Datos!$A:$A,$B8,Datos!$B:$B,RQ$3)</f>
        <v>0</v>
      </c>
      <c r="RR8" s="16">
        <f>SUMIFS(Datos!$F:$F,Datos!$A:$A,$B8,Datos!$B:$B,RR$3)</f>
        <v>0</v>
      </c>
      <c r="RS8" s="16">
        <f>SUMIFS(Datos!$F:$F,Datos!$A:$A,$B8,Datos!$B:$B,RS$3)</f>
        <v>0</v>
      </c>
      <c r="RT8" s="16">
        <f>SUMIFS(Datos!$F:$F,Datos!$A:$A,$B8,Datos!$B:$B,RT$3)</f>
        <v>0</v>
      </c>
      <c r="RU8" s="16">
        <f>SUMIFS(Datos!$F:$F,Datos!$A:$A,$B8,Datos!$B:$B,RU$3)</f>
        <v>0</v>
      </c>
      <c r="RV8" s="16">
        <f>SUMIFS(Datos!$F:$F,Datos!$A:$A,$B8,Datos!$B:$B,RV$3)</f>
        <v>0</v>
      </c>
      <c r="RW8" s="16">
        <f>SUMIFS(Datos!$F:$F,Datos!$A:$A,$B8,Datos!$B:$B,RW$3)</f>
        <v>0</v>
      </c>
      <c r="RX8" s="16">
        <f>SUMIFS(Datos!$F:$F,Datos!$A:$A,$B8,Datos!$B:$B,RX$3)</f>
        <v>0</v>
      </c>
      <c r="RY8" s="16">
        <f>SUMIFS(Datos!$F:$F,Datos!$A:$A,$B8,Datos!$B:$B,RY$3)</f>
        <v>0</v>
      </c>
      <c r="RZ8" s="16">
        <f>SUMIFS(Datos!$F:$F,Datos!$A:$A,$B8,Datos!$B:$B,RZ$3)</f>
        <v>0</v>
      </c>
      <c r="SA8" s="16">
        <f>SUMIFS(Datos!$F:$F,Datos!$A:$A,$B8,Datos!$B:$B,SA$3)</f>
        <v>0</v>
      </c>
      <c r="SB8" s="16">
        <f>SUMIFS(Datos!$F:$F,Datos!$A:$A,$B8,Datos!$B:$B,SB$3)</f>
        <v>0</v>
      </c>
      <c r="SC8" s="16">
        <f>SUMIFS(Datos!$F:$F,Datos!$A:$A,$B8,Datos!$B:$B,SC$3)</f>
        <v>0</v>
      </c>
      <c r="SD8" s="16">
        <f>SUMIFS(Datos!$F:$F,Datos!$A:$A,$B8,Datos!$B:$B,SD$3)</f>
        <v>0</v>
      </c>
      <c r="SE8" s="16">
        <f>SUMIFS(Datos!$F:$F,Datos!$A:$A,$B8,Datos!$B:$B,SE$3)</f>
        <v>0</v>
      </c>
      <c r="SF8" s="16">
        <f>SUMIFS(Datos!$F:$F,Datos!$A:$A,$B8,Datos!$B:$B,SF$3)</f>
        <v>0</v>
      </c>
      <c r="SG8" s="16">
        <f>SUMIFS(Datos!$F:$F,Datos!$A:$A,$B8,Datos!$B:$B,SG$3)</f>
        <v>0</v>
      </c>
      <c r="SH8" s="16">
        <f>SUMIFS(Datos!$F:$F,Datos!$A:$A,$B8,Datos!$B:$B,SH$3)</f>
        <v>0</v>
      </c>
      <c r="SI8" s="16">
        <f>SUMIFS(Datos!$F:$F,Datos!$A:$A,$B8,Datos!$B:$B,SI$3)</f>
        <v>0</v>
      </c>
      <c r="SJ8" s="16">
        <f>SUMIFS(Datos!$F:$F,Datos!$A:$A,$B8,Datos!$B:$B,SJ$3)</f>
        <v>0</v>
      </c>
      <c r="SK8" s="16">
        <f>SUMIFS(Datos!$F:$F,Datos!$A:$A,$B8,Datos!$B:$B,SK$3)</f>
        <v>0</v>
      </c>
      <c r="SL8" s="16">
        <f>SUMIFS(Datos!$F:$F,Datos!$A:$A,$B8,Datos!$B:$B,SL$3)</f>
        <v>0</v>
      </c>
      <c r="SM8" s="16">
        <f>SUMIFS(Datos!$F:$F,Datos!$A:$A,$B8,Datos!$B:$B,SM$3)</f>
        <v>0</v>
      </c>
      <c r="SN8" s="16">
        <f>SUMIFS(Datos!$F:$F,Datos!$A:$A,$B8,Datos!$B:$B,SN$3)</f>
        <v>0</v>
      </c>
      <c r="SO8" s="16">
        <f>SUMIFS(Datos!$F:$F,Datos!$A:$A,$B8,Datos!$B:$B,SO$3)</f>
        <v>0</v>
      </c>
      <c r="SP8" s="16">
        <f>SUMIFS(Datos!$F:$F,Datos!$A:$A,$B8,Datos!$B:$B,SP$3)</f>
        <v>0</v>
      </c>
      <c r="SQ8" s="16">
        <f>SUMIFS(Datos!$F:$F,Datos!$A:$A,$B8,Datos!$B:$B,SQ$3)</f>
        <v>0</v>
      </c>
      <c r="SR8" s="16">
        <f>SUMIFS(Datos!$F:$F,Datos!$A:$A,$B8,Datos!$B:$B,SR$3)</f>
        <v>0</v>
      </c>
      <c r="SS8" s="16">
        <f>SUMIFS(Datos!$F:$F,Datos!$A:$A,$B8,Datos!$B:$B,SS$3)</f>
        <v>0</v>
      </c>
      <c r="ST8" s="16">
        <f>SUMIFS(Datos!$F:$F,Datos!$A:$A,$B8,Datos!$B:$B,ST$3)</f>
        <v>0</v>
      </c>
      <c r="SU8" s="16">
        <f>SUMIFS(Datos!$F:$F,Datos!$A:$A,$B8,Datos!$B:$B,SU$3)</f>
        <v>0</v>
      </c>
      <c r="SV8" s="16">
        <f>SUMIFS(Datos!$F:$F,Datos!$A:$A,$B8,Datos!$B:$B,SV$3)</f>
        <v>0</v>
      </c>
      <c r="SW8" s="16">
        <f>SUMIFS(Datos!$F:$F,Datos!$A:$A,$B8,Datos!$B:$B,SW$3)</f>
        <v>0</v>
      </c>
      <c r="SX8" s="16">
        <f>SUMIFS(Datos!$F:$F,Datos!$A:$A,$B8,Datos!$B:$B,SX$3)</f>
        <v>0</v>
      </c>
      <c r="SY8" s="16">
        <f>SUMIFS(Datos!$F:$F,Datos!$A:$A,$B8,Datos!$B:$B,SY$3)</f>
        <v>0</v>
      </c>
      <c r="SZ8" s="16">
        <f>SUMIFS(Datos!$F:$F,Datos!$A:$A,$B8,Datos!$B:$B,SZ$3)</f>
        <v>0</v>
      </c>
      <c r="TA8" s="16">
        <f>SUMIFS(Datos!$F:$F,Datos!$A:$A,$B8,Datos!$B:$B,TA$3)</f>
        <v>0</v>
      </c>
      <c r="TB8" s="16">
        <f>SUMIFS(Datos!$F:$F,Datos!$A:$A,$B8,Datos!$B:$B,TB$3)</f>
        <v>0</v>
      </c>
      <c r="TC8" s="16">
        <f>SUMIFS(Datos!$F:$F,Datos!$A:$A,$B8,Datos!$B:$B,TC$3)</f>
        <v>0</v>
      </c>
      <c r="TD8" s="16">
        <f>SUMIFS(Datos!$F:$F,Datos!$A:$A,$B8,Datos!$B:$B,TD$3)</f>
        <v>0</v>
      </c>
      <c r="TE8" s="16">
        <f>SUMIFS(Datos!$F:$F,Datos!$A:$A,$B8,Datos!$B:$B,TE$3)</f>
        <v>0</v>
      </c>
      <c r="TF8" s="16">
        <f>SUMIFS(Datos!$F:$F,Datos!$A:$A,$B8,Datos!$B:$B,TF$3)</f>
        <v>0</v>
      </c>
    </row>
    <row r="9" spans="1:526">
      <c r="A9" s="31" t="s">
        <v>48</v>
      </c>
      <c r="B9" s="4">
        <f>Cartera!B9</f>
        <v>0</v>
      </c>
      <c r="C9" s="4">
        <f>Cartera!C9</f>
        <v>0</v>
      </c>
      <c r="D9" s="16">
        <f>SUMIFS(Datos!$F:$F,Datos!$A:$A,$B9,Datos!$B:$B,D$3)</f>
        <v>0</v>
      </c>
      <c r="E9" s="16">
        <f>SUMIFS(Datos!$F:$F,Datos!$A:$A,$B9,Datos!$B:$B,E$3)</f>
        <v>0</v>
      </c>
      <c r="F9" s="16">
        <f>SUMIFS(Datos!$F:$F,Datos!$A:$A,$B9,Datos!$B:$B,F$3)</f>
        <v>0</v>
      </c>
      <c r="G9" s="16">
        <f>SUMIFS(Datos!$F:$F,Datos!$A:$A,$B9,Datos!$B:$B,G$3)</f>
        <v>0</v>
      </c>
      <c r="H9" s="16">
        <f>SUMIFS(Datos!$F:$F,Datos!$A:$A,$B9,Datos!$B:$B,H$3)</f>
        <v>0</v>
      </c>
      <c r="I9" s="16">
        <f>SUMIFS(Datos!$F:$F,Datos!$A:$A,$B9,Datos!$B:$B,I$3)</f>
        <v>0</v>
      </c>
      <c r="J9" s="16">
        <f>SUMIFS(Datos!$F:$F,Datos!$A:$A,$B9,Datos!$B:$B,J$3)</f>
        <v>0</v>
      </c>
      <c r="K9" s="16">
        <f>SUMIFS(Datos!$F:$F,Datos!$A:$A,$B9,Datos!$B:$B,K$3)</f>
        <v>0</v>
      </c>
      <c r="L9" s="16">
        <f>SUMIFS(Datos!$F:$F,Datos!$A:$A,$B9,Datos!$B:$B,L$3)</f>
        <v>0</v>
      </c>
      <c r="M9" s="16">
        <f>SUMIFS(Datos!$F:$F,Datos!$A:$A,$B9,Datos!$B:$B,M$3)</f>
        <v>0</v>
      </c>
      <c r="N9" s="16">
        <f>SUMIFS(Datos!$F:$F,Datos!$A:$A,$B9,Datos!$B:$B,N$3)</f>
        <v>0</v>
      </c>
      <c r="O9" s="16">
        <f>SUMIFS(Datos!$F:$F,Datos!$A:$A,$B9,Datos!$B:$B,O$3)</f>
        <v>0</v>
      </c>
      <c r="P9" s="16">
        <f>SUMIFS(Datos!$F:$F,Datos!$A:$A,$B9,Datos!$B:$B,P$3)</f>
        <v>0</v>
      </c>
      <c r="Q9" s="16">
        <f>SUMIFS(Datos!$F:$F,Datos!$A:$A,$B9,Datos!$B:$B,Q$3)</f>
        <v>0</v>
      </c>
      <c r="R9" s="16">
        <f>SUMIFS(Datos!$F:$F,Datos!$A:$A,$B9,Datos!$B:$B,R$3)</f>
        <v>0</v>
      </c>
      <c r="S9" s="16">
        <f>SUMIFS(Datos!$F:$F,Datos!$A:$A,$B9,Datos!$B:$B,S$3)</f>
        <v>0</v>
      </c>
      <c r="T9" s="16">
        <f>SUMIFS(Datos!$F:$F,Datos!$A:$A,$B9,Datos!$B:$B,T$3)</f>
        <v>0</v>
      </c>
      <c r="U9" s="16">
        <f>SUMIFS(Datos!$F:$F,Datos!$A:$A,$B9,Datos!$B:$B,U$3)</f>
        <v>0</v>
      </c>
      <c r="V9" s="16">
        <f>SUMIFS(Datos!$F:$F,Datos!$A:$A,$B9,Datos!$B:$B,V$3)</f>
        <v>0</v>
      </c>
      <c r="W9" s="16">
        <f>SUMIFS(Datos!$F:$F,Datos!$A:$A,$B9,Datos!$B:$B,W$3)</f>
        <v>0</v>
      </c>
      <c r="X9" s="16">
        <f>SUMIFS(Datos!$F:$F,Datos!$A:$A,$B9,Datos!$B:$B,X$3)</f>
        <v>0</v>
      </c>
      <c r="Y9" s="16">
        <f>SUMIFS(Datos!$F:$F,Datos!$A:$A,$B9,Datos!$B:$B,Y$3)</f>
        <v>0</v>
      </c>
      <c r="Z9" s="16">
        <f>SUMIFS(Datos!$F:$F,Datos!$A:$A,$B9,Datos!$B:$B,Z$3)</f>
        <v>0</v>
      </c>
      <c r="AA9" s="16">
        <f>SUMIFS(Datos!$F:$F,Datos!$A:$A,$B9,Datos!$B:$B,AA$3)</f>
        <v>0</v>
      </c>
      <c r="AB9" s="16">
        <f>SUMIFS(Datos!$F:$F,Datos!$A:$A,$B9,Datos!$B:$B,AB$3)</f>
        <v>0</v>
      </c>
      <c r="AC9" s="16">
        <f>SUMIFS(Datos!$F:$F,Datos!$A:$A,$B9,Datos!$B:$B,AC$3)</f>
        <v>0</v>
      </c>
      <c r="AD9" s="16">
        <f>SUMIFS(Datos!$F:$F,Datos!$A:$A,$B9,Datos!$B:$B,AD$3)</f>
        <v>0</v>
      </c>
      <c r="AE9" s="16">
        <f>SUMIFS(Datos!$F:$F,Datos!$A:$A,$B9,Datos!$B:$B,AE$3)</f>
        <v>0</v>
      </c>
      <c r="AF9" s="16">
        <f>SUMIFS(Datos!$F:$F,Datos!$A:$A,$B9,Datos!$B:$B,AF$3)</f>
        <v>0</v>
      </c>
      <c r="AG9" s="16">
        <f>SUMIFS(Datos!$F:$F,Datos!$A:$A,$B9,Datos!$B:$B,AG$3)</f>
        <v>0</v>
      </c>
      <c r="AH9" s="16">
        <f>SUMIFS(Datos!$F:$F,Datos!$A:$A,$B9,Datos!$B:$B,AH$3)</f>
        <v>0</v>
      </c>
      <c r="AI9" s="16">
        <f>SUMIFS(Datos!$F:$F,Datos!$A:$A,$B9,Datos!$B:$B,AI$3)</f>
        <v>0</v>
      </c>
      <c r="AJ9" s="16">
        <f>SUMIFS(Datos!$F:$F,Datos!$A:$A,$B9,Datos!$B:$B,AJ$3)</f>
        <v>0</v>
      </c>
      <c r="AK9" s="16">
        <f>SUMIFS(Datos!$F:$F,Datos!$A:$A,$B9,Datos!$B:$B,AK$3)</f>
        <v>0</v>
      </c>
      <c r="AL9" s="16">
        <f>SUMIFS(Datos!$F:$F,Datos!$A:$A,$B9,Datos!$B:$B,AL$3)</f>
        <v>0</v>
      </c>
      <c r="AM9" s="16">
        <f>SUMIFS(Datos!$F:$F,Datos!$A:$A,$B9,Datos!$B:$B,AM$3)</f>
        <v>0</v>
      </c>
      <c r="AN9" s="16">
        <f>SUMIFS(Datos!$F:$F,Datos!$A:$A,$B9,Datos!$B:$B,AN$3)</f>
        <v>0</v>
      </c>
      <c r="AO9" s="16">
        <f>SUMIFS(Datos!$F:$F,Datos!$A:$A,$B9,Datos!$B:$B,AO$3)</f>
        <v>0</v>
      </c>
      <c r="AP9" s="16">
        <f>SUMIFS(Datos!$F:$F,Datos!$A:$A,$B9,Datos!$B:$B,AP$3)</f>
        <v>0</v>
      </c>
      <c r="AQ9" s="16">
        <f>SUMIFS(Datos!$F:$F,Datos!$A:$A,$B9,Datos!$B:$B,AQ$3)</f>
        <v>0</v>
      </c>
      <c r="AR9" s="16">
        <f>SUMIFS(Datos!$F:$F,Datos!$A:$A,$B9,Datos!$B:$B,AR$3)</f>
        <v>0</v>
      </c>
      <c r="AS9" s="16">
        <f>SUMIFS(Datos!$F:$F,Datos!$A:$A,$B9,Datos!$B:$B,AS$3)</f>
        <v>0</v>
      </c>
      <c r="AT9" s="16">
        <f>SUMIFS(Datos!$F:$F,Datos!$A:$A,$B9,Datos!$B:$B,AT$3)</f>
        <v>0</v>
      </c>
      <c r="AU9" s="16">
        <f>SUMIFS(Datos!$F:$F,Datos!$A:$A,$B9,Datos!$B:$B,AU$3)</f>
        <v>0</v>
      </c>
      <c r="AV9" s="16">
        <f>SUMIFS(Datos!$F:$F,Datos!$A:$A,$B9,Datos!$B:$B,AV$3)</f>
        <v>0</v>
      </c>
      <c r="AW9" s="16">
        <f>SUMIFS(Datos!$F:$F,Datos!$A:$A,$B9,Datos!$B:$B,AW$3)</f>
        <v>0</v>
      </c>
      <c r="AX9" s="16">
        <f>SUMIFS(Datos!$F:$F,Datos!$A:$A,$B9,Datos!$B:$B,AX$3)</f>
        <v>0</v>
      </c>
      <c r="AY9" s="16">
        <f>SUMIFS(Datos!$F:$F,Datos!$A:$A,$B9,Datos!$B:$B,AY$3)</f>
        <v>0</v>
      </c>
      <c r="AZ9" s="16">
        <f>SUMIFS(Datos!$F:$F,Datos!$A:$A,$B9,Datos!$B:$B,AZ$3)</f>
        <v>0</v>
      </c>
      <c r="BA9" s="16">
        <f>SUMIFS(Datos!$F:$F,Datos!$A:$A,$B9,Datos!$B:$B,BA$3)</f>
        <v>0</v>
      </c>
      <c r="BB9" s="16">
        <f>SUMIFS(Datos!$F:$F,Datos!$A:$A,$B9,Datos!$B:$B,BB$3)</f>
        <v>0</v>
      </c>
      <c r="BC9" s="16">
        <f>SUMIFS(Datos!$F:$F,Datos!$A:$A,$B9,Datos!$B:$B,BC$3)</f>
        <v>0</v>
      </c>
      <c r="BD9" s="16">
        <f>SUMIFS(Datos!$F:$F,Datos!$A:$A,$B9,Datos!$B:$B,BD$3)</f>
        <v>0</v>
      </c>
      <c r="BE9" s="16">
        <f>SUMIFS(Datos!$F:$F,Datos!$A:$A,$B9,Datos!$B:$B,BE$3)</f>
        <v>0</v>
      </c>
      <c r="BF9" s="16">
        <f>SUMIFS(Datos!$F:$F,Datos!$A:$A,$B9,Datos!$B:$B,BF$3)</f>
        <v>0</v>
      </c>
      <c r="BG9" s="16">
        <f>SUMIFS(Datos!$F:$F,Datos!$A:$A,$B9,Datos!$B:$B,BG$3)</f>
        <v>0</v>
      </c>
      <c r="BH9" s="16">
        <f>SUMIFS(Datos!$F:$F,Datos!$A:$A,$B9,Datos!$B:$B,BH$3)</f>
        <v>0</v>
      </c>
      <c r="BI9" s="16">
        <f>SUMIFS(Datos!$F:$F,Datos!$A:$A,$B9,Datos!$B:$B,BI$3)</f>
        <v>0</v>
      </c>
      <c r="BJ9" s="16">
        <f>SUMIFS(Datos!$F:$F,Datos!$A:$A,$B9,Datos!$B:$B,BJ$3)</f>
        <v>0</v>
      </c>
      <c r="BK9" s="16">
        <f>SUMIFS(Datos!$F:$F,Datos!$A:$A,$B9,Datos!$B:$B,BK$3)</f>
        <v>0</v>
      </c>
      <c r="BL9" s="16">
        <f>SUMIFS(Datos!$F:$F,Datos!$A:$A,$B9,Datos!$B:$B,BL$3)</f>
        <v>0</v>
      </c>
      <c r="BM9" s="16">
        <f>SUMIFS(Datos!$F:$F,Datos!$A:$A,$B9,Datos!$B:$B,BM$3)</f>
        <v>0</v>
      </c>
      <c r="BN9" s="16">
        <f>SUMIFS(Datos!$F:$F,Datos!$A:$A,$B9,Datos!$B:$B,BN$3)</f>
        <v>0</v>
      </c>
      <c r="BO9" s="16">
        <f>SUMIFS(Datos!$F:$F,Datos!$A:$A,$B9,Datos!$B:$B,BO$3)</f>
        <v>0</v>
      </c>
      <c r="BP9" s="16">
        <f>SUMIFS(Datos!$F:$F,Datos!$A:$A,$B9,Datos!$B:$B,BP$3)</f>
        <v>0</v>
      </c>
      <c r="BQ9" s="16">
        <f>SUMIFS(Datos!$F:$F,Datos!$A:$A,$B9,Datos!$B:$B,BQ$3)</f>
        <v>0</v>
      </c>
      <c r="BR9" s="16">
        <f>SUMIFS(Datos!$F:$F,Datos!$A:$A,$B9,Datos!$B:$B,BR$3)</f>
        <v>0</v>
      </c>
      <c r="BS9" s="16">
        <f>SUMIFS(Datos!$F:$F,Datos!$A:$A,$B9,Datos!$B:$B,BS$3)</f>
        <v>0</v>
      </c>
      <c r="BT9" s="16">
        <f>SUMIFS(Datos!$F:$F,Datos!$A:$A,$B9,Datos!$B:$B,BT$3)</f>
        <v>0</v>
      </c>
      <c r="BU9" s="16">
        <f>SUMIFS(Datos!$F:$F,Datos!$A:$A,$B9,Datos!$B:$B,BU$3)</f>
        <v>0</v>
      </c>
      <c r="BV9" s="16">
        <f>SUMIFS(Datos!$F:$F,Datos!$A:$A,$B9,Datos!$B:$B,BV$3)</f>
        <v>0</v>
      </c>
      <c r="BW9" s="16">
        <f>SUMIFS(Datos!$F:$F,Datos!$A:$A,$B9,Datos!$B:$B,BW$3)</f>
        <v>0</v>
      </c>
      <c r="BX9" s="16">
        <f>SUMIFS(Datos!$F:$F,Datos!$A:$A,$B9,Datos!$B:$B,BX$3)</f>
        <v>0</v>
      </c>
      <c r="BY9" s="16">
        <f>SUMIFS(Datos!$F:$F,Datos!$A:$A,$B9,Datos!$B:$B,BY$3)</f>
        <v>0</v>
      </c>
      <c r="BZ9" s="16">
        <f>SUMIFS(Datos!$F:$F,Datos!$A:$A,$B9,Datos!$B:$B,BZ$3)</f>
        <v>0</v>
      </c>
      <c r="CA9" s="16">
        <f>SUMIFS(Datos!$F:$F,Datos!$A:$A,$B9,Datos!$B:$B,CA$3)</f>
        <v>0</v>
      </c>
      <c r="CB9" s="16">
        <f>SUMIFS(Datos!$F:$F,Datos!$A:$A,$B9,Datos!$B:$B,CB$3)</f>
        <v>0</v>
      </c>
      <c r="CC9" s="16">
        <f>SUMIFS(Datos!$F:$F,Datos!$A:$A,$B9,Datos!$B:$B,CC$3)</f>
        <v>0</v>
      </c>
      <c r="CD9" s="16">
        <f>SUMIFS(Datos!$F:$F,Datos!$A:$A,$B9,Datos!$B:$B,CD$3)</f>
        <v>0</v>
      </c>
      <c r="CE9" s="16">
        <f>SUMIFS(Datos!$F:$F,Datos!$A:$A,$B9,Datos!$B:$B,CE$3)</f>
        <v>0</v>
      </c>
      <c r="CF9" s="16">
        <f>SUMIFS(Datos!$F:$F,Datos!$A:$A,$B9,Datos!$B:$B,CF$3)</f>
        <v>0</v>
      </c>
      <c r="CG9" s="16">
        <f>SUMIFS(Datos!$F:$F,Datos!$A:$A,$B9,Datos!$B:$B,CG$3)</f>
        <v>0</v>
      </c>
      <c r="CH9" s="16">
        <f>SUMIFS(Datos!$F:$F,Datos!$A:$A,$B9,Datos!$B:$B,CH$3)</f>
        <v>0</v>
      </c>
      <c r="CI9" s="16">
        <f>SUMIFS(Datos!$F:$F,Datos!$A:$A,$B9,Datos!$B:$B,CI$3)</f>
        <v>0</v>
      </c>
      <c r="CJ9" s="16">
        <f>SUMIFS(Datos!$F:$F,Datos!$A:$A,$B9,Datos!$B:$B,CJ$3)</f>
        <v>0</v>
      </c>
      <c r="CK9" s="16">
        <f>SUMIFS(Datos!$F:$F,Datos!$A:$A,$B9,Datos!$B:$B,CK$3)</f>
        <v>0</v>
      </c>
      <c r="CL9" s="16">
        <f>SUMIFS(Datos!$F:$F,Datos!$A:$A,$B9,Datos!$B:$B,CL$3)</f>
        <v>0</v>
      </c>
      <c r="CM9" s="16">
        <f>SUMIFS(Datos!$F:$F,Datos!$A:$A,$B9,Datos!$B:$B,CM$3)</f>
        <v>0</v>
      </c>
      <c r="CN9" s="16">
        <f>SUMIFS(Datos!$F:$F,Datos!$A:$A,$B9,Datos!$B:$B,CN$3)</f>
        <v>0</v>
      </c>
      <c r="CO9" s="16">
        <f>SUMIFS(Datos!$F:$F,Datos!$A:$A,$B9,Datos!$B:$B,CO$3)</f>
        <v>0</v>
      </c>
      <c r="CP9" s="16">
        <f>SUMIFS(Datos!$F:$F,Datos!$A:$A,$B9,Datos!$B:$B,CP$3)</f>
        <v>0</v>
      </c>
      <c r="CQ9" s="16">
        <f>SUMIFS(Datos!$F:$F,Datos!$A:$A,$B9,Datos!$B:$B,CQ$3)</f>
        <v>0</v>
      </c>
      <c r="CR9" s="16">
        <f>SUMIFS(Datos!$F:$F,Datos!$A:$A,$B9,Datos!$B:$B,CR$3)</f>
        <v>0</v>
      </c>
      <c r="CS9" s="16">
        <f>SUMIFS(Datos!$F:$F,Datos!$A:$A,$B9,Datos!$B:$B,CS$3)</f>
        <v>0</v>
      </c>
      <c r="CT9" s="16">
        <f>SUMIFS(Datos!$F:$F,Datos!$A:$A,$B9,Datos!$B:$B,CT$3)</f>
        <v>0</v>
      </c>
      <c r="CU9" s="16">
        <f>SUMIFS(Datos!$F:$F,Datos!$A:$A,$B9,Datos!$B:$B,CU$3)</f>
        <v>0</v>
      </c>
      <c r="CV9" s="16">
        <f>SUMIFS(Datos!$F:$F,Datos!$A:$A,$B9,Datos!$B:$B,CV$3)</f>
        <v>0</v>
      </c>
      <c r="CW9" s="16">
        <f>SUMIFS(Datos!$F:$F,Datos!$A:$A,$B9,Datos!$B:$B,CW$3)</f>
        <v>0</v>
      </c>
      <c r="CX9" s="16">
        <f>SUMIFS(Datos!$F:$F,Datos!$A:$A,$B9,Datos!$B:$B,CX$3)</f>
        <v>0</v>
      </c>
      <c r="CY9" s="16">
        <f>SUMIFS(Datos!$F:$F,Datos!$A:$A,$B9,Datos!$B:$B,CY$3)</f>
        <v>0</v>
      </c>
      <c r="CZ9" s="16">
        <f>SUMIFS(Datos!$F:$F,Datos!$A:$A,$B9,Datos!$B:$B,CZ$3)</f>
        <v>0</v>
      </c>
      <c r="DA9" s="16">
        <f>SUMIFS(Datos!$F:$F,Datos!$A:$A,$B9,Datos!$B:$B,DA$3)</f>
        <v>0</v>
      </c>
      <c r="DB9" s="16">
        <f>SUMIFS(Datos!$F:$F,Datos!$A:$A,$B9,Datos!$B:$B,DB$3)</f>
        <v>0</v>
      </c>
      <c r="DC9" s="16">
        <f>SUMIFS(Datos!$F:$F,Datos!$A:$A,$B9,Datos!$B:$B,DC$3)</f>
        <v>0</v>
      </c>
      <c r="DD9" s="16">
        <f>SUMIFS(Datos!$F:$F,Datos!$A:$A,$B9,Datos!$B:$B,DD$3)</f>
        <v>0</v>
      </c>
      <c r="DE9" s="16">
        <f>SUMIFS(Datos!$F:$F,Datos!$A:$A,$B9,Datos!$B:$B,DE$3)</f>
        <v>0</v>
      </c>
      <c r="DF9" s="16">
        <f>SUMIFS(Datos!$F:$F,Datos!$A:$A,$B9,Datos!$B:$B,DF$3)</f>
        <v>0</v>
      </c>
      <c r="DG9" s="16">
        <f>SUMIFS(Datos!$F:$F,Datos!$A:$A,$B9,Datos!$B:$B,DG$3)</f>
        <v>0</v>
      </c>
      <c r="DH9" s="16">
        <f>SUMIFS(Datos!$F:$F,Datos!$A:$A,$B9,Datos!$B:$B,DH$3)</f>
        <v>0</v>
      </c>
      <c r="DI9" s="16">
        <f>SUMIFS(Datos!$F:$F,Datos!$A:$A,$B9,Datos!$B:$B,DI$3)</f>
        <v>0</v>
      </c>
      <c r="DJ9" s="16">
        <f>SUMIFS(Datos!$F:$F,Datos!$A:$A,$B9,Datos!$B:$B,DJ$3)</f>
        <v>0</v>
      </c>
      <c r="DK9" s="16">
        <f>SUMIFS(Datos!$F:$F,Datos!$A:$A,$B9,Datos!$B:$B,DK$3)</f>
        <v>0</v>
      </c>
      <c r="DL9" s="16">
        <f>SUMIFS(Datos!$F:$F,Datos!$A:$A,$B9,Datos!$B:$B,DL$3)</f>
        <v>0</v>
      </c>
      <c r="DM9" s="16">
        <f>SUMIFS(Datos!$F:$F,Datos!$A:$A,$B9,Datos!$B:$B,DM$3)</f>
        <v>0</v>
      </c>
      <c r="DN9" s="16">
        <f>SUMIFS(Datos!$F:$F,Datos!$A:$A,$B9,Datos!$B:$B,DN$3)</f>
        <v>0</v>
      </c>
      <c r="DO9" s="16">
        <f>SUMIFS(Datos!$F:$F,Datos!$A:$A,$B9,Datos!$B:$B,DO$3)</f>
        <v>0</v>
      </c>
      <c r="DP9" s="16">
        <f>SUMIFS(Datos!$F:$F,Datos!$A:$A,$B9,Datos!$B:$B,DP$3)</f>
        <v>0</v>
      </c>
      <c r="DQ9" s="16">
        <f>SUMIFS(Datos!$F:$F,Datos!$A:$A,$B9,Datos!$B:$B,DQ$3)</f>
        <v>0</v>
      </c>
      <c r="DR9" s="16">
        <f>SUMIFS(Datos!$F:$F,Datos!$A:$A,$B9,Datos!$B:$B,DR$3)</f>
        <v>0</v>
      </c>
      <c r="DS9" s="16">
        <f>SUMIFS(Datos!$F:$F,Datos!$A:$A,$B9,Datos!$B:$B,DS$3)</f>
        <v>0</v>
      </c>
      <c r="DT9" s="16">
        <f>SUMIFS(Datos!$F:$F,Datos!$A:$A,$B9,Datos!$B:$B,DT$3)</f>
        <v>0</v>
      </c>
      <c r="DU9" s="16">
        <f>SUMIFS(Datos!$F:$F,Datos!$A:$A,$B9,Datos!$B:$B,DU$3)</f>
        <v>0</v>
      </c>
      <c r="DV9" s="16">
        <f>SUMIFS(Datos!$F:$F,Datos!$A:$A,$B9,Datos!$B:$B,DV$3)</f>
        <v>0</v>
      </c>
      <c r="DW9" s="16">
        <f>SUMIFS(Datos!$F:$F,Datos!$A:$A,$B9,Datos!$B:$B,DW$3)</f>
        <v>0</v>
      </c>
      <c r="DX9" s="16">
        <f>SUMIFS(Datos!$F:$F,Datos!$A:$A,$B9,Datos!$B:$B,DX$3)</f>
        <v>0</v>
      </c>
      <c r="DY9" s="16">
        <f>SUMIFS(Datos!$F:$F,Datos!$A:$A,$B9,Datos!$B:$B,DY$3)</f>
        <v>0</v>
      </c>
      <c r="DZ9" s="16">
        <f>SUMIFS(Datos!$F:$F,Datos!$A:$A,$B9,Datos!$B:$B,DZ$3)</f>
        <v>0</v>
      </c>
      <c r="EA9" s="16">
        <f>SUMIFS(Datos!$F:$F,Datos!$A:$A,$B9,Datos!$B:$B,EA$3)</f>
        <v>0</v>
      </c>
      <c r="EB9" s="16">
        <f>SUMIFS(Datos!$F:$F,Datos!$A:$A,$B9,Datos!$B:$B,EB$3)</f>
        <v>0</v>
      </c>
      <c r="EC9" s="16">
        <f>SUMIFS(Datos!$F:$F,Datos!$A:$A,$B9,Datos!$B:$B,EC$3)</f>
        <v>0</v>
      </c>
      <c r="ED9" s="16">
        <f>SUMIFS(Datos!$F:$F,Datos!$A:$A,$B9,Datos!$B:$B,ED$3)</f>
        <v>0</v>
      </c>
      <c r="EE9" s="16">
        <f>SUMIFS(Datos!$F:$F,Datos!$A:$A,$B9,Datos!$B:$B,EE$3)</f>
        <v>0</v>
      </c>
      <c r="EF9" s="16">
        <f>SUMIFS(Datos!$F:$F,Datos!$A:$A,$B9,Datos!$B:$B,EF$3)</f>
        <v>0</v>
      </c>
      <c r="EG9" s="16">
        <f>SUMIFS(Datos!$F:$F,Datos!$A:$A,$B9,Datos!$B:$B,EG$3)</f>
        <v>0</v>
      </c>
      <c r="EH9" s="16">
        <f>SUMIFS(Datos!$F:$F,Datos!$A:$A,$B9,Datos!$B:$B,EH$3)</f>
        <v>0</v>
      </c>
      <c r="EI9" s="16">
        <f>SUMIFS(Datos!$F:$F,Datos!$A:$A,$B9,Datos!$B:$B,EI$3)</f>
        <v>0</v>
      </c>
      <c r="EJ9" s="16">
        <f>SUMIFS(Datos!$F:$F,Datos!$A:$A,$B9,Datos!$B:$B,EJ$3)</f>
        <v>0</v>
      </c>
      <c r="EK9" s="16">
        <f>SUMIFS(Datos!$F:$F,Datos!$A:$A,$B9,Datos!$B:$B,EK$3)</f>
        <v>0</v>
      </c>
      <c r="EL9" s="16">
        <f>SUMIFS(Datos!$F:$F,Datos!$A:$A,$B9,Datos!$B:$B,EL$3)</f>
        <v>0</v>
      </c>
      <c r="EM9" s="16">
        <f>SUMIFS(Datos!$F:$F,Datos!$A:$A,$B9,Datos!$B:$B,EM$3)</f>
        <v>0</v>
      </c>
      <c r="EN9" s="16">
        <f>SUMIFS(Datos!$F:$F,Datos!$A:$A,$B9,Datos!$B:$B,EN$3)</f>
        <v>0</v>
      </c>
      <c r="EO9" s="16">
        <f>SUMIFS(Datos!$F:$F,Datos!$A:$A,$B9,Datos!$B:$B,EO$3)</f>
        <v>0</v>
      </c>
      <c r="EP9" s="16">
        <f>SUMIFS(Datos!$F:$F,Datos!$A:$A,$B9,Datos!$B:$B,EP$3)</f>
        <v>0</v>
      </c>
      <c r="EQ9" s="16">
        <f>SUMIFS(Datos!$F:$F,Datos!$A:$A,$B9,Datos!$B:$B,EQ$3)</f>
        <v>0</v>
      </c>
      <c r="ER9" s="16">
        <f>SUMIFS(Datos!$F:$F,Datos!$A:$A,$B9,Datos!$B:$B,ER$3)</f>
        <v>0</v>
      </c>
      <c r="ES9" s="16">
        <f>SUMIFS(Datos!$F:$F,Datos!$A:$A,$B9,Datos!$B:$B,ES$3)</f>
        <v>0</v>
      </c>
      <c r="ET9" s="16">
        <f>SUMIFS(Datos!$F:$F,Datos!$A:$A,$B9,Datos!$B:$B,ET$3)</f>
        <v>0</v>
      </c>
      <c r="EU9" s="16">
        <f>SUMIFS(Datos!$F:$F,Datos!$A:$A,$B9,Datos!$B:$B,EU$3)</f>
        <v>0</v>
      </c>
      <c r="EV9" s="16">
        <f>SUMIFS(Datos!$F:$F,Datos!$A:$A,$B9,Datos!$B:$B,EV$3)</f>
        <v>0</v>
      </c>
      <c r="EW9" s="16">
        <f>SUMIFS(Datos!$F:$F,Datos!$A:$A,$B9,Datos!$B:$B,EW$3)</f>
        <v>0</v>
      </c>
      <c r="EX9" s="16">
        <f>SUMIFS(Datos!$F:$F,Datos!$A:$A,$B9,Datos!$B:$B,EX$3)</f>
        <v>0</v>
      </c>
      <c r="EY9" s="16">
        <f>SUMIFS(Datos!$F:$F,Datos!$A:$A,$B9,Datos!$B:$B,EY$3)</f>
        <v>0</v>
      </c>
      <c r="EZ9" s="16">
        <f>SUMIFS(Datos!$F:$F,Datos!$A:$A,$B9,Datos!$B:$B,EZ$3)</f>
        <v>0</v>
      </c>
      <c r="FA9" s="16">
        <f>SUMIFS(Datos!$F:$F,Datos!$A:$A,$B9,Datos!$B:$B,FA$3)</f>
        <v>0</v>
      </c>
      <c r="FB9" s="16">
        <f>SUMIFS(Datos!$F:$F,Datos!$A:$A,$B9,Datos!$B:$B,FB$3)</f>
        <v>0</v>
      </c>
      <c r="FC9" s="16">
        <f>SUMIFS(Datos!$F:$F,Datos!$A:$A,$B9,Datos!$B:$B,FC$3)</f>
        <v>0</v>
      </c>
      <c r="FD9" s="16">
        <f>SUMIFS(Datos!$F:$F,Datos!$A:$A,$B9,Datos!$B:$B,FD$3)</f>
        <v>0</v>
      </c>
      <c r="FE9" s="16">
        <f>SUMIFS(Datos!$F:$F,Datos!$A:$A,$B9,Datos!$B:$B,FE$3)</f>
        <v>0</v>
      </c>
      <c r="FF9" s="16">
        <f>SUMIFS(Datos!$F:$F,Datos!$A:$A,$B9,Datos!$B:$B,FF$3)</f>
        <v>0</v>
      </c>
      <c r="FG9" s="16">
        <f>SUMIFS(Datos!$F:$F,Datos!$A:$A,$B9,Datos!$B:$B,FG$3)</f>
        <v>0</v>
      </c>
      <c r="FH9" s="16">
        <f>SUMIFS(Datos!$F:$F,Datos!$A:$A,$B9,Datos!$B:$B,FH$3)</f>
        <v>0</v>
      </c>
      <c r="FI9" s="16">
        <f>SUMIFS(Datos!$F:$F,Datos!$A:$A,$B9,Datos!$B:$B,FI$3)</f>
        <v>0</v>
      </c>
      <c r="FJ9" s="16">
        <f>SUMIFS(Datos!$F:$F,Datos!$A:$A,$B9,Datos!$B:$B,FJ$3)</f>
        <v>0</v>
      </c>
      <c r="FK9" s="16">
        <f>SUMIFS(Datos!$F:$F,Datos!$A:$A,$B9,Datos!$B:$B,FK$3)</f>
        <v>0</v>
      </c>
      <c r="FL9" s="16">
        <f>SUMIFS(Datos!$F:$F,Datos!$A:$A,$B9,Datos!$B:$B,FL$3)</f>
        <v>0</v>
      </c>
      <c r="FM9" s="16">
        <f>SUMIFS(Datos!$F:$F,Datos!$A:$A,$B9,Datos!$B:$B,FM$3)</f>
        <v>0</v>
      </c>
      <c r="FN9" s="16">
        <f>SUMIFS(Datos!$F:$F,Datos!$A:$A,$B9,Datos!$B:$B,FN$3)</f>
        <v>0</v>
      </c>
      <c r="FO9" s="16">
        <f>SUMIFS(Datos!$F:$F,Datos!$A:$A,$B9,Datos!$B:$B,FO$3)</f>
        <v>0</v>
      </c>
      <c r="FP9" s="16">
        <f>SUMIFS(Datos!$F:$F,Datos!$A:$A,$B9,Datos!$B:$B,FP$3)</f>
        <v>0</v>
      </c>
      <c r="FQ9" s="16">
        <f>SUMIFS(Datos!$F:$F,Datos!$A:$A,$B9,Datos!$B:$B,FQ$3)</f>
        <v>0</v>
      </c>
      <c r="FR9" s="16">
        <f>SUMIFS(Datos!$F:$F,Datos!$A:$A,$B9,Datos!$B:$B,FR$3)</f>
        <v>0</v>
      </c>
      <c r="FS9" s="16">
        <f>SUMIFS(Datos!$F:$F,Datos!$A:$A,$B9,Datos!$B:$B,FS$3)</f>
        <v>0</v>
      </c>
      <c r="FT9" s="16">
        <f>SUMIFS(Datos!$F:$F,Datos!$A:$A,$B9,Datos!$B:$B,FT$3)</f>
        <v>0</v>
      </c>
      <c r="FU9" s="16">
        <f>SUMIFS(Datos!$F:$F,Datos!$A:$A,$B9,Datos!$B:$B,FU$3)</f>
        <v>0</v>
      </c>
      <c r="FV9" s="16">
        <f>SUMIFS(Datos!$F:$F,Datos!$A:$A,$B9,Datos!$B:$B,FV$3)</f>
        <v>0</v>
      </c>
      <c r="FW9" s="16">
        <f>SUMIFS(Datos!$F:$F,Datos!$A:$A,$B9,Datos!$B:$B,FW$3)</f>
        <v>0</v>
      </c>
      <c r="FX9" s="16">
        <f>SUMIFS(Datos!$F:$F,Datos!$A:$A,$B9,Datos!$B:$B,FX$3)</f>
        <v>0</v>
      </c>
      <c r="FY9" s="16">
        <f>SUMIFS(Datos!$F:$F,Datos!$A:$A,$B9,Datos!$B:$B,FY$3)</f>
        <v>0</v>
      </c>
      <c r="FZ9" s="16">
        <f>SUMIFS(Datos!$F:$F,Datos!$A:$A,$B9,Datos!$B:$B,FZ$3)</f>
        <v>0</v>
      </c>
      <c r="GA9" s="16">
        <f>SUMIFS(Datos!$F:$F,Datos!$A:$A,$B9,Datos!$B:$B,GA$3)</f>
        <v>0</v>
      </c>
      <c r="GB9" s="16">
        <f>SUMIFS(Datos!$F:$F,Datos!$A:$A,$B9,Datos!$B:$B,GB$3)</f>
        <v>0</v>
      </c>
      <c r="GC9" s="16">
        <f>SUMIFS(Datos!$F:$F,Datos!$A:$A,$B9,Datos!$B:$B,GC$3)</f>
        <v>0</v>
      </c>
      <c r="GD9" s="16">
        <f>SUMIFS(Datos!$F:$F,Datos!$A:$A,$B9,Datos!$B:$B,GD$3)</f>
        <v>0</v>
      </c>
      <c r="GE9" s="16">
        <f>SUMIFS(Datos!$F:$F,Datos!$A:$A,$B9,Datos!$B:$B,GE$3)</f>
        <v>0</v>
      </c>
      <c r="GF9" s="16">
        <f>SUMIFS(Datos!$F:$F,Datos!$A:$A,$B9,Datos!$B:$B,GF$3)</f>
        <v>0</v>
      </c>
      <c r="GG9" s="16">
        <f>SUMIFS(Datos!$F:$F,Datos!$A:$A,$B9,Datos!$B:$B,GG$3)</f>
        <v>0</v>
      </c>
      <c r="GH9" s="16">
        <f>SUMIFS(Datos!$F:$F,Datos!$A:$A,$B9,Datos!$B:$B,GH$3)</f>
        <v>0</v>
      </c>
      <c r="GI9" s="16">
        <f>SUMIFS(Datos!$F:$F,Datos!$A:$A,$B9,Datos!$B:$B,GI$3)</f>
        <v>0</v>
      </c>
      <c r="GJ9" s="16">
        <f>SUMIFS(Datos!$F:$F,Datos!$A:$A,$B9,Datos!$B:$B,GJ$3)</f>
        <v>0</v>
      </c>
      <c r="GK9" s="16">
        <f>SUMIFS(Datos!$F:$F,Datos!$A:$A,$B9,Datos!$B:$B,GK$3)</f>
        <v>0</v>
      </c>
      <c r="GL9" s="16">
        <f>SUMIFS(Datos!$F:$F,Datos!$A:$A,$B9,Datos!$B:$B,GL$3)</f>
        <v>0</v>
      </c>
      <c r="GM9" s="16">
        <f>SUMIFS(Datos!$F:$F,Datos!$A:$A,$B9,Datos!$B:$B,GM$3)</f>
        <v>0</v>
      </c>
      <c r="GN9" s="16">
        <f>SUMIFS(Datos!$F:$F,Datos!$A:$A,$B9,Datos!$B:$B,GN$3)</f>
        <v>0</v>
      </c>
      <c r="GO9" s="16">
        <f>SUMIFS(Datos!$F:$F,Datos!$A:$A,$B9,Datos!$B:$B,GO$3)</f>
        <v>0</v>
      </c>
      <c r="GP9" s="16">
        <f>SUMIFS(Datos!$F:$F,Datos!$A:$A,$B9,Datos!$B:$B,GP$3)</f>
        <v>0</v>
      </c>
      <c r="GQ9" s="16">
        <f>SUMIFS(Datos!$F:$F,Datos!$A:$A,$B9,Datos!$B:$B,GQ$3)</f>
        <v>0</v>
      </c>
      <c r="GR9" s="16">
        <f>SUMIFS(Datos!$F:$F,Datos!$A:$A,$B9,Datos!$B:$B,GR$3)</f>
        <v>0</v>
      </c>
      <c r="GS9" s="16">
        <f>SUMIFS(Datos!$F:$F,Datos!$A:$A,$B9,Datos!$B:$B,GS$3)</f>
        <v>0</v>
      </c>
      <c r="GT9" s="16">
        <f>SUMIFS(Datos!$F:$F,Datos!$A:$A,$B9,Datos!$B:$B,GT$3)</f>
        <v>0</v>
      </c>
      <c r="GU9" s="16">
        <f>SUMIFS(Datos!$F:$F,Datos!$A:$A,$B9,Datos!$B:$B,GU$3)</f>
        <v>0</v>
      </c>
      <c r="GV9" s="16">
        <f>SUMIFS(Datos!$F:$F,Datos!$A:$A,$B9,Datos!$B:$B,GV$3)</f>
        <v>0</v>
      </c>
      <c r="GW9" s="16">
        <f>SUMIFS(Datos!$F:$F,Datos!$A:$A,$B9,Datos!$B:$B,GW$3)</f>
        <v>0</v>
      </c>
      <c r="GX9" s="16">
        <f>SUMIFS(Datos!$F:$F,Datos!$A:$A,$B9,Datos!$B:$B,GX$3)</f>
        <v>0</v>
      </c>
      <c r="GY9" s="16">
        <f>SUMIFS(Datos!$F:$F,Datos!$A:$A,$B9,Datos!$B:$B,GY$3)</f>
        <v>0</v>
      </c>
      <c r="GZ9" s="16">
        <f>SUMIFS(Datos!$F:$F,Datos!$A:$A,$B9,Datos!$B:$B,GZ$3)</f>
        <v>0</v>
      </c>
      <c r="HA9" s="16">
        <f>SUMIFS(Datos!$F:$F,Datos!$A:$A,$B9,Datos!$B:$B,HA$3)</f>
        <v>0</v>
      </c>
      <c r="HB9" s="16">
        <f>SUMIFS(Datos!$F:$F,Datos!$A:$A,$B9,Datos!$B:$B,HB$3)</f>
        <v>0</v>
      </c>
      <c r="HC9" s="16">
        <f>SUMIFS(Datos!$F:$F,Datos!$A:$A,$B9,Datos!$B:$B,HC$3)</f>
        <v>0</v>
      </c>
      <c r="HD9" s="16">
        <f>SUMIFS(Datos!$F:$F,Datos!$A:$A,$B9,Datos!$B:$B,HD$3)</f>
        <v>0</v>
      </c>
      <c r="HE9" s="16">
        <f>SUMIFS(Datos!$F:$F,Datos!$A:$A,$B9,Datos!$B:$B,HE$3)</f>
        <v>0</v>
      </c>
      <c r="HF9" s="16">
        <f>SUMIFS(Datos!$F:$F,Datos!$A:$A,$B9,Datos!$B:$B,HF$3)</f>
        <v>0</v>
      </c>
      <c r="HG9" s="16">
        <f>SUMIFS(Datos!$F:$F,Datos!$A:$A,$B9,Datos!$B:$B,HG$3)</f>
        <v>0</v>
      </c>
      <c r="HH9" s="16">
        <f>SUMIFS(Datos!$F:$F,Datos!$A:$A,$B9,Datos!$B:$B,HH$3)</f>
        <v>0</v>
      </c>
      <c r="HI9" s="16">
        <f>SUMIFS(Datos!$F:$F,Datos!$A:$A,$B9,Datos!$B:$B,HI$3)</f>
        <v>0</v>
      </c>
      <c r="HJ9" s="16">
        <f>SUMIFS(Datos!$F:$F,Datos!$A:$A,$B9,Datos!$B:$B,HJ$3)</f>
        <v>0</v>
      </c>
      <c r="HK9" s="16">
        <f>SUMIFS(Datos!$F:$F,Datos!$A:$A,$B9,Datos!$B:$B,HK$3)</f>
        <v>0</v>
      </c>
      <c r="HL9" s="16">
        <f>SUMIFS(Datos!$F:$F,Datos!$A:$A,$B9,Datos!$B:$B,HL$3)</f>
        <v>0</v>
      </c>
      <c r="HM9" s="16">
        <f>SUMIFS(Datos!$F:$F,Datos!$A:$A,$B9,Datos!$B:$B,HM$3)</f>
        <v>0</v>
      </c>
      <c r="HN9" s="16">
        <f>SUMIFS(Datos!$F:$F,Datos!$A:$A,$B9,Datos!$B:$B,HN$3)</f>
        <v>0</v>
      </c>
      <c r="HO9" s="16">
        <f>SUMIFS(Datos!$F:$F,Datos!$A:$A,$B9,Datos!$B:$B,HO$3)</f>
        <v>0</v>
      </c>
      <c r="HP9" s="16">
        <f>SUMIFS(Datos!$F:$F,Datos!$A:$A,$B9,Datos!$B:$B,HP$3)</f>
        <v>0</v>
      </c>
      <c r="HQ9" s="16">
        <f>SUMIFS(Datos!$F:$F,Datos!$A:$A,$B9,Datos!$B:$B,HQ$3)</f>
        <v>0</v>
      </c>
      <c r="HR9" s="16">
        <f>SUMIFS(Datos!$F:$F,Datos!$A:$A,$B9,Datos!$B:$B,HR$3)</f>
        <v>0</v>
      </c>
      <c r="HS9" s="16">
        <f>SUMIFS(Datos!$F:$F,Datos!$A:$A,$B9,Datos!$B:$B,HS$3)</f>
        <v>0</v>
      </c>
      <c r="HT9" s="16">
        <f>SUMIFS(Datos!$F:$F,Datos!$A:$A,$B9,Datos!$B:$B,HT$3)</f>
        <v>0</v>
      </c>
      <c r="HU9" s="16">
        <f>SUMIFS(Datos!$F:$F,Datos!$A:$A,$B9,Datos!$B:$B,HU$3)</f>
        <v>0</v>
      </c>
      <c r="HV9" s="16">
        <f>SUMIFS(Datos!$F:$F,Datos!$A:$A,$B9,Datos!$B:$B,HV$3)</f>
        <v>0</v>
      </c>
      <c r="HW9" s="16">
        <f>SUMIFS(Datos!$F:$F,Datos!$A:$A,$B9,Datos!$B:$B,HW$3)</f>
        <v>0</v>
      </c>
      <c r="HX9" s="16">
        <f>SUMIFS(Datos!$F:$F,Datos!$A:$A,$B9,Datos!$B:$B,HX$3)</f>
        <v>0</v>
      </c>
      <c r="HY9" s="16">
        <f>SUMIFS(Datos!$F:$F,Datos!$A:$A,$B9,Datos!$B:$B,HY$3)</f>
        <v>0</v>
      </c>
      <c r="HZ9" s="16">
        <f>SUMIFS(Datos!$F:$F,Datos!$A:$A,$B9,Datos!$B:$B,HZ$3)</f>
        <v>0</v>
      </c>
      <c r="IA9" s="16">
        <f>SUMIFS(Datos!$F:$F,Datos!$A:$A,$B9,Datos!$B:$B,IA$3)</f>
        <v>0</v>
      </c>
      <c r="IB9" s="16">
        <f>SUMIFS(Datos!$F:$F,Datos!$A:$A,$B9,Datos!$B:$B,IB$3)</f>
        <v>0</v>
      </c>
      <c r="IC9" s="16">
        <f>SUMIFS(Datos!$F:$F,Datos!$A:$A,$B9,Datos!$B:$B,IC$3)</f>
        <v>0</v>
      </c>
      <c r="ID9" s="16">
        <f>SUMIFS(Datos!$F:$F,Datos!$A:$A,$B9,Datos!$B:$B,ID$3)</f>
        <v>0</v>
      </c>
      <c r="IE9" s="16">
        <f>SUMIFS(Datos!$F:$F,Datos!$A:$A,$B9,Datos!$B:$B,IE$3)</f>
        <v>0</v>
      </c>
      <c r="IF9" s="16">
        <f>SUMIFS(Datos!$F:$F,Datos!$A:$A,$B9,Datos!$B:$B,IF$3)</f>
        <v>0</v>
      </c>
      <c r="IG9" s="16">
        <f>SUMIFS(Datos!$F:$F,Datos!$A:$A,$B9,Datos!$B:$B,IG$3)</f>
        <v>0</v>
      </c>
      <c r="IH9" s="16">
        <f>SUMIFS(Datos!$F:$F,Datos!$A:$A,$B9,Datos!$B:$B,IH$3)</f>
        <v>0</v>
      </c>
      <c r="II9" s="16">
        <f>SUMIFS(Datos!$F:$F,Datos!$A:$A,$B9,Datos!$B:$B,II$3)</f>
        <v>0</v>
      </c>
      <c r="IJ9" s="16">
        <f>SUMIFS(Datos!$F:$F,Datos!$A:$A,$B9,Datos!$B:$B,IJ$3)</f>
        <v>0</v>
      </c>
      <c r="IK9" s="16">
        <f>SUMIFS(Datos!$F:$F,Datos!$A:$A,$B9,Datos!$B:$B,IK$3)</f>
        <v>0</v>
      </c>
      <c r="IL9" s="16">
        <f>SUMIFS(Datos!$F:$F,Datos!$A:$A,$B9,Datos!$B:$B,IL$3)</f>
        <v>0</v>
      </c>
      <c r="IM9" s="16">
        <f>SUMIFS(Datos!$F:$F,Datos!$A:$A,$B9,Datos!$B:$B,IM$3)</f>
        <v>0</v>
      </c>
      <c r="IN9" s="16">
        <f>SUMIFS(Datos!$F:$F,Datos!$A:$A,$B9,Datos!$B:$B,IN$3)</f>
        <v>0</v>
      </c>
      <c r="IO9" s="16">
        <f>SUMIFS(Datos!$F:$F,Datos!$A:$A,$B9,Datos!$B:$B,IO$3)</f>
        <v>0</v>
      </c>
      <c r="IP9" s="16">
        <f>SUMIFS(Datos!$F:$F,Datos!$A:$A,$B9,Datos!$B:$B,IP$3)</f>
        <v>0</v>
      </c>
      <c r="IQ9" s="16">
        <f>SUMIFS(Datos!$F:$F,Datos!$A:$A,$B9,Datos!$B:$B,IQ$3)</f>
        <v>0</v>
      </c>
      <c r="IR9" s="16">
        <f>SUMIFS(Datos!$F:$F,Datos!$A:$A,$B9,Datos!$B:$B,IR$3)</f>
        <v>0</v>
      </c>
      <c r="IS9" s="16">
        <f>SUMIFS(Datos!$F:$F,Datos!$A:$A,$B9,Datos!$B:$B,IS$3)</f>
        <v>0</v>
      </c>
      <c r="IT9" s="16">
        <f>SUMIFS(Datos!$F:$F,Datos!$A:$A,$B9,Datos!$B:$B,IT$3)</f>
        <v>0</v>
      </c>
      <c r="IU9" s="16">
        <f>SUMIFS(Datos!$F:$F,Datos!$A:$A,$B9,Datos!$B:$B,IU$3)</f>
        <v>0</v>
      </c>
      <c r="IV9" s="16">
        <f>SUMIFS(Datos!$F:$F,Datos!$A:$A,$B9,Datos!$B:$B,IV$3)</f>
        <v>0</v>
      </c>
      <c r="IW9" s="16">
        <f>SUMIFS(Datos!$F:$F,Datos!$A:$A,$B9,Datos!$B:$B,IW$3)</f>
        <v>0</v>
      </c>
      <c r="IX9" s="16">
        <f>SUMIFS(Datos!$F:$F,Datos!$A:$A,$B9,Datos!$B:$B,IX$3)</f>
        <v>0</v>
      </c>
      <c r="IY9" s="16">
        <f>SUMIFS(Datos!$F:$F,Datos!$A:$A,$B9,Datos!$B:$B,IY$3)</f>
        <v>0</v>
      </c>
      <c r="IZ9" s="16">
        <f>SUMIFS(Datos!$F:$F,Datos!$A:$A,$B9,Datos!$B:$B,IZ$3)</f>
        <v>0</v>
      </c>
      <c r="JA9" s="16">
        <f>SUMIFS(Datos!$F:$F,Datos!$A:$A,$B9,Datos!$B:$B,JA$3)</f>
        <v>0</v>
      </c>
      <c r="JB9" s="16">
        <f>SUMIFS(Datos!$F:$F,Datos!$A:$A,$B9,Datos!$B:$B,JB$3)</f>
        <v>0</v>
      </c>
      <c r="JC9" s="16">
        <f>SUMIFS(Datos!$F:$F,Datos!$A:$A,$B9,Datos!$B:$B,JC$3)</f>
        <v>0</v>
      </c>
      <c r="JD9" s="16">
        <f>SUMIFS(Datos!$F:$F,Datos!$A:$A,$B9,Datos!$B:$B,JD$3)</f>
        <v>0</v>
      </c>
      <c r="JE9" s="16">
        <f>SUMIFS(Datos!$F:$F,Datos!$A:$A,$B9,Datos!$B:$B,JE$3)</f>
        <v>0</v>
      </c>
      <c r="JF9" s="16">
        <f>SUMIFS(Datos!$F:$F,Datos!$A:$A,$B9,Datos!$B:$B,JF$3)</f>
        <v>0</v>
      </c>
      <c r="JG9" s="16">
        <f>SUMIFS(Datos!$F:$F,Datos!$A:$A,$B9,Datos!$B:$B,JG$3)</f>
        <v>0</v>
      </c>
      <c r="JH9" s="16">
        <f>SUMIFS(Datos!$F:$F,Datos!$A:$A,$B9,Datos!$B:$B,JH$3)</f>
        <v>0</v>
      </c>
      <c r="JI9" s="16">
        <f>SUMIFS(Datos!$F:$F,Datos!$A:$A,$B9,Datos!$B:$B,JI$3)</f>
        <v>0</v>
      </c>
      <c r="JJ9" s="16">
        <f>SUMIFS(Datos!$F:$F,Datos!$A:$A,$B9,Datos!$B:$B,JJ$3)</f>
        <v>0</v>
      </c>
      <c r="JK9" s="16">
        <f>SUMIFS(Datos!$F:$F,Datos!$A:$A,$B9,Datos!$B:$B,JK$3)</f>
        <v>0</v>
      </c>
      <c r="JL9" s="16">
        <f>SUMIFS(Datos!$F:$F,Datos!$A:$A,$B9,Datos!$B:$B,JL$3)</f>
        <v>0</v>
      </c>
      <c r="JM9" s="16">
        <f>SUMIFS(Datos!$F:$F,Datos!$A:$A,$B9,Datos!$B:$B,JM$3)</f>
        <v>0</v>
      </c>
      <c r="JN9" s="16">
        <f>SUMIFS(Datos!$F:$F,Datos!$A:$A,$B9,Datos!$B:$B,JN$3)</f>
        <v>0</v>
      </c>
      <c r="JO9" s="16">
        <f>SUMIFS(Datos!$F:$F,Datos!$A:$A,$B9,Datos!$B:$B,JO$3)</f>
        <v>0</v>
      </c>
      <c r="JP9" s="16">
        <f>SUMIFS(Datos!$F:$F,Datos!$A:$A,$B9,Datos!$B:$B,JP$3)</f>
        <v>0</v>
      </c>
      <c r="JQ9" s="16">
        <f>SUMIFS(Datos!$F:$F,Datos!$A:$A,$B9,Datos!$B:$B,JQ$3)</f>
        <v>0</v>
      </c>
      <c r="JR9" s="16">
        <f>SUMIFS(Datos!$F:$F,Datos!$A:$A,$B9,Datos!$B:$B,JR$3)</f>
        <v>0</v>
      </c>
      <c r="JS9" s="16">
        <f>SUMIFS(Datos!$F:$F,Datos!$A:$A,$B9,Datos!$B:$B,JS$3)</f>
        <v>0</v>
      </c>
      <c r="JT9" s="16">
        <f>SUMIFS(Datos!$F:$F,Datos!$A:$A,$B9,Datos!$B:$B,JT$3)</f>
        <v>0</v>
      </c>
      <c r="JU9" s="16">
        <f>SUMIFS(Datos!$F:$F,Datos!$A:$A,$B9,Datos!$B:$B,JU$3)</f>
        <v>0</v>
      </c>
      <c r="JV9" s="16">
        <f>SUMIFS(Datos!$F:$F,Datos!$A:$A,$B9,Datos!$B:$B,JV$3)</f>
        <v>0</v>
      </c>
      <c r="JW9" s="16">
        <f>SUMIFS(Datos!$F:$F,Datos!$A:$A,$B9,Datos!$B:$B,JW$3)</f>
        <v>0</v>
      </c>
      <c r="JX9" s="16">
        <f>SUMIFS(Datos!$F:$F,Datos!$A:$A,$B9,Datos!$B:$B,JX$3)</f>
        <v>0</v>
      </c>
      <c r="JY9" s="16">
        <f>SUMIFS(Datos!$F:$F,Datos!$A:$A,$B9,Datos!$B:$B,JY$3)</f>
        <v>0</v>
      </c>
      <c r="JZ9" s="16">
        <f>SUMIFS(Datos!$F:$F,Datos!$A:$A,$B9,Datos!$B:$B,JZ$3)</f>
        <v>0</v>
      </c>
      <c r="KA9" s="16">
        <f>SUMIFS(Datos!$F:$F,Datos!$A:$A,$B9,Datos!$B:$B,KA$3)</f>
        <v>0</v>
      </c>
      <c r="KB9" s="16">
        <f>SUMIFS(Datos!$F:$F,Datos!$A:$A,$B9,Datos!$B:$B,KB$3)</f>
        <v>0</v>
      </c>
      <c r="KC9" s="16">
        <f>SUMIFS(Datos!$F:$F,Datos!$A:$A,$B9,Datos!$B:$B,KC$3)</f>
        <v>0</v>
      </c>
      <c r="KD9" s="16">
        <f>SUMIFS(Datos!$F:$F,Datos!$A:$A,$B9,Datos!$B:$B,KD$3)</f>
        <v>0</v>
      </c>
      <c r="KE9" s="16">
        <f>SUMIFS(Datos!$F:$F,Datos!$A:$A,$B9,Datos!$B:$B,KE$3)</f>
        <v>0</v>
      </c>
      <c r="KF9" s="16">
        <f>SUMIFS(Datos!$F:$F,Datos!$A:$A,$B9,Datos!$B:$B,KF$3)</f>
        <v>0</v>
      </c>
      <c r="KG9" s="16">
        <f>SUMIFS(Datos!$F:$F,Datos!$A:$A,$B9,Datos!$B:$B,KG$3)</f>
        <v>0</v>
      </c>
      <c r="KH9" s="16">
        <f>SUMIFS(Datos!$F:$F,Datos!$A:$A,$B9,Datos!$B:$B,KH$3)</f>
        <v>0</v>
      </c>
      <c r="KI9" s="16">
        <f>SUMIFS(Datos!$F:$F,Datos!$A:$A,$B9,Datos!$B:$B,KI$3)</f>
        <v>0</v>
      </c>
      <c r="KJ9" s="16">
        <f>SUMIFS(Datos!$F:$F,Datos!$A:$A,$B9,Datos!$B:$B,KJ$3)</f>
        <v>0</v>
      </c>
      <c r="KK9" s="16">
        <f>SUMIFS(Datos!$F:$F,Datos!$A:$A,$B9,Datos!$B:$B,KK$3)</f>
        <v>0</v>
      </c>
      <c r="KL9" s="16">
        <f>SUMIFS(Datos!$F:$F,Datos!$A:$A,$B9,Datos!$B:$B,KL$3)</f>
        <v>0</v>
      </c>
      <c r="KM9" s="16">
        <f>SUMIFS(Datos!$F:$F,Datos!$A:$A,$B9,Datos!$B:$B,KM$3)</f>
        <v>0</v>
      </c>
      <c r="KN9" s="16">
        <f>SUMIFS(Datos!$F:$F,Datos!$A:$A,$B9,Datos!$B:$B,KN$3)</f>
        <v>0</v>
      </c>
      <c r="KO9" s="16">
        <f>SUMIFS(Datos!$F:$F,Datos!$A:$A,$B9,Datos!$B:$B,KO$3)</f>
        <v>0</v>
      </c>
      <c r="KP9" s="16">
        <f>SUMIFS(Datos!$F:$F,Datos!$A:$A,$B9,Datos!$B:$B,KP$3)</f>
        <v>0</v>
      </c>
      <c r="KQ9" s="16">
        <f>SUMIFS(Datos!$F:$F,Datos!$A:$A,$B9,Datos!$B:$B,KQ$3)</f>
        <v>0</v>
      </c>
      <c r="KR9" s="16">
        <f>SUMIFS(Datos!$F:$F,Datos!$A:$A,$B9,Datos!$B:$B,KR$3)</f>
        <v>0</v>
      </c>
      <c r="KS9" s="16">
        <f>SUMIFS(Datos!$F:$F,Datos!$A:$A,$B9,Datos!$B:$B,KS$3)</f>
        <v>0</v>
      </c>
      <c r="KT9" s="16">
        <f>SUMIFS(Datos!$F:$F,Datos!$A:$A,$B9,Datos!$B:$B,KT$3)</f>
        <v>0</v>
      </c>
      <c r="KU9" s="16">
        <f>SUMIFS(Datos!$F:$F,Datos!$A:$A,$B9,Datos!$B:$B,KU$3)</f>
        <v>0</v>
      </c>
      <c r="KV9" s="16">
        <f>SUMIFS(Datos!$F:$F,Datos!$A:$A,$B9,Datos!$B:$B,KV$3)</f>
        <v>0</v>
      </c>
      <c r="KW9" s="16">
        <f>SUMIFS(Datos!$F:$F,Datos!$A:$A,$B9,Datos!$B:$B,KW$3)</f>
        <v>0</v>
      </c>
      <c r="KX9" s="16">
        <f>SUMIFS(Datos!$F:$F,Datos!$A:$A,$B9,Datos!$B:$B,KX$3)</f>
        <v>0</v>
      </c>
      <c r="KY9" s="16">
        <f>SUMIFS(Datos!$F:$F,Datos!$A:$A,$B9,Datos!$B:$B,KY$3)</f>
        <v>0</v>
      </c>
      <c r="KZ9" s="16">
        <f>SUMIFS(Datos!$F:$F,Datos!$A:$A,$B9,Datos!$B:$B,KZ$3)</f>
        <v>0</v>
      </c>
      <c r="LA9" s="16">
        <f>SUMIFS(Datos!$F:$F,Datos!$A:$A,$B9,Datos!$B:$B,LA$3)</f>
        <v>0</v>
      </c>
      <c r="LB9" s="16">
        <f>SUMIFS(Datos!$F:$F,Datos!$A:$A,$B9,Datos!$B:$B,LB$3)</f>
        <v>0</v>
      </c>
      <c r="LC9" s="16">
        <f>SUMIFS(Datos!$F:$F,Datos!$A:$A,$B9,Datos!$B:$B,LC$3)</f>
        <v>0</v>
      </c>
      <c r="LD9" s="16">
        <f>SUMIFS(Datos!$F:$F,Datos!$A:$A,$B9,Datos!$B:$B,LD$3)</f>
        <v>0</v>
      </c>
      <c r="LE9" s="16">
        <f>SUMIFS(Datos!$F:$F,Datos!$A:$A,$B9,Datos!$B:$B,LE$3)</f>
        <v>0</v>
      </c>
      <c r="LF9" s="16">
        <f>SUMIFS(Datos!$F:$F,Datos!$A:$A,$B9,Datos!$B:$B,LF$3)</f>
        <v>0</v>
      </c>
      <c r="LG9" s="16">
        <f>SUMIFS(Datos!$F:$F,Datos!$A:$A,$B9,Datos!$B:$B,LG$3)</f>
        <v>0</v>
      </c>
      <c r="LH9" s="16">
        <f>SUMIFS(Datos!$F:$F,Datos!$A:$A,$B9,Datos!$B:$B,LH$3)</f>
        <v>0</v>
      </c>
      <c r="LI9" s="16">
        <f>SUMIFS(Datos!$F:$F,Datos!$A:$A,$B9,Datos!$B:$B,LI$3)</f>
        <v>0</v>
      </c>
      <c r="LJ9" s="16">
        <f>SUMIFS(Datos!$F:$F,Datos!$A:$A,$B9,Datos!$B:$B,LJ$3)</f>
        <v>0</v>
      </c>
      <c r="LK9" s="16">
        <f>SUMIFS(Datos!$F:$F,Datos!$A:$A,$B9,Datos!$B:$B,LK$3)</f>
        <v>0</v>
      </c>
      <c r="LL9" s="16">
        <f>SUMIFS(Datos!$F:$F,Datos!$A:$A,$B9,Datos!$B:$B,LL$3)</f>
        <v>0</v>
      </c>
      <c r="LM9" s="16">
        <f>SUMIFS(Datos!$F:$F,Datos!$A:$A,$B9,Datos!$B:$B,LM$3)</f>
        <v>0</v>
      </c>
      <c r="LN9" s="16">
        <f>SUMIFS(Datos!$F:$F,Datos!$A:$A,$B9,Datos!$B:$B,LN$3)</f>
        <v>0</v>
      </c>
      <c r="LO9" s="16">
        <f>SUMIFS(Datos!$F:$F,Datos!$A:$A,$B9,Datos!$B:$B,LO$3)</f>
        <v>0</v>
      </c>
      <c r="LP9" s="16">
        <f>SUMIFS(Datos!$F:$F,Datos!$A:$A,$B9,Datos!$B:$B,LP$3)</f>
        <v>0</v>
      </c>
      <c r="LQ9" s="16">
        <f>SUMIFS(Datos!$F:$F,Datos!$A:$A,$B9,Datos!$B:$B,LQ$3)</f>
        <v>0</v>
      </c>
      <c r="LR9" s="16">
        <f>SUMIFS(Datos!$F:$F,Datos!$A:$A,$B9,Datos!$B:$B,LR$3)</f>
        <v>0</v>
      </c>
      <c r="LS9" s="16">
        <f>SUMIFS(Datos!$F:$F,Datos!$A:$A,$B9,Datos!$B:$B,LS$3)</f>
        <v>0</v>
      </c>
      <c r="LT9" s="16">
        <f>SUMIFS(Datos!$F:$F,Datos!$A:$A,$B9,Datos!$B:$B,LT$3)</f>
        <v>0</v>
      </c>
      <c r="LU9" s="16">
        <f>SUMIFS(Datos!$F:$F,Datos!$A:$A,$B9,Datos!$B:$B,LU$3)</f>
        <v>0</v>
      </c>
      <c r="LV9" s="16">
        <f>SUMIFS(Datos!$F:$F,Datos!$A:$A,$B9,Datos!$B:$B,LV$3)</f>
        <v>0</v>
      </c>
      <c r="LW9" s="16">
        <f>SUMIFS(Datos!$F:$F,Datos!$A:$A,$B9,Datos!$B:$B,LW$3)</f>
        <v>0</v>
      </c>
      <c r="LX9" s="16">
        <f>SUMIFS(Datos!$F:$F,Datos!$A:$A,$B9,Datos!$B:$B,LX$3)</f>
        <v>0</v>
      </c>
      <c r="LY9" s="16">
        <f>SUMIFS(Datos!$F:$F,Datos!$A:$A,$B9,Datos!$B:$B,LY$3)</f>
        <v>0</v>
      </c>
      <c r="LZ9" s="16">
        <f>SUMIFS(Datos!$F:$F,Datos!$A:$A,$B9,Datos!$B:$B,LZ$3)</f>
        <v>0</v>
      </c>
      <c r="MA9" s="16">
        <f>SUMIFS(Datos!$F:$F,Datos!$A:$A,$B9,Datos!$B:$B,MA$3)</f>
        <v>0</v>
      </c>
      <c r="MB9" s="16">
        <f>SUMIFS(Datos!$F:$F,Datos!$A:$A,$B9,Datos!$B:$B,MB$3)</f>
        <v>0</v>
      </c>
      <c r="MC9" s="16">
        <f>SUMIFS(Datos!$F:$F,Datos!$A:$A,$B9,Datos!$B:$B,MC$3)</f>
        <v>0</v>
      </c>
      <c r="MD9" s="16">
        <f>SUMIFS(Datos!$F:$F,Datos!$A:$A,$B9,Datos!$B:$B,MD$3)</f>
        <v>0</v>
      </c>
      <c r="ME9" s="16">
        <f>SUMIFS(Datos!$F:$F,Datos!$A:$A,$B9,Datos!$B:$B,ME$3)</f>
        <v>0</v>
      </c>
      <c r="MF9" s="16">
        <f>SUMIFS(Datos!$F:$F,Datos!$A:$A,$B9,Datos!$B:$B,MF$3)</f>
        <v>0</v>
      </c>
      <c r="MG9" s="16">
        <f>SUMIFS(Datos!$F:$F,Datos!$A:$A,$B9,Datos!$B:$B,MG$3)</f>
        <v>0</v>
      </c>
      <c r="MH9" s="16">
        <f>SUMIFS(Datos!$F:$F,Datos!$A:$A,$B9,Datos!$B:$B,MH$3)</f>
        <v>0</v>
      </c>
      <c r="MI9" s="16">
        <f>SUMIFS(Datos!$F:$F,Datos!$A:$A,$B9,Datos!$B:$B,MI$3)</f>
        <v>0</v>
      </c>
      <c r="MJ9" s="16">
        <f>SUMIFS(Datos!$F:$F,Datos!$A:$A,$B9,Datos!$B:$B,MJ$3)</f>
        <v>0</v>
      </c>
      <c r="MK9" s="16">
        <f>SUMIFS(Datos!$F:$F,Datos!$A:$A,$B9,Datos!$B:$B,MK$3)</f>
        <v>0</v>
      </c>
      <c r="ML9" s="16">
        <f>SUMIFS(Datos!$F:$F,Datos!$A:$A,$B9,Datos!$B:$B,ML$3)</f>
        <v>0</v>
      </c>
      <c r="MM9" s="16">
        <f>SUMIFS(Datos!$F:$F,Datos!$A:$A,$B9,Datos!$B:$B,MM$3)</f>
        <v>0</v>
      </c>
      <c r="MN9" s="16">
        <f>SUMIFS(Datos!$F:$F,Datos!$A:$A,$B9,Datos!$B:$B,MN$3)</f>
        <v>0</v>
      </c>
      <c r="MO9" s="16">
        <f>SUMIFS(Datos!$F:$F,Datos!$A:$A,$B9,Datos!$B:$B,MO$3)</f>
        <v>0</v>
      </c>
      <c r="MP9" s="16">
        <f>SUMIFS(Datos!$F:$F,Datos!$A:$A,$B9,Datos!$B:$B,MP$3)</f>
        <v>0</v>
      </c>
      <c r="MQ9" s="16">
        <f>SUMIFS(Datos!$F:$F,Datos!$A:$A,$B9,Datos!$B:$B,MQ$3)</f>
        <v>0</v>
      </c>
      <c r="MR9" s="16">
        <f>SUMIFS(Datos!$F:$F,Datos!$A:$A,$B9,Datos!$B:$B,MR$3)</f>
        <v>0</v>
      </c>
      <c r="MS9" s="16">
        <f>SUMIFS(Datos!$F:$F,Datos!$A:$A,$B9,Datos!$B:$B,MS$3)</f>
        <v>0</v>
      </c>
      <c r="MT9" s="16">
        <f>SUMIFS(Datos!$F:$F,Datos!$A:$A,$B9,Datos!$B:$B,MT$3)</f>
        <v>0</v>
      </c>
      <c r="MU9" s="16">
        <f>SUMIFS(Datos!$F:$F,Datos!$A:$A,$B9,Datos!$B:$B,MU$3)</f>
        <v>0</v>
      </c>
      <c r="MV9" s="16">
        <f>SUMIFS(Datos!$F:$F,Datos!$A:$A,$B9,Datos!$B:$B,MV$3)</f>
        <v>0</v>
      </c>
      <c r="MW9" s="16">
        <f>SUMIFS(Datos!$F:$F,Datos!$A:$A,$B9,Datos!$B:$B,MW$3)</f>
        <v>0</v>
      </c>
      <c r="MX9" s="16">
        <f>SUMIFS(Datos!$F:$F,Datos!$A:$A,$B9,Datos!$B:$B,MX$3)</f>
        <v>0</v>
      </c>
      <c r="MY9" s="16">
        <f>SUMIFS(Datos!$F:$F,Datos!$A:$A,$B9,Datos!$B:$B,MY$3)</f>
        <v>0</v>
      </c>
      <c r="MZ9" s="16">
        <f>SUMIFS(Datos!$F:$F,Datos!$A:$A,$B9,Datos!$B:$B,MZ$3)</f>
        <v>0</v>
      </c>
      <c r="NA9" s="16">
        <f>SUMIFS(Datos!$F:$F,Datos!$A:$A,$B9,Datos!$B:$B,NA$3)</f>
        <v>0</v>
      </c>
      <c r="NB9" s="16">
        <f>SUMIFS(Datos!$F:$F,Datos!$A:$A,$B9,Datos!$B:$B,NB$3)</f>
        <v>0</v>
      </c>
      <c r="NC9" s="16">
        <f>SUMIFS(Datos!$F:$F,Datos!$A:$A,$B9,Datos!$B:$B,NC$3)</f>
        <v>0</v>
      </c>
      <c r="ND9" s="16">
        <f>SUMIFS(Datos!$F:$F,Datos!$A:$A,$B9,Datos!$B:$B,ND$3)</f>
        <v>0</v>
      </c>
      <c r="NE9" s="16">
        <f>SUMIFS(Datos!$F:$F,Datos!$A:$A,$B9,Datos!$B:$B,NE$3)</f>
        <v>0</v>
      </c>
      <c r="NF9" s="16">
        <f>SUMIFS(Datos!$F:$F,Datos!$A:$A,$B9,Datos!$B:$B,NF$3)</f>
        <v>0</v>
      </c>
      <c r="NG9" s="16">
        <f>SUMIFS(Datos!$F:$F,Datos!$A:$A,$B9,Datos!$B:$B,NG$3)</f>
        <v>0</v>
      </c>
      <c r="NH9" s="16">
        <f>SUMIFS(Datos!$F:$F,Datos!$A:$A,$B9,Datos!$B:$B,NH$3)</f>
        <v>0</v>
      </c>
      <c r="NI9" s="16">
        <f>SUMIFS(Datos!$F:$F,Datos!$A:$A,$B9,Datos!$B:$B,NI$3)</f>
        <v>0</v>
      </c>
      <c r="NJ9" s="16">
        <f>SUMIFS(Datos!$F:$F,Datos!$A:$A,$B9,Datos!$B:$B,NJ$3)</f>
        <v>0</v>
      </c>
      <c r="NK9" s="16">
        <f>SUMIFS(Datos!$F:$F,Datos!$A:$A,$B9,Datos!$B:$B,NK$3)</f>
        <v>0</v>
      </c>
      <c r="NL9" s="16">
        <f>SUMIFS(Datos!$F:$F,Datos!$A:$A,$B9,Datos!$B:$B,NL$3)</f>
        <v>0</v>
      </c>
      <c r="NM9" s="16">
        <f>SUMIFS(Datos!$F:$F,Datos!$A:$A,$B9,Datos!$B:$B,NM$3)</f>
        <v>0</v>
      </c>
      <c r="NN9" s="16">
        <f>SUMIFS(Datos!$F:$F,Datos!$A:$A,$B9,Datos!$B:$B,NN$3)</f>
        <v>0</v>
      </c>
      <c r="NO9" s="16">
        <f>SUMIFS(Datos!$F:$F,Datos!$A:$A,$B9,Datos!$B:$B,NO$3)</f>
        <v>0</v>
      </c>
      <c r="NP9" s="16">
        <f>SUMIFS(Datos!$F:$F,Datos!$A:$A,$B9,Datos!$B:$B,NP$3)</f>
        <v>0</v>
      </c>
      <c r="NQ9" s="16">
        <f>SUMIFS(Datos!$F:$F,Datos!$A:$A,$B9,Datos!$B:$B,NQ$3)</f>
        <v>0</v>
      </c>
      <c r="NR9" s="16">
        <f>SUMIFS(Datos!$F:$F,Datos!$A:$A,$B9,Datos!$B:$B,NR$3)</f>
        <v>0</v>
      </c>
      <c r="NS9" s="16">
        <f>SUMIFS(Datos!$F:$F,Datos!$A:$A,$B9,Datos!$B:$B,NS$3)</f>
        <v>0</v>
      </c>
      <c r="NT9" s="16">
        <f>SUMIFS(Datos!$F:$F,Datos!$A:$A,$B9,Datos!$B:$B,NT$3)</f>
        <v>0</v>
      </c>
      <c r="NU9" s="16">
        <f>SUMIFS(Datos!$F:$F,Datos!$A:$A,$B9,Datos!$B:$B,NU$3)</f>
        <v>0</v>
      </c>
      <c r="NV9" s="16">
        <f>SUMIFS(Datos!$F:$F,Datos!$A:$A,$B9,Datos!$B:$B,NV$3)</f>
        <v>0</v>
      </c>
      <c r="NW9" s="16">
        <f>SUMIFS(Datos!$F:$F,Datos!$A:$A,$B9,Datos!$B:$B,NW$3)</f>
        <v>0</v>
      </c>
      <c r="NX9" s="16">
        <f>SUMIFS(Datos!$F:$F,Datos!$A:$A,$B9,Datos!$B:$B,NX$3)</f>
        <v>0</v>
      </c>
      <c r="NY9" s="16">
        <f>SUMIFS(Datos!$F:$F,Datos!$A:$A,$B9,Datos!$B:$B,NY$3)</f>
        <v>0</v>
      </c>
      <c r="NZ9" s="16">
        <f>SUMIFS(Datos!$F:$F,Datos!$A:$A,$B9,Datos!$B:$B,NZ$3)</f>
        <v>0</v>
      </c>
      <c r="OA9" s="16">
        <f>SUMIFS(Datos!$F:$F,Datos!$A:$A,$B9,Datos!$B:$B,OA$3)</f>
        <v>0</v>
      </c>
      <c r="OB9" s="16">
        <f>SUMIFS(Datos!$F:$F,Datos!$A:$A,$B9,Datos!$B:$B,OB$3)</f>
        <v>0</v>
      </c>
      <c r="OC9" s="16">
        <f>SUMIFS(Datos!$F:$F,Datos!$A:$A,$B9,Datos!$B:$B,OC$3)</f>
        <v>0</v>
      </c>
      <c r="OD9" s="16">
        <f>SUMIFS(Datos!$F:$F,Datos!$A:$A,$B9,Datos!$B:$B,OD$3)</f>
        <v>0</v>
      </c>
      <c r="OE9" s="16">
        <f>SUMIFS(Datos!$F:$F,Datos!$A:$A,$B9,Datos!$B:$B,OE$3)</f>
        <v>0</v>
      </c>
      <c r="OF9" s="16">
        <f>SUMIFS(Datos!$F:$F,Datos!$A:$A,$B9,Datos!$B:$B,OF$3)</f>
        <v>0</v>
      </c>
      <c r="OG9" s="16">
        <f>SUMIFS(Datos!$F:$F,Datos!$A:$A,$B9,Datos!$B:$B,OG$3)</f>
        <v>0</v>
      </c>
      <c r="OH9" s="16">
        <f>SUMIFS(Datos!$F:$F,Datos!$A:$A,$B9,Datos!$B:$B,OH$3)</f>
        <v>0</v>
      </c>
      <c r="OI9" s="16">
        <f>SUMIFS(Datos!$F:$F,Datos!$A:$A,$B9,Datos!$B:$B,OI$3)</f>
        <v>0</v>
      </c>
      <c r="OJ9" s="16">
        <f>SUMIFS(Datos!$F:$F,Datos!$A:$A,$B9,Datos!$B:$B,OJ$3)</f>
        <v>0</v>
      </c>
      <c r="OK9" s="16">
        <f>SUMIFS(Datos!$F:$F,Datos!$A:$A,$B9,Datos!$B:$B,OK$3)</f>
        <v>0</v>
      </c>
      <c r="OL9" s="16">
        <f>SUMIFS(Datos!$F:$F,Datos!$A:$A,$B9,Datos!$B:$B,OL$3)</f>
        <v>0</v>
      </c>
      <c r="OM9" s="16">
        <f>SUMIFS(Datos!$F:$F,Datos!$A:$A,$B9,Datos!$B:$B,OM$3)</f>
        <v>0</v>
      </c>
      <c r="ON9" s="16">
        <f>SUMIFS(Datos!$F:$F,Datos!$A:$A,$B9,Datos!$B:$B,ON$3)</f>
        <v>0</v>
      </c>
      <c r="OO9" s="16">
        <f>SUMIFS(Datos!$F:$F,Datos!$A:$A,$B9,Datos!$B:$B,OO$3)</f>
        <v>0</v>
      </c>
      <c r="OP9" s="16">
        <f>SUMIFS(Datos!$F:$F,Datos!$A:$A,$B9,Datos!$B:$B,OP$3)</f>
        <v>0</v>
      </c>
      <c r="OQ9" s="16">
        <f>SUMIFS(Datos!$F:$F,Datos!$A:$A,$B9,Datos!$B:$B,OQ$3)</f>
        <v>0</v>
      </c>
      <c r="OR9" s="16">
        <f>SUMIFS(Datos!$F:$F,Datos!$A:$A,$B9,Datos!$B:$B,OR$3)</f>
        <v>0</v>
      </c>
      <c r="OS9" s="16">
        <f>SUMIFS(Datos!$F:$F,Datos!$A:$A,$B9,Datos!$B:$B,OS$3)</f>
        <v>0</v>
      </c>
      <c r="OT9" s="16">
        <f>SUMIFS(Datos!$F:$F,Datos!$A:$A,$B9,Datos!$B:$B,OT$3)</f>
        <v>0</v>
      </c>
      <c r="OU9" s="16">
        <f>SUMIFS(Datos!$F:$F,Datos!$A:$A,$B9,Datos!$B:$B,OU$3)</f>
        <v>0</v>
      </c>
      <c r="OV9" s="16">
        <f>SUMIFS(Datos!$F:$F,Datos!$A:$A,$B9,Datos!$B:$B,OV$3)</f>
        <v>0</v>
      </c>
      <c r="OW9" s="16">
        <f>SUMIFS(Datos!$F:$F,Datos!$A:$A,$B9,Datos!$B:$B,OW$3)</f>
        <v>0</v>
      </c>
      <c r="OX9" s="16">
        <f>SUMIFS(Datos!$F:$F,Datos!$A:$A,$B9,Datos!$B:$B,OX$3)</f>
        <v>0</v>
      </c>
      <c r="OY9" s="16">
        <f>SUMIFS(Datos!$F:$F,Datos!$A:$A,$B9,Datos!$B:$B,OY$3)</f>
        <v>0</v>
      </c>
      <c r="OZ9" s="16">
        <f>SUMIFS(Datos!$F:$F,Datos!$A:$A,$B9,Datos!$B:$B,OZ$3)</f>
        <v>0</v>
      </c>
      <c r="PA9" s="16">
        <f>SUMIFS(Datos!$F:$F,Datos!$A:$A,$B9,Datos!$B:$B,PA$3)</f>
        <v>0</v>
      </c>
      <c r="PB9" s="16">
        <f>SUMIFS(Datos!$F:$F,Datos!$A:$A,$B9,Datos!$B:$B,PB$3)</f>
        <v>0</v>
      </c>
      <c r="PC9" s="16">
        <f>SUMIFS(Datos!$F:$F,Datos!$A:$A,$B9,Datos!$B:$B,PC$3)</f>
        <v>0</v>
      </c>
      <c r="PD9" s="16">
        <f>SUMIFS(Datos!$F:$F,Datos!$A:$A,$B9,Datos!$B:$B,PD$3)</f>
        <v>0</v>
      </c>
      <c r="PE9" s="16">
        <f>SUMIFS(Datos!$F:$F,Datos!$A:$A,$B9,Datos!$B:$B,PE$3)</f>
        <v>0</v>
      </c>
      <c r="PF9" s="16">
        <f>SUMIFS(Datos!$F:$F,Datos!$A:$A,$B9,Datos!$B:$B,PF$3)</f>
        <v>0</v>
      </c>
      <c r="PG9" s="16">
        <f>SUMIFS(Datos!$F:$F,Datos!$A:$A,$B9,Datos!$B:$B,PG$3)</f>
        <v>0</v>
      </c>
      <c r="PH9" s="16">
        <f>SUMIFS(Datos!$F:$F,Datos!$A:$A,$B9,Datos!$B:$B,PH$3)</f>
        <v>0</v>
      </c>
      <c r="PI9" s="16">
        <f>SUMIFS(Datos!$F:$F,Datos!$A:$A,$B9,Datos!$B:$B,PI$3)</f>
        <v>0</v>
      </c>
      <c r="PJ9" s="16">
        <f>SUMIFS(Datos!$F:$F,Datos!$A:$A,$B9,Datos!$B:$B,PJ$3)</f>
        <v>0</v>
      </c>
      <c r="PK9" s="16">
        <f>SUMIFS(Datos!$F:$F,Datos!$A:$A,$B9,Datos!$B:$B,PK$3)</f>
        <v>0</v>
      </c>
      <c r="PL9" s="16">
        <f>SUMIFS(Datos!$F:$F,Datos!$A:$A,$B9,Datos!$B:$B,PL$3)</f>
        <v>0</v>
      </c>
      <c r="PM9" s="16">
        <f>SUMIFS(Datos!$F:$F,Datos!$A:$A,$B9,Datos!$B:$B,PM$3)</f>
        <v>0</v>
      </c>
      <c r="PN9" s="16">
        <f>SUMIFS(Datos!$F:$F,Datos!$A:$A,$B9,Datos!$B:$B,PN$3)</f>
        <v>0</v>
      </c>
      <c r="PO9" s="16">
        <f>SUMIFS(Datos!$F:$F,Datos!$A:$A,$B9,Datos!$B:$B,PO$3)</f>
        <v>0</v>
      </c>
      <c r="PP9" s="16">
        <f>SUMIFS(Datos!$F:$F,Datos!$A:$A,$B9,Datos!$B:$B,PP$3)</f>
        <v>0</v>
      </c>
      <c r="PQ9" s="16">
        <f>SUMIFS(Datos!$F:$F,Datos!$A:$A,$B9,Datos!$B:$B,PQ$3)</f>
        <v>0</v>
      </c>
      <c r="PR9" s="16">
        <f>SUMIFS(Datos!$F:$F,Datos!$A:$A,$B9,Datos!$B:$B,PR$3)</f>
        <v>0</v>
      </c>
      <c r="PS9" s="16">
        <f>SUMIFS(Datos!$F:$F,Datos!$A:$A,$B9,Datos!$B:$B,PS$3)</f>
        <v>0</v>
      </c>
      <c r="PT9" s="16">
        <f>SUMIFS(Datos!$F:$F,Datos!$A:$A,$B9,Datos!$B:$B,PT$3)</f>
        <v>0</v>
      </c>
      <c r="PU9" s="16">
        <f>SUMIFS(Datos!$F:$F,Datos!$A:$A,$B9,Datos!$B:$B,PU$3)</f>
        <v>0</v>
      </c>
      <c r="PV9" s="16">
        <f>SUMIFS(Datos!$F:$F,Datos!$A:$A,$B9,Datos!$B:$B,PV$3)</f>
        <v>0</v>
      </c>
      <c r="PW9" s="16">
        <f>SUMIFS(Datos!$F:$F,Datos!$A:$A,$B9,Datos!$B:$B,PW$3)</f>
        <v>0</v>
      </c>
      <c r="PX9" s="16">
        <f>SUMIFS(Datos!$F:$F,Datos!$A:$A,$B9,Datos!$B:$B,PX$3)</f>
        <v>0</v>
      </c>
      <c r="PY9" s="16">
        <f>SUMIFS(Datos!$F:$F,Datos!$A:$A,$B9,Datos!$B:$B,PY$3)</f>
        <v>0</v>
      </c>
      <c r="PZ9" s="16">
        <f>SUMIFS(Datos!$F:$F,Datos!$A:$A,$B9,Datos!$B:$B,PZ$3)</f>
        <v>0</v>
      </c>
      <c r="QA9" s="16">
        <f>SUMIFS(Datos!$F:$F,Datos!$A:$A,$B9,Datos!$B:$B,QA$3)</f>
        <v>0</v>
      </c>
      <c r="QB9" s="16">
        <f>SUMIFS(Datos!$F:$F,Datos!$A:$A,$B9,Datos!$B:$B,QB$3)</f>
        <v>0</v>
      </c>
      <c r="QC9" s="16">
        <f>SUMIFS(Datos!$F:$F,Datos!$A:$A,$B9,Datos!$B:$B,QC$3)</f>
        <v>0</v>
      </c>
      <c r="QD9" s="16">
        <f>SUMIFS(Datos!$F:$F,Datos!$A:$A,$B9,Datos!$B:$B,QD$3)</f>
        <v>0</v>
      </c>
      <c r="QE9" s="16">
        <f>SUMIFS(Datos!$F:$F,Datos!$A:$A,$B9,Datos!$B:$B,QE$3)</f>
        <v>0</v>
      </c>
      <c r="QF9" s="16">
        <f>SUMIFS(Datos!$F:$F,Datos!$A:$A,$B9,Datos!$B:$B,QF$3)</f>
        <v>0</v>
      </c>
      <c r="QG9" s="16">
        <f>SUMIFS(Datos!$F:$F,Datos!$A:$A,$B9,Datos!$B:$B,QG$3)</f>
        <v>0</v>
      </c>
      <c r="QH9" s="16">
        <f>SUMIFS(Datos!$F:$F,Datos!$A:$A,$B9,Datos!$B:$B,QH$3)</f>
        <v>0</v>
      </c>
      <c r="QI9" s="16">
        <f>SUMIFS(Datos!$F:$F,Datos!$A:$A,$B9,Datos!$B:$B,QI$3)</f>
        <v>0</v>
      </c>
      <c r="QJ9" s="16">
        <f>SUMIFS(Datos!$F:$F,Datos!$A:$A,$B9,Datos!$B:$B,QJ$3)</f>
        <v>0</v>
      </c>
      <c r="QK9" s="16">
        <f>SUMIFS(Datos!$F:$F,Datos!$A:$A,$B9,Datos!$B:$B,QK$3)</f>
        <v>0</v>
      </c>
      <c r="QL9" s="16">
        <f>SUMIFS(Datos!$F:$F,Datos!$A:$A,$B9,Datos!$B:$B,QL$3)</f>
        <v>0</v>
      </c>
      <c r="QM9" s="16">
        <f>SUMIFS(Datos!$F:$F,Datos!$A:$A,$B9,Datos!$B:$B,QM$3)</f>
        <v>0</v>
      </c>
      <c r="QN9" s="16">
        <f>SUMIFS(Datos!$F:$F,Datos!$A:$A,$B9,Datos!$B:$B,QN$3)</f>
        <v>0</v>
      </c>
      <c r="QO9" s="16">
        <f>SUMIFS(Datos!$F:$F,Datos!$A:$A,$B9,Datos!$B:$B,QO$3)</f>
        <v>0</v>
      </c>
      <c r="QP9" s="16">
        <f>SUMIFS(Datos!$F:$F,Datos!$A:$A,$B9,Datos!$B:$B,QP$3)</f>
        <v>0</v>
      </c>
      <c r="QQ9" s="16">
        <f>SUMIFS(Datos!$F:$F,Datos!$A:$A,$B9,Datos!$B:$B,QQ$3)</f>
        <v>0</v>
      </c>
      <c r="QR9" s="16">
        <f>SUMIFS(Datos!$F:$F,Datos!$A:$A,$B9,Datos!$B:$B,QR$3)</f>
        <v>0</v>
      </c>
      <c r="QS9" s="16">
        <f>SUMIFS(Datos!$F:$F,Datos!$A:$A,$B9,Datos!$B:$B,QS$3)</f>
        <v>0</v>
      </c>
      <c r="QT9" s="16">
        <f>SUMIFS(Datos!$F:$F,Datos!$A:$A,$B9,Datos!$B:$B,QT$3)</f>
        <v>0</v>
      </c>
      <c r="QU9" s="16">
        <f>SUMIFS(Datos!$F:$F,Datos!$A:$A,$B9,Datos!$B:$B,QU$3)</f>
        <v>0</v>
      </c>
      <c r="QV9" s="16">
        <f>SUMIFS(Datos!$F:$F,Datos!$A:$A,$B9,Datos!$B:$B,QV$3)</f>
        <v>0</v>
      </c>
      <c r="QW9" s="16">
        <f>SUMIFS(Datos!$F:$F,Datos!$A:$A,$B9,Datos!$B:$B,QW$3)</f>
        <v>0</v>
      </c>
      <c r="QX9" s="16">
        <f>SUMIFS(Datos!$F:$F,Datos!$A:$A,$B9,Datos!$B:$B,QX$3)</f>
        <v>0</v>
      </c>
      <c r="QY9" s="16">
        <f>SUMIFS(Datos!$F:$F,Datos!$A:$A,$B9,Datos!$B:$B,QY$3)</f>
        <v>0</v>
      </c>
      <c r="QZ9" s="16">
        <f>SUMIFS(Datos!$F:$F,Datos!$A:$A,$B9,Datos!$B:$B,QZ$3)</f>
        <v>0</v>
      </c>
      <c r="RA9" s="16">
        <f>SUMIFS(Datos!$F:$F,Datos!$A:$A,$B9,Datos!$B:$B,RA$3)</f>
        <v>0</v>
      </c>
      <c r="RB9" s="16">
        <f>SUMIFS(Datos!$F:$F,Datos!$A:$A,$B9,Datos!$B:$B,RB$3)</f>
        <v>0</v>
      </c>
      <c r="RC9" s="16">
        <f>SUMIFS(Datos!$F:$F,Datos!$A:$A,$B9,Datos!$B:$B,RC$3)</f>
        <v>0</v>
      </c>
      <c r="RD9" s="16">
        <f>SUMIFS(Datos!$F:$F,Datos!$A:$A,$B9,Datos!$B:$B,RD$3)</f>
        <v>0</v>
      </c>
      <c r="RE9" s="16">
        <f>SUMIFS(Datos!$F:$F,Datos!$A:$A,$B9,Datos!$B:$B,RE$3)</f>
        <v>0</v>
      </c>
      <c r="RF9" s="16">
        <f>SUMIFS(Datos!$F:$F,Datos!$A:$A,$B9,Datos!$B:$B,RF$3)</f>
        <v>0</v>
      </c>
      <c r="RG9" s="16">
        <f>SUMIFS(Datos!$F:$F,Datos!$A:$A,$B9,Datos!$B:$B,RG$3)</f>
        <v>0</v>
      </c>
      <c r="RH9" s="16">
        <f>SUMIFS(Datos!$F:$F,Datos!$A:$A,$B9,Datos!$B:$B,RH$3)</f>
        <v>0</v>
      </c>
      <c r="RI9" s="16">
        <f>SUMIFS(Datos!$F:$F,Datos!$A:$A,$B9,Datos!$B:$B,RI$3)</f>
        <v>0</v>
      </c>
      <c r="RJ9" s="16">
        <f>SUMIFS(Datos!$F:$F,Datos!$A:$A,$B9,Datos!$B:$B,RJ$3)</f>
        <v>0</v>
      </c>
      <c r="RK9" s="16">
        <f>SUMIFS(Datos!$F:$F,Datos!$A:$A,$B9,Datos!$B:$B,RK$3)</f>
        <v>0</v>
      </c>
      <c r="RL9" s="16">
        <f>SUMIFS(Datos!$F:$F,Datos!$A:$A,$B9,Datos!$B:$B,RL$3)</f>
        <v>0</v>
      </c>
      <c r="RM9" s="16">
        <f>SUMIFS(Datos!$F:$F,Datos!$A:$A,$B9,Datos!$B:$B,RM$3)</f>
        <v>0</v>
      </c>
      <c r="RN9" s="16">
        <f>SUMIFS(Datos!$F:$F,Datos!$A:$A,$B9,Datos!$B:$B,RN$3)</f>
        <v>0</v>
      </c>
      <c r="RO9" s="16">
        <f>SUMIFS(Datos!$F:$F,Datos!$A:$A,$B9,Datos!$B:$B,RO$3)</f>
        <v>0</v>
      </c>
      <c r="RP9" s="16">
        <f>SUMIFS(Datos!$F:$F,Datos!$A:$A,$B9,Datos!$B:$B,RP$3)</f>
        <v>0</v>
      </c>
      <c r="RQ9" s="16">
        <f>SUMIFS(Datos!$F:$F,Datos!$A:$A,$B9,Datos!$B:$B,RQ$3)</f>
        <v>0</v>
      </c>
      <c r="RR9" s="16">
        <f>SUMIFS(Datos!$F:$F,Datos!$A:$A,$B9,Datos!$B:$B,RR$3)</f>
        <v>0</v>
      </c>
      <c r="RS9" s="16">
        <f>SUMIFS(Datos!$F:$F,Datos!$A:$A,$B9,Datos!$B:$B,RS$3)</f>
        <v>0</v>
      </c>
      <c r="RT9" s="16">
        <f>SUMIFS(Datos!$F:$F,Datos!$A:$A,$B9,Datos!$B:$B,RT$3)</f>
        <v>0</v>
      </c>
      <c r="RU9" s="16">
        <f>SUMIFS(Datos!$F:$F,Datos!$A:$A,$B9,Datos!$B:$B,RU$3)</f>
        <v>0</v>
      </c>
      <c r="RV9" s="16">
        <f>SUMIFS(Datos!$F:$F,Datos!$A:$A,$B9,Datos!$B:$B,RV$3)</f>
        <v>0</v>
      </c>
      <c r="RW9" s="16">
        <f>SUMIFS(Datos!$F:$F,Datos!$A:$A,$B9,Datos!$B:$B,RW$3)</f>
        <v>0</v>
      </c>
      <c r="RX9" s="16">
        <f>SUMIFS(Datos!$F:$F,Datos!$A:$A,$B9,Datos!$B:$B,RX$3)</f>
        <v>0</v>
      </c>
      <c r="RY9" s="16">
        <f>SUMIFS(Datos!$F:$F,Datos!$A:$A,$B9,Datos!$B:$B,RY$3)</f>
        <v>0</v>
      </c>
      <c r="RZ9" s="16">
        <f>SUMIFS(Datos!$F:$F,Datos!$A:$A,$B9,Datos!$B:$B,RZ$3)</f>
        <v>0</v>
      </c>
      <c r="SA9" s="16">
        <f>SUMIFS(Datos!$F:$F,Datos!$A:$A,$B9,Datos!$B:$B,SA$3)</f>
        <v>0</v>
      </c>
      <c r="SB9" s="16">
        <f>SUMIFS(Datos!$F:$F,Datos!$A:$A,$B9,Datos!$B:$B,SB$3)</f>
        <v>0</v>
      </c>
      <c r="SC9" s="16">
        <f>SUMIFS(Datos!$F:$F,Datos!$A:$A,$B9,Datos!$B:$B,SC$3)</f>
        <v>0</v>
      </c>
      <c r="SD9" s="16">
        <f>SUMIFS(Datos!$F:$F,Datos!$A:$A,$B9,Datos!$B:$B,SD$3)</f>
        <v>0</v>
      </c>
      <c r="SE9" s="16">
        <f>SUMIFS(Datos!$F:$F,Datos!$A:$A,$B9,Datos!$B:$B,SE$3)</f>
        <v>0</v>
      </c>
      <c r="SF9" s="16">
        <f>SUMIFS(Datos!$F:$F,Datos!$A:$A,$B9,Datos!$B:$B,SF$3)</f>
        <v>0</v>
      </c>
      <c r="SG9" s="16">
        <f>SUMIFS(Datos!$F:$F,Datos!$A:$A,$B9,Datos!$B:$B,SG$3)</f>
        <v>0</v>
      </c>
      <c r="SH9" s="16">
        <f>SUMIFS(Datos!$F:$F,Datos!$A:$A,$B9,Datos!$B:$B,SH$3)</f>
        <v>0</v>
      </c>
      <c r="SI9" s="16">
        <f>SUMIFS(Datos!$F:$F,Datos!$A:$A,$B9,Datos!$B:$B,SI$3)</f>
        <v>0</v>
      </c>
      <c r="SJ9" s="16">
        <f>SUMIFS(Datos!$F:$F,Datos!$A:$A,$B9,Datos!$B:$B,SJ$3)</f>
        <v>0</v>
      </c>
      <c r="SK9" s="16">
        <f>SUMIFS(Datos!$F:$F,Datos!$A:$A,$B9,Datos!$B:$B,SK$3)</f>
        <v>0</v>
      </c>
      <c r="SL9" s="16">
        <f>SUMIFS(Datos!$F:$F,Datos!$A:$A,$B9,Datos!$B:$B,SL$3)</f>
        <v>0</v>
      </c>
      <c r="SM9" s="16">
        <f>SUMIFS(Datos!$F:$F,Datos!$A:$A,$B9,Datos!$B:$B,SM$3)</f>
        <v>0</v>
      </c>
      <c r="SN9" s="16">
        <f>SUMIFS(Datos!$F:$F,Datos!$A:$A,$B9,Datos!$B:$B,SN$3)</f>
        <v>0</v>
      </c>
      <c r="SO9" s="16">
        <f>SUMIFS(Datos!$F:$F,Datos!$A:$A,$B9,Datos!$B:$B,SO$3)</f>
        <v>0</v>
      </c>
      <c r="SP9" s="16">
        <f>SUMIFS(Datos!$F:$F,Datos!$A:$A,$B9,Datos!$B:$B,SP$3)</f>
        <v>0</v>
      </c>
      <c r="SQ9" s="16">
        <f>SUMIFS(Datos!$F:$F,Datos!$A:$A,$B9,Datos!$B:$B,SQ$3)</f>
        <v>0</v>
      </c>
      <c r="SR9" s="16">
        <f>SUMIFS(Datos!$F:$F,Datos!$A:$A,$B9,Datos!$B:$B,SR$3)</f>
        <v>0</v>
      </c>
      <c r="SS9" s="16">
        <f>SUMIFS(Datos!$F:$F,Datos!$A:$A,$B9,Datos!$B:$B,SS$3)</f>
        <v>0</v>
      </c>
      <c r="ST9" s="16">
        <f>SUMIFS(Datos!$F:$F,Datos!$A:$A,$B9,Datos!$B:$B,ST$3)</f>
        <v>0</v>
      </c>
      <c r="SU9" s="16">
        <f>SUMIFS(Datos!$F:$F,Datos!$A:$A,$B9,Datos!$B:$B,SU$3)</f>
        <v>0</v>
      </c>
      <c r="SV9" s="16">
        <f>SUMIFS(Datos!$F:$F,Datos!$A:$A,$B9,Datos!$B:$B,SV$3)</f>
        <v>0</v>
      </c>
      <c r="SW9" s="16">
        <f>SUMIFS(Datos!$F:$F,Datos!$A:$A,$B9,Datos!$B:$B,SW$3)</f>
        <v>0</v>
      </c>
      <c r="SX9" s="16">
        <f>SUMIFS(Datos!$F:$F,Datos!$A:$A,$B9,Datos!$B:$B,SX$3)</f>
        <v>0</v>
      </c>
      <c r="SY9" s="16">
        <f>SUMIFS(Datos!$F:$F,Datos!$A:$A,$B9,Datos!$B:$B,SY$3)</f>
        <v>0</v>
      </c>
      <c r="SZ9" s="16">
        <f>SUMIFS(Datos!$F:$F,Datos!$A:$A,$B9,Datos!$B:$B,SZ$3)</f>
        <v>0</v>
      </c>
      <c r="TA9" s="16">
        <f>SUMIFS(Datos!$F:$F,Datos!$A:$A,$B9,Datos!$B:$B,TA$3)</f>
        <v>0</v>
      </c>
      <c r="TB9" s="16">
        <f>SUMIFS(Datos!$F:$F,Datos!$A:$A,$B9,Datos!$B:$B,TB$3)</f>
        <v>0</v>
      </c>
      <c r="TC9" s="16">
        <f>SUMIFS(Datos!$F:$F,Datos!$A:$A,$B9,Datos!$B:$B,TC$3)</f>
        <v>0</v>
      </c>
      <c r="TD9" s="16">
        <f>SUMIFS(Datos!$F:$F,Datos!$A:$A,$B9,Datos!$B:$B,TD$3)</f>
        <v>0</v>
      </c>
      <c r="TE9" s="16">
        <f>SUMIFS(Datos!$F:$F,Datos!$A:$A,$B9,Datos!$B:$B,TE$3)</f>
        <v>0</v>
      </c>
      <c r="TF9" s="16">
        <f>SUMIFS(Datos!$F:$F,Datos!$A:$A,$B9,Datos!$B:$B,TF$3)</f>
        <v>0</v>
      </c>
    </row>
    <row r="10" spans="1:526">
      <c r="A10" s="31" t="s">
        <v>48</v>
      </c>
      <c r="B10" s="4">
        <f>Cartera!B10</f>
        <v>0</v>
      </c>
      <c r="C10" s="4">
        <f>Cartera!C10</f>
        <v>0</v>
      </c>
      <c r="D10" s="16">
        <f>SUMIFS(Datos!$F:$F,Datos!$A:$A,$B10,Datos!$B:$B,D$3)</f>
        <v>0</v>
      </c>
      <c r="E10" s="16">
        <f>SUMIFS(Datos!$F:$F,Datos!$A:$A,$B10,Datos!$B:$B,E$3)</f>
        <v>0</v>
      </c>
      <c r="F10" s="16">
        <f>SUMIFS(Datos!$F:$F,Datos!$A:$A,$B10,Datos!$B:$B,F$3)</f>
        <v>0</v>
      </c>
      <c r="G10" s="16">
        <f>SUMIFS(Datos!$F:$F,Datos!$A:$A,$B10,Datos!$B:$B,G$3)</f>
        <v>0</v>
      </c>
      <c r="H10" s="16">
        <f>SUMIFS(Datos!$F:$F,Datos!$A:$A,$B10,Datos!$B:$B,H$3)</f>
        <v>0</v>
      </c>
      <c r="I10" s="16">
        <f>SUMIFS(Datos!$F:$F,Datos!$A:$A,$B10,Datos!$B:$B,I$3)</f>
        <v>0</v>
      </c>
      <c r="J10" s="16">
        <f>SUMIFS(Datos!$F:$F,Datos!$A:$A,$B10,Datos!$B:$B,J$3)</f>
        <v>0</v>
      </c>
      <c r="K10" s="16">
        <f>SUMIFS(Datos!$F:$F,Datos!$A:$A,$B10,Datos!$B:$B,K$3)</f>
        <v>0</v>
      </c>
      <c r="L10" s="16">
        <f>SUMIFS(Datos!$F:$F,Datos!$A:$A,$B10,Datos!$B:$B,L$3)</f>
        <v>0</v>
      </c>
      <c r="M10" s="16">
        <f>SUMIFS(Datos!$F:$F,Datos!$A:$A,$B10,Datos!$B:$B,M$3)</f>
        <v>0</v>
      </c>
      <c r="N10" s="16">
        <f>SUMIFS(Datos!$F:$F,Datos!$A:$A,$B10,Datos!$B:$B,N$3)</f>
        <v>0</v>
      </c>
      <c r="O10" s="16">
        <f>SUMIFS(Datos!$F:$F,Datos!$A:$A,$B10,Datos!$B:$B,O$3)</f>
        <v>0</v>
      </c>
      <c r="P10" s="16">
        <f>SUMIFS(Datos!$F:$F,Datos!$A:$A,$B10,Datos!$B:$B,P$3)</f>
        <v>0</v>
      </c>
      <c r="Q10" s="16">
        <f>SUMIFS(Datos!$F:$F,Datos!$A:$A,$B10,Datos!$B:$B,Q$3)</f>
        <v>0</v>
      </c>
      <c r="R10" s="16">
        <f>SUMIFS(Datos!$F:$F,Datos!$A:$A,$B10,Datos!$B:$B,R$3)</f>
        <v>0</v>
      </c>
      <c r="S10" s="16">
        <f>SUMIFS(Datos!$F:$F,Datos!$A:$A,$B10,Datos!$B:$B,S$3)</f>
        <v>0</v>
      </c>
      <c r="T10" s="16">
        <f>SUMIFS(Datos!$F:$F,Datos!$A:$A,$B10,Datos!$B:$B,T$3)</f>
        <v>0</v>
      </c>
      <c r="U10" s="16">
        <f>SUMIFS(Datos!$F:$F,Datos!$A:$A,$B10,Datos!$B:$B,U$3)</f>
        <v>0</v>
      </c>
      <c r="V10" s="16">
        <f>SUMIFS(Datos!$F:$F,Datos!$A:$A,$B10,Datos!$B:$B,V$3)</f>
        <v>0</v>
      </c>
      <c r="W10" s="16">
        <f>SUMIFS(Datos!$F:$F,Datos!$A:$A,$B10,Datos!$B:$B,W$3)</f>
        <v>0</v>
      </c>
      <c r="X10" s="16">
        <f>SUMIFS(Datos!$F:$F,Datos!$A:$A,$B10,Datos!$B:$B,X$3)</f>
        <v>0</v>
      </c>
      <c r="Y10" s="16">
        <f>SUMIFS(Datos!$F:$F,Datos!$A:$A,$B10,Datos!$B:$B,Y$3)</f>
        <v>0</v>
      </c>
      <c r="Z10" s="16">
        <f>SUMIFS(Datos!$F:$F,Datos!$A:$A,$B10,Datos!$B:$B,Z$3)</f>
        <v>0</v>
      </c>
      <c r="AA10" s="16">
        <f>SUMIFS(Datos!$F:$F,Datos!$A:$A,$B10,Datos!$B:$B,AA$3)</f>
        <v>0</v>
      </c>
      <c r="AB10" s="16">
        <f>SUMIFS(Datos!$F:$F,Datos!$A:$A,$B10,Datos!$B:$B,AB$3)</f>
        <v>0</v>
      </c>
      <c r="AC10" s="16">
        <f>SUMIFS(Datos!$F:$F,Datos!$A:$A,$B10,Datos!$B:$B,AC$3)</f>
        <v>0</v>
      </c>
      <c r="AD10" s="16">
        <f>SUMIFS(Datos!$F:$F,Datos!$A:$A,$B10,Datos!$B:$B,AD$3)</f>
        <v>0</v>
      </c>
      <c r="AE10" s="16">
        <f>SUMIFS(Datos!$F:$F,Datos!$A:$A,$B10,Datos!$B:$B,AE$3)</f>
        <v>0</v>
      </c>
      <c r="AF10" s="16">
        <f>SUMIFS(Datos!$F:$F,Datos!$A:$A,$B10,Datos!$B:$B,AF$3)</f>
        <v>0</v>
      </c>
      <c r="AG10" s="16">
        <f>SUMIFS(Datos!$F:$F,Datos!$A:$A,$B10,Datos!$B:$B,AG$3)</f>
        <v>0</v>
      </c>
      <c r="AH10" s="16">
        <f>SUMIFS(Datos!$F:$F,Datos!$A:$A,$B10,Datos!$B:$B,AH$3)</f>
        <v>0</v>
      </c>
      <c r="AI10" s="16">
        <f>SUMIFS(Datos!$F:$F,Datos!$A:$A,$B10,Datos!$B:$B,AI$3)</f>
        <v>0</v>
      </c>
      <c r="AJ10" s="16">
        <f>SUMIFS(Datos!$F:$F,Datos!$A:$A,$B10,Datos!$B:$B,AJ$3)</f>
        <v>0</v>
      </c>
      <c r="AK10" s="16">
        <f>SUMIFS(Datos!$F:$F,Datos!$A:$A,$B10,Datos!$B:$B,AK$3)</f>
        <v>0</v>
      </c>
      <c r="AL10" s="16">
        <f>SUMIFS(Datos!$F:$F,Datos!$A:$A,$B10,Datos!$B:$B,AL$3)</f>
        <v>0</v>
      </c>
      <c r="AM10" s="16">
        <f>SUMIFS(Datos!$F:$F,Datos!$A:$A,$B10,Datos!$B:$B,AM$3)</f>
        <v>0</v>
      </c>
      <c r="AN10" s="16">
        <f>SUMIFS(Datos!$F:$F,Datos!$A:$A,$B10,Datos!$B:$B,AN$3)</f>
        <v>0</v>
      </c>
      <c r="AO10" s="16">
        <f>SUMIFS(Datos!$F:$F,Datos!$A:$A,$B10,Datos!$B:$B,AO$3)</f>
        <v>0</v>
      </c>
      <c r="AP10" s="16">
        <f>SUMIFS(Datos!$F:$F,Datos!$A:$A,$B10,Datos!$B:$B,AP$3)</f>
        <v>0</v>
      </c>
      <c r="AQ10" s="16">
        <f>SUMIFS(Datos!$F:$F,Datos!$A:$A,$B10,Datos!$B:$B,AQ$3)</f>
        <v>0</v>
      </c>
      <c r="AR10" s="16">
        <f>SUMIFS(Datos!$F:$F,Datos!$A:$A,$B10,Datos!$B:$B,AR$3)</f>
        <v>0</v>
      </c>
      <c r="AS10" s="16">
        <f>SUMIFS(Datos!$F:$F,Datos!$A:$A,$B10,Datos!$B:$B,AS$3)</f>
        <v>0</v>
      </c>
      <c r="AT10" s="16">
        <f>SUMIFS(Datos!$F:$F,Datos!$A:$A,$B10,Datos!$B:$B,AT$3)</f>
        <v>0</v>
      </c>
      <c r="AU10" s="16">
        <f>SUMIFS(Datos!$F:$F,Datos!$A:$A,$B10,Datos!$B:$B,AU$3)</f>
        <v>0</v>
      </c>
      <c r="AV10" s="16">
        <f>SUMIFS(Datos!$F:$F,Datos!$A:$A,$B10,Datos!$B:$B,AV$3)</f>
        <v>0</v>
      </c>
      <c r="AW10" s="16">
        <f>SUMIFS(Datos!$F:$F,Datos!$A:$A,$B10,Datos!$B:$B,AW$3)</f>
        <v>0</v>
      </c>
      <c r="AX10" s="16">
        <f>SUMIFS(Datos!$F:$F,Datos!$A:$A,$B10,Datos!$B:$B,AX$3)</f>
        <v>0</v>
      </c>
      <c r="AY10" s="16">
        <f>SUMIFS(Datos!$F:$F,Datos!$A:$A,$B10,Datos!$B:$B,AY$3)</f>
        <v>0</v>
      </c>
      <c r="AZ10" s="16">
        <f>SUMIFS(Datos!$F:$F,Datos!$A:$A,$B10,Datos!$B:$B,AZ$3)</f>
        <v>0</v>
      </c>
      <c r="BA10" s="16">
        <f>SUMIFS(Datos!$F:$F,Datos!$A:$A,$B10,Datos!$B:$B,BA$3)</f>
        <v>0</v>
      </c>
      <c r="BB10" s="16">
        <f>SUMIFS(Datos!$F:$F,Datos!$A:$A,$B10,Datos!$B:$B,BB$3)</f>
        <v>0</v>
      </c>
      <c r="BC10" s="16">
        <f>SUMIFS(Datos!$F:$F,Datos!$A:$A,$B10,Datos!$B:$B,BC$3)</f>
        <v>0</v>
      </c>
      <c r="BD10" s="16">
        <f>SUMIFS(Datos!$F:$F,Datos!$A:$A,$B10,Datos!$B:$B,BD$3)</f>
        <v>0</v>
      </c>
      <c r="BE10" s="16">
        <f>SUMIFS(Datos!$F:$F,Datos!$A:$A,$B10,Datos!$B:$B,BE$3)</f>
        <v>0</v>
      </c>
      <c r="BF10" s="16">
        <f>SUMIFS(Datos!$F:$F,Datos!$A:$A,$B10,Datos!$B:$B,BF$3)</f>
        <v>0</v>
      </c>
      <c r="BG10" s="16">
        <f>SUMIFS(Datos!$F:$F,Datos!$A:$A,$B10,Datos!$B:$B,BG$3)</f>
        <v>0</v>
      </c>
      <c r="BH10" s="16">
        <f>SUMIFS(Datos!$F:$F,Datos!$A:$A,$B10,Datos!$B:$B,BH$3)</f>
        <v>0</v>
      </c>
      <c r="BI10" s="16">
        <f>SUMIFS(Datos!$F:$F,Datos!$A:$A,$B10,Datos!$B:$B,BI$3)</f>
        <v>0</v>
      </c>
      <c r="BJ10" s="16">
        <f>SUMIFS(Datos!$F:$F,Datos!$A:$A,$B10,Datos!$B:$B,BJ$3)</f>
        <v>0</v>
      </c>
      <c r="BK10" s="16">
        <f>SUMIFS(Datos!$F:$F,Datos!$A:$A,$B10,Datos!$B:$B,BK$3)</f>
        <v>0</v>
      </c>
      <c r="BL10" s="16">
        <f>SUMIFS(Datos!$F:$F,Datos!$A:$A,$B10,Datos!$B:$B,BL$3)</f>
        <v>0</v>
      </c>
      <c r="BM10" s="16">
        <f>SUMIFS(Datos!$F:$F,Datos!$A:$A,$B10,Datos!$B:$B,BM$3)</f>
        <v>0</v>
      </c>
      <c r="BN10" s="16">
        <f>SUMIFS(Datos!$F:$F,Datos!$A:$A,$B10,Datos!$B:$B,BN$3)</f>
        <v>0</v>
      </c>
      <c r="BO10" s="16">
        <f>SUMIFS(Datos!$F:$F,Datos!$A:$A,$B10,Datos!$B:$B,BO$3)</f>
        <v>0</v>
      </c>
      <c r="BP10" s="16">
        <f>SUMIFS(Datos!$F:$F,Datos!$A:$A,$B10,Datos!$B:$B,BP$3)</f>
        <v>0</v>
      </c>
      <c r="BQ10" s="16">
        <f>SUMIFS(Datos!$F:$F,Datos!$A:$A,$B10,Datos!$B:$B,BQ$3)</f>
        <v>0</v>
      </c>
      <c r="BR10" s="16">
        <f>SUMIFS(Datos!$F:$F,Datos!$A:$A,$B10,Datos!$B:$B,BR$3)</f>
        <v>0</v>
      </c>
      <c r="BS10" s="16">
        <f>SUMIFS(Datos!$F:$F,Datos!$A:$A,$B10,Datos!$B:$B,BS$3)</f>
        <v>0</v>
      </c>
      <c r="BT10" s="16">
        <f>SUMIFS(Datos!$F:$F,Datos!$A:$A,$B10,Datos!$B:$B,BT$3)</f>
        <v>0</v>
      </c>
      <c r="BU10" s="16">
        <f>SUMIFS(Datos!$F:$F,Datos!$A:$A,$B10,Datos!$B:$B,BU$3)</f>
        <v>0</v>
      </c>
      <c r="BV10" s="16">
        <f>SUMIFS(Datos!$F:$F,Datos!$A:$A,$B10,Datos!$B:$B,BV$3)</f>
        <v>0</v>
      </c>
      <c r="BW10" s="16">
        <f>SUMIFS(Datos!$F:$F,Datos!$A:$A,$B10,Datos!$B:$B,BW$3)</f>
        <v>0</v>
      </c>
      <c r="BX10" s="16">
        <f>SUMIFS(Datos!$F:$F,Datos!$A:$A,$B10,Datos!$B:$B,BX$3)</f>
        <v>0</v>
      </c>
      <c r="BY10" s="16">
        <f>SUMIFS(Datos!$F:$F,Datos!$A:$A,$B10,Datos!$B:$B,BY$3)</f>
        <v>0</v>
      </c>
      <c r="BZ10" s="16">
        <f>SUMIFS(Datos!$F:$F,Datos!$A:$A,$B10,Datos!$B:$B,BZ$3)</f>
        <v>0</v>
      </c>
      <c r="CA10" s="16">
        <f>SUMIFS(Datos!$F:$F,Datos!$A:$A,$B10,Datos!$B:$B,CA$3)</f>
        <v>0</v>
      </c>
      <c r="CB10" s="16">
        <f>SUMIFS(Datos!$F:$F,Datos!$A:$A,$B10,Datos!$B:$B,CB$3)</f>
        <v>0</v>
      </c>
      <c r="CC10" s="16">
        <f>SUMIFS(Datos!$F:$F,Datos!$A:$A,$B10,Datos!$B:$B,CC$3)</f>
        <v>0</v>
      </c>
      <c r="CD10" s="16">
        <f>SUMIFS(Datos!$F:$F,Datos!$A:$A,$B10,Datos!$B:$B,CD$3)</f>
        <v>0</v>
      </c>
      <c r="CE10" s="16">
        <f>SUMIFS(Datos!$F:$F,Datos!$A:$A,$B10,Datos!$B:$B,CE$3)</f>
        <v>0</v>
      </c>
      <c r="CF10" s="16">
        <f>SUMIFS(Datos!$F:$F,Datos!$A:$A,$B10,Datos!$B:$B,CF$3)</f>
        <v>0</v>
      </c>
      <c r="CG10" s="16">
        <f>SUMIFS(Datos!$F:$F,Datos!$A:$A,$B10,Datos!$B:$B,CG$3)</f>
        <v>0</v>
      </c>
      <c r="CH10" s="16">
        <f>SUMIFS(Datos!$F:$F,Datos!$A:$A,$B10,Datos!$B:$B,CH$3)</f>
        <v>0</v>
      </c>
      <c r="CI10" s="16">
        <f>SUMIFS(Datos!$F:$F,Datos!$A:$A,$B10,Datos!$B:$B,CI$3)</f>
        <v>0</v>
      </c>
      <c r="CJ10" s="16">
        <f>SUMIFS(Datos!$F:$F,Datos!$A:$A,$B10,Datos!$B:$B,CJ$3)</f>
        <v>0</v>
      </c>
      <c r="CK10" s="16">
        <f>SUMIFS(Datos!$F:$F,Datos!$A:$A,$B10,Datos!$B:$B,CK$3)</f>
        <v>0</v>
      </c>
      <c r="CL10" s="16">
        <f>SUMIFS(Datos!$F:$F,Datos!$A:$A,$B10,Datos!$B:$B,CL$3)</f>
        <v>0</v>
      </c>
      <c r="CM10" s="16">
        <f>SUMIFS(Datos!$F:$F,Datos!$A:$A,$B10,Datos!$B:$B,CM$3)</f>
        <v>0</v>
      </c>
      <c r="CN10" s="16">
        <f>SUMIFS(Datos!$F:$F,Datos!$A:$A,$B10,Datos!$B:$B,CN$3)</f>
        <v>0</v>
      </c>
      <c r="CO10" s="16">
        <f>SUMIFS(Datos!$F:$F,Datos!$A:$A,$B10,Datos!$B:$B,CO$3)</f>
        <v>0</v>
      </c>
      <c r="CP10" s="16">
        <f>SUMIFS(Datos!$F:$F,Datos!$A:$A,$B10,Datos!$B:$B,CP$3)</f>
        <v>0</v>
      </c>
      <c r="CQ10" s="16">
        <f>SUMIFS(Datos!$F:$F,Datos!$A:$A,$B10,Datos!$B:$B,CQ$3)</f>
        <v>0</v>
      </c>
      <c r="CR10" s="16">
        <f>SUMIFS(Datos!$F:$F,Datos!$A:$A,$B10,Datos!$B:$B,CR$3)</f>
        <v>0</v>
      </c>
      <c r="CS10" s="16">
        <f>SUMIFS(Datos!$F:$F,Datos!$A:$A,$B10,Datos!$B:$B,CS$3)</f>
        <v>0</v>
      </c>
      <c r="CT10" s="16">
        <f>SUMIFS(Datos!$F:$F,Datos!$A:$A,$B10,Datos!$B:$B,CT$3)</f>
        <v>0</v>
      </c>
      <c r="CU10" s="16">
        <f>SUMIFS(Datos!$F:$F,Datos!$A:$A,$B10,Datos!$B:$B,CU$3)</f>
        <v>0</v>
      </c>
      <c r="CV10" s="16">
        <f>SUMIFS(Datos!$F:$F,Datos!$A:$A,$B10,Datos!$B:$B,CV$3)</f>
        <v>0</v>
      </c>
      <c r="CW10" s="16">
        <f>SUMIFS(Datos!$F:$F,Datos!$A:$A,$B10,Datos!$B:$B,CW$3)</f>
        <v>0</v>
      </c>
      <c r="CX10" s="16">
        <f>SUMIFS(Datos!$F:$F,Datos!$A:$A,$B10,Datos!$B:$B,CX$3)</f>
        <v>0</v>
      </c>
      <c r="CY10" s="16">
        <f>SUMIFS(Datos!$F:$F,Datos!$A:$A,$B10,Datos!$B:$B,CY$3)</f>
        <v>0</v>
      </c>
      <c r="CZ10" s="16">
        <f>SUMIFS(Datos!$F:$F,Datos!$A:$A,$B10,Datos!$B:$B,CZ$3)</f>
        <v>0</v>
      </c>
      <c r="DA10" s="16">
        <f>SUMIFS(Datos!$F:$F,Datos!$A:$A,$B10,Datos!$B:$B,DA$3)</f>
        <v>0</v>
      </c>
      <c r="DB10" s="16">
        <f>SUMIFS(Datos!$F:$F,Datos!$A:$A,$B10,Datos!$B:$B,DB$3)</f>
        <v>0</v>
      </c>
      <c r="DC10" s="16">
        <f>SUMIFS(Datos!$F:$F,Datos!$A:$A,$B10,Datos!$B:$B,DC$3)</f>
        <v>0</v>
      </c>
      <c r="DD10" s="16">
        <f>SUMIFS(Datos!$F:$F,Datos!$A:$A,$B10,Datos!$B:$B,DD$3)</f>
        <v>0</v>
      </c>
      <c r="DE10" s="16">
        <f>SUMIFS(Datos!$F:$F,Datos!$A:$A,$B10,Datos!$B:$B,DE$3)</f>
        <v>0</v>
      </c>
      <c r="DF10" s="16">
        <f>SUMIFS(Datos!$F:$F,Datos!$A:$A,$B10,Datos!$B:$B,DF$3)</f>
        <v>0</v>
      </c>
      <c r="DG10" s="16">
        <f>SUMIFS(Datos!$F:$F,Datos!$A:$A,$B10,Datos!$B:$B,DG$3)</f>
        <v>0</v>
      </c>
      <c r="DH10" s="16">
        <f>SUMIFS(Datos!$F:$F,Datos!$A:$A,$B10,Datos!$B:$B,DH$3)</f>
        <v>0</v>
      </c>
      <c r="DI10" s="16">
        <f>SUMIFS(Datos!$F:$F,Datos!$A:$A,$B10,Datos!$B:$B,DI$3)</f>
        <v>0</v>
      </c>
      <c r="DJ10" s="16">
        <f>SUMIFS(Datos!$F:$F,Datos!$A:$A,$B10,Datos!$B:$B,DJ$3)</f>
        <v>0</v>
      </c>
      <c r="DK10" s="16">
        <f>SUMIFS(Datos!$F:$F,Datos!$A:$A,$B10,Datos!$B:$B,DK$3)</f>
        <v>0</v>
      </c>
      <c r="DL10" s="16">
        <f>SUMIFS(Datos!$F:$F,Datos!$A:$A,$B10,Datos!$B:$B,DL$3)</f>
        <v>0</v>
      </c>
      <c r="DM10" s="16">
        <f>SUMIFS(Datos!$F:$F,Datos!$A:$A,$B10,Datos!$B:$B,DM$3)</f>
        <v>0</v>
      </c>
      <c r="DN10" s="16">
        <f>SUMIFS(Datos!$F:$F,Datos!$A:$A,$B10,Datos!$B:$B,DN$3)</f>
        <v>0</v>
      </c>
      <c r="DO10" s="16">
        <f>SUMIFS(Datos!$F:$F,Datos!$A:$A,$B10,Datos!$B:$B,DO$3)</f>
        <v>0</v>
      </c>
      <c r="DP10" s="16">
        <f>SUMIFS(Datos!$F:$F,Datos!$A:$A,$B10,Datos!$B:$B,DP$3)</f>
        <v>0</v>
      </c>
      <c r="DQ10" s="16">
        <f>SUMIFS(Datos!$F:$F,Datos!$A:$A,$B10,Datos!$B:$B,DQ$3)</f>
        <v>0</v>
      </c>
      <c r="DR10" s="16">
        <f>SUMIFS(Datos!$F:$F,Datos!$A:$A,$B10,Datos!$B:$B,DR$3)</f>
        <v>0</v>
      </c>
      <c r="DS10" s="16">
        <f>SUMIFS(Datos!$F:$F,Datos!$A:$A,$B10,Datos!$B:$B,DS$3)</f>
        <v>0</v>
      </c>
      <c r="DT10" s="16">
        <f>SUMIFS(Datos!$F:$F,Datos!$A:$A,$B10,Datos!$B:$B,DT$3)</f>
        <v>0</v>
      </c>
      <c r="DU10" s="16">
        <f>SUMIFS(Datos!$F:$F,Datos!$A:$A,$B10,Datos!$B:$B,DU$3)</f>
        <v>0</v>
      </c>
      <c r="DV10" s="16">
        <f>SUMIFS(Datos!$F:$F,Datos!$A:$A,$B10,Datos!$B:$B,DV$3)</f>
        <v>0</v>
      </c>
      <c r="DW10" s="16">
        <f>SUMIFS(Datos!$F:$F,Datos!$A:$A,$B10,Datos!$B:$B,DW$3)</f>
        <v>0</v>
      </c>
      <c r="DX10" s="16">
        <f>SUMIFS(Datos!$F:$F,Datos!$A:$A,$B10,Datos!$B:$B,DX$3)</f>
        <v>0</v>
      </c>
      <c r="DY10" s="16">
        <f>SUMIFS(Datos!$F:$F,Datos!$A:$A,$B10,Datos!$B:$B,DY$3)</f>
        <v>0</v>
      </c>
      <c r="DZ10" s="16">
        <f>SUMIFS(Datos!$F:$F,Datos!$A:$A,$B10,Datos!$B:$B,DZ$3)</f>
        <v>0</v>
      </c>
      <c r="EA10" s="16">
        <f>SUMIFS(Datos!$F:$F,Datos!$A:$A,$B10,Datos!$B:$B,EA$3)</f>
        <v>0</v>
      </c>
      <c r="EB10" s="16">
        <f>SUMIFS(Datos!$F:$F,Datos!$A:$A,$B10,Datos!$B:$B,EB$3)</f>
        <v>0</v>
      </c>
      <c r="EC10" s="16">
        <f>SUMIFS(Datos!$F:$F,Datos!$A:$A,$B10,Datos!$B:$B,EC$3)</f>
        <v>0</v>
      </c>
      <c r="ED10" s="16">
        <f>SUMIFS(Datos!$F:$F,Datos!$A:$A,$B10,Datos!$B:$B,ED$3)</f>
        <v>0</v>
      </c>
      <c r="EE10" s="16">
        <f>SUMIFS(Datos!$F:$F,Datos!$A:$A,$B10,Datos!$B:$B,EE$3)</f>
        <v>0</v>
      </c>
      <c r="EF10" s="16">
        <f>SUMIFS(Datos!$F:$F,Datos!$A:$A,$B10,Datos!$B:$B,EF$3)</f>
        <v>0</v>
      </c>
      <c r="EG10" s="16">
        <f>SUMIFS(Datos!$F:$F,Datos!$A:$A,$B10,Datos!$B:$B,EG$3)</f>
        <v>0</v>
      </c>
      <c r="EH10" s="16">
        <f>SUMIFS(Datos!$F:$F,Datos!$A:$A,$B10,Datos!$B:$B,EH$3)</f>
        <v>0</v>
      </c>
      <c r="EI10" s="16">
        <f>SUMIFS(Datos!$F:$F,Datos!$A:$A,$B10,Datos!$B:$B,EI$3)</f>
        <v>0</v>
      </c>
      <c r="EJ10" s="16">
        <f>SUMIFS(Datos!$F:$F,Datos!$A:$A,$B10,Datos!$B:$B,EJ$3)</f>
        <v>0</v>
      </c>
      <c r="EK10" s="16">
        <f>SUMIFS(Datos!$F:$F,Datos!$A:$A,$B10,Datos!$B:$B,EK$3)</f>
        <v>0</v>
      </c>
      <c r="EL10" s="16">
        <f>SUMIFS(Datos!$F:$F,Datos!$A:$A,$B10,Datos!$B:$B,EL$3)</f>
        <v>0</v>
      </c>
      <c r="EM10" s="16">
        <f>SUMIFS(Datos!$F:$F,Datos!$A:$A,$B10,Datos!$B:$B,EM$3)</f>
        <v>0</v>
      </c>
      <c r="EN10" s="16">
        <f>SUMIFS(Datos!$F:$F,Datos!$A:$A,$B10,Datos!$B:$B,EN$3)</f>
        <v>0</v>
      </c>
      <c r="EO10" s="16">
        <f>SUMIFS(Datos!$F:$F,Datos!$A:$A,$B10,Datos!$B:$B,EO$3)</f>
        <v>0</v>
      </c>
      <c r="EP10" s="16">
        <f>SUMIFS(Datos!$F:$F,Datos!$A:$A,$B10,Datos!$B:$B,EP$3)</f>
        <v>0</v>
      </c>
      <c r="EQ10" s="16">
        <f>SUMIFS(Datos!$F:$F,Datos!$A:$A,$B10,Datos!$B:$B,EQ$3)</f>
        <v>0</v>
      </c>
      <c r="ER10" s="16">
        <f>SUMIFS(Datos!$F:$F,Datos!$A:$A,$B10,Datos!$B:$B,ER$3)</f>
        <v>0</v>
      </c>
      <c r="ES10" s="16">
        <f>SUMIFS(Datos!$F:$F,Datos!$A:$A,$B10,Datos!$B:$B,ES$3)</f>
        <v>0</v>
      </c>
      <c r="ET10" s="16">
        <f>SUMIFS(Datos!$F:$F,Datos!$A:$A,$B10,Datos!$B:$B,ET$3)</f>
        <v>0</v>
      </c>
      <c r="EU10" s="16">
        <f>SUMIFS(Datos!$F:$F,Datos!$A:$A,$B10,Datos!$B:$B,EU$3)</f>
        <v>0</v>
      </c>
      <c r="EV10" s="16">
        <f>SUMIFS(Datos!$F:$F,Datos!$A:$A,$B10,Datos!$B:$B,EV$3)</f>
        <v>0</v>
      </c>
      <c r="EW10" s="16">
        <f>SUMIFS(Datos!$F:$F,Datos!$A:$A,$B10,Datos!$B:$B,EW$3)</f>
        <v>0</v>
      </c>
      <c r="EX10" s="16">
        <f>SUMIFS(Datos!$F:$F,Datos!$A:$A,$B10,Datos!$B:$B,EX$3)</f>
        <v>0</v>
      </c>
      <c r="EY10" s="16">
        <f>SUMIFS(Datos!$F:$F,Datos!$A:$A,$B10,Datos!$B:$B,EY$3)</f>
        <v>0</v>
      </c>
      <c r="EZ10" s="16">
        <f>SUMIFS(Datos!$F:$F,Datos!$A:$A,$B10,Datos!$B:$B,EZ$3)</f>
        <v>0</v>
      </c>
      <c r="FA10" s="16">
        <f>SUMIFS(Datos!$F:$F,Datos!$A:$A,$B10,Datos!$B:$B,FA$3)</f>
        <v>0</v>
      </c>
      <c r="FB10" s="16">
        <f>SUMIFS(Datos!$F:$F,Datos!$A:$A,$B10,Datos!$B:$B,FB$3)</f>
        <v>0</v>
      </c>
      <c r="FC10" s="16">
        <f>SUMIFS(Datos!$F:$F,Datos!$A:$A,$B10,Datos!$B:$B,FC$3)</f>
        <v>0</v>
      </c>
      <c r="FD10" s="16">
        <f>SUMIFS(Datos!$F:$F,Datos!$A:$A,$B10,Datos!$B:$B,FD$3)</f>
        <v>0</v>
      </c>
      <c r="FE10" s="16">
        <f>SUMIFS(Datos!$F:$F,Datos!$A:$A,$B10,Datos!$B:$B,FE$3)</f>
        <v>0</v>
      </c>
      <c r="FF10" s="16">
        <f>SUMIFS(Datos!$F:$F,Datos!$A:$A,$B10,Datos!$B:$B,FF$3)</f>
        <v>0</v>
      </c>
      <c r="FG10" s="16">
        <f>SUMIFS(Datos!$F:$F,Datos!$A:$A,$B10,Datos!$B:$B,FG$3)</f>
        <v>0</v>
      </c>
      <c r="FH10" s="16">
        <f>SUMIFS(Datos!$F:$F,Datos!$A:$A,$B10,Datos!$B:$B,FH$3)</f>
        <v>0</v>
      </c>
      <c r="FI10" s="16">
        <f>SUMIFS(Datos!$F:$F,Datos!$A:$A,$B10,Datos!$B:$B,FI$3)</f>
        <v>0</v>
      </c>
      <c r="FJ10" s="16">
        <f>SUMIFS(Datos!$F:$F,Datos!$A:$A,$B10,Datos!$B:$B,FJ$3)</f>
        <v>0</v>
      </c>
      <c r="FK10" s="16">
        <f>SUMIFS(Datos!$F:$F,Datos!$A:$A,$B10,Datos!$B:$B,FK$3)</f>
        <v>0</v>
      </c>
      <c r="FL10" s="16">
        <f>SUMIFS(Datos!$F:$F,Datos!$A:$A,$B10,Datos!$B:$B,FL$3)</f>
        <v>0</v>
      </c>
      <c r="FM10" s="16">
        <f>SUMIFS(Datos!$F:$F,Datos!$A:$A,$B10,Datos!$B:$B,FM$3)</f>
        <v>0</v>
      </c>
      <c r="FN10" s="16">
        <f>SUMIFS(Datos!$F:$F,Datos!$A:$A,$B10,Datos!$B:$B,FN$3)</f>
        <v>0</v>
      </c>
      <c r="FO10" s="16">
        <f>SUMIFS(Datos!$F:$F,Datos!$A:$A,$B10,Datos!$B:$B,FO$3)</f>
        <v>0</v>
      </c>
      <c r="FP10" s="16">
        <f>SUMIFS(Datos!$F:$F,Datos!$A:$A,$B10,Datos!$B:$B,FP$3)</f>
        <v>0</v>
      </c>
      <c r="FQ10" s="16">
        <f>SUMIFS(Datos!$F:$F,Datos!$A:$A,$B10,Datos!$B:$B,FQ$3)</f>
        <v>0</v>
      </c>
      <c r="FR10" s="16">
        <f>SUMIFS(Datos!$F:$F,Datos!$A:$A,$B10,Datos!$B:$B,FR$3)</f>
        <v>0</v>
      </c>
      <c r="FS10" s="16">
        <f>SUMIFS(Datos!$F:$F,Datos!$A:$A,$B10,Datos!$B:$B,FS$3)</f>
        <v>0</v>
      </c>
      <c r="FT10" s="16">
        <f>SUMIFS(Datos!$F:$F,Datos!$A:$A,$B10,Datos!$B:$B,FT$3)</f>
        <v>0</v>
      </c>
      <c r="FU10" s="16">
        <f>SUMIFS(Datos!$F:$F,Datos!$A:$A,$B10,Datos!$B:$B,FU$3)</f>
        <v>0</v>
      </c>
      <c r="FV10" s="16">
        <f>SUMIFS(Datos!$F:$F,Datos!$A:$A,$B10,Datos!$B:$B,FV$3)</f>
        <v>0</v>
      </c>
      <c r="FW10" s="16">
        <f>SUMIFS(Datos!$F:$F,Datos!$A:$A,$B10,Datos!$B:$B,FW$3)</f>
        <v>0</v>
      </c>
      <c r="FX10" s="16">
        <f>SUMIFS(Datos!$F:$F,Datos!$A:$A,$B10,Datos!$B:$B,FX$3)</f>
        <v>0</v>
      </c>
      <c r="FY10" s="16">
        <f>SUMIFS(Datos!$F:$F,Datos!$A:$A,$B10,Datos!$B:$B,FY$3)</f>
        <v>0</v>
      </c>
      <c r="FZ10" s="16">
        <f>SUMIFS(Datos!$F:$F,Datos!$A:$A,$B10,Datos!$B:$B,FZ$3)</f>
        <v>0</v>
      </c>
      <c r="GA10" s="16">
        <f>SUMIFS(Datos!$F:$F,Datos!$A:$A,$B10,Datos!$B:$B,GA$3)</f>
        <v>0</v>
      </c>
      <c r="GB10" s="16">
        <f>SUMIFS(Datos!$F:$F,Datos!$A:$A,$B10,Datos!$B:$B,GB$3)</f>
        <v>0</v>
      </c>
      <c r="GC10" s="16">
        <f>SUMIFS(Datos!$F:$F,Datos!$A:$A,$B10,Datos!$B:$B,GC$3)</f>
        <v>0</v>
      </c>
      <c r="GD10" s="16">
        <f>SUMIFS(Datos!$F:$F,Datos!$A:$A,$B10,Datos!$B:$B,GD$3)</f>
        <v>0</v>
      </c>
      <c r="GE10" s="16">
        <f>SUMIFS(Datos!$F:$F,Datos!$A:$A,$B10,Datos!$B:$B,GE$3)</f>
        <v>0</v>
      </c>
      <c r="GF10" s="16">
        <f>SUMIFS(Datos!$F:$F,Datos!$A:$A,$B10,Datos!$B:$B,GF$3)</f>
        <v>0</v>
      </c>
      <c r="GG10" s="16">
        <f>SUMIFS(Datos!$F:$F,Datos!$A:$A,$B10,Datos!$B:$B,GG$3)</f>
        <v>0</v>
      </c>
      <c r="GH10" s="16">
        <f>SUMIFS(Datos!$F:$F,Datos!$A:$A,$B10,Datos!$B:$B,GH$3)</f>
        <v>0</v>
      </c>
      <c r="GI10" s="16">
        <f>SUMIFS(Datos!$F:$F,Datos!$A:$A,$B10,Datos!$B:$B,GI$3)</f>
        <v>0</v>
      </c>
      <c r="GJ10" s="16">
        <f>SUMIFS(Datos!$F:$F,Datos!$A:$A,$B10,Datos!$B:$B,GJ$3)</f>
        <v>0</v>
      </c>
      <c r="GK10" s="16">
        <f>SUMIFS(Datos!$F:$F,Datos!$A:$A,$B10,Datos!$B:$B,GK$3)</f>
        <v>0</v>
      </c>
      <c r="GL10" s="16">
        <f>SUMIFS(Datos!$F:$F,Datos!$A:$A,$B10,Datos!$B:$B,GL$3)</f>
        <v>0</v>
      </c>
      <c r="GM10" s="16">
        <f>SUMIFS(Datos!$F:$F,Datos!$A:$A,$B10,Datos!$B:$B,GM$3)</f>
        <v>0</v>
      </c>
      <c r="GN10" s="16">
        <f>SUMIFS(Datos!$F:$F,Datos!$A:$A,$B10,Datos!$B:$B,GN$3)</f>
        <v>0</v>
      </c>
      <c r="GO10" s="16">
        <f>SUMIFS(Datos!$F:$F,Datos!$A:$A,$B10,Datos!$B:$B,GO$3)</f>
        <v>0</v>
      </c>
      <c r="GP10" s="16">
        <f>SUMIFS(Datos!$F:$F,Datos!$A:$A,$B10,Datos!$B:$B,GP$3)</f>
        <v>0</v>
      </c>
      <c r="GQ10" s="16">
        <f>SUMIFS(Datos!$F:$F,Datos!$A:$A,$B10,Datos!$B:$B,GQ$3)</f>
        <v>0</v>
      </c>
      <c r="GR10" s="16">
        <f>SUMIFS(Datos!$F:$F,Datos!$A:$A,$B10,Datos!$B:$B,GR$3)</f>
        <v>0</v>
      </c>
      <c r="GS10" s="16">
        <f>SUMIFS(Datos!$F:$F,Datos!$A:$A,$B10,Datos!$B:$B,GS$3)</f>
        <v>0</v>
      </c>
      <c r="GT10" s="16">
        <f>SUMIFS(Datos!$F:$F,Datos!$A:$A,$B10,Datos!$B:$B,GT$3)</f>
        <v>0</v>
      </c>
      <c r="GU10" s="16">
        <f>SUMIFS(Datos!$F:$F,Datos!$A:$A,$B10,Datos!$B:$B,GU$3)</f>
        <v>0</v>
      </c>
      <c r="GV10" s="16">
        <f>SUMIFS(Datos!$F:$F,Datos!$A:$A,$B10,Datos!$B:$B,GV$3)</f>
        <v>0</v>
      </c>
      <c r="GW10" s="16">
        <f>SUMIFS(Datos!$F:$F,Datos!$A:$A,$B10,Datos!$B:$B,GW$3)</f>
        <v>0</v>
      </c>
      <c r="GX10" s="16">
        <f>SUMIFS(Datos!$F:$F,Datos!$A:$A,$B10,Datos!$B:$B,GX$3)</f>
        <v>0</v>
      </c>
      <c r="GY10" s="16">
        <f>SUMIFS(Datos!$F:$F,Datos!$A:$A,$B10,Datos!$B:$B,GY$3)</f>
        <v>0</v>
      </c>
      <c r="GZ10" s="16">
        <f>SUMIFS(Datos!$F:$F,Datos!$A:$A,$B10,Datos!$B:$B,GZ$3)</f>
        <v>0</v>
      </c>
      <c r="HA10" s="16">
        <f>SUMIFS(Datos!$F:$F,Datos!$A:$A,$B10,Datos!$B:$B,HA$3)</f>
        <v>0</v>
      </c>
      <c r="HB10" s="16">
        <f>SUMIFS(Datos!$F:$F,Datos!$A:$A,$B10,Datos!$B:$B,HB$3)</f>
        <v>0</v>
      </c>
      <c r="HC10" s="16">
        <f>SUMIFS(Datos!$F:$F,Datos!$A:$A,$B10,Datos!$B:$B,HC$3)</f>
        <v>0</v>
      </c>
      <c r="HD10" s="16">
        <f>SUMIFS(Datos!$F:$F,Datos!$A:$A,$B10,Datos!$B:$B,HD$3)</f>
        <v>0</v>
      </c>
      <c r="HE10" s="16">
        <f>SUMIFS(Datos!$F:$F,Datos!$A:$A,$B10,Datos!$B:$B,HE$3)</f>
        <v>0</v>
      </c>
      <c r="HF10" s="16">
        <f>SUMIFS(Datos!$F:$F,Datos!$A:$A,$B10,Datos!$B:$B,HF$3)</f>
        <v>0</v>
      </c>
      <c r="HG10" s="16">
        <f>SUMIFS(Datos!$F:$F,Datos!$A:$A,$B10,Datos!$B:$B,HG$3)</f>
        <v>0</v>
      </c>
      <c r="HH10" s="16">
        <f>SUMIFS(Datos!$F:$F,Datos!$A:$A,$B10,Datos!$B:$B,HH$3)</f>
        <v>0</v>
      </c>
      <c r="HI10" s="16">
        <f>SUMIFS(Datos!$F:$F,Datos!$A:$A,$B10,Datos!$B:$B,HI$3)</f>
        <v>0</v>
      </c>
      <c r="HJ10" s="16">
        <f>SUMIFS(Datos!$F:$F,Datos!$A:$A,$B10,Datos!$B:$B,HJ$3)</f>
        <v>0</v>
      </c>
      <c r="HK10" s="16">
        <f>SUMIFS(Datos!$F:$F,Datos!$A:$A,$B10,Datos!$B:$B,HK$3)</f>
        <v>0</v>
      </c>
      <c r="HL10" s="16">
        <f>SUMIFS(Datos!$F:$F,Datos!$A:$A,$B10,Datos!$B:$B,HL$3)</f>
        <v>0</v>
      </c>
      <c r="HM10" s="16">
        <f>SUMIFS(Datos!$F:$F,Datos!$A:$A,$B10,Datos!$B:$B,HM$3)</f>
        <v>0</v>
      </c>
      <c r="HN10" s="16">
        <f>SUMIFS(Datos!$F:$F,Datos!$A:$A,$B10,Datos!$B:$B,HN$3)</f>
        <v>0</v>
      </c>
      <c r="HO10" s="16">
        <f>SUMIFS(Datos!$F:$F,Datos!$A:$A,$B10,Datos!$B:$B,HO$3)</f>
        <v>0</v>
      </c>
      <c r="HP10" s="16">
        <f>SUMIFS(Datos!$F:$F,Datos!$A:$A,$B10,Datos!$B:$B,HP$3)</f>
        <v>0</v>
      </c>
      <c r="HQ10" s="16">
        <f>SUMIFS(Datos!$F:$F,Datos!$A:$A,$B10,Datos!$B:$B,HQ$3)</f>
        <v>0</v>
      </c>
      <c r="HR10" s="16">
        <f>SUMIFS(Datos!$F:$F,Datos!$A:$A,$B10,Datos!$B:$B,HR$3)</f>
        <v>0</v>
      </c>
      <c r="HS10" s="16">
        <f>SUMIFS(Datos!$F:$F,Datos!$A:$A,$B10,Datos!$B:$B,HS$3)</f>
        <v>0</v>
      </c>
      <c r="HT10" s="16">
        <f>SUMIFS(Datos!$F:$F,Datos!$A:$A,$B10,Datos!$B:$B,HT$3)</f>
        <v>0</v>
      </c>
      <c r="HU10" s="16">
        <f>SUMIFS(Datos!$F:$F,Datos!$A:$A,$B10,Datos!$B:$B,HU$3)</f>
        <v>0</v>
      </c>
      <c r="HV10" s="16">
        <f>SUMIFS(Datos!$F:$F,Datos!$A:$A,$B10,Datos!$B:$B,HV$3)</f>
        <v>0</v>
      </c>
      <c r="HW10" s="16">
        <f>SUMIFS(Datos!$F:$F,Datos!$A:$A,$B10,Datos!$B:$B,HW$3)</f>
        <v>0</v>
      </c>
      <c r="HX10" s="16">
        <f>SUMIFS(Datos!$F:$F,Datos!$A:$A,$B10,Datos!$B:$B,HX$3)</f>
        <v>0</v>
      </c>
      <c r="HY10" s="16">
        <f>SUMIFS(Datos!$F:$F,Datos!$A:$A,$B10,Datos!$B:$B,HY$3)</f>
        <v>0</v>
      </c>
      <c r="HZ10" s="16">
        <f>SUMIFS(Datos!$F:$F,Datos!$A:$A,$B10,Datos!$B:$B,HZ$3)</f>
        <v>0</v>
      </c>
      <c r="IA10" s="16">
        <f>SUMIFS(Datos!$F:$F,Datos!$A:$A,$B10,Datos!$B:$B,IA$3)</f>
        <v>0</v>
      </c>
      <c r="IB10" s="16">
        <f>SUMIFS(Datos!$F:$F,Datos!$A:$A,$B10,Datos!$B:$B,IB$3)</f>
        <v>0</v>
      </c>
      <c r="IC10" s="16">
        <f>SUMIFS(Datos!$F:$F,Datos!$A:$A,$B10,Datos!$B:$B,IC$3)</f>
        <v>0</v>
      </c>
      <c r="ID10" s="16">
        <f>SUMIFS(Datos!$F:$F,Datos!$A:$A,$B10,Datos!$B:$B,ID$3)</f>
        <v>0</v>
      </c>
      <c r="IE10" s="16">
        <f>SUMIFS(Datos!$F:$F,Datos!$A:$A,$B10,Datos!$B:$B,IE$3)</f>
        <v>0</v>
      </c>
      <c r="IF10" s="16">
        <f>SUMIFS(Datos!$F:$F,Datos!$A:$A,$B10,Datos!$B:$B,IF$3)</f>
        <v>0</v>
      </c>
      <c r="IG10" s="16">
        <f>SUMIFS(Datos!$F:$F,Datos!$A:$A,$B10,Datos!$B:$B,IG$3)</f>
        <v>0</v>
      </c>
      <c r="IH10" s="16">
        <f>SUMIFS(Datos!$F:$F,Datos!$A:$A,$B10,Datos!$B:$B,IH$3)</f>
        <v>0</v>
      </c>
      <c r="II10" s="16">
        <f>SUMIFS(Datos!$F:$F,Datos!$A:$A,$B10,Datos!$B:$B,II$3)</f>
        <v>0</v>
      </c>
      <c r="IJ10" s="16">
        <f>SUMIFS(Datos!$F:$F,Datos!$A:$A,$B10,Datos!$B:$B,IJ$3)</f>
        <v>0</v>
      </c>
      <c r="IK10" s="16">
        <f>SUMIFS(Datos!$F:$F,Datos!$A:$A,$B10,Datos!$B:$B,IK$3)</f>
        <v>0</v>
      </c>
      <c r="IL10" s="16">
        <f>SUMIFS(Datos!$F:$F,Datos!$A:$A,$B10,Datos!$B:$B,IL$3)</f>
        <v>0</v>
      </c>
      <c r="IM10" s="16">
        <f>SUMIFS(Datos!$F:$F,Datos!$A:$A,$B10,Datos!$B:$B,IM$3)</f>
        <v>0</v>
      </c>
      <c r="IN10" s="16">
        <f>SUMIFS(Datos!$F:$F,Datos!$A:$A,$B10,Datos!$B:$B,IN$3)</f>
        <v>0</v>
      </c>
      <c r="IO10" s="16">
        <f>SUMIFS(Datos!$F:$F,Datos!$A:$A,$B10,Datos!$B:$B,IO$3)</f>
        <v>0</v>
      </c>
      <c r="IP10" s="16">
        <f>SUMIFS(Datos!$F:$F,Datos!$A:$A,$B10,Datos!$B:$B,IP$3)</f>
        <v>0</v>
      </c>
      <c r="IQ10" s="16">
        <f>SUMIFS(Datos!$F:$F,Datos!$A:$A,$B10,Datos!$B:$B,IQ$3)</f>
        <v>0</v>
      </c>
      <c r="IR10" s="16">
        <f>SUMIFS(Datos!$F:$F,Datos!$A:$A,$B10,Datos!$B:$B,IR$3)</f>
        <v>0</v>
      </c>
      <c r="IS10" s="16">
        <f>SUMIFS(Datos!$F:$F,Datos!$A:$A,$B10,Datos!$B:$B,IS$3)</f>
        <v>0</v>
      </c>
      <c r="IT10" s="16">
        <f>SUMIFS(Datos!$F:$F,Datos!$A:$A,$B10,Datos!$B:$B,IT$3)</f>
        <v>0</v>
      </c>
      <c r="IU10" s="16">
        <f>SUMIFS(Datos!$F:$F,Datos!$A:$A,$B10,Datos!$B:$B,IU$3)</f>
        <v>0</v>
      </c>
      <c r="IV10" s="16">
        <f>SUMIFS(Datos!$F:$F,Datos!$A:$A,$B10,Datos!$B:$B,IV$3)</f>
        <v>0</v>
      </c>
      <c r="IW10" s="16">
        <f>SUMIFS(Datos!$F:$F,Datos!$A:$A,$B10,Datos!$B:$B,IW$3)</f>
        <v>0</v>
      </c>
      <c r="IX10" s="16">
        <f>SUMIFS(Datos!$F:$F,Datos!$A:$A,$B10,Datos!$B:$B,IX$3)</f>
        <v>0</v>
      </c>
      <c r="IY10" s="16">
        <f>SUMIFS(Datos!$F:$F,Datos!$A:$A,$B10,Datos!$B:$B,IY$3)</f>
        <v>0</v>
      </c>
      <c r="IZ10" s="16">
        <f>SUMIFS(Datos!$F:$F,Datos!$A:$A,$B10,Datos!$B:$B,IZ$3)</f>
        <v>0</v>
      </c>
      <c r="JA10" s="16">
        <f>SUMIFS(Datos!$F:$F,Datos!$A:$A,$B10,Datos!$B:$B,JA$3)</f>
        <v>0</v>
      </c>
      <c r="JB10" s="16">
        <f>SUMIFS(Datos!$F:$F,Datos!$A:$A,$B10,Datos!$B:$B,JB$3)</f>
        <v>0</v>
      </c>
      <c r="JC10" s="16">
        <f>SUMIFS(Datos!$F:$F,Datos!$A:$A,$B10,Datos!$B:$B,JC$3)</f>
        <v>0</v>
      </c>
      <c r="JD10" s="16">
        <f>SUMIFS(Datos!$F:$F,Datos!$A:$A,$B10,Datos!$B:$B,JD$3)</f>
        <v>0</v>
      </c>
      <c r="JE10" s="16">
        <f>SUMIFS(Datos!$F:$F,Datos!$A:$A,$B10,Datos!$B:$B,JE$3)</f>
        <v>0</v>
      </c>
      <c r="JF10" s="16">
        <f>SUMIFS(Datos!$F:$F,Datos!$A:$A,$B10,Datos!$B:$B,JF$3)</f>
        <v>0</v>
      </c>
      <c r="JG10" s="16">
        <f>SUMIFS(Datos!$F:$F,Datos!$A:$A,$B10,Datos!$B:$B,JG$3)</f>
        <v>0</v>
      </c>
      <c r="JH10" s="16">
        <f>SUMIFS(Datos!$F:$F,Datos!$A:$A,$B10,Datos!$B:$B,JH$3)</f>
        <v>0</v>
      </c>
      <c r="JI10" s="16">
        <f>SUMIFS(Datos!$F:$F,Datos!$A:$A,$B10,Datos!$B:$B,JI$3)</f>
        <v>0</v>
      </c>
      <c r="JJ10" s="16">
        <f>SUMIFS(Datos!$F:$F,Datos!$A:$A,$B10,Datos!$B:$B,JJ$3)</f>
        <v>0</v>
      </c>
      <c r="JK10" s="16">
        <f>SUMIFS(Datos!$F:$F,Datos!$A:$A,$B10,Datos!$B:$B,JK$3)</f>
        <v>0</v>
      </c>
      <c r="JL10" s="16">
        <f>SUMIFS(Datos!$F:$F,Datos!$A:$A,$B10,Datos!$B:$B,JL$3)</f>
        <v>0</v>
      </c>
      <c r="JM10" s="16">
        <f>SUMIFS(Datos!$F:$F,Datos!$A:$A,$B10,Datos!$B:$B,JM$3)</f>
        <v>0</v>
      </c>
      <c r="JN10" s="16">
        <f>SUMIFS(Datos!$F:$F,Datos!$A:$A,$B10,Datos!$B:$B,JN$3)</f>
        <v>0</v>
      </c>
      <c r="JO10" s="16">
        <f>SUMIFS(Datos!$F:$F,Datos!$A:$A,$B10,Datos!$B:$B,JO$3)</f>
        <v>0</v>
      </c>
      <c r="JP10" s="16">
        <f>SUMIFS(Datos!$F:$F,Datos!$A:$A,$B10,Datos!$B:$B,JP$3)</f>
        <v>0</v>
      </c>
      <c r="JQ10" s="16">
        <f>SUMIFS(Datos!$F:$F,Datos!$A:$A,$B10,Datos!$B:$B,JQ$3)</f>
        <v>0</v>
      </c>
      <c r="JR10" s="16">
        <f>SUMIFS(Datos!$F:$F,Datos!$A:$A,$B10,Datos!$B:$B,JR$3)</f>
        <v>0</v>
      </c>
      <c r="JS10" s="16">
        <f>SUMIFS(Datos!$F:$F,Datos!$A:$A,$B10,Datos!$B:$B,JS$3)</f>
        <v>0</v>
      </c>
      <c r="JT10" s="16">
        <f>SUMIFS(Datos!$F:$F,Datos!$A:$A,$B10,Datos!$B:$B,JT$3)</f>
        <v>0</v>
      </c>
      <c r="JU10" s="16">
        <f>SUMIFS(Datos!$F:$F,Datos!$A:$A,$B10,Datos!$B:$B,JU$3)</f>
        <v>0</v>
      </c>
      <c r="JV10" s="16">
        <f>SUMIFS(Datos!$F:$F,Datos!$A:$A,$B10,Datos!$B:$B,JV$3)</f>
        <v>0</v>
      </c>
      <c r="JW10" s="16">
        <f>SUMIFS(Datos!$F:$F,Datos!$A:$A,$B10,Datos!$B:$B,JW$3)</f>
        <v>0</v>
      </c>
      <c r="JX10" s="16">
        <f>SUMIFS(Datos!$F:$F,Datos!$A:$A,$B10,Datos!$B:$B,JX$3)</f>
        <v>0</v>
      </c>
      <c r="JY10" s="16">
        <f>SUMIFS(Datos!$F:$F,Datos!$A:$A,$B10,Datos!$B:$B,JY$3)</f>
        <v>0</v>
      </c>
      <c r="JZ10" s="16">
        <f>SUMIFS(Datos!$F:$F,Datos!$A:$A,$B10,Datos!$B:$B,JZ$3)</f>
        <v>0</v>
      </c>
      <c r="KA10" s="16">
        <f>SUMIFS(Datos!$F:$F,Datos!$A:$A,$B10,Datos!$B:$B,KA$3)</f>
        <v>0</v>
      </c>
      <c r="KB10" s="16">
        <f>SUMIFS(Datos!$F:$F,Datos!$A:$A,$B10,Datos!$B:$B,KB$3)</f>
        <v>0</v>
      </c>
      <c r="KC10" s="16">
        <f>SUMIFS(Datos!$F:$F,Datos!$A:$A,$B10,Datos!$B:$B,KC$3)</f>
        <v>0</v>
      </c>
      <c r="KD10" s="16">
        <f>SUMIFS(Datos!$F:$F,Datos!$A:$A,$B10,Datos!$B:$B,KD$3)</f>
        <v>0</v>
      </c>
      <c r="KE10" s="16">
        <f>SUMIFS(Datos!$F:$F,Datos!$A:$A,$B10,Datos!$B:$B,KE$3)</f>
        <v>0</v>
      </c>
      <c r="KF10" s="16">
        <f>SUMIFS(Datos!$F:$F,Datos!$A:$A,$B10,Datos!$B:$B,KF$3)</f>
        <v>0</v>
      </c>
      <c r="KG10" s="16">
        <f>SUMIFS(Datos!$F:$F,Datos!$A:$A,$B10,Datos!$B:$B,KG$3)</f>
        <v>0</v>
      </c>
      <c r="KH10" s="16">
        <f>SUMIFS(Datos!$F:$F,Datos!$A:$A,$B10,Datos!$B:$B,KH$3)</f>
        <v>0</v>
      </c>
      <c r="KI10" s="16">
        <f>SUMIFS(Datos!$F:$F,Datos!$A:$A,$B10,Datos!$B:$B,KI$3)</f>
        <v>0</v>
      </c>
      <c r="KJ10" s="16">
        <f>SUMIFS(Datos!$F:$F,Datos!$A:$A,$B10,Datos!$B:$B,KJ$3)</f>
        <v>0</v>
      </c>
      <c r="KK10" s="16">
        <f>SUMIFS(Datos!$F:$F,Datos!$A:$A,$B10,Datos!$B:$B,KK$3)</f>
        <v>0</v>
      </c>
      <c r="KL10" s="16">
        <f>SUMIFS(Datos!$F:$F,Datos!$A:$A,$B10,Datos!$B:$B,KL$3)</f>
        <v>0</v>
      </c>
      <c r="KM10" s="16">
        <f>SUMIFS(Datos!$F:$F,Datos!$A:$A,$B10,Datos!$B:$B,KM$3)</f>
        <v>0</v>
      </c>
      <c r="KN10" s="16">
        <f>SUMIFS(Datos!$F:$F,Datos!$A:$A,$B10,Datos!$B:$B,KN$3)</f>
        <v>0</v>
      </c>
      <c r="KO10" s="16">
        <f>SUMIFS(Datos!$F:$F,Datos!$A:$A,$B10,Datos!$B:$B,KO$3)</f>
        <v>0</v>
      </c>
      <c r="KP10" s="16">
        <f>SUMIFS(Datos!$F:$F,Datos!$A:$A,$B10,Datos!$B:$B,KP$3)</f>
        <v>0</v>
      </c>
      <c r="KQ10" s="16">
        <f>SUMIFS(Datos!$F:$F,Datos!$A:$A,$B10,Datos!$B:$B,KQ$3)</f>
        <v>0</v>
      </c>
      <c r="KR10" s="16">
        <f>SUMIFS(Datos!$F:$F,Datos!$A:$A,$B10,Datos!$B:$B,KR$3)</f>
        <v>0</v>
      </c>
      <c r="KS10" s="16">
        <f>SUMIFS(Datos!$F:$F,Datos!$A:$A,$B10,Datos!$B:$B,KS$3)</f>
        <v>0</v>
      </c>
      <c r="KT10" s="16">
        <f>SUMIFS(Datos!$F:$F,Datos!$A:$A,$B10,Datos!$B:$B,KT$3)</f>
        <v>0</v>
      </c>
      <c r="KU10" s="16">
        <f>SUMIFS(Datos!$F:$F,Datos!$A:$A,$B10,Datos!$B:$B,KU$3)</f>
        <v>0</v>
      </c>
      <c r="KV10" s="16">
        <f>SUMIFS(Datos!$F:$F,Datos!$A:$A,$B10,Datos!$B:$B,KV$3)</f>
        <v>0</v>
      </c>
      <c r="KW10" s="16">
        <f>SUMIFS(Datos!$F:$F,Datos!$A:$A,$B10,Datos!$B:$B,KW$3)</f>
        <v>0</v>
      </c>
      <c r="KX10" s="16">
        <f>SUMIFS(Datos!$F:$F,Datos!$A:$A,$B10,Datos!$B:$B,KX$3)</f>
        <v>0</v>
      </c>
      <c r="KY10" s="16">
        <f>SUMIFS(Datos!$F:$F,Datos!$A:$A,$B10,Datos!$B:$B,KY$3)</f>
        <v>0</v>
      </c>
      <c r="KZ10" s="16">
        <f>SUMIFS(Datos!$F:$F,Datos!$A:$A,$B10,Datos!$B:$B,KZ$3)</f>
        <v>0</v>
      </c>
      <c r="LA10" s="16">
        <f>SUMIFS(Datos!$F:$F,Datos!$A:$A,$B10,Datos!$B:$B,LA$3)</f>
        <v>0</v>
      </c>
      <c r="LB10" s="16">
        <f>SUMIFS(Datos!$F:$F,Datos!$A:$A,$B10,Datos!$B:$B,LB$3)</f>
        <v>0</v>
      </c>
      <c r="LC10" s="16">
        <f>SUMIFS(Datos!$F:$F,Datos!$A:$A,$B10,Datos!$B:$B,LC$3)</f>
        <v>0</v>
      </c>
      <c r="LD10" s="16">
        <f>SUMIFS(Datos!$F:$F,Datos!$A:$A,$B10,Datos!$B:$B,LD$3)</f>
        <v>0</v>
      </c>
      <c r="LE10" s="16">
        <f>SUMIFS(Datos!$F:$F,Datos!$A:$A,$B10,Datos!$B:$B,LE$3)</f>
        <v>0</v>
      </c>
      <c r="LF10" s="16">
        <f>SUMIFS(Datos!$F:$F,Datos!$A:$A,$B10,Datos!$B:$B,LF$3)</f>
        <v>0</v>
      </c>
      <c r="LG10" s="16">
        <f>SUMIFS(Datos!$F:$F,Datos!$A:$A,$B10,Datos!$B:$B,LG$3)</f>
        <v>0</v>
      </c>
      <c r="LH10" s="16">
        <f>SUMIFS(Datos!$F:$F,Datos!$A:$A,$B10,Datos!$B:$B,LH$3)</f>
        <v>0</v>
      </c>
      <c r="LI10" s="16">
        <f>SUMIFS(Datos!$F:$F,Datos!$A:$A,$B10,Datos!$B:$B,LI$3)</f>
        <v>0</v>
      </c>
      <c r="LJ10" s="16">
        <f>SUMIFS(Datos!$F:$F,Datos!$A:$A,$B10,Datos!$B:$B,LJ$3)</f>
        <v>0</v>
      </c>
      <c r="LK10" s="16">
        <f>SUMIFS(Datos!$F:$F,Datos!$A:$A,$B10,Datos!$B:$B,LK$3)</f>
        <v>0</v>
      </c>
      <c r="LL10" s="16">
        <f>SUMIFS(Datos!$F:$F,Datos!$A:$A,$B10,Datos!$B:$B,LL$3)</f>
        <v>0</v>
      </c>
      <c r="LM10" s="16">
        <f>SUMIFS(Datos!$F:$F,Datos!$A:$A,$B10,Datos!$B:$B,LM$3)</f>
        <v>0</v>
      </c>
      <c r="LN10" s="16">
        <f>SUMIFS(Datos!$F:$F,Datos!$A:$A,$B10,Datos!$B:$B,LN$3)</f>
        <v>0</v>
      </c>
      <c r="LO10" s="16">
        <f>SUMIFS(Datos!$F:$F,Datos!$A:$A,$B10,Datos!$B:$B,LO$3)</f>
        <v>0</v>
      </c>
      <c r="LP10" s="16">
        <f>SUMIFS(Datos!$F:$F,Datos!$A:$A,$B10,Datos!$B:$B,LP$3)</f>
        <v>0</v>
      </c>
      <c r="LQ10" s="16">
        <f>SUMIFS(Datos!$F:$F,Datos!$A:$A,$B10,Datos!$B:$B,LQ$3)</f>
        <v>0</v>
      </c>
      <c r="LR10" s="16">
        <f>SUMIFS(Datos!$F:$F,Datos!$A:$A,$B10,Datos!$B:$B,LR$3)</f>
        <v>0</v>
      </c>
      <c r="LS10" s="16">
        <f>SUMIFS(Datos!$F:$F,Datos!$A:$A,$B10,Datos!$B:$B,LS$3)</f>
        <v>0</v>
      </c>
      <c r="LT10" s="16">
        <f>SUMIFS(Datos!$F:$F,Datos!$A:$A,$B10,Datos!$B:$B,LT$3)</f>
        <v>0</v>
      </c>
      <c r="LU10" s="16">
        <f>SUMIFS(Datos!$F:$F,Datos!$A:$A,$B10,Datos!$B:$B,LU$3)</f>
        <v>0</v>
      </c>
      <c r="LV10" s="16">
        <f>SUMIFS(Datos!$F:$F,Datos!$A:$A,$B10,Datos!$B:$B,LV$3)</f>
        <v>0</v>
      </c>
      <c r="LW10" s="16">
        <f>SUMIFS(Datos!$F:$F,Datos!$A:$A,$B10,Datos!$B:$B,LW$3)</f>
        <v>0</v>
      </c>
      <c r="LX10" s="16">
        <f>SUMIFS(Datos!$F:$F,Datos!$A:$A,$B10,Datos!$B:$B,LX$3)</f>
        <v>0</v>
      </c>
      <c r="LY10" s="16">
        <f>SUMIFS(Datos!$F:$F,Datos!$A:$A,$B10,Datos!$B:$B,LY$3)</f>
        <v>0</v>
      </c>
      <c r="LZ10" s="16">
        <f>SUMIFS(Datos!$F:$F,Datos!$A:$A,$B10,Datos!$B:$B,LZ$3)</f>
        <v>0</v>
      </c>
      <c r="MA10" s="16">
        <f>SUMIFS(Datos!$F:$F,Datos!$A:$A,$B10,Datos!$B:$B,MA$3)</f>
        <v>0</v>
      </c>
      <c r="MB10" s="16">
        <f>SUMIFS(Datos!$F:$F,Datos!$A:$A,$B10,Datos!$B:$B,MB$3)</f>
        <v>0</v>
      </c>
      <c r="MC10" s="16">
        <f>SUMIFS(Datos!$F:$F,Datos!$A:$A,$B10,Datos!$B:$B,MC$3)</f>
        <v>0</v>
      </c>
      <c r="MD10" s="16">
        <f>SUMIFS(Datos!$F:$F,Datos!$A:$A,$B10,Datos!$B:$B,MD$3)</f>
        <v>0</v>
      </c>
      <c r="ME10" s="16">
        <f>SUMIFS(Datos!$F:$F,Datos!$A:$A,$B10,Datos!$B:$B,ME$3)</f>
        <v>0</v>
      </c>
      <c r="MF10" s="16">
        <f>SUMIFS(Datos!$F:$F,Datos!$A:$A,$B10,Datos!$B:$B,MF$3)</f>
        <v>0</v>
      </c>
      <c r="MG10" s="16">
        <f>SUMIFS(Datos!$F:$F,Datos!$A:$A,$B10,Datos!$B:$B,MG$3)</f>
        <v>0</v>
      </c>
      <c r="MH10" s="16">
        <f>SUMIFS(Datos!$F:$F,Datos!$A:$A,$B10,Datos!$B:$B,MH$3)</f>
        <v>0</v>
      </c>
      <c r="MI10" s="16">
        <f>SUMIFS(Datos!$F:$F,Datos!$A:$A,$B10,Datos!$B:$B,MI$3)</f>
        <v>0</v>
      </c>
      <c r="MJ10" s="16">
        <f>SUMIFS(Datos!$F:$F,Datos!$A:$A,$B10,Datos!$B:$B,MJ$3)</f>
        <v>0</v>
      </c>
      <c r="MK10" s="16">
        <f>SUMIFS(Datos!$F:$F,Datos!$A:$A,$B10,Datos!$B:$B,MK$3)</f>
        <v>0</v>
      </c>
      <c r="ML10" s="16">
        <f>SUMIFS(Datos!$F:$F,Datos!$A:$A,$B10,Datos!$B:$B,ML$3)</f>
        <v>0</v>
      </c>
      <c r="MM10" s="16">
        <f>SUMIFS(Datos!$F:$F,Datos!$A:$A,$B10,Datos!$B:$B,MM$3)</f>
        <v>0</v>
      </c>
      <c r="MN10" s="16">
        <f>SUMIFS(Datos!$F:$F,Datos!$A:$A,$B10,Datos!$B:$B,MN$3)</f>
        <v>0</v>
      </c>
      <c r="MO10" s="16">
        <f>SUMIFS(Datos!$F:$F,Datos!$A:$A,$B10,Datos!$B:$B,MO$3)</f>
        <v>0</v>
      </c>
      <c r="MP10" s="16">
        <f>SUMIFS(Datos!$F:$F,Datos!$A:$A,$B10,Datos!$B:$B,MP$3)</f>
        <v>0</v>
      </c>
      <c r="MQ10" s="16">
        <f>SUMIFS(Datos!$F:$F,Datos!$A:$A,$B10,Datos!$B:$B,MQ$3)</f>
        <v>0</v>
      </c>
      <c r="MR10" s="16">
        <f>SUMIFS(Datos!$F:$F,Datos!$A:$A,$B10,Datos!$B:$B,MR$3)</f>
        <v>0</v>
      </c>
      <c r="MS10" s="16">
        <f>SUMIFS(Datos!$F:$F,Datos!$A:$A,$B10,Datos!$B:$B,MS$3)</f>
        <v>0</v>
      </c>
      <c r="MT10" s="16">
        <f>SUMIFS(Datos!$F:$F,Datos!$A:$A,$B10,Datos!$B:$B,MT$3)</f>
        <v>0</v>
      </c>
      <c r="MU10" s="16">
        <f>SUMIFS(Datos!$F:$F,Datos!$A:$A,$B10,Datos!$B:$B,MU$3)</f>
        <v>0</v>
      </c>
      <c r="MV10" s="16">
        <f>SUMIFS(Datos!$F:$F,Datos!$A:$A,$B10,Datos!$B:$B,MV$3)</f>
        <v>0</v>
      </c>
      <c r="MW10" s="16">
        <f>SUMIFS(Datos!$F:$F,Datos!$A:$A,$B10,Datos!$B:$B,MW$3)</f>
        <v>0</v>
      </c>
      <c r="MX10" s="16">
        <f>SUMIFS(Datos!$F:$F,Datos!$A:$A,$B10,Datos!$B:$B,MX$3)</f>
        <v>0</v>
      </c>
      <c r="MY10" s="16">
        <f>SUMIFS(Datos!$F:$F,Datos!$A:$A,$B10,Datos!$B:$B,MY$3)</f>
        <v>0</v>
      </c>
      <c r="MZ10" s="16">
        <f>SUMIFS(Datos!$F:$F,Datos!$A:$A,$B10,Datos!$B:$B,MZ$3)</f>
        <v>0</v>
      </c>
      <c r="NA10" s="16">
        <f>SUMIFS(Datos!$F:$F,Datos!$A:$A,$B10,Datos!$B:$B,NA$3)</f>
        <v>0</v>
      </c>
      <c r="NB10" s="16">
        <f>SUMIFS(Datos!$F:$F,Datos!$A:$A,$B10,Datos!$B:$B,NB$3)</f>
        <v>0</v>
      </c>
      <c r="NC10" s="16">
        <f>SUMIFS(Datos!$F:$F,Datos!$A:$A,$B10,Datos!$B:$B,NC$3)</f>
        <v>0</v>
      </c>
      <c r="ND10" s="16">
        <f>SUMIFS(Datos!$F:$F,Datos!$A:$A,$B10,Datos!$B:$B,ND$3)</f>
        <v>0</v>
      </c>
      <c r="NE10" s="16">
        <f>SUMIFS(Datos!$F:$F,Datos!$A:$A,$B10,Datos!$B:$B,NE$3)</f>
        <v>0</v>
      </c>
      <c r="NF10" s="16">
        <f>SUMIFS(Datos!$F:$F,Datos!$A:$A,$B10,Datos!$B:$B,NF$3)</f>
        <v>0</v>
      </c>
      <c r="NG10" s="16">
        <f>SUMIFS(Datos!$F:$F,Datos!$A:$A,$B10,Datos!$B:$B,NG$3)</f>
        <v>0</v>
      </c>
      <c r="NH10" s="16">
        <f>SUMIFS(Datos!$F:$F,Datos!$A:$A,$B10,Datos!$B:$B,NH$3)</f>
        <v>0</v>
      </c>
      <c r="NI10" s="16">
        <f>SUMIFS(Datos!$F:$F,Datos!$A:$A,$B10,Datos!$B:$B,NI$3)</f>
        <v>0</v>
      </c>
      <c r="NJ10" s="16">
        <f>SUMIFS(Datos!$F:$F,Datos!$A:$A,$B10,Datos!$B:$B,NJ$3)</f>
        <v>0</v>
      </c>
      <c r="NK10" s="16">
        <f>SUMIFS(Datos!$F:$F,Datos!$A:$A,$B10,Datos!$B:$B,NK$3)</f>
        <v>0</v>
      </c>
      <c r="NL10" s="16">
        <f>SUMIFS(Datos!$F:$F,Datos!$A:$A,$B10,Datos!$B:$B,NL$3)</f>
        <v>0</v>
      </c>
      <c r="NM10" s="16">
        <f>SUMIFS(Datos!$F:$F,Datos!$A:$A,$B10,Datos!$B:$B,NM$3)</f>
        <v>0</v>
      </c>
      <c r="NN10" s="16">
        <f>SUMIFS(Datos!$F:$F,Datos!$A:$A,$B10,Datos!$B:$B,NN$3)</f>
        <v>0</v>
      </c>
      <c r="NO10" s="16">
        <f>SUMIFS(Datos!$F:$F,Datos!$A:$A,$B10,Datos!$B:$B,NO$3)</f>
        <v>0</v>
      </c>
      <c r="NP10" s="16">
        <f>SUMIFS(Datos!$F:$F,Datos!$A:$A,$B10,Datos!$B:$B,NP$3)</f>
        <v>0</v>
      </c>
      <c r="NQ10" s="16">
        <f>SUMIFS(Datos!$F:$F,Datos!$A:$A,$B10,Datos!$B:$B,NQ$3)</f>
        <v>0</v>
      </c>
      <c r="NR10" s="16">
        <f>SUMIFS(Datos!$F:$F,Datos!$A:$A,$B10,Datos!$B:$B,NR$3)</f>
        <v>0</v>
      </c>
      <c r="NS10" s="16">
        <f>SUMIFS(Datos!$F:$F,Datos!$A:$A,$B10,Datos!$B:$B,NS$3)</f>
        <v>0</v>
      </c>
      <c r="NT10" s="16">
        <f>SUMIFS(Datos!$F:$F,Datos!$A:$A,$B10,Datos!$B:$B,NT$3)</f>
        <v>0</v>
      </c>
      <c r="NU10" s="16">
        <f>SUMIFS(Datos!$F:$F,Datos!$A:$A,$B10,Datos!$B:$B,NU$3)</f>
        <v>0</v>
      </c>
      <c r="NV10" s="16">
        <f>SUMIFS(Datos!$F:$F,Datos!$A:$A,$B10,Datos!$B:$B,NV$3)</f>
        <v>0</v>
      </c>
      <c r="NW10" s="16">
        <f>SUMIFS(Datos!$F:$F,Datos!$A:$A,$B10,Datos!$B:$B,NW$3)</f>
        <v>0</v>
      </c>
      <c r="NX10" s="16">
        <f>SUMIFS(Datos!$F:$F,Datos!$A:$A,$B10,Datos!$B:$B,NX$3)</f>
        <v>0</v>
      </c>
      <c r="NY10" s="16">
        <f>SUMIFS(Datos!$F:$F,Datos!$A:$A,$B10,Datos!$B:$B,NY$3)</f>
        <v>0</v>
      </c>
      <c r="NZ10" s="16">
        <f>SUMIFS(Datos!$F:$F,Datos!$A:$A,$B10,Datos!$B:$B,NZ$3)</f>
        <v>0</v>
      </c>
      <c r="OA10" s="16">
        <f>SUMIFS(Datos!$F:$F,Datos!$A:$A,$B10,Datos!$B:$B,OA$3)</f>
        <v>0</v>
      </c>
      <c r="OB10" s="16">
        <f>SUMIFS(Datos!$F:$F,Datos!$A:$A,$B10,Datos!$B:$B,OB$3)</f>
        <v>0</v>
      </c>
      <c r="OC10" s="16">
        <f>SUMIFS(Datos!$F:$F,Datos!$A:$A,$B10,Datos!$B:$B,OC$3)</f>
        <v>0</v>
      </c>
      <c r="OD10" s="16">
        <f>SUMIFS(Datos!$F:$F,Datos!$A:$A,$B10,Datos!$B:$B,OD$3)</f>
        <v>0</v>
      </c>
      <c r="OE10" s="16">
        <f>SUMIFS(Datos!$F:$F,Datos!$A:$A,$B10,Datos!$B:$B,OE$3)</f>
        <v>0</v>
      </c>
      <c r="OF10" s="16">
        <f>SUMIFS(Datos!$F:$F,Datos!$A:$A,$B10,Datos!$B:$B,OF$3)</f>
        <v>0</v>
      </c>
      <c r="OG10" s="16">
        <f>SUMIFS(Datos!$F:$F,Datos!$A:$A,$B10,Datos!$B:$B,OG$3)</f>
        <v>0</v>
      </c>
      <c r="OH10" s="16">
        <f>SUMIFS(Datos!$F:$F,Datos!$A:$A,$B10,Datos!$B:$B,OH$3)</f>
        <v>0</v>
      </c>
      <c r="OI10" s="16">
        <f>SUMIFS(Datos!$F:$F,Datos!$A:$A,$B10,Datos!$B:$B,OI$3)</f>
        <v>0</v>
      </c>
      <c r="OJ10" s="16">
        <f>SUMIFS(Datos!$F:$F,Datos!$A:$A,$B10,Datos!$B:$B,OJ$3)</f>
        <v>0</v>
      </c>
      <c r="OK10" s="16">
        <f>SUMIFS(Datos!$F:$F,Datos!$A:$A,$B10,Datos!$B:$B,OK$3)</f>
        <v>0</v>
      </c>
      <c r="OL10" s="16">
        <f>SUMIFS(Datos!$F:$F,Datos!$A:$A,$B10,Datos!$B:$B,OL$3)</f>
        <v>0</v>
      </c>
      <c r="OM10" s="16">
        <f>SUMIFS(Datos!$F:$F,Datos!$A:$A,$B10,Datos!$B:$B,OM$3)</f>
        <v>0</v>
      </c>
      <c r="ON10" s="16">
        <f>SUMIFS(Datos!$F:$F,Datos!$A:$A,$B10,Datos!$B:$B,ON$3)</f>
        <v>0</v>
      </c>
      <c r="OO10" s="16">
        <f>SUMIFS(Datos!$F:$F,Datos!$A:$A,$B10,Datos!$B:$B,OO$3)</f>
        <v>0</v>
      </c>
      <c r="OP10" s="16">
        <f>SUMIFS(Datos!$F:$F,Datos!$A:$A,$B10,Datos!$B:$B,OP$3)</f>
        <v>0</v>
      </c>
      <c r="OQ10" s="16">
        <f>SUMIFS(Datos!$F:$F,Datos!$A:$A,$B10,Datos!$B:$B,OQ$3)</f>
        <v>0</v>
      </c>
      <c r="OR10" s="16">
        <f>SUMIFS(Datos!$F:$F,Datos!$A:$A,$B10,Datos!$B:$B,OR$3)</f>
        <v>0</v>
      </c>
      <c r="OS10" s="16">
        <f>SUMIFS(Datos!$F:$F,Datos!$A:$A,$B10,Datos!$B:$B,OS$3)</f>
        <v>0</v>
      </c>
      <c r="OT10" s="16">
        <f>SUMIFS(Datos!$F:$F,Datos!$A:$A,$B10,Datos!$B:$B,OT$3)</f>
        <v>0</v>
      </c>
      <c r="OU10" s="16">
        <f>SUMIFS(Datos!$F:$F,Datos!$A:$A,$B10,Datos!$B:$B,OU$3)</f>
        <v>0</v>
      </c>
      <c r="OV10" s="16">
        <f>SUMIFS(Datos!$F:$F,Datos!$A:$A,$B10,Datos!$B:$B,OV$3)</f>
        <v>0</v>
      </c>
      <c r="OW10" s="16">
        <f>SUMIFS(Datos!$F:$F,Datos!$A:$A,$B10,Datos!$B:$B,OW$3)</f>
        <v>0</v>
      </c>
      <c r="OX10" s="16">
        <f>SUMIFS(Datos!$F:$F,Datos!$A:$A,$B10,Datos!$B:$B,OX$3)</f>
        <v>0</v>
      </c>
      <c r="OY10" s="16">
        <f>SUMIFS(Datos!$F:$F,Datos!$A:$A,$B10,Datos!$B:$B,OY$3)</f>
        <v>0</v>
      </c>
      <c r="OZ10" s="16">
        <f>SUMIFS(Datos!$F:$F,Datos!$A:$A,$B10,Datos!$B:$B,OZ$3)</f>
        <v>0</v>
      </c>
      <c r="PA10" s="16">
        <f>SUMIFS(Datos!$F:$F,Datos!$A:$A,$B10,Datos!$B:$B,PA$3)</f>
        <v>0</v>
      </c>
      <c r="PB10" s="16">
        <f>SUMIFS(Datos!$F:$F,Datos!$A:$A,$B10,Datos!$B:$B,PB$3)</f>
        <v>0</v>
      </c>
      <c r="PC10" s="16">
        <f>SUMIFS(Datos!$F:$F,Datos!$A:$A,$B10,Datos!$B:$B,PC$3)</f>
        <v>0</v>
      </c>
      <c r="PD10" s="16">
        <f>SUMIFS(Datos!$F:$F,Datos!$A:$A,$B10,Datos!$B:$B,PD$3)</f>
        <v>0</v>
      </c>
      <c r="PE10" s="16">
        <f>SUMIFS(Datos!$F:$F,Datos!$A:$A,$B10,Datos!$B:$B,PE$3)</f>
        <v>0</v>
      </c>
      <c r="PF10" s="16">
        <f>SUMIFS(Datos!$F:$F,Datos!$A:$A,$B10,Datos!$B:$B,PF$3)</f>
        <v>0</v>
      </c>
      <c r="PG10" s="16">
        <f>SUMIFS(Datos!$F:$F,Datos!$A:$A,$B10,Datos!$B:$B,PG$3)</f>
        <v>0</v>
      </c>
      <c r="PH10" s="16">
        <f>SUMIFS(Datos!$F:$F,Datos!$A:$A,$B10,Datos!$B:$B,PH$3)</f>
        <v>0</v>
      </c>
      <c r="PI10" s="16">
        <f>SUMIFS(Datos!$F:$F,Datos!$A:$A,$B10,Datos!$B:$B,PI$3)</f>
        <v>0</v>
      </c>
      <c r="PJ10" s="16">
        <f>SUMIFS(Datos!$F:$F,Datos!$A:$A,$B10,Datos!$B:$B,PJ$3)</f>
        <v>0</v>
      </c>
      <c r="PK10" s="16">
        <f>SUMIFS(Datos!$F:$F,Datos!$A:$A,$B10,Datos!$B:$B,PK$3)</f>
        <v>0</v>
      </c>
      <c r="PL10" s="16">
        <f>SUMIFS(Datos!$F:$F,Datos!$A:$A,$B10,Datos!$B:$B,PL$3)</f>
        <v>0</v>
      </c>
      <c r="PM10" s="16">
        <f>SUMIFS(Datos!$F:$F,Datos!$A:$A,$B10,Datos!$B:$B,PM$3)</f>
        <v>0</v>
      </c>
      <c r="PN10" s="16">
        <f>SUMIFS(Datos!$F:$F,Datos!$A:$A,$B10,Datos!$B:$B,PN$3)</f>
        <v>0</v>
      </c>
      <c r="PO10" s="16">
        <f>SUMIFS(Datos!$F:$F,Datos!$A:$A,$B10,Datos!$B:$B,PO$3)</f>
        <v>0</v>
      </c>
      <c r="PP10" s="16">
        <f>SUMIFS(Datos!$F:$F,Datos!$A:$A,$B10,Datos!$B:$B,PP$3)</f>
        <v>0</v>
      </c>
      <c r="PQ10" s="16">
        <f>SUMIFS(Datos!$F:$F,Datos!$A:$A,$B10,Datos!$B:$B,PQ$3)</f>
        <v>0</v>
      </c>
      <c r="PR10" s="16">
        <f>SUMIFS(Datos!$F:$F,Datos!$A:$A,$B10,Datos!$B:$B,PR$3)</f>
        <v>0</v>
      </c>
      <c r="PS10" s="16">
        <f>SUMIFS(Datos!$F:$F,Datos!$A:$A,$B10,Datos!$B:$B,PS$3)</f>
        <v>0</v>
      </c>
      <c r="PT10" s="16">
        <f>SUMIFS(Datos!$F:$F,Datos!$A:$A,$B10,Datos!$B:$B,PT$3)</f>
        <v>0</v>
      </c>
      <c r="PU10" s="16">
        <f>SUMIFS(Datos!$F:$F,Datos!$A:$A,$B10,Datos!$B:$B,PU$3)</f>
        <v>0</v>
      </c>
      <c r="PV10" s="16">
        <f>SUMIFS(Datos!$F:$F,Datos!$A:$A,$B10,Datos!$B:$B,PV$3)</f>
        <v>0</v>
      </c>
      <c r="PW10" s="16">
        <f>SUMIFS(Datos!$F:$F,Datos!$A:$A,$B10,Datos!$B:$B,PW$3)</f>
        <v>0</v>
      </c>
      <c r="PX10" s="16">
        <f>SUMIFS(Datos!$F:$F,Datos!$A:$A,$B10,Datos!$B:$B,PX$3)</f>
        <v>0</v>
      </c>
      <c r="PY10" s="16">
        <f>SUMIFS(Datos!$F:$F,Datos!$A:$A,$B10,Datos!$B:$B,PY$3)</f>
        <v>0</v>
      </c>
      <c r="PZ10" s="16">
        <f>SUMIFS(Datos!$F:$F,Datos!$A:$A,$B10,Datos!$B:$B,PZ$3)</f>
        <v>0</v>
      </c>
      <c r="QA10" s="16">
        <f>SUMIFS(Datos!$F:$F,Datos!$A:$A,$B10,Datos!$B:$B,QA$3)</f>
        <v>0</v>
      </c>
      <c r="QB10" s="16">
        <f>SUMIFS(Datos!$F:$F,Datos!$A:$A,$B10,Datos!$B:$B,QB$3)</f>
        <v>0</v>
      </c>
      <c r="QC10" s="16">
        <f>SUMIFS(Datos!$F:$F,Datos!$A:$A,$B10,Datos!$B:$B,QC$3)</f>
        <v>0</v>
      </c>
      <c r="QD10" s="16">
        <f>SUMIFS(Datos!$F:$F,Datos!$A:$A,$B10,Datos!$B:$B,QD$3)</f>
        <v>0</v>
      </c>
      <c r="QE10" s="16">
        <f>SUMIFS(Datos!$F:$F,Datos!$A:$A,$B10,Datos!$B:$B,QE$3)</f>
        <v>0</v>
      </c>
      <c r="QF10" s="16">
        <f>SUMIFS(Datos!$F:$F,Datos!$A:$A,$B10,Datos!$B:$B,QF$3)</f>
        <v>0</v>
      </c>
      <c r="QG10" s="16">
        <f>SUMIFS(Datos!$F:$F,Datos!$A:$A,$B10,Datos!$B:$B,QG$3)</f>
        <v>0</v>
      </c>
      <c r="QH10" s="16">
        <f>SUMIFS(Datos!$F:$F,Datos!$A:$A,$B10,Datos!$B:$B,QH$3)</f>
        <v>0</v>
      </c>
      <c r="QI10" s="16">
        <f>SUMIFS(Datos!$F:$F,Datos!$A:$A,$B10,Datos!$B:$B,QI$3)</f>
        <v>0</v>
      </c>
      <c r="QJ10" s="16">
        <f>SUMIFS(Datos!$F:$F,Datos!$A:$A,$B10,Datos!$B:$B,QJ$3)</f>
        <v>0</v>
      </c>
      <c r="QK10" s="16">
        <f>SUMIFS(Datos!$F:$F,Datos!$A:$A,$B10,Datos!$B:$B,QK$3)</f>
        <v>0</v>
      </c>
      <c r="QL10" s="16">
        <f>SUMIFS(Datos!$F:$F,Datos!$A:$A,$B10,Datos!$B:$B,QL$3)</f>
        <v>0</v>
      </c>
      <c r="QM10" s="16">
        <f>SUMIFS(Datos!$F:$F,Datos!$A:$A,$B10,Datos!$B:$B,QM$3)</f>
        <v>0</v>
      </c>
      <c r="QN10" s="16">
        <f>SUMIFS(Datos!$F:$F,Datos!$A:$A,$B10,Datos!$B:$B,QN$3)</f>
        <v>0</v>
      </c>
      <c r="QO10" s="16">
        <f>SUMIFS(Datos!$F:$F,Datos!$A:$A,$B10,Datos!$B:$B,QO$3)</f>
        <v>0</v>
      </c>
      <c r="QP10" s="16">
        <f>SUMIFS(Datos!$F:$F,Datos!$A:$A,$B10,Datos!$B:$B,QP$3)</f>
        <v>0</v>
      </c>
      <c r="QQ10" s="16">
        <f>SUMIFS(Datos!$F:$F,Datos!$A:$A,$B10,Datos!$B:$B,QQ$3)</f>
        <v>0</v>
      </c>
      <c r="QR10" s="16">
        <f>SUMIFS(Datos!$F:$F,Datos!$A:$A,$B10,Datos!$B:$B,QR$3)</f>
        <v>0</v>
      </c>
      <c r="QS10" s="16">
        <f>SUMIFS(Datos!$F:$F,Datos!$A:$A,$B10,Datos!$B:$B,QS$3)</f>
        <v>0</v>
      </c>
      <c r="QT10" s="16">
        <f>SUMIFS(Datos!$F:$F,Datos!$A:$A,$B10,Datos!$B:$B,QT$3)</f>
        <v>0</v>
      </c>
      <c r="QU10" s="16">
        <f>SUMIFS(Datos!$F:$F,Datos!$A:$A,$B10,Datos!$B:$B,QU$3)</f>
        <v>0</v>
      </c>
      <c r="QV10" s="16">
        <f>SUMIFS(Datos!$F:$F,Datos!$A:$A,$B10,Datos!$B:$B,QV$3)</f>
        <v>0</v>
      </c>
      <c r="QW10" s="16">
        <f>SUMIFS(Datos!$F:$F,Datos!$A:$A,$B10,Datos!$B:$B,QW$3)</f>
        <v>0</v>
      </c>
      <c r="QX10" s="16">
        <f>SUMIFS(Datos!$F:$F,Datos!$A:$A,$B10,Datos!$B:$B,QX$3)</f>
        <v>0</v>
      </c>
      <c r="QY10" s="16">
        <f>SUMIFS(Datos!$F:$F,Datos!$A:$A,$B10,Datos!$B:$B,QY$3)</f>
        <v>0</v>
      </c>
      <c r="QZ10" s="16">
        <f>SUMIFS(Datos!$F:$F,Datos!$A:$A,$B10,Datos!$B:$B,QZ$3)</f>
        <v>0</v>
      </c>
      <c r="RA10" s="16">
        <f>SUMIFS(Datos!$F:$F,Datos!$A:$A,$B10,Datos!$B:$B,RA$3)</f>
        <v>0</v>
      </c>
      <c r="RB10" s="16">
        <f>SUMIFS(Datos!$F:$F,Datos!$A:$A,$B10,Datos!$B:$B,RB$3)</f>
        <v>0</v>
      </c>
      <c r="RC10" s="16">
        <f>SUMIFS(Datos!$F:$F,Datos!$A:$A,$B10,Datos!$B:$B,RC$3)</f>
        <v>0</v>
      </c>
      <c r="RD10" s="16">
        <f>SUMIFS(Datos!$F:$F,Datos!$A:$A,$B10,Datos!$B:$B,RD$3)</f>
        <v>0</v>
      </c>
      <c r="RE10" s="16">
        <f>SUMIFS(Datos!$F:$F,Datos!$A:$A,$B10,Datos!$B:$B,RE$3)</f>
        <v>0</v>
      </c>
      <c r="RF10" s="16">
        <f>SUMIFS(Datos!$F:$F,Datos!$A:$A,$B10,Datos!$B:$B,RF$3)</f>
        <v>0</v>
      </c>
      <c r="RG10" s="16">
        <f>SUMIFS(Datos!$F:$F,Datos!$A:$A,$B10,Datos!$B:$B,RG$3)</f>
        <v>0</v>
      </c>
      <c r="RH10" s="16">
        <f>SUMIFS(Datos!$F:$F,Datos!$A:$A,$B10,Datos!$B:$B,RH$3)</f>
        <v>0</v>
      </c>
      <c r="RI10" s="16">
        <f>SUMIFS(Datos!$F:$F,Datos!$A:$A,$B10,Datos!$B:$B,RI$3)</f>
        <v>0</v>
      </c>
      <c r="RJ10" s="16">
        <f>SUMIFS(Datos!$F:$F,Datos!$A:$A,$B10,Datos!$B:$B,RJ$3)</f>
        <v>0</v>
      </c>
      <c r="RK10" s="16">
        <f>SUMIFS(Datos!$F:$F,Datos!$A:$A,$B10,Datos!$B:$B,RK$3)</f>
        <v>0</v>
      </c>
      <c r="RL10" s="16">
        <f>SUMIFS(Datos!$F:$F,Datos!$A:$A,$B10,Datos!$B:$B,RL$3)</f>
        <v>0</v>
      </c>
      <c r="RM10" s="16">
        <f>SUMIFS(Datos!$F:$F,Datos!$A:$A,$B10,Datos!$B:$B,RM$3)</f>
        <v>0</v>
      </c>
      <c r="RN10" s="16">
        <f>SUMIFS(Datos!$F:$F,Datos!$A:$A,$B10,Datos!$B:$B,RN$3)</f>
        <v>0</v>
      </c>
      <c r="RO10" s="16">
        <f>SUMIFS(Datos!$F:$F,Datos!$A:$A,$B10,Datos!$B:$B,RO$3)</f>
        <v>0</v>
      </c>
      <c r="RP10" s="16">
        <f>SUMIFS(Datos!$F:$F,Datos!$A:$A,$B10,Datos!$B:$B,RP$3)</f>
        <v>0</v>
      </c>
      <c r="RQ10" s="16">
        <f>SUMIFS(Datos!$F:$F,Datos!$A:$A,$B10,Datos!$B:$B,RQ$3)</f>
        <v>0</v>
      </c>
      <c r="RR10" s="16">
        <f>SUMIFS(Datos!$F:$F,Datos!$A:$A,$B10,Datos!$B:$B,RR$3)</f>
        <v>0</v>
      </c>
      <c r="RS10" s="16">
        <f>SUMIFS(Datos!$F:$F,Datos!$A:$A,$B10,Datos!$B:$B,RS$3)</f>
        <v>0</v>
      </c>
      <c r="RT10" s="16">
        <f>SUMIFS(Datos!$F:$F,Datos!$A:$A,$B10,Datos!$B:$B,RT$3)</f>
        <v>0</v>
      </c>
      <c r="RU10" s="16">
        <f>SUMIFS(Datos!$F:$F,Datos!$A:$A,$B10,Datos!$B:$B,RU$3)</f>
        <v>0</v>
      </c>
      <c r="RV10" s="16">
        <f>SUMIFS(Datos!$F:$F,Datos!$A:$A,$B10,Datos!$B:$B,RV$3)</f>
        <v>0</v>
      </c>
      <c r="RW10" s="16">
        <f>SUMIFS(Datos!$F:$F,Datos!$A:$A,$B10,Datos!$B:$B,RW$3)</f>
        <v>0</v>
      </c>
      <c r="RX10" s="16">
        <f>SUMIFS(Datos!$F:$F,Datos!$A:$A,$B10,Datos!$B:$B,RX$3)</f>
        <v>0</v>
      </c>
      <c r="RY10" s="16">
        <f>SUMIFS(Datos!$F:$F,Datos!$A:$A,$B10,Datos!$B:$B,RY$3)</f>
        <v>0</v>
      </c>
      <c r="RZ10" s="16">
        <f>SUMIFS(Datos!$F:$F,Datos!$A:$A,$B10,Datos!$B:$B,RZ$3)</f>
        <v>0</v>
      </c>
      <c r="SA10" s="16">
        <f>SUMIFS(Datos!$F:$F,Datos!$A:$A,$B10,Datos!$B:$B,SA$3)</f>
        <v>0</v>
      </c>
      <c r="SB10" s="16">
        <f>SUMIFS(Datos!$F:$F,Datos!$A:$A,$B10,Datos!$B:$B,SB$3)</f>
        <v>0</v>
      </c>
      <c r="SC10" s="16">
        <f>SUMIFS(Datos!$F:$F,Datos!$A:$A,$B10,Datos!$B:$B,SC$3)</f>
        <v>0</v>
      </c>
      <c r="SD10" s="16">
        <f>SUMIFS(Datos!$F:$F,Datos!$A:$A,$B10,Datos!$B:$B,SD$3)</f>
        <v>0</v>
      </c>
      <c r="SE10" s="16">
        <f>SUMIFS(Datos!$F:$F,Datos!$A:$A,$B10,Datos!$B:$B,SE$3)</f>
        <v>0</v>
      </c>
      <c r="SF10" s="16">
        <f>SUMIFS(Datos!$F:$F,Datos!$A:$A,$B10,Datos!$B:$B,SF$3)</f>
        <v>0</v>
      </c>
      <c r="SG10" s="16">
        <f>SUMIFS(Datos!$F:$F,Datos!$A:$A,$B10,Datos!$B:$B,SG$3)</f>
        <v>0</v>
      </c>
      <c r="SH10" s="16">
        <f>SUMIFS(Datos!$F:$F,Datos!$A:$A,$B10,Datos!$B:$B,SH$3)</f>
        <v>0</v>
      </c>
      <c r="SI10" s="16">
        <f>SUMIFS(Datos!$F:$F,Datos!$A:$A,$B10,Datos!$B:$B,SI$3)</f>
        <v>0</v>
      </c>
      <c r="SJ10" s="16">
        <f>SUMIFS(Datos!$F:$F,Datos!$A:$A,$B10,Datos!$B:$B,SJ$3)</f>
        <v>0</v>
      </c>
      <c r="SK10" s="16">
        <f>SUMIFS(Datos!$F:$F,Datos!$A:$A,$B10,Datos!$B:$B,SK$3)</f>
        <v>0</v>
      </c>
      <c r="SL10" s="16">
        <f>SUMIFS(Datos!$F:$F,Datos!$A:$A,$B10,Datos!$B:$B,SL$3)</f>
        <v>0</v>
      </c>
      <c r="SM10" s="16">
        <f>SUMIFS(Datos!$F:$F,Datos!$A:$A,$B10,Datos!$B:$B,SM$3)</f>
        <v>0</v>
      </c>
      <c r="SN10" s="16">
        <f>SUMIFS(Datos!$F:$F,Datos!$A:$A,$B10,Datos!$B:$B,SN$3)</f>
        <v>0</v>
      </c>
      <c r="SO10" s="16">
        <f>SUMIFS(Datos!$F:$F,Datos!$A:$A,$B10,Datos!$B:$B,SO$3)</f>
        <v>0</v>
      </c>
      <c r="SP10" s="16">
        <f>SUMIFS(Datos!$F:$F,Datos!$A:$A,$B10,Datos!$B:$B,SP$3)</f>
        <v>0</v>
      </c>
      <c r="SQ10" s="16">
        <f>SUMIFS(Datos!$F:$F,Datos!$A:$A,$B10,Datos!$B:$B,SQ$3)</f>
        <v>0</v>
      </c>
      <c r="SR10" s="16">
        <f>SUMIFS(Datos!$F:$F,Datos!$A:$A,$B10,Datos!$B:$B,SR$3)</f>
        <v>0</v>
      </c>
      <c r="SS10" s="16">
        <f>SUMIFS(Datos!$F:$F,Datos!$A:$A,$B10,Datos!$B:$B,SS$3)</f>
        <v>0</v>
      </c>
      <c r="ST10" s="16">
        <f>SUMIFS(Datos!$F:$F,Datos!$A:$A,$B10,Datos!$B:$B,ST$3)</f>
        <v>0</v>
      </c>
      <c r="SU10" s="16">
        <f>SUMIFS(Datos!$F:$F,Datos!$A:$A,$B10,Datos!$B:$B,SU$3)</f>
        <v>0</v>
      </c>
      <c r="SV10" s="16">
        <f>SUMIFS(Datos!$F:$F,Datos!$A:$A,$B10,Datos!$B:$B,SV$3)</f>
        <v>0</v>
      </c>
      <c r="SW10" s="16">
        <f>SUMIFS(Datos!$F:$F,Datos!$A:$A,$B10,Datos!$B:$B,SW$3)</f>
        <v>0</v>
      </c>
      <c r="SX10" s="16">
        <f>SUMIFS(Datos!$F:$F,Datos!$A:$A,$B10,Datos!$B:$B,SX$3)</f>
        <v>0</v>
      </c>
      <c r="SY10" s="16">
        <f>SUMIFS(Datos!$F:$F,Datos!$A:$A,$B10,Datos!$B:$B,SY$3)</f>
        <v>0</v>
      </c>
      <c r="SZ10" s="16">
        <f>SUMIFS(Datos!$F:$F,Datos!$A:$A,$B10,Datos!$B:$B,SZ$3)</f>
        <v>0</v>
      </c>
      <c r="TA10" s="16">
        <f>SUMIFS(Datos!$F:$F,Datos!$A:$A,$B10,Datos!$B:$B,TA$3)</f>
        <v>0</v>
      </c>
      <c r="TB10" s="16">
        <f>SUMIFS(Datos!$F:$F,Datos!$A:$A,$B10,Datos!$B:$B,TB$3)</f>
        <v>0</v>
      </c>
      <c r="TC10" s="16">
        <f>SUMIFS(Datos!$F:$F,Datos!$A:$A,$B10,Datos!$B:$B,TC$3)</f>
        <v>0</v>
      </c>
      <c r="TD10" s="16">
        <f>SUMIFS(Datos!$F:$F,Datos!$A:$A,$B10,Datos!$B:$B,TD$3)</f>
        <v>0</v>
      </c>
      <c r="TE10" s="16">
        <f>SUMIFS(Datos!$F:$F,Datos!$A:$A,$B10,Datos!$B:$B,TE$3)</f>
        <v>0</v>
      </c>
      <c r="TF10" s="16">
        <f>SUMIFS(Datos!$F:$F,Datos!$A:$A,$B10,Datos!$B:$B,TF$3)</f>
        <v>0</v>
      </c>
    </row>
    <row r="11" spans="1:526">
      <c r="A11" s="31" t="s">
        <v>48</v>
      </c>
      <c r="B11" s="4">
        <f>Cartera!B11</f>
        <v>0</v>
      </c>
      <c r="C11" s="4">
        <f>Cartera!C11</f>
        <v>0</v>
      </c>
      <c r="D11" s="16">
        <f>SUMIFS(Datos!$F:$F,Datos!$A:$A,$B11,Datos!$B:$B,D$3)</f>
        <v>0</v>
      </c>
      <c r="E11" s="16">
        <f>SUMIFS(Datos!$F:$F,Datos!$A:$A,$B11,Datos!$B:$B,E$3)</f>
        <v>0</v>
      </c>
      <c r="F11" s="16">
        <f>SUMIFS(Datos!$F:$F,Datos!$A:$A,$B11,Datos!$B:$B,F$3)</f>
        <v>0</v>
      </c>
      <c r="G11" s="16">
        <f>SUMIFS(Datos!$F:$F,Datos!$A:$A,$B11,Datos!$B:$B,G$3)</f>
        <v>0</v>
      </c>
      <c r="H11" s="16">
        <f>SUMIFS(Datos!$F:$F,Datos!$A:$A,$B11,Datos!$B:$B,H$3)</f>
        <v>0</v>
      </c>
      <c r="I11" s="16">
        <f>SUMIFS(Datos!$F:$F,Datos!$A:$A,$B11,Datos!$B:$B,I$3)</f>
        <v>0</v>
      </c>
      <c r="J11" s="16">
        <f>SUMIFS(Datos!$F:$F,Datos!$A:$A,$B11,Datos!$B:$B,J$3)</f>
        <v>0</v>
      </c>
      <c r="K11" s="16">
        <f>SUMIFS(Datos!$F:$F,Datos!$A:$A,$B11,Datos!$B:$B,K$3)</f>
        <v>0</v>
      </c>
      <c r="L11" s="16">
        <f>SUMIFS(Datos!$F:$F,Datos!$A:$A,$B11,Datos!$B:$B,L$3)</f>
        <v>0</v>
      </c>
      <c r="M11" s="16">
        <f>SUMIFS(Datos!$F:$F,Datos!$A:$A,$B11,Datos!$B:$B,M$3)</f>
        <v>0</v>
      </c>
      <c r="N11" s="16">
        <f>SUMIFS(Datos!$F:$F,Datos!$A:$A,$B11,Datos!$B:$B,N$3)</f>
        <v>0</v>
      </c>
      <c r="O11" s="16">
        <f>SUMIFS(Datos!$F:$F,Datos!$A:$A,$B11,Datos!$B:$B,O$3)</f>
        <v>0</v>
      </c>
      <c r="P11" s="16">
        <f>SUMIFS(Datos!$F:$F,Datos!$A:$A,$B11,Datos!$B:$B,P$3)</f>
        <v>0</v>
      </c>
      <c r="Q11" s="16">
        <f>SUMIFS(Datos!$F:$F,Datos!$A:$A,$B11,Datos!$B:$B,Q$3)</f>
        <v>0</v>
      </c>
      <c r="R11" s="16">
        <f>SUMIFS(Datos!$F:$F,Datos!$A:$A,$B11,Datos!$B:$B,R$3)</f>
        <v>0</v>
      </c>
      <c r="S11" s="16">
        <f>SUMIFS(Datos!$F:$F,Datos!$A:$A,$B11,Datos!$B:$B,S$3)</f>
        <v>0</v>
      </c>
      <c r="T11" s="16">
        <f>SUMIFS(Datos!$F:$F,Datos!$A:$A,$B11,Datos!$B:$B,T$3)</f>
        <v>0</v>
      </c>
      <c r="U11" s="16">
        <f>SUMIFS(Datos!$F:$F,Datos!$A:$A,$B11,Datos!$B:$B,U$3)</f>
        <v>0</v>
      </c>
      <c r="V11" s="16">
        <f>SUMIFS(Datos!$F:$F,Datos!$A:$A,$B11,Datos!$B:$B,V$3)</f>
        <v>0</v>
      </c>
      <c r="W11" s="16">
        <f>SUMIFS(Datos!$F:$F,Datos!$A:$A,$B11,Datos!$B:$B,W$3)</f>
        <v>0</v>
      </c>
      <c r="X11" s="16">
        <f>SUMIFS(Datos!$F:$F,Datos!$A:$A,$B11,Datos!$B:$B,X$3)</f>
        <v>0</v>
      </c>
      <c r="Y11" s="16">
        <f>SUMIFS(Datos!$F:$F,Datos!$A:$A,$B11,Datos!$B:$B,Y$3)</f>
        <v>0</v>
      </c>
      <c r="Z11" s="16">
        <f>SUMIFS(Datos!$F:$F,Datos!$A:$A,$B11,Datos!$B:$B,Z$3)</f>
        <v>0</v>
      </c>
      <c r="AA11" s="16">
        <f>SUMIFS(Datos!$F:$F,Datos!$A:$A,$B11,Datos!$B:$B,AA$3)</f>
        <v>0</v>
      </c>
      <c r="AB11" s="16">
        <f>SUMIFS(Datos!$F:$F,Datos!$A:$A,$B11,Datos!$B:$B,AB$3)</f>
        <v>0</v>
      </c>
      <c r="AC11" s="16">
        <f>SUMIFS(Datos!$F:$F,Datos!$A:$A,$B11,Datos!$B:$B,AC$3)</f>
        <v>0</v>
      </c>
      <c r="AD11" s="16">
        <f>SUMIFS(Datos!$F:$F,Datos!$A:$A,$B11,Datos!$B:$B,AD$3)</f>
        <v>0</v>
      </c>
      <c r="AE11" s="16">
        <f>SUMIFS(Datos!$F:$F,Datos!$A:$A,$B11,Datos!$B:$B,AE$3)</f>
        <v>0</v>
      </c>
      <c r="AF11" s="16">
        <f>SUMIFS(Datos!$F:$F,Datos!$A:$A,$B11,Datos!$B:$B,AF$3)</f>
        <v>0</v>
      </c>
      <c r="AG11" s="16">
        <f>SUMIFS(Datos!$F:$F,Datos!$A:$A,$B11,Datos!$B:$B,AG$3)</f>
        <v>0</v>
      </c>
      <c r="AH11" s="16">
        <f>SUMIFS(Datos!$F:$F,Datos!$A:$A,$B11,Datos!$B:$B,AH$3)</f>
        <v>0</v>
      </c>
      <c r="AI11" s="16">
        <f>SUMIFS(Datos!$F:$F,Datos!$A:$A,$B11,Datos!$B:$B,AI$3)</f>
        <v>0</v>
      </c>
      <c r="AJ11" s="16">
        <f>SUMIFS(Datos!$F:$F,Datos!$A:$A,$B11,Datos!$B:$B,AJ$3)</f>
        <v>0</v>
      </c>
      <c r="AK11" s="16">
        <f>SUMIFS(Datos!$F:$F,Datos!$A:$A,$B11,Datos!$B:$B,AK$3)</f>
        <v>0</v>
      </c>
      <c r="AL11" s="16">
        <f>SUMIFS(Datos!$F:$F,Datos!$A:$A,$B11,Datos!$B:$B,AL$3)</f>
        <v>0</v>
      </c>
      <c r="AM11" s="16">
        <f>SUMIFS(Datos!$F:$F,Datos!$A:$A,$B11,Datos!$B:$B,AM$3)</f>
        <v>0</v>
      </c>
      <c r="AN11" s="16">
        <f>SUMIFS(Datos!$F:$F,Datos!$A:$A,$B11,Datos!$B:$B,AN$3)</f>
        <v>0</v>
      </c>
      <c r="AO11" s="16">
        <f>SUMIFS(Datos!$F:$F,Datos!$A:$A,$B11,Datos!$B:$B,AO$3)</f>
        <v>0</v>
      </c>
      <c r="AP11" s="16">
        <f>SUMIFS(Datos!$F:$F,Datos!$A:$A,$B11,Datos!$B:$B,AP$3)</f>
        <v>0</v>
      </c>
      <c r="AQ11" s="16">
        <f>SUMIFS(Datos!$F:$F,Datos!$A:$A,$B11,Datos!$B:$B,AQ$3)</f>
        <v>0</v>
      </c>
      <c r="AR11" s="16">
        <f>SUMIFS(Datos!$F:$F,Datos!$A:$A,$B11,Datos!$B:$B,AR$3)</f>
        <v>0</v>
      </c>
      <c r="AS11" s="16">
        <f>SUMIFS(Datos!$F:$F,Datos!$A:$A,$B11,Datos!$B:$B,AS$3)</f>
        <v>0</v>
      </c>
      <c r="AT11" s="16">
        <f>SUMIFS(Datos!$F:$F,Datos!$A:$A,$B11,Datos!$B:$B,AT$3)</f>
        <v>0</v>
      </c>
      <c r="AU11" s="16">
        <f>SUMIFS(Datos!$F:$F,Datos!$A:$A,$B11,Datos!$B:$B,AU$3)</f>
        <v>0</v>
      </c>
      <c r="AV11" s="16">
        <f>SUMIFS(Datos!$F:$F,Datos!$A:$A,$B11,Datos!$B:$B,AV$3)</f>
        <v>0</v>
      </c>
      <c r="AW11" s="16">
        <f>SUMIFS(Datos!$F:$F,Datos!$A:$A,$B11,Datos!$B:$B,AW$3)</f>
        <v>0</v>
      </c>
      <c r="AX11" s="16">
        <f>SUMIFS(Datos!$F:$F,Datos!$A:$A,$B11,Datos!$B:$B,AX$3)</f>
        <v>0</v>
      </c>
      <c r="AY11" s="16">
        <f>SUMIFS(Datos!$F:$F,Datos!$A:$A,$B11,Datos!$B:$B,AY$3)</f>
        <v>0</v>
      </c>
      <c r="AZ11" s="16">
        <f>SUMIFS(Datos!$F:$F,Datos!$A:$A,$B11,Datos!$B:$B,AZ$3)</f>
        <v>0</v>
      </c>
      <c r="BA11" s="16">
        <f>SUMIFS(Datos!$F:$F,Datos!$A:$A,$B11,Datos!$B:$B,BA$3)</f>
        <v>0</v>
      </c>
      <c r="BB11" s="16">
        <f>SUMIFS(Datos!$F:$F,Datos!$A:$A,$B11,Datos!$B:$B,BB$3)</f>
        <v>0</v>
      </c>
      <c r="BC11" s="16">
        <f>SUMIFS(Datos!$F:$F,Datos!$A:$A,$B11,Datos!$B:$B,BC$3)</f>
        <v>0</v>
      </c>
      <c r="BD11" s="16">
        <f>SUMIFS(Datos!$F:$F,Datos!$A:$A,$B11,Datos!$B:$B,BD$3)</f>
        <v>0</v>
      </c>
      <c r="BE11" s="16">
        <f>SUMIFS(Datos!$F:$F,Datos!$A:$A,$B11,Datos!$B:$B,BE$3)</f>
        <v>0</v>
      </c>
      <c r="BF11" s="16">
        <f>SUMIFS(Datos!$F:$F,Datos!$A:$A,$B11,Datos!$B:$B,BF$3)</f>
        <v>0</v>
      </c>
      <c r="BG11" s="16">
        <f>SUMIFS(Datos!$F:$F,Datos!$A:$A,$B11,Datos!$B:$B,BG$3)</f>
        <v>0</v>
      </c>
      <c r="BH11" s="16">
        <f>SUMIFS(Datos!$F:$F,Datos!$A:$A,$B11,Datos!$B:$B,BH$3)</f>
        <v>0</v>
      </c>
      <c r="BI11" s="16">
        <f>SUMIFS(Datos!$F:$F,Datos!$A:$A,$B11,Datos!$B:$B,BI$3)</f>
        <v>0</v>
      </c>
      <c r="BJ11" s="16">
        <f>SUMIFS(Datos!$F:$F,Datos!$A:$A,$B11,Datos!$B:$B,BJ$3)</f>
        <v>0</v>
      </c>
      <c r="BK11" s="16">
        <f>SUMIFS(Datos!$F:$F,Datos!$A:$A,$B11,Datos!$B:$B,BK$3)</f>
        <v>0</v>
      </c>
      <c r="BL11" s="16">
        <f>SUMIFS(Datos!$F:$F,Datos!$A:$A,$B11,Datos!$B:$B,BL$3)</f>
        <v>0</v>
      </c>
      <c r="BM11" s="16">
        <f>SUMIFS(Datos!$F:$F,Datos!$A:$A,$B11,Datos!$B:$B,BM$3)</f>
        <v>0</v>
      </c>
      <c r="BN11" s="16">
        <f>SUMIFS(Datos!$F:$F,Datos!$A:$A,$B11,Datos!$B:$B,BN$3)</f>
        <v>0</v>
      </c>
      <c r="BO11" s="16">
        <f>SUMIFS(Datos!$F:$F,Datos!$A:$A,$B11,Datos!$B:$B,BO$3)</f>
        <v>0</v>
      </c>
      <c r="BP11" s="16">
        <f>SUMIFS(Datos!$F:$F,Datos!$A:$A,$B11,Datos!$B:$B,BP$3)</f>
        <v>0</v>
      </c>
      <c r="BQ11" s="16">
        <f>SUMIFS(Datos!$F:$F,Datos!$A:$A,$B11,Datos!$B:$B,BQ$3)</f>
        <v>0</v>
      </c>
      <c r="BR11" s="16">
        <f>SUMIFS(Datos!$F:$F,Datos!$A:$A,$B11,Datos!$B:$B,BR$3)</f>
        <v>0</v>
      </c>
      <c r="BS11" s="16">
        <f>SUMIFS(Datos!$F:$F,Datos!$A:$A,$B11,Datos!$B:$B,BS$3)</f>
        <v>0</v>
      </c>
      <c r="BT11" s="16">
        <f>SUMIFS(Datos!$F:$F,Datos!$A:$A,$B11,Datos!$B:$B,BT$3)</f>
        <v>0</v>
      </c>
      <c r="BU11" s="16">
        <f>SUMIFS(Datos!$F:$F,Datos!$A:$A,$B11,Datos!$B:$B,BU$3)</f>
        <v>0</v>
      </c>
      <c r="BV11" s="16">
        <f>SUMIFS(Datos!$F:$F,Datos!$A:$A,$B11,Datos!$B:$B,BV$3)</f>
        <v>0</v>
      </c>
      <c r="BW11" s="16">
        <f>SUMIFS(Datos!$F:$F,Datos!$A:$A,$B11,Datos!$B:$B,BW$3)</f>
        <v>0</v>
      </c>
      <c r="BX11" s="16">
        <f>SUMIFS(Datos!$F:$F,Datos!$A:$A,$B11,Datos!$B:$B,BX$3)</f>
        <v>0</v>
      </c>
      <c r="BY11" s="16">
        <f>SUMIFS(Datos!$F:$F,Datos!$A:$A,$B11,Datos!$B:$B,BY$3)</f>
        <v>0</v>
      </c>
      <c r="BZ11" s="16">
        <f>SUMIFS(Datos!$F:$F,Datos!$A:$A,$B11,Datos!$B:$B,BZ$3)</f>
        <v>0</v>
      </c>
      <c r="CA11" s="16">
        <f>SUMIFS(Datos!$F:$F,Datos!$A:$A,$B11,Datos!$B:$B,CA$3)</f>
        <v>0</v>
      </c>
      <c r="CB11" s="16">
        <f>SUMIFS(Datos!$F:$F,Datos!$A:$A,$B11,Datos!$B:$B,CB$3)</f>
        <v>0</v>
      </c>
      <c r="CC11" s="16">
        <f>SUMIFS(Datos!$F:$F,Datos!$A:$A,$B11,Datos!$B:$B,CC$3)</f>
        <v>0</v>
      </c>
      <c r="CD11" s="16">
        <f>SUMIFS(Datos!$F:$F,Datos!$A:$A,$B11,Datos!$B:$B,CD$3)</f>
        <v>0</v>
      </c>
      <c r="CE11" s="16">
        <f>SUMIFS(Datos!$F:$F,Datos!$A:$A,$B11,Datos!$B:$B,CE$3)</f>
        <v>0</v>
      </c>
      <c r="CF11" s="16">
        <f>SUMIFS(Datos!$F:$F,Datos!$A:$A,$B11,Datos!$B:$B,CF$3)</f>
        <v>0</v>
      </c>
      <c r="CG11" s="16">
        <f>SUMIFS(Datos!$F:$F,Datos!$A:$A,$B11,Datos!$B:$B,CG$3)</f>
        <v>0</v>
      </c>
      <c r="CH11" s="16">
        <f>SUMIFS(Datos!$F:$F,Datos!$A:$A,$B11,Datos!$B:$B,CH$3)</f>
        <v>0</v>
      </c>
      <c r="CI11" s="16">
        <f>SUMIFS(Datos!$F:$F,Datos!$A:$A,$B11,Datos!$B:$B,CI$3)</f>
        <v>0</v>
      </c>
      <c r="CJ11" s="16">
        <f>SUMIFS(Datos!$F:$F,Datos!$A:$A,$B11,Datos!$B:$B,CJ$3)</f>
        <v>0</v>
      </c>
      <c r="CK11" s="16">
        <f>SUMIFS(Datos!$F:$F,Datos!$A:$A,$B11,Datos!$B:$B,CK$3)</f>
        <v>0</v>
      </c>
      <c r="CL11" s="16">
        <f>SUMIFS(Datos!$F:$F,Datos!$A:$A,$B11,Datos!$B:$B,CL$3)</f>
        <v>0</v>
      </c>
      <c r="CM11" s="16">
        <f>SUMIFS(Datos!$F:$F,Datos!$A:$A,$B11,Datos!$B:$B,CM$3)</f>
        <v>0</v>
      </c>
      <c r="CN11" s="16">
        <f>SUMIFS(Datos!$F:$F,Datos!$A:$A,$B11,Datos!$B:$B,CN$3)</f>
        <v>0</v>
      </c>
      <c r="CO11" s="16">
        <f>SUMIFS(Datos!$F:$F,Datos!$A:$A,$B11,Datos!$B:$B,CO$3)</f>
        <v>0</v>
      </c>
      <c r="CP11" s="16">
        <f>SUMIFS(Datos!$F:$F,Datos!$A:$A,$B11,Datos!$B:$B,CP$3)</f>
        <v>0</v>
      </c>
      <c r="CQ11" s="16">
        <f>SUMIFS(Datos!$F:$F,Datos!$A:$A,$B11,Datos!$B:$B,CQ$3)</f>
        <v>0</v>
      </c>
      <c r="CR11" s="16">
        <f>SUMIFS(Datos!$F:$F,Datos!$A:$A,$B11,Datos!$B:$B,CR$3)</f>
        <v>0</v>
      </c>
      <c r="CS11" s="16">
        <f>SUMIFS(Datos!$F:$F,Datos!$A:$A,$B11,Datos!$B:$B,CS$3)</f>
        <v>0</v>
      </c>
      <c r="CT11" s="16">
        <f>SUMIFS(Datos!$F:$F,Datos!$A:$A,$B11,Datos!$B:$B,CT$3)</f>
        <v>0</v>
      </c>
      <c r="CU11" s="16">
        <f>SUMIFS(Datos!$F:$F,Datos!$A:$A,$B11,Datos!$B:$B,CU$3)</f>
        <v>0</v>
      </c>
      <c r="CV11" s="16">
        <f>SUMIFS(Datos!$F:$F,Datos!$A:$A,$B11,Datos!$B:$B,CV$3)</f>
        <v>0</v>
      </c>
      <c r="CW11" s="16">
        <f>SUMIFS(Datos!$F:$F,Datos!$A:$A,$B11,Datos!$B:$B,CW$3)</f>
        <v>0</v>
      </c>
      <c r="CX11" s="16">
        <f>SUMIFS(Datos!$F:$F,Datos!$A:$A,$B11,Datos!$B:$B,CX$3)</f>
        <v>0</v>
      </c>
      <c r="CY11" s="16">
        <f>SUMIFS(Datos!$F:$F,Datos!$A:$A,$B11,Datos!$B:$B,CY$3)</f>
        <v>0</v>
      </c>
      <c r="CZ11" s="16">
        <f>SUMIFS(Datos!$F:$F,Datos!$A:$A,$B11,Datos!$B:$B,CZ$3)</f>
        <v>0</v>
      </c>
      <c r="DA11" s="16">
        <f>SUMIFS(Datos!$F:$F,Datos!$A:$A,$B11,Datos!$B:$B,DA$3)</f>
        <v>0</v>
      </c>
      <c r="DB11" s="16">
        <f>SUMIFS(Datos!$F:$F,Datos!$A:$A,$B11,Datos!$B:$B,DB$3)</f>
        <v>0</v>
      </c>
      <c r="DC11" s="16">
        <f>SUMIFS(Datos!$F:$F,Datos!$A:$A,$B11,Datos!$B:$B,DC$3)</f>
        <v>0</v>
      </c>
      <c r="DD11" s="16">
        <f>SUMIFS(Datos!$F:$F,Datos!$A:$A,$B11,Datos!$B:$B,DD$3)</f>
        <v>0</v>
      </c>
      <c r="DE11" s="16">
        <f>SUMIFS(Datos!$F:$F,Datos!$A:$A,$B11,Datos!$B:$B,DE$3)</f>
        <v>0</v>
      </c>
      <c r="DF11" s="16">
        <f>SUMIFS(Datos!$F:$F,Datos!$A:$A,$B11,Datos!$B:$B,DF$3)</f>
        <v>0</v>
      </c>
      <c r="DG11" s="16">
        <f>SUMIFS(Datos!$F:$F,Datos!$A:$A,$B11,Datos!$B:$B,DG$3)</f>
        <v>0</v>
      </c>
      <c r="DH11" s="16">
        <f>SUMIFS(Datos!$F:$F,Datos!$A:$A,$B11,Datos!$B:$B,DH$3)</f>
        <v>0</v>
      </c>
      <c r="DI11" s="16">
        <f>SUMIFS(Datos!$F:$F,Datos!$A:$A,$B11,Datos!$B:$B,DI$3)</f>
        <v>0</v>
      </c>
      <c r="DJ11" s="16">
        <f>SUMIFS(Datos!$F:$F,Datos!$A:$A,$B11,Datos!$B:$B,DJ$3)</f>
        <v>0</v>
      </c>
      <c r="DK11" s="16">
        <f>SUMIFS(Datos!$F:$F,Datos!$A:$A,$B11,Datos!$B:$B,DK$3)</f>
        <v>0</v>
      </c>
      <c r="DL11" s="16">
        <f>SUMIFS(Datos!$F:$F,Datos!$A:$A,$B11,Datos!$B:$B,DL$3)</f>
        <v>0</v>
      </c>
      <c r="DM11" s="16">
        <f>SUMIFS(Datos!$F:$F,Datos!$A:$A,$B11,Datos!$B:$B,DM$3)</f>
        <v>0</v>
      </c>
      <c r="DN11" s="16">
        <f>SUMIFS(Datos!$F:$F,Datos!$A:$A,$B11,Datos!$B:$B,DN$3)</f>
        <v>0</v>
      </c>
      <c r="DO11" s="16">
        <f>SUMIFS(Datos!$F:$F,Datos!$A:$A,$B11,Datos!$B:$B,DO$3)</f>
        <v>0</v>
      </c>
      <c r="DP11" s="16">
        <f>SUMIFS(Datos!$F:$F,Datos!$A:$A,$B11,Datos!$B:$B,DP$3)</f>
        <v>0</v>
      </c>
      <c r="DQ11" s="16">
        <f>SUMIFS(Datos!$F:$F,Datos!$A:$A,$B11,Datos!$B:$B,DQ$3)</f>
        <v>0</v>
      </c>
      <c r="DR11" s="16">
        <f>SUMIFS(Datos!$F:$F,Datos!$A:$A,$B11,Datos!$B:$B,DR$3)</f>
        <v>0</v>
      </c>
      <c r="DS11" s="16">
        <f>SUMIFS(Datos!$F:$F,Datos!$A:$A,$B11,Datos!$B:$B,DS$3)</f>
        <v>0</v>
      </c>
      <c r="DT11" s="16">
        <f>SUMIFS(Datos!$F:$F,Datos!$A:$A,$B11,Datos!$B:$B,DT$3)</f>
        <v>0</v>
      </c>
      <c r="DU11" s="16">
        <f>SUMIFS(Datos!$F:$F,Datos!$A:$A,$B11,Datos!$B:$B,DU$3)</f>
        <v>0</v>
      </c>
      <c r="DV11" s="16">
        <f>SUMIFS(Datos!$F:$F,Datos!$A:$A,$B11,Datos!$B:$B,DV$3)</f>
        <v>0</v>
      </c>
      <c r="DW11" s="16">
        <f>SUMIFS(Datos!$F:$F,Datos!$A:$A,$B11,Datos!$B:$B,DW$3)</f>
        <v>0</v>
      </c>
      <c r="DX11" s="16">
        <f>SUMIFS(Datos!$F:$F,Datos!$A:$A,$B11,Datos!$B:$B,DX$3)</f>
        <v>0</v>
      </c>
      <c r="DY11" s="16">
        <f>SUMIFS(Datos!$F:$F,Datos!$A:$A,$B11,Datos!$B:$B,DY$3)</f>
        <v>0</v>
      </c>
      <c r="DZ11" s="16">
        <f>SUMIFS(Datos!$F:$F,Datos!$A:$A,$B11,Datos!$B:$B,DZ$3)</f>
        <v>0</v>
      </c>
      <c r="EA11" s="16">
        <f>SUMIFS(Datos!$F:$F,Datos!$A:$A,$B11,Datos!$B:$B,EA$3)</f>
        <v>0</v>
      </c>
      <c r="EB11" s="16">
        <f>SUMIFS(Datos!$F:$F,Datos!$A:$A,$B11,Datos!$B:$B,EB$3)</f>
        <v>0</v>
      </c>
      <c r="EC11" s="16">
        <f>SUMIFS(Datos!$F:$F,Datos!$A:$A,$B11,Datos!$B:$B,EC$3)</f>
        <v>0</v>
      </c>
      <c r="ED11" s="16">
        <f>SUMIFS(Datos!$F:$F,Datos!$A:$A,$B11,Datos!$B:$B,ED$3)</f>
        <v>0</v>
      </c>
      <c r="EE11" s="16">
        <f>SUMIFS(Datos!$F:$F,Datos!$A:$A,$B11,Datos!$B:$B,EE$3)</f>
        <v>0</v>
      </c>
      <c r="EF11" s="16">
        <f>SUMIFS(Datos!$F:$F,Datos!$A:$A,$B11,Datos!$B:$B,EF$3)</f>
        <v>0</v>
      </c>
      <c r="EG11" s="16">
        <f>SUMIFS(Datos!$F:$F,Datos!$A:$A,$B11,Datos!$B:$B,EG$3)</f>
        <v>0</v>
      </c>
      <c r="EH11" s="16">
        <f>SUMIFS(Datos!$F:$F,Datos!$A:$A,$B11,Datos!$B:$B,EH$3)</f>
        <v>0</v>
      </c>
      <c r="EI11" s="16">
        <f>SUMIFS(Datos!$F:$F,Datos!$A:$A,$B11,Datos!$B:$B,EI$3)</f>
        <v>0</v>
      </c>
      <c r="EJ11" s="16">
        <f>SUMIFS(Datos!$F:$F,Datos!$A:$A,$B11,Datos!$B:$B,EJ$3)</f>
        <v>0</v>
      </c>
      <c r="EK11" s="16">
        <f>SUMIFS(Datos!$F:$F,Datos!$A:$A,$B11,Datos!$B:$B,EK$3)</f>
        <v>0</v>
      </c>
      <c r="EL11" s="16">
        <f>SUMIFS(Datos!$F:$F,Datos!$A:$A,$B11,Datos!$B:$B,EL$3)</f>
        <v>0</v>
      </c>
      <c r="EM11" s="16">
        <f>SUMIFS(Datos!$F:$F,Datos!$A:$A,$B11,Datos!$B:$B,EM$3)</f>
        <v>0</v>
      </c>
      <c r="EN11" s="16">
        <f>SUMIFS(Datos!$F:$F,Datos!$A:$A,$B11,Datos!$B:$B,EN$3)</f>
        <v>0</v>
      </c>
      <c r="EO11" s="16">
        <f>SUMIFS(Datos!$F:$F,Datos!$A:$A,$B11,Datos!$B:$B,EO$3)</f>
        <v>0</v>
      </c>
      <c r="EP11" s="16">
        <f>SUMIFS(Datos!$F:$F,Datos!$A:$A,$B11,Datos!$B:$B,EP$3)</f>
        <v>0</v>
      </c>
      <c r="EQ11" s="16">
        <f>SUMIFS(Datos!$F:$F,Datos!$A:$A,$B11,Datos!$B:$B,EQ$3)</f>
        <v>0</v>
      </c>
      <c r="ER11" s="16">
        <f>SUMIFS(Datos!$F:$F,Datos!$A:$A,$B11,Datos!$B:$B,ER$3)</f>
        <v>0</v>
      </c>
      <c r="ES11" s="16">
        <f>SUMIFS(Datos!$F:$F,Datos!$A:$A,$B11,Datos!$B:$B,ES$3)</f>
        <v>0</v>
      </c>
      <c r="ET11" s="16">
        <f>SUMIFS(Datos!$F:$F,Datos!$A:$A,$B11,Datos!$B:$B,ET$3)</f>
        <v>0</v>
      </c>
      <c r="EU11" s="16">
        <f>SUMIFS(Datos!$F:$F,Datos!$A:$A,$B11,Datos!$B:$B,EU$3)</f>
        <v>0</v>
      </c>
      <c r="EV11" s="16">
        <f>SUMIFS(Datos!$F:$F,Datos!$A:$A,$B11,Datos!$B:$B,EV$3)</f>
        <v>0</v>
      </c>
      <c r="EW11" s="16">
        <f>SUMIFS(Datos!$F:$F,Datos!$A:$A,$B11,Datos!$B:$B,EW$3)</f>
        <v>0</v>
      </c>
      <c r="EX11" s="16">
        <f>SUMIFS(Datos!$F:$F,Datos!$A:$A,$B11,Datos!$B:$B,EX$3)</f>
        <v>0</v>
      </c>
      <c r="EY11" s="16">
        <f>SUMIFS(Datos!$F:$F,Datos!$A:$A,$B11,Datos!$B:$B,EY$3)</f>
        <v>0</v>
      </c>
      <c r="EZ11" s="16">
        <f>SUMIFS(Datos!$F:$F,Datos!$A:$A,$B11,Datos!$B:$B,EZ$3)</f>
        <v>0</v>
      </c>
      <c r="FA11" s="16">
        <f>SUMIFS(Datos!$F:$F,Datos!$A:$A,$B11,Datos!$B:$B,FA$3)</f>
        <v>0</v>
      </c>
      <c r="FB11" s="16">
        <f>SUMIFS(Datos!$F:$F,Datos!$A:$A,$B11,Datos!$B:$B,FB$3)</f>
        <v>0</v>
      </c>
      <c r="FC11" s="16">
        <f>SUMIFS(Datos!$F:$F,Datos!$A:$A,$B11,Datos!$B:$B,FC$3)</f>
        <v>0</v>
      </c>
      <c r="FD11" s="16">
        <f>SUMIFS(Datos!$F:$F,Datos!$A:$A,$B11,Datos!$B:$B,FD$3)</f>
        <v>0</v>
      </c>
      <c r="FE11" s="16">
        <f>SUMIFS(Datos!$F:$F,Datos!$A:$A,$B11,Datos!$B:$B,FE$3)</f>
        <v>0</v>
      </c>
      <c r="FF11" s="16">
        <f>SUMIFS(Datos!$F:$F,Datos!$A:$A,$B11,Datos!$B:$B,FF$3)</f>
        <v>0</v>
      </c>
      <c r="FG11" s="16">
        <f>SUMIFS(Datos!$F:$F,Datos!$A:$A,$B11,Datos!$B:$B,FG$3)</f>
        <v>0</v>
      </c>
      <c r="FH11" s="16">
        <f>SUMIFS(Datos!$F:$F,Datos!$A:$A,$B11,Datos!$B:$B,FH$3)</f>
        <v>0</v>
      </c>
      <c r="FI11" s="16">
        <f>SUMIFS(Datos!$F:$F,Datos!$A:$A,$B11,Datos!$B:$B,FI$3)</f>
        <v>0</v>
      </c>
      <c r="FJ11" s="16">
        <f>SUMIFS(Datos!$F:$F,Datos!$A:$A,$B11,Datos!$B:$B,FJ$3)</f>
        <v>0</v>
      </c>
      <c r="FK11" s="16">
        <f>SUMIFS(Datos!$F:$F,Datos!$A:$A,$B11,Datos!$B:$B,FK$3)</f>
        <v>0</v>
      </c>
      <c r="FL11" s="16">
        <f>SUMIFS(Datos!$F:$F,Datos!$A:$A,$B11,Datos!$B:$B,FL$3)</f>
        <v>0</v>
      </c>
      <c r="FM11" s="16">
        <f>SUMIFS(Datos!$F:$F,Datos!$A:$A,$B11,Datos!$B:$B,FM$3)</f>
        <v>0</v>
      </c>
      <c r="FN11" s="16">
        <f>SUMIFS(Datos!$F:$F,Datos!$A:$A,$B11,Datos!$B:$B,FN$3)</f>
        <v>0</v>
      </c>
      <c r="FO11" s="16">
        <f>SUMIFS(Datos!$F:$F,Datos!$A:$A,$B11,Datos!$B:$B,FO$3)</f>
        <v>0</v>
      </c>
      <c r="FP11" s="16">
        <f>SUMIFS(Datos!$F:$F,Datos!$A:$A,$B11,Datos!$B:$B,FP$3)</f>
        <v>0</v>
      </c>
      <c r="FQ11" s="16">
        <f>SUMIFS(Datos!$F:$F,Datos!$A:$A,$B11,Datos!$B:$B,FQ$3)</f>
        <v>0</v>
      </c>
      <c r="FR11" s="16">
        <f>SUMIFS(Datos!$F:$F,Datos!$A:$A,$B11,Datos!$B:$B,FR$3)</f>
        <v>0</v>
      </c>
      <c r="FS11" s="16">
        <f>SUMIFS(Datos!$F:$F,Datos!$A:$A,$B11,Datos!$B:$B,FS$3)</f>
        <v>0</v>
      </c>
      <c r="FT11" s="16">
        <f>SUMIFS(Datos!$F:$F,Datos!$A:$A,$B11,Datos!$B:$B,FT$3)</f>
        <v>0</v>
      </c>
      <c r="FU11" s="16">
        <f>SUMIFS(Datos!$F:$F,Datos!$A:$A,$B11,Datos!$B:$B,FU$3)</f>
        <v>0</v>
      </c>
      <c r="FV11" s="16">
        <f>SUMIFS(Datos!$F:$F,Datos!$A:$A,$B11,Datos!$B:$B,FV$3)</f>
        <v>0</v>
      </c>
      <c r="FW11" s="16">
        <f>SUMIFS(Datos!$F:$F,Datos!$A:$A,$B11,Datos!$B:$B,FW$3)</f>
        <v>0</v>
      </c>
      <c r="FX11" s="16">
        <f>SUMIFS(Datos!$F:$F,Datos!$A:$A,$B11,Datos!$B:$B,FX$3)</f>
        <v>0</v>
      </c>
      <c r="FY11" s="16">
        <f>SUMIFS(Datos!$F:$F,Datos!$A:$A,$B11,Datos!$B:$B,FY$3)</f>
        <v>0</v>
      </c>
      <c r="FZ11" s="16">
        <f>SUMIFS(Datos!$F:$F,Datos!$A:$A,$B11,Datos!$B:$B,FZ$3)</f>
        <v>0</v>
      </c>
      <c r="GA11" s="16">
        <f>SUMIFS(Datos!$F:$F,Datos!$A:$A,$B11,Datos!$B:$B,GA$3)</f>
        <v>0</v>
      </c>
      <c r="GB11" s="16">
        <f>SUMIFS(Datos!$F:$F,Datos!$A:$A,$B11,Datos!$B:$B,GB$3)</f>
        <v>0</v>
      </c>
      <c r="GC11" s="16">
        <f>SUMIFS(Datos!$F:$F,Datos!$A:$A,$B11,Datos!$B:$B,GC$3)</f>
        <v>0</v>
      </c>
      <c r="GD11" s="16">
        <f>SUMIFS(Datos!$F:$F,Datos!$A:$A,$B11,Datos!$B:$B,GD$3)</f>
        <v>0</v>
      </c>
      <c r="GE11" s="16">
        <f>SUMIFS(Datos!$F:$F,Datos!$A:$A,$B11,Datos!$B:$B,GE$3)</f>
        <v>0</v>
      </c>
      <c r="GF11" s="16">
        <f>SUMIFS(Datos!$F:$F,Datos!$A:$A,$B11,Datos!$B:$B,GF$3)</f>
        <v>0</v>
      </c>
      <c r="GG11" s="16">
        <f>SUMIFS(Datos!$F:$F,Datos!$A:$A,$B11,Datos!$B:$B,GG$3)</f>
        <v>0</v>
      </c>
      <c r="GH11" s="16">
        <f>SUMIFS(Datos!$F:$F,Datos!$A:$A,$B11,Datos!$B:$B,GH$3)</f>
        <v>0</v>
      </c>
      <c r="GI11" s="16">
        <f>SUMIFS(Datos!$F:$F,Datos!$A:$A,$B11,Datos!$B:$B,GI$3)</f>
        <v>0</v>
      </c>
      <c r="GJ11" s="16">
        <f>SUMIFS(Datos!$F:$F,Datos!$A:$A,$B11,Datos!$B:$B,GJ$3)</f>
        <v>0</v>
      </c>
      <c r="GK11" s="16">
        <f>SUMIFS(Datos!$F:$F,Datos!$A:$A,$B11,Datos!$B:$B,GK$3)</f>
        <v>0</v>
      </c>
      <c r="GL11" s="16">
        <f>SUMIFS(Datos!$F:$F,Datos!$A:$A,$B11,Datos!$B:$B,GL$3)</f>
        <v>0</v>
      </c>
      <c r="GM11" s="16">
        <f>SUMIFS(Datos!$F:$F,Datos!$A:$A,$B11,Datos!$B:$B,GM$3)</f>
        <v>0</v>
      </c>
      <c r="GN11" s="16">
        <f>SUMIFS(Datos!$F:$F,Datos!$A:$A,$B11,Datos!$B:$B,GN$3)</f>
        <v>0</v>
      </c>
      <c r="GO11" s="16">
        <f>SUMIFS(Datos!$F:$F,Datos!$A:$A,$B11,Datos!$B:$B,GO$3)</f>
        <v>0</v>
      </c>
      <c r="GP11" s="16">
        <f>SUMIFS(Datos!$F:$F,Datos!$A:$A,$B11,Datos!$B:$B,GP$3)</f>
        <v>0</v>
      </c>
      <c r="GQ11" s="16">
        <f>SUMIFS(Datos!$F:$F,Datos!$A:$A,$B11,Datos!$B:$B,GQ$3)</f>
        <v>0</v>
      </c>
      <c r="GR11" s="16">
        <f>SUMIFS(Datos!$F:$F,Datos!$A:$A,$B11,Datos!$B:$B,GR$3)</f>
        <v>0</v>
      </c>
      <c r="GS11" s="16">
        <f>SUMIFS(Datos!$F:$F,Datos!$A:$A,$B11,Datos!$B:$B,GS$3)</f>
        <v>0</v>
      </c>
      <c r="GT11" s="16">
        <f>SUMIFS(Datos!$F:$F,Datos!$A:$A,$B11,Datos!$B:$B,GT$3)</f>
        <v>0</v>
      </c>
      <c r="GU11" s="16">
        <f>SUMIFS(Datos!$F:$F,Datos!$A:$A,$B11,Datos!$B:$B,GU$3)</f>
        <v>0</v>
      </c>
      <c r="GV11" s="16">
        <f>SUMIFS(Datos!$F:$F,Datos!$A:$A,$B11,Datos!$B:$B,GV$3)</f>
        <v>0</v>
      </c>
      <c r="GW11" s="16">
        <f>SUMIFS(Datos!$F:$F,Datos!$A:$A,$B11,Datos!$B:$B,GW$3)</f>
        <v>0</v>
      </c>
      <c r="GX11" s="16">
        <f>SUMIFS(Datos!$F:$F,Datos!$A:$A,$B11,Datos!$B:$B,GX$3)</f>
        <v>0</v>
      </c>
      <c r="GY11" s="16">
        <f>SUMIFS(Datos!$F:$F,Datos!$A:$A,$B11,Datos!$B:$B,GY$3)</f>
        <v>0</v>
      </c>
      <c r="GZ11" s="16">
        <f>SUMIFS(Datos!$F:$F,Datos!$A:$A,$B11,Datos!$B:$B,GZ$3)</f>
        <v>0</v>
      </c>
      <c r="HA11" s="16">
        <f>SUMIFS(Datos!$F:$F,Datos!$A:$A,$B11,Datos!$B:$B,HA$3)</f>
        <v>0</v>
      </c>
      <c r="HB11" s="16">
        <f>SUMIFS(Datos!$F:$F,Datos!$A:$A,$B11,Datos!$B:$B,HB$3)</f>
        <v>0</v>
      </c>
      <c r="HC11" s="16">
        <f>SUMIFS(Datos!$F:$F,Datos!$A:$A,$B11,Datos!$B:$B,HC$3)</f>
        <v>0</v>
      </c>
      <c r="HD11" s="16">
        <f>SUMIFS(Datos!$F:$F,Datos!$A:$A,$B11,Datos!$B:$B,HD$3)</f>
        <v>0</v>
      </c>
      <c r="HE11" s="16">
        <f>SUMIFS(Datos!$F:$F,Datos!$A:$A,$B11,Datos!$B:$B,HE$3)</f>
        <v>0</v>
      </c>
      <c r="HF11" s="16">
        <f>SUMIFS(Datos!$F:$F,Datos!$A:$A,$B11,Datos!$B:$B,HF$3)</f>
        <v>0</v>
      </c>
      <c r="HG11" s="16">
        <f>SUMIFS(Datos!$F:$F,Datos!$A:$A,$B11,Datos!$B:$B,HG$3)</f>
        <v>0</v>
      </c>
      <c r="HH11" s="16">
        <f>SUMIFS(Datos!$F:$F,Datos!$A:$A,$B11,Datos!$B:$B,HH$3)</f>
        <v>0</v>
      </c>
      <c r="HI11" s="16">
        <f>SUMIFS(Datos!$F:$F,Datos!$A:$A,$B11,Datos!$B:$B,HI$3)</f>
        <v>0</v>
      </c>
      <c r="HJ11" s="16">
        <f>SUMIFS(Datos!$F:$F,Datos!$A:$A,$B11,Datos!$B:$B,HJ$3)</f>
        <v>0</v>
      </c>
      <c r="HK11" s="16">
        <f>SUMIFS(Datos!$F:$F,Datos!$A:$A,$B11,Datos!$B:$B,HK$3)</f>
        <v>0</v>
      </c>
      <c r="HL11" s="16">
        <f>SUMIFS(Datos!$F:$F,Datos!$A:$A,$B11,Datos!$B:$B,HL$3)</f>
        <v>0</v>
      </c>
      <c r="HM11" s="16">
        <f>SUMIFS(Datos!$F:$F,Datos!$A:$A,$B11,Datos!$B:$B,HM$3)</f>
        <v>0</v>
      </c>
      <c r="HN11" s="16">
        <f>SUMIFS(Datos!$F:$F,Datos!$A:$A,$B11,Datos!$B:$B,HN$3)</f>
        <v>0</v>
      </c>
      <c r="HO11" s="16">
        <f>SUMIFS(Datos!$F:$F,Datos!$A:$A,$B11,Datos!$B:$B,HO$3)</f>
        <v>0</v>
      </c>
      <c r="HP11" s="16">
        <f>SUMIFS(Datos!$F:$F,Datos!$A:$A,$B11,Datos!$B:$B,HP$3)</f>
        <v>0</v>
      </c>
      <c r="HQ11" s="16">
        <f>SUMIFS(Datos!$F:$F,Datos!$A:$A,$B11,Datos!$B:$B,HQ$3)</f>
        <v>0</v>
      </c>
      <c r="HR11" s="16">
        <f>SUMIFS(Datos!$F:$F,Datos!$A:$A,$B11,Datos!$B:$B,HR$3)</f>
        <v>0</v>
      </c>
      <c r="HS11" s="16">
        <f>SUMIFS(Datos!$F:$F,Datos!$A:$A,$B11,Datos!$B:$B,HS$3)</f>
        <v>0</v>
      </c>
      <c r="HT11" s="16">
        <f>SUMIFS(Datos!$F:$F,Datos!$A:$A,$B11,Datos!$B:$B,HT$3)</f>
        <v>0</v>
      </c>
      <c r="HU11" s="16">
        <f>SUMIFS(Datos!$F:$F,Datos!$A:$A,$B11,Datos!$B:$B,HU$3)</f>
        <v>0</v>
      </c>
      <c r="HV11" s="16">
        <f>SUMIFS(Datos!$F:$F,Datos!$A:$A,$B11,Datos!$B:$B,HV$3)</f>
        <v>0</v>
      </c>
      <c r="HW11" s="16">
        <f>SUMIFS(Datos!$F:$F,Datos!$A:$A,$B11,Datos!$B:$B,HW$3)</f>
        <v>0</v>
      </c>
      <c r="HX11" s="16">
        <f>SUMIFS(Datos!$F:$F,Datos!$A:$A,$B11,Datos!$B:$B,HX$3)</f>
        <v>0</v>
      </c>
      <c r="HY11" s="16">
        <f>SUMIFS(Datos!$F:$F,Datos!$A:$A,$B11,Datos!$B:$B,HY$3)</f>
        <v>0</v>
      </c>
      <c r="HZ11" s="16">
        <f>SUMIFS(Datos!$F:$F,Datos!$A:$A,$B11,Datos!$B:$B,HZ$3)</f>
        <v>0</v>
      </c>
      <c r="IA11" s="16">
        <f>SUMIFS(Datos!$F:$F,Datos!$A:$A,$B11,Datos!$B:$B,IA$3)</f>
        <v>0</v>
      </c>
      <c r="IB11" s="16">
        <f>SUMIFS(Datos!$F:$F,Datos!$A:$A,$B11,Datos!$B:$B,IB$3)</f>
        <v>0</v>
      </c>
      <c r="IC11" s="16">
        <f>SUMIFS(Datos!$F:$F,Datos!$A:$A,$B11,Datos!$B:$B,IC$3)</f>
        <v>0</v>
      </c>
      <c r="ID11" s="16">
        <f>SUMIFS(Datos!$F:$F,Datos!$A:$A,$B11,Datos!$B:$B,ID$3)</f>
        <v>0</v>
      </c>
      <c r="IE11" s="16">
        <f>SUMIFS(Datos!$F:$F,Datos!$A:$A,$B11,Datos!$B:$B,IE$3)</f>
        <v>0</v>
      </c>
      <c r="IF11" s="16">
        <f>SUMIFS(Datos!$F:$F,Datos!$A:$A,$B11,Datos!$B:$B,IF$3)</f>
        <v>0</v>
      </c>
      <c r="IG11" s="16">
        <f>SUMIFS(Datos!$F:$F,Datos!$A:$A,$B11,Datos!$B:$B,IG$3)</f>
        <v>0</v>
      </c>
      <c r="IH11" s="16">
        <f>SUMIFS(Datos!$F:$F,Datos!$A:$A,$B11,Datos!$B:$B,IH$3)</f>
        <v>0</v>
      </c>
      <c r="II11" s="16">
        <f>SUMIFS(Datos!$F:$F,Datos!$A:$A,$B11,Datos!$B:$B,II$3)</f>
        <v>0</v>
      </c>
      <c r="IJ11" s="16">
        <f>SUMIFS(Datos!$F:$F,Datos!$A:$A,$B11,Datos!$B:$B,IJ$3)</f>
        <v>0</v>
      </c>
      <c r="IK11" s="16">
        <f>SUMIFS(Datos!$F:$F,Datos!$A:$A,$B11,Datos!$B:$B,IK$3)</f>
        <v>0</v>
      </c>
      <c r="IL11" s="16">
        <f>SUMIFS(Datos!$F:$F,Datos!$A:$A,$B11,Datos!$B:$B,IL$3)</f>
        <v>0</v>
      </c>
      <c r="IM11" s="16">
        <f>SUMIFS(Datos!$F:$F,Datos!$A:$A,$B11,Datos!$B:$B,IM$3)</f>
        <v>0</v>
      </c>
      <c r="IN11" s="16">
        <f>SUMIFS(Datos!$F:$F,Datos!$A:$A,$B11,Datos!$B:$B,IN$3)</f>
        <v>0</v>
      </c>
      <c r="IO11" s="16">
        <f>SUMIFS(Datos!$F:$F,Datos!$A:$A,$B11,Datos!$B:$B,IO$3)</f>
        <v>0</v>
      </c>
      <c r="IP11" s="16">
        <f>SUMIFS(Datos!$F:$F,Datos!$A:$A,$B11,Datos!$B:$B,IP$3)</f>
        <v>0</v>
      </c>
      <c r="IQ11" s="16">
        <f>SUMIFS(Datos!$F:$F,Datos!$A:$A,$B11,Datos!$B:$B,IQ$3)</f>
        <v>0</v>
      </c>
      <c r="IR11" s="16">
        <f>SUMIFS(Datos!$F:$F,Datos!$A:$A,$B11,Datos!$B:$B,IR$3)</f>
        <v>0</v>
      </c>
      <c r="IS11" s="16">
        <f>SUMIFS(Datos!$F:$F,Datos!$A:$A,$B11,Datos!$B:$B,IS$3)</f>
        <v>0</v>
      </c>
      <c r="IT11" s="16">
        <f>SUMIFS(Datos!$F:$F,Datos!$A:$A,$B11,Datos!$B:$B,IT$3)</f>
        <v>0</v>
      </c>
      <c r="IU11" s="16">
        <f>SUMIFS(Datos!$F:$F,Datos!$A:$A,$B11,Datos!$B:$B,IU$3)</f>
        <v>0</v>
      </c>
      <c r="IV11" s="16">
        <f>SUMIFS(Datos!$F:$F,Datos!$A:$A,$B11,Datos!$B:$B,IV$3)</f>
        <v>0</v>
      </c>
      <c r="IW11" s="16">
        <f>SUMIFS(Datos!$F:$F,Datos!$A:$A,$B11,Datos!$B:$B,IW$3)</f>
        <v>0</v>
      </c>
      <c r="IX11" s="16">
        <f>SUMIFS(Datos!$F:$F,Datos!$A:$A,$B11,Datos!$B:$B,IX$3)</f>
        <v>0</v>
      </c>
      <c r="IY11" s="16">
        <f>SUMIFS(Datos!$F:$F,Datos!$A:$A,$B11,Datos!$B:$B,IY$3)</f>
        <v>0</v>
      </c>
      <c r="IZ11" s="16">
        <f>SUMIFS(Datos!$F:$F,Datos!$A:$A,$B11,Datos!$B:$B,IZ$3)</f>
        <v>0</v>
      </c>
      <c r="JA11" s="16">
        <f>SUMIFS(Datos!$F:$F,Datos!$A:$A,$B11,Datos!$B:$B,JA$3)</f>
        <v>0</v>
      </c>
      <c r="JB11" s="16">
        <f>SUMIFS(Datos!$F:$F,Datos!$A:$A,$B11,Datos!$B:$B,JB$3)</f>
        <v>0</v>
      </c>
      <c r="JC11" s="16">
        <f>SUMIFS(Datos!$F:$F,Datos!$A:$A,$B11,Datos!$B:$B,JC$3)</f>
        <v>0</v>
      </c>
      <c r="JD11" s="16">
        <f>SUMIFS(Datos!$F:$F,Datos!$A:$A,$B11,Datos!$B:$B,JD$3)</f>
        <v>0</v>
      </c>
      <c r="JE11" s="16">
        <f>SUMIFS(Datos!$F:$F,Datos!$A:$A,$B11,Datos!$B:$B,JE$3)</f>
        <v>0</v>
      </c>
      <c r="JF11" s="16">
        <f>SUMIFS(Datos!$F:$F,Datos!$A:$A,$B11,Datos!$B:$B,JF$3)</f>
        <v>0</v>
      </c>
      <c r="JG11" s="16">
        <f>SUMIFS(Datos!$F:$F,Datos!$A:$A,$B11,Datos!$B:$B,JG$3)</f>
        <v>0</v>
      </c>
      <c r="JH11" s="16">
        <f>SUMIFS(Datos!$F:$F,Datos!$A:$A,$B11,Datos!$B:$B,JH$3)</f>
        <v>0</v>
      </c>
      <c r="JI11" s="16">
        <f>SUMIFS(Datos!$F:$F,Datos!$A:$A,$B11,Datos!$B:$B,JI$3)</f>
        <v>0</v>
      </c>
      <c r="JJ11" s="16">
        <f>SUMIFS(Datos!$F:$F,Datos!$A:$A,$B11,Datos!$B:$B,JJ$3)</f>
        <v>0</v>
      </c>
      <c r="JK11" s="16">
        <f>SUMIFS(Datos!$F:$F,Datos!$A:$A,$B11,Datos!$B:$B,JK$3)</f>
        <v>0</v>
      </c>
      <c r="JL11" s="16">
        <f>SUMIFS(Datos!$F:$F,Datos!$A:$A,$B11,Datos!$B:$B,JL$3)</f>
        <v>0</v>
      </c>
      <c r="JM11" s="16">
        <f>SUMIFS(Datos!$F:$F,Datos!$A:$A,$B11,Datos!$B:$B,JM$3)</f>
        <v>0</v>
      </c>
      <c r="JN11" s="16">
        <f>SUMIFS(Datos!$F:$F,Datos!$A:$A,$B11,Datos!$B:$B,JN$3)</f>
        <v>0</v>
      </c>
      <c r="JO11" s="16">
        <f>SUMIFS(Datos!$F:$F,Datos!$A:$A,$B11,Datos!$B:$B,JO$3)</f>
        <v>0</v>
      </c>
      <c r="JP11" s="16">
        <f>SUMIFS(Datos!$F:$F,Datos!$A:$A,$B11,Datos!$B:$B,JP$3)</f>
        <v>0</v>
      </c>
      <c r="JQ11" s="16">
        <f>SUMIFS(Datos!$F:$F,Datos!$A:$A,$B11,Datos!$B:$B,JQ$3)</f>
        <v>0</v>
      </c>
      <c r="JR11" s="16">
        <f>SUMIFS(Datos!$F:$F,Datos!$A:$A,$B11,Datos!$B:$B,JR$3)</f>
        <v>0</v>
      </c>
      <c r="JS11" s="16">
        <f>SUMIFS(Datos!$F:$F,Datos!$A:$A,$B11,Datos!$B:$B,JS$3)</f>
        <v>0</v>
      </c>
      <c r="JT11" s="16">
        <f>SUMIFS(Datos!$F:$F,Datos!$A:$A,$B11,Datos!$B:$B,JT$3)</f>
        <v>0</v>
      </c>
      <c r="JU11" s="16">
        <f>SUMIFS(Datos!$F:$F,Datos!$A:$A,$B11,Datos!$B:$B,JU$3)</f>
        <v>0</v>
      </c>
      <c r="JV11" s="16">
        <f>SUMIFS(Datos!$F:$F,Datos!$A:$A,$B11,Datos!$B:$B,JV$3)</f>
        <v>0</v>
      </c>
      <c r="JW11" s="16">
        <f>SUMIFS(Datos!$F:$F,Datos!$A:$A,$B11,Datos!$B:$B,JW$3)</f>
        <v>0</v>
      </c>
      <c r="JX11" s="16">
        <f>SUMIFS(Datos!$F:$F,Datos!$A:$A,$B11,Datos!$B:$B,JX$3)</f>
        <v>0</v>
      </c>
      <c r="JY11" s="16">
        <f>SUMIFS(Datos!$F:$F,Datos!$A:$A,$B11,Datos!$B:$B,JY$3)</f>
        <v>0</v>
      </c>
      <c r="JZ11" s="16">
        <f>SUMIFS(Datos!$F:$F,Datos!$A:$A,$B11,Datos!$B:$B,JZ$3)</f>
        <v>0</v>
      </c>
      <c r="KA11" s="16">
        <f>SUMIFS(Datos!$F:$F,Datos!$A:$A,$B11,Datos!$B:$B,KA$3)</f>
        <v>0</v>
      </c>
      <c r="KB11" s="16">
        <f>SUMIFS(Datos!$F:$F,Datos!$A:$A,$B11,Datos!$B:$B,KB$3)</f>
        <v>0</v>
      </c>
      <c r="KC11" s="16">
        <f>SUMIFS(Datos!$F:$F,Datos!$A:$A,$B11,Datos!$B:$B,KC$3)</f>
        <v>0</v>
      </c>
      <c r="KD11" s="16">
        <f>SUMIFS(Datos!$F:$F,Datos!$A:$A,$B11,Datos!$B:$B,KD$3)</f>
        <v>0</v>
      </c>
      <c r="KE11" s="16">
        <f>SUMIFS(Datos!$F:$F,Datos!$A:$A,$B11,Datos!$B:$B,KE$3)</f>
        <v>0</v>
      </c>
      <c r="KF11" s="16">
        <f>SUMIFS(Datos!$F:$F,Datos!$A:$A,$B11,Datos!$B:$B,KF$3)</f>
        <v>0</v>
      </c>
      <c r="KG11" s="16">
        <f>SUMIFS(Datos!$F:$F,Datos!$A:$A,$B11,Datos!$B:$B,KG$3)</f>
        <v>0</v>
      </c>
      <c r="KH11" s="16">
        <f>SUMIFS(Datos!$F:$F,Datos!$A:$A,$B11,Datos!$B:$B,KH$3)</f>
        <v>0</v>
      </c>
      <c r="KI11" s="16">
        <f>SUMIFS(Datos!$F:$F,Datos!$A:$A,$B11,Datos!$B:$B,KI$3)</f>
        <v>0</v>
      </c>
      <c r="KJ11" s="16">
        <f>SUMIFS(Datos!$F:$F,Datos!$A:$A,$B11,Datos!$B:$B,KJ$3)</f>
        <v>0</v>
      </c>
      <c r="KK11" s="16">
        <f>SUMIFS(Datos!$F:$F,Datos!$A:$A,$B11,Datos!$B:$B,KK$3)</f>
        <v>0</v>
      </c>
      <c r="KL11" s="16">
        <f>SUMIFS(Datos!$F:$F,Datos!$A:$A,$B11,Datos!$B:$B,KL$3)</f>
        <v>0</v>
      </c>
      <c r="KM11" s="16">
        <f>SUMIFS(Datos!$F:$F,Datos!$A:$A,$B11,Datos!$B:$B,KM$3)</f>
        <v>0</v>
      </c>
      <c r="KN11" s="16">
        <f>SUMIFS(Datos!$F:$F,Datos!$A:$A,$B11,Datos!$B:$B,KN$3)</f>
        <v>0</v>
      </c>
      <c r="KO11" s="16">
        <f>SUMIFS(Datos!$F:$F,Datos!$A:$A,$B11,Datos!$B:$B,KO$3)</f>
        <v>0</v>
      </c>
      <c r="KP11" s="16">
        <f>SUMIFS(Datos!$F:$F,Datos!$A:$A,$B11,Datos!$B:$B,KP$3)</f>
        <v>0</v>
      </c>
      <c r="KQ11" s="16">
        <f>SUMIFS(Datos!$F:$F,Datos!$A:$A,$B11,Datos!$B:$B,KQ$3)</f>
        <v>0</v>
      </c>
      <c r="KR11" s="16">
        <f>SUMIFS(Datos!$F:$F,Datos!$A:$A,$B11,Datos!$B:$B,KR$3)</f>
        <v>0</v>
      </c>
      <c r="KS11" s="16">
        <f>SUMIFS(Datos!$F:$F,Datos!$A:$A,$B11,Datos!$B:$B,KS$3)</f>
        <v>0</v>
      </c>
      <c r="KT11" s="16">
        <f>SUMIFS(Datos!$F:$F,Datos!$A:$A,$B11,Datos!$B:$B,KT$3)</f>
        <v>0</v>
      </c>
      <c r="KU11" s="16">
        <f>SUMIFS(Datos!$F:$F,Datos!$A:$A,$B11,Datos!$B:$B,KU$3)</f>
        <v>0</v>
      </c>
      <c r="KV11" s="16">
        <f>SUMIFS(Datos!$F:$F,Datos!$A:$A,$B11,Datos!$B:$B,KV$3)</f>
        <v>0</v>
      </c>
      <c r="KW11" s="16">
        <f>SUMIFS(Datos!$F:$F,Datos!$A:$A,$B11,Datos!$B:$B,KW$3)</f>
        <v>0</v>
      </c>
      <c r="KX11" s="16">
        <f>SUMIFS(Datos!$F:$F,Datos!$A:$A,$B11,Datos!$B:$B,KX$3)</f>
        <v>0</v>
      </c>
      <c r="KY11" s="16">
        <f>SUMIFS(Datos!$F:$F,Datos!$A:$A,$B11,Datos!$B:$B,KY$3)</f>
        <v>0</v>
      </c>
      <c r="KZ11" s="16">
        <f>SUMIFS(Datos!$F:$F,Datos!$A:$A,$B11,Datos!$B:$B,KZ$3)</f>
        <v>0</v>
      </c>
      <c r="LA11" s="16">
        <f>SUMIFS(Datos!$F:$F,Datos!$A:$A,$B11,Datos!$B:$B,LA$3)</f>
        <v>0</v>
      </c>
      <c r="LB11" s="16">
        <f>SUMIFS(Datos!$F:$F,Datos!$A:$A,$B11,Datos!$B:$B,LB$3)</f>
        <v>0</v>
      </c>
      <c r="LC11" s="16">
        <f>SUMIFS(Datos!$F:$F,Datos!$A:$A,$B11,Datos!$B:$B,LC$3)</f>
        <v>0</v>
      </c>
      <c r="LD11" s="16">
        <f>SUMIFS(Datos!$F:$F,Datos!$A:$A,$B11,Datos!$B:$B,LD$3)</f>
        <v>0</v>
      </c>
      <c r="LE11" s="16">
        <f>SUMIFS(Datos!$F:$F,Datos!$A:$A,$B11,Datos!$B:$B,LE$3)</f>
        <v>0</v>
      </c>
      <c r="LF11" s="16">
        <f>SUMIFS(Datos!$F:$F,Datos!$A:$A,$B11,Datos!$B:$B,LF$3)</f>
        <v>0</v>
      </c>
      <c r="LG11" s="16">
        <f>SUMIFS(Datos!$F:$F,Datos!$A:$A,$B11,Datos!$B:$B,LG$3)</f>
        <v>0</v>
      </c>
      <c r="LH11" s="16">
        <f>SUMIFS(Datos!$F:$F,Datos!$A:$A,$B11,Datos!$B:$B,LH$3)</f>
        <v>0</v>
      </c>
      <c r="LI11" s="16">
        <f>SUMIFS(Datos!$F:$F,Datos!$A:$A,$B11,Datos!$B:$B,LI$3)</f>
        <v>0</v>
      </c>
      <c r="LJ11" s="16">
        <f>SUMIFS(Datos!$F:$F,Datos!$A:$A,$B11,Datos!$B:$B,LJ$3)</f>
        <v>0</v>
      </c>
      <c r="LK11" s="16">
        <f>SUMIFS(Datos!$F:$F,Datos!$A:$A,$B11,Datos!$B:$B,LK$3)</f>
        <v>0</v>
      </c>
      <c r="LL11" s="16">
        <f>SUMIFS(Datos!$F:$F,Datos!$A:$A,$B11,Datos!$B:$B,LL$3)</f>
        <v>0</v>
      </c>
      <c r="LM11" s="16">
        <f>SUMIFS(Datos!$F:$F,Datos!$A:$A,$B11,Datos!$B:$B,LM$3)</f>
        <v>0</v>
      </c>
      <c r="LN11" s="16">
        <f>SUMIFS(Datos!$F:$F,Datos!$A:$A,$B11,Datos!$B:$B,LN$3)</f>
        <v>0</v>
      </c>
      <c r="LO11" s="16">
        <f>SUMIFS(Datos!$F:$F,Datos!$A:$A,$B11,Datos!$B:$B,LO$3)</f>
        <v>0</v>
      </c>
      <c r="LP11" s="16">
        <f>SUMIFS(Datos!$F:$F,Datos!$A:$A,$B11,Datos!$B:$B,LP$3)</f>
        <v>0</v>
      </c>
      <c r="LQ11" s="16">
        <f>SUMIFS(Datos!$F:$F,Datos!$A:$A,$B11,Datos!$B:$B,LQ$3)</f>
        <v>0</v>
      </c>
      <c r="LR11" s="16">
        <f>SUMIFS(Datos!$F:$F,Datos!$A:$A,$B11,Datos!$B:$B,LR$3)</f>
        <v>0</v>
      </c>
      <c r="LS11" s="16">
        <f>SUMIFS(Datos!$F:$F,Datos!$A:$A,$B11,Datos!$B:$B,LS$3)</f>
        <v>0</v>
      </c>
      <c r="LT11" s="16">
        <f>SUMIFS(Datos!$F:$F,Datos!$A:$A,$B11,Datos!$B:$B,LT$3)</f>
        <v>0</v>
      </c>
      <c r="LU11" s="16">
        <f>SUMIFS(Datos!$F:$F,Datos!$A:$A,$B11,Datos!$B:$B,LU$3)</f>
        <v>0</v>
      </c>
      <c r="LV11" s="16">
        <f>SUMIFS(Datos!$F:$F,Datos!$A:$A,$B11,Datos!$B:$B,LV$3)</f>
        <v>0</v>
      </c>
      <c r="LW11" s="16">
        <f>SUMIFS(Datos!$F:$F,Datos!$A:$A,$B11,Datos!$B:$B,LW$3)</f>
        <v>0</v>
      </c>
      <c r="LX11" s="16">
        <f>SUMIFS(Datos!$F:$F,Datos!$A:$A,$B11,Datos!$B:$B,LX$3)</f>
        <v>0</v>
      </c>
      <c r="LY11" s="16">
        <f>SUMIFS(Datos!$F:$F,Datos!$A:$A,$B11,Datos!$B:$B,LY$3)</f>
        <v>0</v>
      </c>
      <c r="LZ11" s="16">
        <f>SUMIFS(Datos!$F:$F,Datos!$A:$A,$B11,Datos!$B:$B,LZ$3)</f>
        <v>0</v>
      </c>
      <c r="MA11" s="16">
        <f>SUMIFS(Datos!$F:$F,Datos!$A:$A,$B11,Datos!$B:$B,MA$3)</f>
        <v>0</v>
      </c>
      <c r="MB11" s="16">
        <f>SUMIFS(Datos!$F:$F,Datos!$A:$A,$B11,Datos!$B:$B,MB$3)</f>
        <v>0</v>
      </c>
      <c r="MC11" s="16">
        <f>SUMIFS(Datos!$F:$F,Datos!$A:$A,$B11,Datos!$B:$B,MC$3)</f>
        <v>0</v>
      </c>
      <c r="MD11" s="16">
        <f>SUMIFS(Datos!$F:$F,Datos!$A:$A,$B11,Datos!$B:$B,MD$3)</f>
        <v>0</v>
      </c>
      <c r="ME11" s="16">
        <f>SUMIFS(Datos!$F:$F,Datos!$A:$A,$B11,Datos!$B:$B,ME$3)</f>
        <v>0</v>
      </c>
      <c r="MF11" s="16">
        <f>SUMIFS(Datos!$F:$F,Datos!$A:$A,$B11,Datos!$B:$B,MF$3)</f>
        <v>0</v>
      </c>
      <c r="MG11" s="16">
        <f>SUMIFS(Datos!$F:$F,Datos!$A:$A,$B11,Datos!$B:$B,MG$3)</f>
        <v>0</v>
      </c>
      <c r="MH11" s="16">
        <f>SUMIFS(Datos!$F:$F,Datos!$A:$A,$B11,Datos!$B:$B,MH$3)</f>
        <v>0</v>
      </c>
      <c r="MI11" s="16">
        <f>SUMIFS(Datos!$F:$F,Datos!$A:$A,$B11,Datos!$B:$B,MI$3)</f>
        <v>0</v>
      </c>
      <c r="MJ11" s="16">
        <f>SUMIFS(Datos!$F:$F,Datos!$A:$A,$B11,Datos!$B:$B,MJ$3)</f>
        <v>0</v>
      </c>
      <c r="MK11" s="16">
        <f>SUMIFS(Datos!$F:$F,Datos!$A:$A,$B11,Datos!$B:$B,MK$3)</f>
        <v>0</v>
      </c>
      <c r="ML11" s="16">
        <f>SUMIFS(Datos!$F:$F,Datos!$A:$A,$B11,Datos!$B:$B,ML$3)</f>
        <v>0</v>
      </c>
      <c r="MM11" s="16">
        <f>SUMIFS(Datos!$F:$F,Datos!$A:$A,$B11,Datos!$B:$B,MM$3)</f>
        <v>0</v>
      </c>
      <c r="MN11" s="16">
        <f>SUMIFS(Datos!$F:$F,Datos!$A:$A,$B11,Datos!$B:$B,MN$3)</f>
        <v>0</v>
      </c>
      <c r="MO11" s="16">
        <f>SUMIFS(Datos!$F:$F,Datos!$A:$A,$B11,Datos!$B:$B,MO$3)</f>
        <v>0</v>
      </c>
      <c r="MP11" s="16">
        <f>SUMIFS(Datos!$F:$F,Datos!$A:$A,$B11,Datos!$B:$B,MP$3)</f>
        <v>0</v>
      </c>
      <c r="MQ11" s="16">
        <f>SUMIFS(Datos!$F:$F,Datos!$A:$A,$B11,Datos!$B:$B,MQ$3)</f>
        <v>0</v>
      </c>
      <c r="MR11" s="16">
        <f>SUMIFS(Datos!$F:$F,Datos!$A:$A,$B11,Datos!$B:$B,MR$3)</f>
        <v>0</v>
      </c>
      <c r="MS11" s="16">
        <f>SUMIFS(Datos!$F:$F,Datos!$A:$A,$B11,Datos!$B:$B,MS$3)</f>
        <v>0</v>
      </c>
      <c r="MT11" s="16">
        <f>SUMIFS(Datos!$F:$F,Datos!$A:$A,$B11,Datos!$B:$B,MT$3)</f>
        <v>0</v>
      </c>
      <c r="MU11" s="16">
        <f>SUMIFS(Datos!$F:$F,Datos!$A:$A,$B11,Datos!$B:$B,MU$3)</f>
        <v>0</v>
      </c>
      <c r="MV11" s="16">
        <f>SUMIFS(Datos!$F:$F,Datos!$A:$A,$B11,Datos!$B:$B,MV$3)</f>
        <v>0</v>
      </c>
      <c r="MW11" s="16">
        <f>SUMIFS(Datos!$F:$F,Datos!$A:$A,$B11,Datos!$B:$B,MW$3)</f>
        <v>0</v>
      </c>
      <c r="MX11" s="16">
        <f>SUMIFS(Datos!$F:$F,Datos!$A:$A,$B11,Datos!$B:$B,MX$3)</f>
        <v>0</v>
      </c>
      <c r="MY11" s="16">
        <f>SUMIFS(Datos!$F:$F,Datos!$A:$A,$B11,Datos!$B:$B,MY$3)</f>
        <v>0</v>
      </c>
      <c r="MZ11" s="16">
        <f>SUMIFS(Datos!$F:$F,Datos!$A:$A,$B11,Datos!$B:$B,MZ$3)</f>
        <v>0</v>
      </c>
      <c r="NA11" s="16">
        <f>SUMIFS(Datos!$F:$F,Datos!$A:$A,$B11,Datos!$B:$B,NA$3)</f>
        <v>0</v>
      </c>
      <c r="NB11" s="16">
        <f>SUMIFS(Datos!$F:$F,Datos!$A:$A,$B11,Datos!$B:$B,NB$3)</f>
        <v>0</v>
      </c>
      <c r="NC11" s="16">
        <f>SUMIFS(Datos!$F:$F,Datos!$A:$A,$B11,Datos!$B:$B,NC$3)</f>
        <v>0</v>
      </c>
      <c r="ND11" s="16">
        <f>SUMIFS(Datos!$F:$F,Datos!$A:$A,$B11,Datos!$B:$B,ND$3)</f>
        <v>0</v>
      </c>
      <c r="NE11" s="16">
        <f>SUMIFS(Datos!$F:$F,Datos!$A:$A,$B11,Datos!$B:$B,NE$3)</f>
        <v>0</v>
      </c>
      <c r="NF11" s="16">
        <f>SUMIFS(Datos!$F:$F,Datos!$A:$A,$B11,Datos!$B:$B,NF$3)</f>
        <v>0</v>
      </c>
      <c r="NG11" s="16">
        <f>SUMIFS(Datos!$F:$F,Datos!$A:$A,$B11,Datos!$B:$B,NG$3)</f>
        <v>0</v>
      </c>
      <c r="NH11" s="16">
        <f>SUMIFS(Datos!$F:$F,Datos!$A:$A,$B11,Datos!$B:$B,NH$3)</f>
        <v>0</v>
      </c>
      <c r="NI11" s="16">
        <f>SUMIFS(Datos!$F:$F,Datos!$A:$A,$B11,Datos!$B:$B,NI$3)</f>
        <v>0</v>
      </c>
      <c r="NJ11" s="16">
        <f>SUMIFS(Datos!$F:$F,Datos!$A:$A,$B11,Datos!$B:$B,NJ$3)</f>
        <v>0</v>
      </c>
      <c r="NK11" s="16">
        <f>SUMIFS(Datos!$F:$F,Datos!$A:$A,$B11,Datos!$B:$B,NK$3)</f>
        <v>0</v>
      </c>
      <c r="NL11" s="16">
        <f>SUMIFS(Datos!$F:$F,Datos!$A:$A,$B11,Datos!$B:$B,NL$3)</f>
        <v>0</v>
      </c>
      <c r="NM11" s="16">
        <f>SUMIFS(Datos!$F:$F,Datos!$A:$A,$B11,Datos!$B:$B,NM$3)</f>
        <v>0</v>
      </c>
      <c r="NN11" s="16">
        <f>SUMIFS(Datos!$F:$F,Datos!$A:$A,$B11,Datos!$B:$B,NN$3)</f>
        <v>0</v>
      </c>
      <c r="NO11" s="16">
        <f>SUMIFS(Datos!$F:$F,Datos!$A:$A,$B11,Datos!$B:$B,NO$3)</f>
        <v>0</v>
      </c>
      <c r="NP11" s="16">
        <f>SUMIFS(Datos!$F:$F,Datos!$A:$A,$B11,Datos!$B:$B,NP$3)</f>
        <v>0</v>
      </c>
      <c r="NQ11" s="16">
        <f>SUMIFS(Datos!$F:$F,Datos!$A:$A,$B11,Datos!$B:$B,NQ$3)</f>
        <v>0</v>
      </c>
      <c r="NR11" s="16">
        <f>SUMIFS(Datos!$F:$F,Datos!$A:$A,$B11,Datos!$B:$B,NR$3)</f>
        <v>0</v>
      </c>
      <c r="NS11" s="16">
        <f>SUMIFS(Datos!$F:$F,Datos!$A:$A,$B11,Datos!$B:$B,NS$3)</f>
        <v>0</v>
      </c>
      <c r="NT11" s="16">
        <f>SUMIFS(Datos!$F:$F,Datos!$A:$A,$B11,Datos!$B:$B,NT$3)</f>
        <v>0</v>
      </c>
      <c r="NU11" s="16">
        <f>SUMIFS(Datos!$F:$F,Datos!$A:$A,$B11,Datos!$B:$B,NU$3)</f>
        <v>0</v>
      </c>
      <c r="NV11" s="16">
        <f>SUMIFS(Datos!$F:$F,Datos!$A:$A,$B11,Datos!$B:$B,NV$3)</f>
        <v>0</v>
      </c>
      <c r="NW11" s="16">
        <f>SUMIFS(Datos!$F:$F,Datos!$A:$A,$B11,Datos!$B:$B,NW$3)</f>
        <v>0</v>
      </c>
      <c r="NX11" s="16">
        <f>SUMIFS(Datos!$F:$F,Datos!$A:$A,$B11,Datos!$B:$B,NX$3)</f>
        <v>0</v>
      </c>
      <c r="NY11" s="16">
        <f>SUMIFS(Datos!$F:$F,Datos!$A:$A,$B11,Datos!$B:$B,NY$3)</f>
        <v>0</v>
      </c>
      <c r="NZ11" s="16">
        <f>SUMIFS(Datos!$F:$F,Datos!$A:$A,$B11,Datos!$B:$B,NZ$3)</f>
        <v>0</v>
      </c>
      <c r="OA11" s="16">
        <f>SUMIFS(Datos!$F:$F,Datos!$A:$A,$B11,Datos!$B:$B,OA$3)</f>
        <v>0</v>
      </c>
      <c r="OB11" s="16">
        <f>SUMIFS(Datos!$F:$F,Datos!$A:$A,$B11,Datos!$B:$B,OB$3)</f>
        <v>0</v>
      </c>
      <c r="OC11" s="16">
        <f>SUMIFS(Datos!$F:$F,Datos!$A:$A,$B11,Datos!$B:$B,OC$3)</f>
        <v>0</v>
      </c>
      <c r="OD11" s="16">
        <f>SUMIFS(Datos!$F:$F,Datos!$A:$A,$B11,Datos!$B:$B,OD$3)</f>
        <v>0</v>
      </c>
      <c r="OE11" s="16">
        <f>SUMIFS(Datos!$F:$F,Datos!$A:$A,$B11,Datos!$B:$B,OE$3)</f>
        <v>0</v>
      </c>
      <c r="OF11" s="16">
        <f>SUMIFS(Datos!$F:$F,Datos!$A:$A,$B11,Datos!$B:$B,OF$3)</f>
        <v>0</v>
      </c>
      <c r="OG11" s="16">
        <f>SUMIFS(Datos!$F:$F,Datos!$A:$A,$B11,Datos!$B:$B,OG$3)</f>
        <v>0</v>
      </c>
      <c r="OH11" s="16">
        <f>SUMIFS(Datos!$F:$F,Datos!$A:$A,$B11,Datos!$B:$B,OH$3)</f>
        <v>0</v>
      </c>
      <c r="OI11" s="16">
        <f>SUMIFS(Datos!$F:$F,Datos!$A:$A,$B11,Datos!$B:$B,OI$3)</f>
        <v>0</v>
      </c>
      <c r="OJ11" s="16">
        <f>SUMIFS(Datos!$F:$F,Datos!$A:$A,$B11,Datos!$B:$B,OJ$3)</f>
        <v>0</v>
      </c>
      <c r="OK11" s="16">
        <f>SUMIFS(Datos!$F:$F,Datos!$A:$A,$B11,Datos!$B:$B,OK$3)</f>
        <v>0</v>
      </c>
      <c r="OL11" s="16">
        <f>SUMIFS(Datos!$F:$F,Datos!$A:$A,$B11,Datos!$B:$B,OL$3)</f>
        <v>0</v>
      </c>
      <c r="OM11" s="16">
        <f>SUMIFS(Datos!$F:$F,Datos!$A:$A,$B11,Datos!$B:$B,OM$3)</f>
        <v>0</v>
      </c>
      <c r="ON11" s="16">
        <f>SUMIFS(Datos!$F:$F,Datos!$A:$A,$B11,Datos!$B:$B,ON$3)</f>
        <v>0</v>
      </c>
      <c r="OO11" s="16">
        <f>SUMIFS(Datos!$F:$F,Datos!$A:$A,$B11,Datos!$B:$B,OO$3)</f>
        <v>0</v>
      </c>
      <c r="OP11" s="16">
        <f>SUMIFS(Datos!$F:$F,Datos!$A:$A,$B11,Datos!$B:$B,OP$3)</f>
        <v>0</v>
      </c>
      <c r="OQ11" s="16">
        <f>SUMIFS(Datos!$F:$F,Datos!$A:$A,$B11,Datos!$B:$B,OQ$3)</f>
        <v>0</v>
      </c>
      <c r="OR11" s="16">
        <f>SUMIFS(Datos!$F:$F,Datos!$A:$A,$B11,Datos!$B:$B,OR$3)</f>
        <v>0</v>
      </c>
      <c r="OS11" s="16">
        <f>SUMIFS(Datos!$F:$F,Datos!$A:$A,$B11,Datos!$B:$B,OS$3)</f>
        <v>0</v>
      </c>
      <c r="OT11" s="16">
        <f>SUMIFS(Datos!$F:$F,Datos!$A:$A,$B11,Datos!$B:$B,OT$3)</f>
        <v>0</v>
      </c>
      <c r="OU11" s="16">
        <f>SUMIFS(Datos!$F:$F,Datos!$A:$A,$B11,Datos!$B:$B,OU$3)</f>
        <v>0</v>
      </c>
      <c r="OV11" s="16">
        <f>SUMIFS(Datos!$F:$F,Datos!$A:$A,$B11,Datos!$B:$B,OV$3)</f>
        <v>0</v>
      </c>
      <c r="OW11" s="16">
        <f>SUMIFS(Datos!$F:$F,Datos!$A:$A,$B11,Datos!$B:$B,OW$3)</f>
        <v>0</v>
      </c>
      <c r="OX11" s="16">
        <f>SUMIFS(Datos!$F:$F,Datos!$A:$A,$B11,Datos!$B:$B,OX$3)</f>
        <v>0</v>
      </c>
      <c r="OY11" s="16">
        <f>SUMIFS(Datos!$F:$F,Datos!$A:$A,$B11,Datos!$B:$B,OY$3)</f>
        <v>0</v>
      </c>
      <c r="OZ11" s="16">
        <f>SUMIFS(Datos!$F:$F,Datos!$A:$A,$B11,Datos!$B:$B,OZ$3)</f>
        <v>0</v>
      </c>
      <c r="PA11" s="16">
        <f>SUMIFS(Datos!$F:$F,Datos!$A:$A,$B11,Datos!$B:$B,PA$3)</f>
        <v>0</v>
      </c>
      <c r="PB11" s="16">
        <f>SUMIFS(Datos!$F:$F,Datos!$A:$A,$B11,Datos!$B:$B,PB$3)</f>
        <v>0</v>
      </c>
      <c r="PC11" s="16">
        <f>SUMIFS(Datos!$F:$F,Datos!$A:$A,$B11,Datos!$B:$B,PC$3)</f>
        <v>0</v>
      </c>
      <c r="PD11" s="16">
        <f>SUMIFS(Datos!$F:$F,Datos!$A:$A,$B11,Datos!$B:$B,PD$3)</f>
        <v>0</v>
      </c>
      <c r="PE11" s="16">
        <f>SUMIFS(Datos!$F:$F,Datos!$A:$A,$B11,Datos!$B:$B,PE$3)</f>
        <v>0</v>
      </c>
      <c r="PF11" s="16">
        <f>SUMIFS(Datos!$F:$F,Datos!$A:$A,$B11,Datos!$B:$B,PF$3)</f>
        <v>0</v>
      </c>
      <c r="PG11" s="16">
        <f>SUMIFS(Datos!$F:$F,Datos!$A:$A,$B11,Datos!$B:$B,PG$3)</f>
        <v>0</v>
      </c>
      <c r="PH11" s="16">
        <f>SUMIFS(Datos!$F:$F,Datos!$A:$A,$B11,Datos!$B:$B,PH$3)</f>
        <v>0</v>
      </c>
      <c r="PI11" s="16">
        <f>SUMIFS(Datos!$F:$F,Datos!$A:$A,$B11,Datos!$B:$B,PI$3)</f>
        <v>0</v>
      </c>
      <c r="PJ11" s="16">
        <f>SUMIFS(Datos!$F:$F,Datos!$A:$A,$B11,Datos!$B:$B,PJ$3)</f>
        <v>0</v>
      </c>
      <c r="PK11" s="16">
        <f>SUMIFS(Datos!$F:$F,Datos!$A:$A,$B11,Datos!$B:$B,PK$3)</f>
        <v>0</v>
      </c>
      <c r="PL11" s="16">
        <f>SUMIFS(Datos!$F:$F,Datos!$A:$A,$B11,Datos!$B:$B,PL$3)</f>
        <v>0</v>
      </c>
      <c r="PM11" s="16">
        <f>SUMIFS(Datos!$F:$F,Datos!$A:$A,$B11,Datos!$B:$B,PM$3)</f>
        <v>0</v>
      </c>
      <c r="PN11" s="16">
        <f>SUMIFS(Datos!$F:$F,Datos!$A:$A,$B11,Datos!$B:$B,PN$3)</f>
        <v>0</v>
      </c>
      <c r="PO11" s="16">
        <f>SUMIFS(Datos!$F:$F,Datos!$A:$A,$B11,Datos!$B:$B,PO$3)</f>
        <v>0</v>
      </c>
      <c r="PP11" s="16">
        <f>SUMIFS(Datos!$F:$F,Datos!$A:$A,$B11,Datos!$B:$B,PP$3)</f>
        <v>0</v>
      </c>
      <c r="PQ11" s="16">
        <f>SUMIFS(Datos!$F:$F,Datos!$A:$A,$B11,Datos!$B:$B,PQ$3)</f>
        <v>0</v>
      </c>
      <c r="PR11" s="16">
        <f>SUMIFS(Datos!$F:$F,Datos!$A:$A,$B11,Datos!$B:$B,PR$3)</f>
        <v>0</v>
      </c>
      <c r="PS11" s="16">
        <f>SUMIFS(Datos!$F:$F,Datos!$A:$A,$B11,Datos!$B:$B,PS$3)</f>
        <v>0</v>
      </c>
      <c r="PT11" s="16">
        <f>SUMIFS(Datos!$F:$F,Datos!$A:$A,$B11,Datos!$B:$B,PT$3)</f>
        <v>0</v>
      </c>
      <c r="PU11" s="16">
        <f>SUMIFS(Datos!$F:$F,Datos!$A:$A,$B11,Datos!$B:$B,PU$3)</f>
        <v>0</v>
      </c>
      <c r="PV11" s="16">
        <f>SUMIFS(Datos!$F:$F,Datos!$A:$A,$B11,Datos!$B:$B,PV$3)</f>
        <v>0</v>
      </c>
      <c r="PW11" s="16">
        <f>SUMIFS(Datos!$F:$F,Datos!$A:$A,$B11,Datos!$B:$B,PW$3)</f>
        <v>0</v>
      </c>
      <c r="PX11" s="16">
        <f>SUMIFS(Datos!$F:$F,Datos!$A:$A,$B11,Datos!$B:$B,PX$3)</f>
        <v>0</v>
      </c>
      <c r="PY11" s="16">
        <f>SUMIFS(Datos!$F:$F,Datos!$A:$A,$B11,Datos!$B:$B,PY$3)</f>
        <v>0</v>
      </c>
      <c r="PZ11" s="16">
        <f>SUMIFS(Datos!$F:$F,Datos!$A:$A,$B11,Datos!$B:$B,PZ$3)</f>
        <v>0</v>
      </c>
      <c r="QA11" s="16">
        <f>SUMIFS(Datos!$F:$F,Datos!$A:$A,$B11,Datos!$B:$B,QA$3)</f>
        <v>0</v>
      </c>
      <c r="QB11" s="16">
        <f>SUMIFS(Datos!$F:$F,Datos!$A:$A,$B11,Datos!$B:$B,QB$3)</f>
        <v>0</v>
      </c>
      <c r="QC11" s="16">
        <f>SUMIFS(Datos!$F:$F,Datos!$A:$A,$B11,Datos!$B:$B,QC$3)</f>
        <v>0</v>
      </c>
      <c r="QD11" s="16">
        <f>SUMIFS(Datos!$F:$F,Datos!$A:$A,$B11,Datos!$B:$B,QD$3)</f>
        <v>0</v>
      </c>
      <c r="QE11" s="16">
        <f>SUMIFS(Datos!$F:$F,Datos!$A:$A,$B11,Datos!$B:$B,QE$3)</f>
        <v>0</v>
      </c>
      <c r="QF11" s="16">
        <f>SUMIFS(Datos!$F:$F,Datos!$A:$A,$B11,Datos!$B:$B,QF$3)</f>
        <v>0</v>
      </c>
      <c r="QG11" s="16">
        <f>SUMIFS(Datos!$F:$F,Datos!$A:$A,$B11,Datos!$B:$B,QG$3)</f>
        <v>0</v>
      </c>
      <c r="QH11" s="16">
        <f>SUMIFS(Datos!$F:$F,Datos!$A:$A,$B11,Datos!$B:$B,QH$3)</f>
        <v>0</v>
      </c>
      <c r="QI11" s="16">
        <f>SUMIFS(Datos!$F:$F,Datos!$A:$A,$B11,Datos!$B:$B,QI$3)</f>
        <v>0</v>
      </c>
      <c r="QJ11" s="16">
        <f>SUMIFS(Datos!$F:$F,Datos!$A:$A,$B11,Datos!$B:$B,QJ$3)</f>
        <v>0</v>
      </c>
      <c r="QK11" s="16">
        <f>SUMIFS(Datos!$F:$F,Datos!$A:$A,$B11,Datos!$B:$B,QK$3)</f>
        <v>0</v>
      </c>
      <c r="QL11" s="16">
        <f>SUMIFS(Datos!$F:$F,Datos!$A:$A,$B11,Datos!$B:$B,QL$3)</f>
        <v>0</v>
      </c>
      <c r="QM11" s="16">
        <f>SUMIFS(Datos!$F:$F,Datos!$A:$A,$B11,Datos!$B:$B,QM$3)</f>
        <v>0</v>
      </c>
      <c r="QN11" s="16">
        <f>SUMIFS(Datos!$F:$F,Datos!$A:$A,$B11,Datos!$B:$B,QN$3)</f>
        <v>0</v>
      </c>
      <c r="QO11" s="16">
        <f>SUMIFS(Datos!$F:$F,Datos!$A:$A,$B11,Datos!$B:$B,QO$3)</f>
        <v>0</v>
      </c>
      <c r="QP11" s="16">
        <f>SUMIFS(Datos!$F:$F,Datos!$A:$A,$B11,Datos!$B:$B,QP$3)</f>
        <v>0</v>
      </c>
      <c r="QQ11" s="16">
        <f>SUMIFS(Datos!$F:$F,Datos!$A:$A,$B11,Datos!$B:$B,QQ$3)</f>
        <v>0</v>
      </c>
      <c r="QR11" s="16">
        <f>SUMIFS(Datos!$F:$F,Datos!$A:$A,$B11,Datos!$B:$B,QR$3)</f>
        <v>0</v>
      </c>
      <c r="QS11" s="16">
        <f>SUMIFS(Datos!$F:$F,Datos!$A:$A,$B11,Datos!$B:$B,QS$3)</f>
        <v>0</v>
      </c>
      <c r="QT11" s="16">
        <f>SUMIFS(Datos!$F:$F,Datos!$A:$A,$B11,Datos!$B:$B,QT$3)</f>
        <v>0</v>
      </c>
      <c r="QU11" s="16">
        <f>SUMIFS(Datos!$F:$F,Datos!$A:$A,$B11,Datos!$B:$B,QU$3)</f>
        <v>0</v>
      </c>
      <c r="QV11" s="16">
        <f>SUMIFS(Datos!$F:$F,Datos!$A:$A,$B11,Datos!$B:$B,QV$3)</f>
        <v>0</v>
      </c>
      <c r="QW11" s="16">
        <f>SUMIFS(Datos!$F:$F,Datos!$A:$A,$B11,Datos!$B:$B,QW$3)</f>
        <v>0</v>
      </c>
      <c r="QX11" s="16">
        <f>SUMIFS(Datos!$F:$F,Datos!$A:$A,$B11,Datos!$B:$B,QX$3)</f>
        <v>0</v>
      </c>
      <c r="QY11" s="16">
        <f>SUMIFS(Datos!$F:$F,Datos!$A:$A,$B11,Datos!$B:$B,QY$3)</f>
        <v>0</v>
      </c>
      <c r="QZ11" s="16">
        <f>SUMIFS(Datos!$F:$F,Datos!$A:$A,$B11,Datos!$B:$B,QZ$3)</f>
        <v>0</v>
      </c>
      <c r="RA11" s="16">
        <f>SUMIFS(Datos!$F:$F,Datos!$A:$A,$B11,Datos!$B:$B,RA$3)</f>
        <v>0</v>
      </c>
      <c r="RB11" s="16">
        <f>SUMIFS(Datos!$F:$F,Datos!$A:$A,$B11,Datos!$B:$B,RB$3)</f>
        <v>0</v>
      </c>
      <c r="RC11" s="16">
        <f>SUMIFS(Datos!$F:$F,Datos!$A:$A,$B11,Datos!$B:$B,RC$3)</f>
        <v>0</v>
      </c>
      <c r="RD11" s="16">
        <f>SUMIFS(Datos!$F:$F,Datos!$A:$A,$B11,Datos!$B:$B,RD$3)</f>
        <v>0</v>
      </c>
      <c r="RE11" s="16">
        <f>SUMIFS(Datos!$F:$F,Datos!$A:$A,$B11,Datos!$B:$B,RE$3)</f>
        <v>0</v>
      </c>
      <c r="RF11" s="16">
        <f>SUMIFS(Datos!$F:$F,Datos!$A:$A,$B11,Datos!$B:$B,RF$3)</f>
        <v>0</v>
      </c>
      <c r="RG11" s="16">
        <f>SUMIFS(Datos!$F:$F,Datos!$A:$A,$B11,Datos!$B:$B,RG$3)</f>
        <v>0</v>
      </c>
      <c r="RH11" s="16">
        <f>SUMIFS(Datos!$F:$F,Datos!$A:$A,$B11,Datos!$B:$B,RH$3)</f>
        <v>0</v>
      </c>
      <c r="RI11" s="16">
        <f>SUMIFS(Datos!$F:$F,Datos!$A:$A,$B11,Datos!$B:$B,RI$3)</f>
        <v>0</v>
      </c>
      <c r="RJ11" s="16">
        <f>SUMIFS(Datos!$F:$F,Datos!$A:$A,$B11,Datos!$B:$B,RJ$3)</f>
        <v>0</v>
      </c>
      <c r="RK11" s="16">
        <f>SUMIFS(Datos!$F:$F,Datos!$A:$A,$B11,Datos!$B:$B,RK$3)</f>
        <v>0</v>
      </c>
      <c r="RL11" s="16">
        <f>SUMIFS(Datos!$F:$F,Datos!$A:$A,$B11,Datos!$B:$B,RL$3)</f>
        <v>0</v>
      </c>
      <c r="RM11" s="16">
        <f>SUMIFS(Datos!$F:$F,Datos!$A:$A,$B11,Datos!$B:$B,RM$3)</f>
        <v>0</v>
      </c>
      <c r="RN11" s="16">
        <f>SUMIFS(Datos!$F:$F,Datos!$A:$A,$B11,Datos!$B:$B,RN$3)</f>
        <v>0</v>
      </c>
      <c r="RO11" s="16">
        <f>SUMIFS(Datos!$F:$F,Datos!$A:$A,$B11,Datos!$B:$B,RO$3)</f>
        <v>0</v>
      </c>
      <c r="RP11" s="16">
        <f>SUMIFS(Datos!$F:$F,Datos!$A:$A,$B11,Datos!$B:$B,RP$3)</f>
        <v>0</v>
      </c>
      <c r="RQ11" s="16">
        <f>SUMIFS(Datos!$F:$F,Datos!$A:$A,$B11,Datos!$B:$B,RQ$3)</f>
        <v>0</v>
      </c>
      <c r="RR11" s="16">
        <f>SUMIFS(Datos!$F:$F,Datos!$A:$A,$B11,Datos!$B:$B,RR$3)</f>
        <v>0</v>
      </c>
      <c r="RS11" s="16">
        <f>SUMIFS(Datos!$F:$F,Datos!$A:$A,$B11,Datos!$B:$B,RS$3)</f>
        <v>0</v>
      </c>
      <c r="RT11" s="16">
        <f>SUMIFS(Datos!$F:$F,Datos!$A:$A,$B11,Datos!$B:$B,RT$3)</f>
        <v>0</v>
      </c>
      <c r="RU11" s="16">
        <f>SUMIFS(Datos!$F:$F,Datos!$A:$A,$B11,Datos!$B:$B,RU$3)</f>
        <v>0</v>
      </c>
      <c r="RV11" s="16">
        <f>SUMIFS(Datos!$F:$F,Datos!$A:$A,$B11,Datos!$B:$B,RV$3)</f>
        <v>0</v>
      </c>
      <c r="RW11" s="16">
        <f>SUMIFS(Datos!$F:$F,Datos!$A:$A,$B11,Datos!$B:$B,RW$3)</f>
        <v>0</v>
      </c>
      <c r="RX11" s="16">
        <f>SUMIFS(Datos!$F:$F,Datos!$A:$A,$B11,Datos!$B:$B,RX$3)</f>
        <v>0</v>
      </c>
      <c r="RY11" s="16">
        <f>SUMIFS(Datos!$F:$F,Datos!$A:$A,$B11,Datos!$B:$B,RY$3)</f>
        <v>0</v>
      </c>
      <c r="RZ11" s="16">
        <f>SUMIFS(Datos!$F:$F,Datos!$A:$A,$B11,Datos!$B:$B,RZ$3)</f>
        <v>0</v>
      </c>
      <c r="SA11" s="16">
        <f>SUMIFS(Datos!$F:$F,Datos!$A:$A,$B11,Datos!$B:$B,SA$3)</f>
        <v>0</v>
      </c>
      <c r="SB11" s="16">
        <f>SUMIFS(Datos!$F:$F,Datos!$A:$A,$B11,Datos!$B:$B,SB$3)</f>
        <v>0</v>
      </c>
      <c r="SC11" s="16">
        <f>SUMIFS(Datos!$F:$F,Datos!$A:$A,$B11,Datos!$B:$B,SC$3)</f>
        <v>0</v>
      </c>
      <c r="SD11" s="16">
        <f>SUMIFS(Datos!$F:$F,Datos!$A:$A,$B11,Datos!$B:$B,SD$3)</f>
        <v>0</v>
      </c>
      <c r="SE11" s="16">
        <f>SUMIFS(Datos!$F:$F,Datos!$A:$A,$B11,Datos!$B:$B,SE$3)</f>
        <v>0</v>
      </c>
      <c r="SF11" s="16">
        <f>SUMIFS(Datos!$F:$F,Datos!$A:$A,$B11,Datos!$B:$B,SF$3)</f>
        <v>0</v>
      </c>
      <c r="SG11" s="16">
        <f>SUMIFS(Datos!$F:$F,Datos!$A:$A,$B11,Datos!$B:$B,SG$3)</f>
        <v>0</v>
      </c>
      <c r="SH11" s="16">
        <f>SUMIFS(Datos!$F:$F,Datos!$A:$A,$B11,Datos!$B:$B,SH$3)</f>
        <v>0</v>
      </c>
      <c r="SI11" s="16">
        <f>SUMIFS(Datos!$F:$F,Datos!$A:$A,$B11,Datos!$B:$B,SI$3)</f>
        <v>0</v>
      </c>
      <c r="SJ11" s="16">
        <f>SUMIFS(Datos!$F:$F,Datos!$A:$A,$B11,Datos!$B:$B,SJ$3)</f>
        <v>0</v>
      </c>
      <c r="SK11" s="16">
        <f>SUMIFS(Datos!$F:$F,Datos!$A:$A,$B11,Datos!$B:$B,SK$3)</f>
        <v>0</v>
      </c>
      <c r="SL11" s="16">
        <f>SUMIFS(Datos!$F:$F,Datos!$A:$A,$B11,Datos!$B:$B,SL$3)</f>
        <v>0</v>
      </c>
      <c r="SM11" s="16">
        <f>SUMIFS(Datos!$F:$F,Datos!$A:$A,$B11,Datos!$B:$B,SM$3)</f>
        <v>0</v>
      </c>
      <c r="SN11" s="16">
        <f>SUMIFS(Datos!$F:$F,Datos!$A:$A,$B11,Datos!$B:$B,SN$3)</f>
        <v>0</v>
      </c>
      <c r="SO11" s="16">
        <f>SUMIFS(Datos!$F:$F,Datos!$A:$A,$B11,Datos!$B:$B,SO$3)</f>
        <v>0</v>
      </c>
      <c r="SP11" s="16">
        <f>SUMIFS(Datos!$F:$F,Datos!$A:$A,$B11,Datos!$B:$B,SP$3)</f>
        <v>0</v>
      </c>
      <c r="SQ11" s="16">
        <f>SUMIFS(Datos!$F:$F,Datos!$A:$A,$B11,Datos!$B:$B,SQ$3)</f>
        <v>0</v>
      </c>
      <c r="SR11" s="16">
        <f>SUMIFS(Datos!$F:$F,Datos!$A:$A,$B11,Datos!$B:$B,SR$3)</f>
        <v>0</v>
      </c>
      <c r="SS11" s="16">
        <f>SUMIFS(Datos!$F:$F,Datos!$A:$A,$B11,Datos!$B:$B,SS$3)</f>
        <v>0</v>
      </c>
      <c r="ST11" s="16">
        <f>SUMIFS(Datos!$F:$F,Datos!$A:$A,$B11,Datos!$B:$B,ST$3)</f>
        <v>0</v>
      </c>
      <c r="SU11" s="16">
        <f>SUMIFS(Datos!$F:$F,Datos!$A:$A,$B11,Datos!$B:$B,SU$3)</f>
        <v>0</v>
      </c>
      <c r="SV11" s="16">
        <f>SUMIFS(Datos!$F:$F,Datos!$A:$A,$B11,Datos!$B:$B,SV$3)</f>
        <v>0</v>
      </c>
      <c r="SW11" s="16">
        <f>SUMIFS(Datos!$F:$F,Datos!$A:$A,$B11,Datos!$B:$B,SW$3)</f>
        <v>0</v>
      </c>
      <c r="SX11" s="16">
        <f>SUMIFS(Datos!$F:$F,Datos!$A:$A,$B11,Datos!$B:$B,SX$3)</f>
        <v>0</v>
      </c>
      <c r="SY11" s="16">
        <f>SUMIFS(Datos!$F:$F,Datos!$A:$A,$B11,Datos!$B:$B,SY$3)</f>
        <v>0</v>
      </c>
      <c r="SZ11" s="16">
        <f>SUMIFS(Datos!$F:$F,Datos!$A:$A,$B11,Datos!$B:$B,SZ$3)</f>
        <v>0</v>
      </c>
      <c r="TA11" s="16">
        <f>SUMIFS(Datos!$F:$F,Datos!$A:$A,$B11,Datos!$B:$B,TA$3)</f>
        <v>0</v>
      </c>
      <c r="TB11" s="16">
        <f>SUMIFS(Datos!$F:$F,Datos!$A:$A,$B11,Datos!$B:$B,TB$3)</f>
        <v>0</v>
      </c>
      <c r="TC11" s="16">
        <f>SUMIFS(Datos!$F:$F,Datos!$A:$A,$B11,Datos!$B:$B,TC$3)</f>
        <v>0</v>
      </c>
      <c r="TD11" s="16">
        <f>SUMIFS(Datos!$F:$F,Datos!$A:$A,$B11,Datos!$B:$B,TD$3)</f>
        <v>0</v>
      </c>
      <c r="TE11" s="16">
        <f>SUMIFS(Datos!$F:$F,Datos!$A:$A,$B11,Datos!$B:$B,TE$3)</f>
        <v>0</v>
      </c>
      <c r="TF11" s="16">
        <f>SUMIFS(Datos!$F:$F,Datos!$A:$A,$B11,Datos!$B:$B,TF$3)</f>
        <v>0</v>
      </c>
    </row>
    <row r="12" spans="1:526">
      <c r="A12" s="31" t="s">
        <v>48</v>
      </c>
      <c r="B12" s="4">
        <f>Cartera!B12</f>
        <v>0</v>
      </c>
      <c r="C12" s="4">
        <f>Cartera!C12</f>
        <v>0</v>
      </c>
      <c r="D12" s="16">
        <f>SUMIFS(Datos!$F:$F,Datos!$A:$A,$B12,Datos!$B:$B,D$3)</f>
        <v>0</v>
      </c>
      <c r="E12" s="16">
        <f>SUMIFS(Datos!$F:$F,Datos!$A:$A,$B12,Datos!$B:$B,E$3)</f>
        <v>0</v>
      </c>
      <c r="F12" s="16">
        <f>SUMIFS(Datos!$F:$F,Datos!$A:$A,$B12,Datos!$B:$B,F$3)</f>
        <v>0</v>
      </c>
      <c r="G12" s="16">
        <f>SUMIFS(Datos!$F:$F,Datos!$A:$A,$B12,Datos!$B:$B,G$3)</f>
        <v>0</v>
      </c>
      <c r="H12" s="16">
        <f>SUMIFS(Datos!$F:$F,Datos!$A:$A,$B12,Datos!$B:$B,H$3)</f>
        <v>0</v>
      </c>
      <c r="I12" s="16">
        <f>SUMIFS(Datos!$F:$F,Datos!$A:$A,$B12,Datos!$B:$B,I$3)</f>
        <v>0</v>
      </c>
      <c r="J12" s="16">
        <f>SUMIFS(Datos!$F:$F,Datos!$A:$A,$B12,Datos!$B:$B,J$3)</f>
        <v>0</v>
      </c>
      <c r="K12" s="16">
        <f>SUMIFS(Datos!$F:$F,Datos!$A:$A,$B12,Datos!$B:$B,K$3)</f>
        <v>0</v>
      </c>
      <c r="L12" s="16">
        <f>SUMIFS(Datos!$F:$F,Datos!$A:$A,$B12,Datos!$B:$B,L$3)</f>
        <v>0</v>
      </c>
      <c r="M12" s="16">
        <f>SUMIFS(Datos!$F:$F,Datos!$A:$A,$B12,Datos!$B:$B,M$3)</f>
        <v>0</v>
      </c>
      <c r="N12" s="16">
        <f>SUMIFS(Datos!$F:$F,Datos!$A:$A,$B12,Datos!$B:$B,N$3)</f>
        <v>0</v>
      </c>
      <c r="O12" s="16">
        <f>SUMIFS(Datos!$F:$F,Datos!$A:$A,$B12,Datos!$B:$B,O$3)</f>
        <v>0</v>
      </c>
      <c r="P12" s="16">
        <f>SUMIFS(Datos!$F:$F,Datos!$A:$A,$B12,Datos!$B:$B,P$3)</f>
        <v>0</v>
      </c>
      <c r="Q12" s="16">
        <f>SUMIFS(Datos!$F:$F,Datos!$A:$A,$B12,Datos!$B:$B,Q$3)</f>
        <v>0</v>
      </c>
      <c r="R12" s="16">
        <f>SUMIFS(Datos!$F:$F,Datos!$A:$A,$B12,Datos!$B:$B,R$3)</f>
        <v>0</v>
      </c>
      <c r="S12" s="16">
        <f>SUMIFS(Datos!$F:$F,Datos!$A:$A,$B12,Datos!$B:$B,S$3)</f>
        <v>0</v>
      </c>
      <c r="T12" s="16">
        <f>SUMIFS(Datos!$F:$F,Datos!$A:$A,$B12,Datos!$B:$B,T$3)</f>
        <v>0</v>
      </c>
      <c r="U12" s="16">
        <f>SUMIFS(Datos!$F:$F,Datos!$A:$A,$B12,Datos!$B:$B,U$3)</f>
        <v>0</v>
      </c>
      <c r="V12" s="16">
        <f>SUMIFS(Datos!$F:$F,Datos!$A:$A,$B12,Datos!$B:$B,V$3)</f>
        <v>0</v>
      </c>
      <c r="W12" s="16">
        <f>SUMIFS(Datos!$F:$F,Datos!$A:$A,$B12,Datos!$B:$B,W$3)</f>
        <v>0</v>
      </c>
      <c r="X12" s="16">
        <f>SUMIFS(Datos!$F:$F,Datos!$A:$A,$B12,Datos!$B:$B,X$3)</f>
        <v>0</v>
      </c>
      <c r="Y12" s="16">
        <f>SUMIFS(Datos!$F:$F,Datos!$A:$A,$B12,Datos!$B:$B,Y$3)</f>
        <v>0</v>
      </c>
      <c r="Z12" s="16">
        <f>SUMIFS(Datos!$F:$F,Datos!$A:$A,$B12,Datos!$B:$B,Z$3)</f>
        <v>0</v>
      </c>
      <c r="AA12" s="16">
        <f>SUMIFS(Datos!$F:$F,Datos!$A:$A,$B12,Datos!$B:$B,AA$3)</f>
        <v>0</v>
      </c>
      <c r="AB12" s="16">
        <f>SUMIFS(Datos!$F:$F,Datos!$A:$A,$B12,Datos!$B:$B,AB$3)</f>
        <v>0</v>
      </c>
      <c r="AC12" s="16">
        <f>SUMIFS(Datos!$F:$F,Datos!$A:$A,$B12,Datos!$B:$B,AC$3)</f>
        <v>0</v>
      </c>
      <c r="AD12" s="16">
        <f>SUMIFS(Datos!$F:$F,Datos!$A:$A,$B12,Datos!$B:$B,AD$3)</f>
        <v>0</v>
      </c>
      <c r="AE12" s="16">
        <f>SUMIFS(Datos!$F:$F,Datos!$A:$A,$B12,Datos!$B:$B,AE$3)</f>
        <v>0</v>
      </c>
      <c r="AF12" s="16">
        <f>SUMIFS(Datos!$F:$F,Datos!$A:$A,$B12,Datos!$B:$B,AF$3)</f>
        <v>0</v>
      </c>
      <c r="AG12" s="16">
        <f>SUMIFS(Datos!$F:$F,Datos!$A:$A,$B12,Datos!$B:$B,AG$3)</f>
        <v>0</v>
      </c>
      <c r="AH12" s="16">
        <f>SUMIFS(Datos!$F:$F,Datos!$A:$A,$B12,Datos!$B:$B,AH$3)</f>
        <v>0</v>
      </c>
      <c r="AI12" s="16">
        <f>SUMIFS(Datos!$F:$F,Datos!$A:$A,$B12,Datos!$B:$B,AI$3)</f>
        <v>0</v>
      </c>
      <c r="AJ12" s="16">
        <f>SUMIFS(Datos!$F:$F,Datos!$A:$A,$B12,Datos!$B:$B,AJ$3)</f>
        <v>0</v>
      </c>
      <c r="AK12" s="16">
        <f>SUMIFS(Datos!$F:$F,Datos!$A:$A,$B12,Datos!$B:$B,AK$3)</f>
        <v>0</v>
      </c>
      <c r="AL12" s="16">
        <f>SUMIFS(Datos!$F:$F,Datos!$A:$A,$B12,Datos!$B:$B,AL$3)</f>
        <v>0</v>
      </c>
      <c r="AM12" s="16">
        <f>SUMIFS(Datos!$F:$F,Datos!$A:$A,$B12,Datos!$B:$B,AM$3)</f>
        <v>0</v>
      </c>
      <c r="AN12" s="16">
        <f>SUMIFS(Datos!$F:$F,Datos!$A:$A,$B12,Datos!$B:$B,AN$3)</f>
        <v>0</v>
      </c>
      <c r="AO12" s="16">
        <f>SUMIFS(Datos!$F:$F,Datos!$A:$A,$B12,Datos!$B:$B,AO$3)</f>
        <v>0</v>
      </c>
      <c r="AP12" s="16">
        <f>SUMIFS(Datos!$F:$F,Datos!$A:$A,$B12,Datos!$B:$B,AP$3)</f>
        <v>0</v>
      </c>
      <c r="AQ12" s="16">
        <f>SUMIFS(Datos!$F:$F,Datos!$A:$A,$B12,Datos!$B:$B,AQ$3)</f>
        <v>0</v>
      </c>
      <c r="AR12" s="16">
        <f>SUMIFS(Datos!$F:$F,Datos!$A:$A,$B12,Datos!$B:$B,AR$3)</f>
        <v>0</v>
      </c>
      <c r="AS12" s="16">
        <f>SUMIFS(Datos!$F:$F,Datos!$A:$A,$B12,Datos!$B:$B,AS$3)</f>
        <v>0</v>
      </c>
      <c r="AT12" s="16">
        <f>SUMIFS(Datos!$F:$F,Datos!$A:$A,$B12,Datos!$B:$B,AT$3)</f>
        <v>0</v>
      </c>
      <c r="AU12" s="16">
        <f>SUMIFS(Datos!$F:$F,Datos!$A:$A,$B12,Datos!$B:$B,AU$3)</f>
        <v>0</v>
      </c>
      <c r="AV12" s="16">
        <f>SUMIFS(Datos!$F:$F,Datos!$A:$A,$B12,Datos!$B:$B,AV$3)</f>
        <v>0</v>
      </c>
      <c r="AW12" s="16">
        <f>SUMIFS(Datos!$F:$F,Datos!$A:$A,$B12,Datos!$B:$B,AW$3)</f>
        <v>0</v>
      </c>
      <c r="AX12" s="16">
        <f>SUMIFS(Datos!$F:$F,Datos!$A:$A,$B12,Datos!$B:$B,AX$3)</f>
        <v>0</v>
      </c>
      <c r="AY12" s="16">
        <f>SUMIFS(Datos!$F:$F,Datos!$A:$A,$B12,Datos!$B:$B,AY$3)</f>
        <v>0</v>
      </c>
      <c r="AZ12" s="16">
        <f>SUMIFS(Datos!$F:$F,Datos!$A:$A,$B12,Datos!$B:$B,AZ$3)</f>
        <v>0</v>
      </c>
      <c r="BA12" s="16">
        <f>SUMIFS(Datos!$F:$F,Datos!$A:$A,$B12,Datos!$B:$B,BA$3)</f>
        <v>0</v>
      </c>
      <c r="BB12" s="16">
        <f>SUMIFS(Datos!$F:$F,Datos!$A:$A,$B12,Datos!$B:$B,BB$3)</f>
        <v>0</v>
      </c>
      <c r="BC12" s="16">
        <f>SUMIFS(Datos!$F:$F,Datos!$A:$A,$B12,Datos!$B:$B,BC$3)</f>
        <v>0</v>
      </c>
      <c r="BD12" s="16">
        <f>SUMIFS(Datos!$F:$F,Datos!$A:$A,$B12,Datos!$B:$B,BD$3)</f>
        <v>0</v>
      </c>
      <c r="BE12" s="16">
        <f>SUMIFS(Datos!$F:$F,Datos!$A:$A,$B12,Datos!$B:$B,BE$3)</f>
        <v>0</v>
      </c>
      <c r="BF12" s="16">
        <f>SUMIFS(Datos!$F:$F,Datos!$A:$A,$B12,Datos!$B:$B,BF$3)</f>
        <v>0</v>
      </c>
      <c r="BG12" s="16">
        <f>SUMIFS(Datos!$F:$F,Datos!$A:$A,$B12,Datos!$B:$B,BG$3)</f>
        <v>0</v>
      </c>
      <c r="BH12" s="16">
        <f>SUMIFS(Datos!$F:$F,Datos!$A:$A,$B12,Datos!$B:$B,BH$3)</f>
        <v>0</v>
      </c>
      <c r="BI12" s="16">
        <f>SUMIFS(Datos!$F:$F,Datos!$A:$A,$B12,Datos!$B:$B,BI$3)</f>
        <v>0</v>
      </c>
      <c r="BJ12" s="16">
        <f>SUMIFS(Datos!$F:$F,Datos!$A:$A,$B12,Datos!$B:$B,BJ$3)</f>
        <v>0</v>
      </c>
      <c r="BK12" s="16">
        <f>SUMIFS(Datos!$F:$F,Datos!$A:$A,$B12,Datos!$B:$B,BK$3)</f>
        <v>0</v>
      </c>
      <c r="BL12" s="16">
        <f>SUMIFS(Datos!$F:$F,Datos!$A:$A,$B12,Datos!$B:$B,BL$3)</f>
        <v>0</v>
      </c>
      <c r="BM12" s="16">
        <f>SUMIFS(Datos!$F:$F,Datos!$A:$A,$B12,Datos!$B:$B,BM$3)</f>
        <v>0</v>
      </c>
      <c r="BN12" s="16">
        <f>SUMIFS(Datos!$F:$F,Datos!$A:$A,$B12,Datos!$B:$B,BN$3)</f>
        <v>0</v>
      </c>
      <c r="BO12" s="16">
        <f>SUMIFS(Datos!$F:$F,Datos!$A:$A,$B12,Datos!$B:$B,BO$3)</f>
        <v>0</v>
      </c>
      <c r="BP12" s="16">
        <f>SUMIFS(Datos!$F:$F,Datos!$A:$A,$B12,Datos!$B:$B,BP$3)</f>
        <v>0</v>
      </c>
      <c r="BQ12" s="16">
        <f>SUMIFS(Datos!$F:$F,Datos!$A:$A,$B12,Datos!$B:$B,BQ$3)</f>
        <v>0</v>
      </c>
      <c r="BR12" s="16">
        <f>SUMIFS(Datos!$F:$F,Datos!$A:$A,$B12,Datos!$B:$B,BR$3)</f>
        <v>0</v>
      </c>
      <c r="BS12" s="16">
        <f>SUMIFS(Datos!$F:$F,Datos!$A:$A,$B12,Datos!$B:$B,BS$3)</f>
        <v>0</v>
      </c>
      <c r="BT12" s="16">
        <f>SUMIFS(Datos!$F:$F,Datos!$A:$A,$B12,Datos!$B:$B,BT$3)</f>
        <v>0</v>
      </c>
      <c r="BU12" s="16">
        <f>SUMIFS(Datos!$F:$F,Datos!$A:$A,$B12,Datos!$B:$B,BU$3)</f>
        <v>0</v>
      </c>
      <c r="BV12" s="16">
        <f>SUMIFS(Datos!$F:$F,Datos!$A:$A,$B12,Datos!$B:$B,BV$3)</f>
        <v>0</v>
      </c>
      <c r="BW12" s="16">
        <f>SUMIFS(Datos!$F:$F,Datos!$A:$A,$B12,Datos!$B:$B,BW$3)</f>
        <v>0</v>
      </c>
      <c r="BX12" s="16">
        <f>SUMIFS(Datos!$F:$F,Datos!$A:$A,$B12,Datos!$B:$B,BX$3)</f>
        <v>0</v>
      </c>
      <c r="BY12" s="16">
        <f>SUMIFS(Datos!$F:$F,Datos!$A:$A,$B12,Datos!$B:$B,BY$3)</f>
        <v>0</v>
      </c>
      <c r="BZ12" s="16">
        <f>SUMIFS(Datos!$F:$F,Datos!$A:$A,$B12,Datos!$B:$B,BZ$3)</f>
        <v>0</v>
      </c>
      <c r="CA12" s="16">
        <f>SUMIFS(Datos!$F:$F,Datos!$A:$A,$B12,Datos!$B:$B,CA$3)</f>
        <v>0</v>
      </c>
      <c r="CB12" s="16">
        <f>SUMIFS(Datos!$F:$F,Datos!$A:$A,$B12,Datos!$B:$B,CB$3)</f>
        <v>0</v>
      </c>
      <c r="CC12" s="16">
        <f>SUMIFS(Datos!$F:$F,Datos!$A:$A,$B12,Datos!$B:$B,CC$3)</f>
        <v>0</v>
      </c>
      <c r="CD12" s="16">
        <f>SUMIFS(Datos!$F:$F,Datos!$A:$A,$B12,Datos!$B:$B,CD$3)</f>
        <v>0</v>
      </c>
      <c r="CE12" s="16">
        <f>SUMIFS(Datos!$F:$F,Datos!$A:$A,$B12,Datos!$B:$B,CE$3)</f>
        <v>0</v>
      </c>
      <c r="CF12" s="16">
        <f>SUMIFS(Datos!$F:$F,Datos!$A:$A,$B12,Datos!$B:$B,CF$3)</f>
        <v>0</v>
      </c>
      <c r="CG12" s="16">
        <f>SUMIFS(Datos!$F:$F,Datos!$A:$A,$B12,Datos!$B:$B,CG$3)</f>
        <v>0</v>
      </c>
      <c r="CH12" s="16">
        <f>SUMIFS(Datos!$F:$F,Datos!$A:$A,$B12,Datos!$B:$B,CH$3)</f>
        <v>0</v>
      </c>
      <c r="CI12" s="16">
        <f>SUMIFS(Datos!$F:$F,Datos!$A:$A,$B12,Datos!$B:$B,CI$3)</f>
        <v>0</v>
      </c>
      <c r="CJ12" s="16">
        <f>SUMIFS(Datos!$F:$F,Datos!$A:$A,$B12,Datos!$B:$B,CJ$3)</f>
        <v>0</v>
      </c>
      <c r="CK12" s="16">
        <f>SUMIFS(Datos!$F:$F,Datos!$A:$A,$B12,Datos!$B:$B,CK$3)</f>
        <v>0</v>
      </c>
      <c r="CL12" s="16">
        <f>SUMIFS(Datos!$F:$F,Datos!$A:$A,$B12,Datos!$B:$B,CL$3)</f>
        <v>0</v>
      </c>
      <c r="CM12" s="16">
        <f>SUMIFS(Datos!$F:$F,Datos!$A:$A,$B12,Datos!$B:$B,CM$3)</f>
        <v>0</v>
      </c>
      <c r="CN12" s="16">
        <f>SUMIFS(Datos!$F:$F,Datos!$A:$A,$B12,Datos!$B:$B,CN$3)</f>
        <v>0</v>
      </c>
      <c r="CO12" s="16">
        <f>SUMIFS(Datos!$F:$F,Datos!$A:$A,$B12,Datos!$B:$B,CO$3)</f>
        <v>0</v>
      </c>
      <c r="CP12" s="16">
        <f>SUMIFS(Datos!$F:$F,Datos!$A:$A,$B12,Datos!$B:$B,CP$3)</f>
        <v>0</v>
      </c>
      <c r="CQ12" s="16">
        <f>SUMIFS(Datos!$F:$F,Datos!$A:$A,$B12,Datos!$B:$B,CQ$3)</f>
        <v>0</v>
      </c>
      <c r="CR12" s="16">
        <f>SUMIFS(Datos!$F:$F,Datos!$A:$A,$B12,Datos!$B:$B,CR$3)</f>
        <v>0</v>
      </c>
      <c r="CS12" s="16">
        <f>SUMIFS(Datos!$F:$F,Datos!$A:$A,$B12,Datos!$B:$B,CS$3)</f>
        <v>0</v>
      </c>
      <c r="CT12" s="16">
        <f>SUMIFS(Datos!$F:$F,Datos!$A:$A,$B12,Datos!$B:$B,CT$3)</f>
        <v>0</v>
      </c>
      <c r="CU12" s="16">
        <f>SUMIFS(Datos!$F:$F,Datos!$A:$A,$B12,Datos!$B:$B,CU$3)</f>
        <v>0</v>
      </c>
      <c r="CV12" s="16">
        <f>SUMIFS(Datos!$F:$F,Datos!$A:$A,$B12,Datos!$B:$B,CV$3)</f>
        <v>0</v>
      </c>
      <c r="CW12" s="16">
        <f>SUMIFS(Datos!$F:$F,Datos!$A:$A,$B12,Datos!$B:$B,CW$3)</f>
        <v>0</v>
      </c>
      <c r="CX12" s="16">
        <f>SUMIFS(Datos!$F:$F,Datos!$A:$A,$B12,Datos!$B:$B,CX$3)</f>
        <v>0</v>
      </c>
      <c r="CY12" s="16">
        <f>SUMIFS(Datos!$F:$F,Datos!$A:$A,$B12,Datos!$B:$B,CY$3)</f>
        <v>0</v>
      </c>
      <c r="CZ12" s="16">
        <f>SUMIFS(Datos!$F:$F,Datos!$A:$A,$B12,Datos!$B:$B,CZ$3)</f>
        <v>0</v>
      </c>
      <c r="DA12" s="16">
        <f>SUMIFS(Datos!$F:$F,Datos!$A:$A,$B12,Datos!$B:$B,DA$3)</f>
        <v>0</v>
      </c>
      <c r="DB12" s="16">
        <f>SUMIFS(Datos!$F:$F,Datos!$A:$A,$B12,Datos!$B:$B,DB$3)</f>
        <v>0</v>
      </c>
      <c r="DC12" s="16">
        <f>SUMIFS(Datos!$F:$F,Datos!$A:$A,$B12,Datos!$B:$B,DC$3)</f>
        <v>0</v>
      </c>
      <c r="DD12" s="16">
        <f>SUMIFS(Datos!$F:$F,Datos!$A:$A,$B12,Datos!$B:$B,DD$3)</f>
        <v>0</v>
      </c>
      <c r="DE12" s="16">
        <f>SUMIFS(Datos!$F:$F,Datos!$A:$A,$B12,Datos!$B:$B,DE$3)</f>
        <v>0</v>
      </c>
      <c r="DF12" s="16">
        <f>SUMIFS(Datos!$F:$F,Datos!$A:$A,$B12,Datos!$B:$B,DF$3)</f>
        <v>0</v>
      </c>
      <c r="DG12" s="16">
        <f>SUMIFS(Datos!$F:$F,Datos!$A:$A,$B12,Datos!$B:$B,DG$3)</f>
        <v>0</v>
      </c>
      <c r="DH12" s="16">
        <f>SUMIFS(Datos!$F:$F,Datos!$A:$A,$B12,Datos!$B:$B,DH$3)</f>
        <v>0</v>
      </c>
      <c r="DI12" s="16">
        <f>SUMIFS(Datos!$F:$F,Datos!$A:$A,$B12,Datos!$B:$B,DI$3)</f>
        <v>0</v>
      </c>
      <c r="DJ12" s="16">
        <f>SUMIFS(Datos!$F:$F,Datos!$A:$A,$B12,Datos!$B:$B,DJ$3)</f>
        <v>0</v>
      </c>
      <c r="DK12" s="16">
        <f>SUMIFS(Datos!$F:$F,Datos!$A:$A,$B12,Datos!$B:$B,DK$3)</f>
        <v>0</v>
      </c>
      <c r="DL12" s="16">
        <f>SUMIFS(Datos!$F:$F,Datos!$A:$A,$B12,Datos!$B:$B,DL$3)</f>
        <v>0</v>
      </c>
      <c r="DM12" s="16">
        <f>SUMIFS(Datos!$F:$F,Datos!$A:$A,$B12,Datos!$B:$B,DM$3)</f>
        <v>0</v>
      </c>
      <c r="DN12" s="16">
        <f>SUMIFS(Datos!$F:$F,Datos!$A:$A,$B12,Datos!$B:$B,DN$3)</f>
        <v>0</v>
      </c>
      <c r="DO12" s="16">
        <f>SUMIFS(Datos!$F:$F,Datos!$A:$A,$B12,Datos!$B:$B,DO$3)</f>
        <v>0</v>
      </c>
      <c r="DP12" s="16">
        <f>SUMIFS(Datos!$F:$F,Datos!$A:$A,$B12,Datos!$B:$B,DP$3)</f>
        <v>0</v>
      </c>
      <c r="DQ12" s="16">
        <f>SUMIFS(Datos!$F:$F,Datos!$A:$A,$B12,Datos!$B:$B,DQ$3)</f>
        <v>0</v>
      </c>
      <c r="DR12" s="16">
        <f>SUMIFS(Datos!$F:$F,Datos!$A:$A,$B12,Datos!$B:$B,DR$3)</f>
        <v>0</v>
      </c>
      <c r="DS12" s="16">
        <f>SUMIFS(Datos!$F:$F,Datos!$A:$A,$B12,Datos!$B:$B,DS$3)</f>
        <v>0</v>
      </c>
      <c r="DT12" s="16">
        <f>SUMIFS(Datos!$F:$F,Datos!$A:$A,$B12,Datos!$B:$B,DT$3)</f>
        <v>0</v>
      </c>
      <c r="DU12" s="16">
        <f>SUMIFS(Datos!$F:$F,Datos!$A:$A,$B12,Datos!$B:$B,DU$3)</f>
        <v>0</v>
      </c>
      <c r="DV12" s="16">
        <f>SUMIFS(Datos!$F:$F,Datos!$A:$A,$B12,Datos!$B:$B,DV$3)</f>
        <v>0</v>
      </c>
      <c r="DW12" s="16">
        <f>SUMIFS(Datos!$F:$F,Datos!$A:$A,$B12,Datos!$B:$B,DW$3)</f>
        <v>0</v>
      </c>
      <c r="DX12" s="16">
        <f>SUMIFS(Datos!$F:$F,Datos!$A:$A,$B12,Datos!$B:$B,DX$3)</f>
        <v>0</v>
      </c>
      <c r="DY12" s="16">
        <f>SUMIFS(Datos!$F:$F,Datos!$A:$A,$B12,Datos!$B:$B,DY$3)</f>
        <v>0</v>
      </c>
      <c r="DZ12" s="16">
        <f>SUMIFS(Datos!$F:$F,Datos!$A:$A,$B12,Datos!$B:$B,DZ$3)</f>
        <v>0</v>
      </c>
      <c r="EA12" s="16">
        <f>SUMIFS(Datos!$F:$F,Datos!$A:$A,$B12,Datos!$B:$B,EA$3)</f>
        <v>0</v>
      </c>
      <c r="EB12" s="16">
        <f>SUMIFS(Datos!$F:$F,Datos!$A:$A,$B12,Datos!$B:$B,EB$3)</f>
        <v>0</v>
      </c>
      <c r="EC12" s="16">
        <f>SUMIFS(Datos!$F:$F,Datos!$A:$A,$B12,Datos!$B:$B,EC$3)</f>
        <v>0</v>
      </c>
      <c r="ED12" s="16">
        <f>SUMIFS(Datos!$F:$F,Datos!$A:$A,$B12,Datos!$B:$B,ED$3)</f>
        <v>0</v>
      </c>
      <c r="EE12" s="16">
        <f>SUMIFS(Datos!$F:$F,Datos!$A:$A,$B12,Datos!$B:$B,EE$3)</f>
        <v>0</v>
      </c>
      <c r="EF12" s="16">
        <f>SUMIFS(Datos!$F:$F,Datos!$A:$A,$B12,Datos!$B:$B,EF$3)</f>
        <v>0</v>
      </c>
      <c r="EG12" s="16">
        <f>SUMIFS(Datos!$F:$F,Datos!$A:$A,$B12,Datos!$B:$B,EG$3)</f>
        <v>0</v>
      </c>
      <c r="EH12" s="16">
        <f>SUMIFS(Datos!$F:$F,Datos!$A:$A,$B12,Datos!$B:$B,EH$3)</f>
        <v>0</v>
      </c>
      <c r="EI12" s="16">
        <f>SUMIFS(Datos!$F:$F,Datos!$A:$A,$B12,Datos!$B:$B,EI$3)</f>
        <v>0</v>
      </c>
      <c r="EJ12" s="16">
        <f>SUMIFS(Datos!$F:$F,Datos!$A:$A,$B12,Datos!$B:$B,EJ$3)</f>
        <v>0</v>
      </c>
      <c r="EK12" s="16">
        <f>SUMIFS(Datos!$F:$F,Datos!$A:$A,$B12,Datos!$B:$B,EK$3)</f>
        <v>0</v>
      </c>
      <c r="EL12" s="16">
        <f>SUMIFS(Datos!$F:$F,Datos!$A:$A,$B12,Datos!$B:$B,EL$3)</f>
        <v>0</v>
      </c>
      <c r="EM12" s="16">
        <f>SUMIFS(Datos!$F:$F,Datos!$A:$A,$B12,Datos!$B:$B,EM$3)</f>
        <v>0</v>
      </c>
      <c r="EN12" s="16">
        <f>SUMIFS(Datos!$F:$F,Datos!$A:$A,$B12,Datos!$B:$B,EN$3)</f>
        <v>0</v>
      </c>
      <c r="EO12" s="16">
        <f>SUMIFS(Datos!$F:$F,Datos!$A:$A,$B12,Datos!$B:$B,EO$3)</f>
        <v>0</v>
      </c>
      <c r="EP12" s="16">
        <f>SUMIFS(Datos!$F:$F,Datos!$A:$A,$B12,Datos!$B:$B,EP$3)</f>
        <v>0</v>
      </c>
      <c r="EQ12" s="16">
        <f>SUMIFS(Datos!$F:$F,Datos!$A:$A,$B12,Datos!$B:$B,EQ$3)</f>
        <v>0</v>
      </c>
      <c r="ER12" s="16">
        <f>SUMIFS(Datos!$F:$F,Datos!$A:$A,$B12,Datos!$B:$B,ER$3)</f>
        <v>0</v>
      </c>
      <c r="ES12" s="16">
        <f>SUMIFS(Datos!$F:$F,Datos!$A:$A,$B12,Datos!$B:$B,ES$3)</f>
        <v>0</v>
      </c>
      <c r="ET12" s="16">
        <f>SUMIFS(Datos!$F:$F,Datos!$A:$A,$B12,Datos!$B:$B,ET$3)</f>
        <v>0</v>
      </c>
      <c r="EU12" s="16">
        <f>SUMIFS(Datos!$F:$F,Datos!$A:$A,$B12,Datos!$B:$B,EU$3)</f>
        <v>0</v>
      </c>
      <c r="EV12" s="16">
        <f>SUMIFS(Datos!$F:$F,Datos!$A:$A,$B12,Datos!$B:$B,EV$3)</f>
        <v>0</v>
      </c>
      <c r="EW12" s="16">
        <f>SUMIFS(Datos!$F:$F,Datos!$A:$A,$B12,Datos!$B:$B,EW$3)</f>
        <v>0</v>
      </c>
      <c r="EX12" s="16">
        <f>SUMIFS(Datos!$F:$F,Datos!$A:$A,$B12,Datos!$B:$B,EX$3)</f>
        <v>0</v>
      </c>
      <c r="EY12" s="16">
        <f>SUMIFS(Datos!$F:$F,Datos!$A:$A,$B12,Datos!$B:$B,EY$3)</f>
        <v>0</v>
      </c>
      <c r="EZ12" s="16">
        <f>SUMIFS(Datos!$F:$F,Datos!$A:$A,$B12,Datos!$B:$B,EZ$3)</f>
        <v>0</v>
      </c>
      <c r="FA12" s="16">
        <f>SUMIFS(Datos!$F:$F,Datos!$A:$A,$B12,Datos!$B:$B,FA$3)</f>
        <v>0</v>
      </c>
      <c r="FB12" s="16">
        <f>SUMIFS(Datos!$F:$F,Datos!$A:$A,$B12,Datos!$B:$B,FB$3)</f>
        <v>0</v>
      </c>
      <c r="FC12" s="16">
        <f>SUMIFS(Datos!$F:$F,Datos!$A:$A,$B12,Datos!$B:$B,FC$3)</f>
        <v>0</v>
      </c>
      <c r="FD12" s="16">
        <f>SUMIFS(Datos!$F:$F,Datos!$A:$A,$B12,Datos!$B:$B,FD$3)</f>
        <v>0</v>
      </c>
      <c r="FE12" s="16">
        <f>SUMIFS(Datos!$F:$F,Datos!$A:$A,$B12,Datos!$B:$B,FE$3)</f>
        <v>0</v>
      </c>
      <c r="FF12" s="16">
        <f>SUMIFS(Datos!$F:$F,Datos!$A:$A,$B12,Datos!$B:$B,FF$3)</f>
        <v>0</v>
      </c>
      <c r="FG12" s="16">
        <f>SUMIFS(Datos!$F:$F,Datos!$A:$A,$B12,Datos!$B:$B,FG$3)</f>
        <v>0</v>
      </c>
      <c r="FH12" s="16">
        <f>SUMIFS(Datos!$F:$F,Datos!$A:$A,$B12,Datos!$B:$B,FH$3)</f>
        <v>0</v>
      </c>
      <c r="FI12" s="16">
        <f>SUMIFS(Datos!$F:$F,Datos!$A:$A,$B12,Datos!$B:$B,FI$3)</f>
        <v>0</v>
      </c>
      <c r="FJ12" s="16">
        <f>SUMIFS(Datos!$F:$F,Datos!$A:$A,$B12,Datos!$B:$B,FJ$3)</f>
        <v>0</v>
      </c>
      <c r="FK12" s="16">
        <f>SUMIFS(Datos!$F:$F,Datos!$A:$A,$B12,Datos!$B:$B,FK$3)</f>
        <v>0</v>
      </c>
      <c r="FL12" s="16">
        <f>SUMIFS(Datos!$F:$F,Datos!$A:$A,$B12,Datos!$B:$B,FL$3)</f>
        <v>0</v>
      </c>
      <c r="FM12" s="16">
        <f>SUMIFS(Datos!$F:$F,Datos!$A:$A,$B12,Datos!$B:$B,FM$3)</f>
        <v>0</v>
      </c>
      <c r="FN12" s="16">
        <f>SUMIFS(Datos!$F:$F,Datos!$A:$A,$B12,Datos!$B:$B,FN$3)</f>
        <v>0</v>
      </c>
      <c r="FO12" s="16">
        <f>SUMIFS(Datos!$F:$F,Datos!$A:$A,$B12,Datos!$B:$B,FO$3)</f>
        <v>0</v>
      </c>
      <c r="FP12" s="16">
        <f>SUMIFS(Datos!$F:$F,Datos!$A:$A,$B12,Datos!$B:$B,FP$3)</f>
        <v>0</v>
      </c>
      <c r="FQ12" s="16">
        <f>SUMIFS(Datos!$F:$F,Datos!$A:$A,$B12,Datos!$B:$B,FQ$3)</f>
        <v>0</v>
      </c>
      <c r="FR12" s="16">
        <f>SUMIFS(Datos!$F:$F,Datos!$A:$A,$B12,Datos!$B:$B,FR$3)</f>
        <v>0</v>
      </c>
      <c r="FS12" s="16">
        <f>SUMIFS(Datos!$F:$F,Datos!$A:$A,$B12,Datos!$B:$B,FS$3)</f>
        <v>0</v>
      </c>
      <c r="FT12" s="16">
        <f>SUMIFS(Datos!$F:$F,Datos!$A:$A,$B12,Datos!$B:$B,FT$3)</f>
        <v>0</v>
      </c>
      <c r="FU12" s="16">
        <f>SUMIFS(Datos!$F:$F,Datos!$A:$A,$B12,Datos!$B:$B,FU$3)</f>
        <v>0</v>
      </c>
      <c r="FV12" s="16">
        <f>SUMIFS(Datos!$F:$F,Datos!$A:$A,$B12,Datos!$B:$B,FV$3)</f>
        <v>0</v>
      </c>
      <c r="FW12" s="16">
        <f>SUMIFS(Datos!$F:$F,Datos!$A:$A,$B12,Datos!$B:$B,FW$3)</f>
        <v>0</v>
      </c>
      <c r="FX12" s="16">
        <f>SUMIFS(Datos!$F:$F,Datos!$A:$A,$B12,Datos!$B:$B,FX$3)</f>
        <v>0</v>
      </c>
      <c r="FY12" s="16">
        <f>SUMIFS(Datos!$F:$F,Datos!$A:$A,$B12,Datos!$B:$B,FY$3)</f>
        <v>0</v>
      </c>
      <c r="FZ12" s="16">
        <f>SUMIFS(Datos!$F:$F,Datos!$A:$A,$B12,Datos!$B:$B,FZ$3)</f>
        <v>0</v>
      </c>
      <c r="GA12" s="16">
        <f>SUMIFS(Datos!$F:$F,Datos!$A:$A,$B12,Datos!$B:$B,GA$3)</f>
        <v>0</v>
      </c>
      <c r="GB12" s="16">
        <f>SUMIFS(Datos!$F:$F,Datos!$A:$A,$B12,Datos!$B:$B,GB$3)</f>
        <v>0</v>
      </c>
      <c r="GC12" s="16">
        <f>SUMIFS(Datos!$F:$F,Datos!$A:$A,$B12,Datos!$B:$B,GC$3)</f>
        <v>0</v>
      </c>
      <c r="GD12" s="16">
        <f>SUMIFS(Datos!$F:$F,Datos!$A:$A,$B12,Datos!$B:$B,GD$3)</f>
        <v>0</v>
      </c>
      <c r="GE12" s="16">
        <f>SUMIFS(Datos!$F:$F,Datos!$A:$A,$B12,Datos!$B:$B,GE$3)</f>
        <v>0</v>
      </c>
      <c r="GF12" s="16">
        <f>SUMIFS(Datos!$F:$F,Datos!$A:$A,$B12,Datos!$B:$B,GF$3)</f>
        <v>0</v>
      </c>
      <c r="GG12" s="16">
        <f>SUMIFS(Datos!$F:$F,Datos!$A:$A,$B12,Datos!$B:$B,GG$3)</f>
        <v>0</v>
      </c>
      <c r="GH12" s="16">
        <f>SUMIFS(Datos!$F:$F,Datos!$A:$A,$B12,Datos!$B:$B,GH$3)</f>
        <v>0</v>
      </c>
      <c r="GI12" s="16">
        <f>SUMIFS(Datos!$F:$F,Datos!$A:$A,$B12,Datos!$B:$B,GI$3)</f>
        <v>0</v>
      </c>
      <c r="GJ12" s="16">
        <f>SUMIFS(Datos!$F:$F,Datos!$A:$A,$B12,Datos!$B:$B,GJ$3)</f>
        <v>0</v>
      </c>
      <c r="GK12" s="16">
        <f>SUMIFS(Datos!$F:$F,Datos!$A:$A,$B12,Datos!$B:$B,GK$3)</f>
        <v>0</v>
      </c>
      <c r="GL12" s="16">
        <f>SUMIFS(Datos!$F:$F,Datos!$A:$A,$B12,Datos!$B:$B,GL$3)</f>
        <v>0</v>
      </c>
      <c r="GM12" s="16">
        <f>SUMIFS(Datos!$F:$F,Datos!$A:$A,$B12,Datos!$B:$B,GM$3)</f>
        <v>0</v>
      </c>
      <c r="GN12" s="16">
        <f>SUMIFS(Datos!$F:$F,Datos!$A:$A,$B12,Datos!$B:$B,GN$3)</f>
        <v>0</v>
      </c>
      <c r="GO12" s="16">
        <f>SUMIFS(Datos!$F:$F,Datos!$A:$A,$B12,Datos!$B:$B,GO$3)</f>
        <v>0</v>
      </c>
      <c r="GP12" s="16">
        <f>SUMIFS(Datos!$F:$F,Datos!$A:$A,$B12,Datos!$B:$B,GP$3)</f>
        <v>0</v>
      </c>
      <c r="GQ12" s="16">
        <f>SUMIFS(Datos!$F:$F,Datos!$A:$A,$B12,Datos!$B:$B,GQ$3)</f>
        <v>0</v>
      </c>
      <c r="GR12" s="16">
        <f>SUMIFS(Datos!$F:$F,Datos!$A:$A,$B12,Datos!$B:$B,GR$3)</f>
        <v>0</v>
      </c>
      <c r="GS12" s="16">
        <f>SUMIFS(Datos!$F:$F,Datos!$A:$A,$B12,Datos!$B:$B,GS$3)</f>
        <v>0</v>
      </c>
      <c r="GT12" s="16">
        <f>SUMIFS(Datos!$F:$F,Datos!$A:$A,$B12,Datos!$B:$B,GT$3)</f>
        <v>0</v>
      </c>
      <c r="GU12" s="16">
        <f>SUMIFS(Datos!$F:$F,Datos!$A:$A,$B12,Datos!$B:$B,GU$3)</f>
        <v>0</v>
      </c>
      <c r="GV12" s="16">
        <f>SUMIFS(Datos!$F:$F,Datos!$A:$A,$B12,Datos!$B:$B,GV$3)</f>
        <v>0</v>
      </c>
      <c r="GW12" s="16">
        <f>SUMIFS(Datos!$F:$F,Datos!$A:$A,$B12,Datos!$B:$B,GW$3)</f>
        <v>0</v>
      </c>
      <c r="GX12" s="16">
        <f>SUMIFS(Datos!$F:$F,Datos!$A:$A,$B12,Datos!$B:$B,GX$3)</f>
        <v>0</v>
      </c>
      <c r="GY12" s="16">
        <f>SUMIFS(Datos!$F:$F,Datos!$A:$A,$B12,Datos!$B:$B,GY$3)</f>
        <v>0</v>
      </c>
      <c r="GZ12" s="16">
        <f>SUMIFS(Datos!$F:$F,Datos!$A:$A,$B12,Datos!$B:$B,GZ$3)</f>
        <v>0</v>
      </c>
      <c r="HA12" s="16">
        <f>SUMIFS(Datos!$F:$F,Datos!$A:$A,$B12,Datos!$B:$B,HA$3)</f>
        <v>0</v>
      </c>
      <c r="HB12" s="16">
        <f>SUMIFS(Datos!$F:$F,Datos!$A:$A,$B12,Datos!$B:$B,HB$3)</f>
        <v>0</v>
      </c>
      <c r="HC12" s="16">
        <f>SUMIFS(Datos!$F:$F,Datos!$A:$A,$B12,Datos!$B:$B,HC$3)</f>
        <v>0</v>
      </c>
      <c r="HD12" s="16">
        <f>SUMIFS(Datos!$F:$F,Datos!$A:$A,$B12,Datos!$B:$B,HD$3)</f>
        <v>0</v>
      </c>
      <c r="HE12" s="16">
        <f>SUMIFS(Datos!$F:$F,Datos!$A:$A,$B12,Datos!$B:$B,HE$3)</f>
        <v>0</v>
      </c>
      <c r="HF12" s="16">
        <f>SUMIFS(Datos!$F:$F,Datos!$A:$A,$B12,Datos!$B:$B,HF$3)</f>
        <v>0</v>
      </c>
      <c r="HG12" s="16">
        <f>SUMIFS(Datos!$F:$F,Datos!$A:$A,$B12,Datos!$B:$B,HG$3)</f>
        <v>0</v>
      </c>
      <c r="HH12" s="16">
        <f>SUMIFS(Datos!$F:$F,Datos!$A:$A,$B12,Datos!$B:$B,HH$3)</f>
        <v>0</v>
      </c>
      <c r="HI12" s="16">
        <f>SUMIFS(Datos!$F:$F,Datos!$A:$A,$B12,Datos!$B:$B,HI$3)</f>
        <v>0</v>
      </c>
      <c r="HJ12" s="16">
        <f>SUMIFS(Datos!$F:$F,Datos!$A:$A,$B12,Datos!$B:$B,HJ$3)</f>
        <v>0</v>
      </c>
      <c r="HK12" s="16">
        <f>SUMIFS(Datos!$F:$F,Datos!$A:$A,$B12,Datos!$B:$B,HK$3)</f>
        <v>0</v>
      </c>
      <c r="HL12" s="16">
        <f>SUMIFS(Datos!$F:$F,Datos!$A:$A,$B12,Datos!$B:$B,HL$3)</f>
        <v>0</v>
      </c>
      <c r="HM12" s="16">
        <f>SUMIFS(Datos!$F:$F,Datos!$A:$A,$B12,Datos!$B:$B,HM$3)</f>
        <v>0</v>
      </c>
      <c r="HN12" s="16">
        <f>SUMIFS(Datos!$F:$F,Datos!$A:$A,$B12,Datos!$B:$B,HN$3)</f>
        <v>0</v>
      </c>
      <c r="HO12" s="16">
        <f>SUMIFS(Datos!$F:$F,Datos!$A:$A,$B12,Datos!$B:$B,HO$3)</f>
        <v>0</v>
      </c>
      <c r="HP12" s="16">
        <f>SUMIFS(Datos!$F:$F,Datos!$A:$A,$B12,Datos!$B:$B,HP$3)</f>
        <v>0</v>
      </c>
      <c r="HQ12" s="16">
        <f>SUMIFS(Datos!$F:$F,Datos!$A:$A,$B12,Datos!$B:$B,HQ$3)</f>
        <v>0</v>
      </c>
      <c r="HR12" s="16">
        <f>SUMIFS(Datos!$F:$F,Datos!$A:$A,$B12,Datos!$B:$B,HR$3)</f>
        <v>0</v>
      </c>
      <c r="HS12" s="16">
        <f>SUMIFS(Datos!$F:$F,Datos!$A:$A,$B12,Datos!$B:$B,HS$3)</f>
        <v>0</v>
      </c>
      <c r="HT12" s="16">
        <f>SUMIFS(Datos!$F:$F,Datos!$A:$A,$B12,Datos!$B:$B,HT$3)</f>
        <v>0</v>
      </c>
      <c r="HU12" s="16">
        <f>SUMIFS(Datos!$F:$F,Datos!$A:$A,$B12,Datos!$B:$B,HU$3)</f>
        <v>0</v>
      </c>
      <c r="HV12" s="16">
        <f>SUMIFS(Datos!$F:$F,Datos!$A:$A,$B12,Datos!$B:$B,HV$3)</f>
        <v>0</v>
      </c>
      <c r="HW12" s="16">
        <f>SUMIFS(Datos!$F:$F,Datos!$A:$A,$B12,Datos!$B:$B,HW$3)</f>
        <v>0</v>
      </c>
      <c r="HX12" s="16">
        <f>SUMIFS(Datos!$F:$F,Datos!$A:$A,$B12,Datos!$B:$B,HX$3)</f>
        <v>0</v>
      </c>
      <c r="HY12" s="16">
        <f>SUMIFS(Datos!$F:$F,Datos!$A:$A,$B12,Datos!$B:$B,HY$3)</f>
        <v>0</v>
      </c>
      <c r="HZ12" s="16">
        <f>SUMIFS(Datos!$F:$F,Datos!$A:$A,$B12,Datos!$B:$B,HZ$3)</f>
        <v>0</v>
      </c>
      <c r="IA12" s="16">
        <f>SUMIFS(Datos!$F:$F,Datos!$A:$A,$B12,Datos!$B:$B,IA$3)</f>
        <v>0</v>
      </c>
      <c r="IB12" s="16">
        <f>SUMIFS(Datos!$F:$F,Datos!$A:$A,$B12,Datos!$B:$B,IB$3)</f>
        <v>0</v>
      </c>
      <c r="IC12" s="16">
        <f>SUMIFS(Datos!$F:$F,Datos!$A:$A,$B12,Datos!$B:$B,IC$3)</f>
        <v>0</v>
      </c>
      <c r="ID12" s="16">
        <f>SUMIFS(Datos!$F:$F,Datos!$A:$A,$B12,Datos!$B:$B,ID$3)</f>
        <v>0</v>
      </c>
      <c r="IE12" s="16">
        <f>SUMIFS(Datos!$F:$F,Datos!$A:$A,$B12,Datos!$B:$B,IE$3)</f>
        <v>0</v>
      </c>
      <c r="IF12" s="16">
        <f>SUMIFS(Datos!$F:$F,Datos!$A:$A,$B12,Datos!$B:$B,IF$3)</f>
        <v>0</v>
      </c>
      <c r="IG12" s="16">
        <f>SUMIFS(Datos!$F:$F,Datos!$A:$A,$B12,Datos!$B:$B,IG$3)</f>
        <v>0</v>
      </c>
      <c r="IH12" s="16">
        <f>SUMIFS(Datos!$F:$F,Datos!$A:$A,$B12,Datos!$B:$B,IH$3)</f>
        <v>0</v>
      </c>
      <c r="II12" s="16">
        <f>SUMIFS(Datos!$F:$F,Datos!$A:$A,$B12,Datos!$B:$B,II$3)</f>
        <v>0</v>
      </c>
      <c r="IJ12" s="16">
        <f>SUMIFS(Datos!$F:$F,Datos!$A:$A,$B12,Datos!$B:$B,IJ$3)</f>
        <v>0</v>
      </c>
      <c r="IK12" s="16">
        <f>SUMIFS(Datos!$F:$F,Datos!$A:$A,$B12,Datos!$B:$B,IK$3)</f>
        <v>0</v>
      </c>
      <c r="IL12" s="16">
        <f>SUMIFS(Datos!$F:$F,Datos!$A:$A,$B12,Datos!$B:$B,IL$3)</f>
        <v>0</v>
      </c>
      <c r="IM12" s="16">
        <f>SUMIFS(Datos!$F:$F,Datos!$A:$A,$B12,Datos!$B:$B,IM$3)</f>
        <v>0</v>
      </c>
      <c r="IN12" s="16">
        <f>SUMIFS(Datos!$F:$F,Datos!$A:$A,$B12,Datos!$B:$B,IN$3)</f>
        <v>0</v>
      </c>
      <c r="IO12" s="16">
        <f>SUMIFS(Datos!$F:$F,Datos!$A:$A,$B12,Datos!$B:$B,IO$3)</f>
        <v>0</v>
      </c>
      <c r="IP12" s="16">
        <f>SUMIFS(Datos!$F:$F,Datos!$A:$A,$B12,Datos!$B:$B,IP$3)</f>
        <v>0</v>
      </c>
      <c r="IQ12" s="16">
        <f>SUMIFS(Datos!$F:$F,Datos!$A:$A,$B12,Datos!$B:$B,IQ$3)</f>
        <v>0</v>
      </c>
      <c r="IR12" s="16">
        <f>SUMIFS(Datos!$F:$F,Datos!$A:$A,$B12,Datos!$B:$B,IR$3)</f>
        <v>0</v>
      </c>
      <c r="IS12" s="16">
        <f>SUMIFS(Datos!$F:$F,Datos!$A:$A,$B12,Datos!$B:$B,IS$3)</f>
        <v>0</v>
      </c>
      <c r="IT12" s="16">
        <f>SUMIFS(Datos!$F:$F,Datos!$A:$A,$B12,Datos!$B:$B,IT$3)</f>
        <v>0</v>
      </c>
      <c r="IU12" s="16">
        <f>SUMIFS(Datos!$F:$F,Datos!$A:$A,$B12,Datos!$B:$B,IU$3)</f>
        <v>0</v>
      </c>
      <c r="IV12" s="16">
        <f>SUMIFS(Datos!$F:$F,Datos!$A:$A,$B12,Datos!$B:$B,IV$3)</f>
        <v>0</v>
      </c>
      <c r="IW12" s="16">
        <f>SUMIFS(Datos!$F:$F,Datos!$A:$A,$B12,Datos!$B:$B,IW$3)</f>
        <v>0</v>
      </c>
      <c r="IX12" s="16">
        <f>SUMIFS(Datos!$F:$F,Datos!$A:$A,$B12,Datos!$B:$B,IX$3)</f>
        <v>0</v>
      </c>
      <c r="IY12" s="16">
        <f>SUMIFS(Datos!$F:$F,Datos!$A:$A,$B12,Datos!$B:$B,IY$3)</f>
        <v>0</v>
      </c>
      <c r="IZ12" s="16">
        <f>SUMIFS(Datos!$F:$F,Datos!$A:$A,$B12,Datos!$B:$B,IZ$3)</f>
        <v>0</v>
      </c>
      <c r="JA12" s="16">
        <f>SUMIFS(Datos!$F:$F,Datos!$A:$A,$B12,Datos!$B:$B,JA$3)</f>
        <v>0</v>
      </c>
      <c r="JB12" s="16">
        <f>SUMIFS(Datos!$F:$F,Datos!$A:$A,$B12,Datos!$B:$B,JB$3)</f>
        <v>0</v>
      </c>
      <c r="JC12" s="16">
        <f>SUMIFS(Datos!$F:$F,Datos!$A:$A,$B12,Datos!$B:$B,JC$3)</f>
        <v>0</v>
      </c>
      <c r="JD12" s="16">
        <f>SUMIFS(Datos!$F:$F,Datos!$A:$A,$B12,Datos!$B:$B,JD$3)</f>
        <v>0</v>
      </c>
      <c r="JE12" s="16">
        <f>SUMIFS(Datos!$F:$F,Datos!$A:$A,$B12,Datos!$B:$B,JE$3)</f>
        <v>0</v>
      </c>
      <c r="JF12" s="16">
        <f>SUMIFS(Datos!$F:$F,Datos!$A:$A,$B12,Datos!$B:$B,JF$3)</f>
        <v>0</v>
      </c>
      <c r="JG12" s="16">
        <f>SUMIFS(Datos!$F:$F,Datos!$A:$A,$B12,Datos!$B:$B,JG$3)</f>
        <v>0</v>
      </c>
      <c r="JH12" s="16">
        <f>SUMIFS(Datos!$F:$F,Datos!$A:$A,$B12,Datos!$B:$B,JH$3)</f>
        <v>0</v>
      </c>
      <c r="JI12" s="16">
        <f>SUMIFS(Datos!$F:$F,Datos!$A:$A,$B12,Datos!$B:$B,JI$3)</f>
        <v>0</v>
      </c>
      <c r="JJ12" s="16">
        <f>SUMIFS(Datos!$F:$F,Datos!$A:$A,$B12,Datos!$B:$B,JJ$3)</f>
        <v>0</v>
      </c>
      <c r="JK12" s="16">
        <f>SUMIFS(Datos!$F:$F,Datos!$A:$A,$B12,Datos!$B:$B,JK$3)</f>
        <v>0</v>
      </c>
      <c r="JL12" s="16">
        <f>SUMIFS(Datos!$F:$F,Datos!$A:$A,$B12,Datos!$B:$B,JL$3)</f>
        <v>0</v>
      </c>
      <c r="JM12" s="16">
        <f>SUMIFS(Datos!$F:$F,Datos!$A:$A,$B12,Datos!$B:$B,JM$3)</f>
        <v>0</v>
      </c>
      <c r="JN12" s="16">
        <f>SUMIFS(Datos!$F:$F,Datos!$A:$A,$B12,Datos!$B:$B,JN$3)</f>
        <v>0</v>
      </c>
      <c r="JO12" s="16">
        <f>SUMIFS(Datos!$F:$F,Datos!$A:$A,$B12,Datos!$B:$B,JO$3)</f>
        <v>0</v>
      </c>
      <c r="JP12" s="16">
        <f>SUMIFS(Datos!$F:$F,Datos!$A:$A,$B12,Datos!$B:$B,JP$3)</f>
        <v>0</v>
      </c>
      <c r="JQ12" s="16">
        <f>SUMIFS(Datos!$F:$F,Datos!$A:$A,$B12,Datos!$B:$B,JQ$3)</f>
        <v>0</v>
      </c>
      <c r="JR12" s="16">
        <f>SUMIFS(Datos!$F:$F,Datos!$A:$A,$B12,Datos!$B:$B,JR$3)</f>
        <v>0</v>
      </c>
      <c r="JS12" s="16">
        <f>SUMIFS(Datos!$F:$F,Datos!$A:$A,$B12,Datos!$B:$B,JS$3)</f>
        <v>0</v>
      </c>
      <c r="JT12" s="16">
        <f>SUMIFS(Datos!$F:$F,Datos!$A:$A,$B12,Datos!$B:$B,JT$3)</f>
        <v>0</v>
      </c>
      <c r="JU12" s="16">
        <f>SUMIFS(Datos!$F:$F,Datos!$A:$A,$B12,Datos!$B:$B,JU$3)</f>
        <v>0</v>
      </c>
      <c r="JV12" s="16">
        <f>SUMIFS(Datos!$F:$F,Datos!$A:$A,$B12,Datos!$B:$B,JV$3)</f>
        <v>0</v>
      </c>
      <c r="JW12" s="16">
        <f>SUMIFS(Datos!$F:$F,Datos!$A:$A,$B12,Datos!$B:$B,JW$3)</f>
        <v>0</v>
      </c>
      <c r="JX12" s="16">
        <f>SUMIFS(Datos!$F:$F,Datos!$A:$A,$B12,Datos!$B:$B,JX$3)</f>
        <v>0</v>
      </c>
      <c r="JY12" s="16">
        <f>SUMIFS(Datos!$F:$F,Datos!$A:$A,$B12,Datos!$B:$B,JY$3)</f>
        <v>0</v>
      </c>
      <c r="JZ12" s="16">
        <f>SUMIFS(Datos!$F:$F,Datos!$A:$A,$B12,Datos!$B:$B,JZ$3)</f>
        <v>0</v>
      </c>
      <c r="KA12" s="16">
        <f>SUMIFS(Datos!$F:$F,Datos!$A:$A,$B12,Datos!$B:$B,KA$3)</f>
        <v>0</v>
      </c>
      <c r="KB12" s="16">
        <f>SUMIFS(Datos!$F:$F,Datos!$A:$A,$B12,Datos!$B:$B,KB$3)</f>
        <v>0</v>
      </c>
      <c r="KC12" s="16">
        <f>SUMIFS(Datos!$F:$F,Datos!$A:$A,$B12,Datos!$B:$B,KC$3)</f>
        <v>0</v>
      </c>
      <c r="KD12" s="16">
        <f>SUMIFS(Datos!$F:$F,Datos!$A:$A,$B12,Datos!$B:$B,KD$3)</f>
        <v>0</v>
      </c>
      <c r="KE12" s="16">
        <f>SUMIFS(Datos!$F:$F,Datos!$A:$A,$B12,Datos!$B:$B,KE$3)</f>
        <v>0</v>
      </c>
      <c r="KF12" s="16">
        <f>SUMIFS(Datos!$F:$F,Datos!$A:$A,$B12,Datos!$B:$B,KF$3)</f>
        <v>0</v>
      </c>
      <c r="KG12" s="16">
        <f>SUMIFS(Datos!$F:$F,Datos!$A:$A,$B12,Datos!$B:$B,KG$3)</f>
        <v>0</v>
      </c>
      <c r="KH12" s="16">
        <f>SUMIFS(Datos!$F:$F,Datos!$A:$A,$B12,Datos!$B:$B,KH$3)</f>
        <v>0</v>
      </c>
      <c r="KI12" s="16">
        <f>SUMIFS(Datos!$F:$F,Datos!$A:$A,$B12,Datos!$B:$B,KI$3)</f>
        <v>0</v>
      </c>
      <c r="KJ12" s="16">
        <f>SUMIFS(Datos!$F:$F,Datos!$A:$A,$B12,Datos!$B:$B,KJ$3)</f>
        <v>0</v>
      </c>
      <c r="KK12" s="16">
        <f>SUMIFS(Datos!$F:$F,Datos!$A:$A,$B12,Datos!$B:$B,KK$3)</f>
        <v>0</v>
      </c>
      <c r="KL12" s="16">
        <f>SUMIFS(Datos!$F:$F,Datos!$A:$A,$B12,Datos!$B:$B,KL$3)</f>
        <v>0</v>
      </c>
      <c r="KM12" s="16">
        <f>SUMIFS(Datos!$F:$F,Datos!$A:$A,$B12,Datos!$B:$B,KM$3)</f>
        <v>0</v>
      </c>
      <c r="KN12" s="16">
        <f>SUMIFS(Datos!$F:$F,Datos!$A:$A,$B12,Datos!$B:$B,KN$3)</f>
        <v>0</v>
      </c>
      <c r="KO12" s="16">
        <f>SUMIFS(Datos!$F:$F,Datos!$A:$A,$B12,Datos!$B:$B,KO$3)</f>
        <v>0</v>
      </c>
      <c r="KP12" s="16">
        <f>SUMIFS(Datos!$F:$F,Datos!$A:$A,$B12,Datos!$B:$B,KP$3)</f>
        <v>0</v>
      </c>
      <c r="KQ12" s="16">
        <f>SUMIFS(Datos!$F:$F,Datos!$A:$A,$B12,Datos!$B:$B,KQ$3)</f>
        <v>0</v>
      </c>
      <c r="KR12" s="16">
        <f>SUMIFS(Datos!$F:$F,Datos!$A:$A,$B12,Datos!$B:$B,KR$3)</f>
        <v>0</v>
      </c>
      <c r="KS12" s="16">
        <f>SUMIFS(Datos!$F:$F,Datos!$A:$A,$B12,Datos!$B:$B,KS$3)</f>
        <v>0</v>
      </c>
      <c r="KT12" s="16">
        <f>SUMIFS(Datos!$F:$F,Datos!$A:$A,$B12,Datos!$B:$B,KT$3)</f>
        <v>0</v>
      </c>
      <c r="KU12" s="16">
        <f>SUMIFS(Datos!$F:$F,Datos!$A:$A,$B12,Datos!$B:$B,KU$3)</f>
        <v>0</v>
      </c>
      <c r="KV12" s="16">
        <f>SUMIFS(Datos!$F:$F,Datos!$A:$A,$B12,Datos!$B:$B,KV$3)</f>
        <v>0</v>
      </c>
      <c r="KW12" s="16">
        <f>SUMIFS(Datos!$F:$F,Datos!$A:$A,$B12,Datos!$B:$B,KW$3)</f>
        <v>0</v>
      </c>
      <c r="KX12" s="16">
        <f>SUMIFS(Datos!$F:$F,Datos!$A:$A,$B12,Datos!$B:$B,KX$3)</f>
        <v>0</v>
      </c>
      <c r="KY12" s="16">
        <f>SUMIFS(Datos!$F:$F,Datos!$A:$A,$B12,Datos!$B:$B,KY$3)</f>
        <v>0</v>
      </c>
      <c r="KZ12" s="16">
        <f>SUMIFS(Datos!$F:$F,Datos!$A:$A,$B12,Datos!$B:$B,KZ$3)</f>
        <v>0</v>
      </c>
      <c r="LA12" s="16">
        <f>SUMIFS(Datos!$F:$F,Datos!$A:$A,$B12,Datos!$B:$B,LA$3)</f>
        <v>0</v>
      </c>
      <c r="LB12" s="16">
        <f>SUMIFS(Datos!$F:$F,Datos!$A:$A,$B12,Datos!$B:$B,LB$3)</f>
        <v>0</v>
      </c>
      <c r="LC12" s="16">
        <f>SUMIFS(Datos!$F:$F,Datos!$A:$A,$B12,Datos!$B:$B,LC$3)</f>
        <v>0</v>
      </c>
      <c r="LD12" s="16">
        <f>SUMIFS(Datos!$F:$F,Datos!$A:$A,$B12,Datos!$B:$B,LD$3)</f>
        <v>0</v>
      </c>
      <c r="LE12" s="16">
        <f>SUMIFS(Datos!$F:$F,Datos!$A:$A,$B12,Datos!$B:$B,LE$3)</f>
        <v>0</v>
      </c>
      <c r="LF12" s="16">
        <f>SUMIFS(Datos!$F:$F,Datos!$A:$A,$B12,Datos!$B:$B,LF$3)</f>
        <v>0</v>
      </c>
      <c r="LG12" s="16">
        <f>SUMIFS(Datos!$F:$F,Datos!$A:$A,$B12,Datos!$B:$B,LG$3)</f>
        <v>0</v>
      </c>
      <c r="LH12" s="16">
        <f>SUMIFS(Datos!$F:$F,Datos!$A:$A,$B12,Datos!$B:$B,LH$3)</f>
        <v>0</v>
      </c>
      <c r="LI12" s="16">
        <f>SUMIFS(Datos!$F:$F,Datos!$A:$A,$B12,Datos!$B:$B,LI$3)</f>
        <v>0</v>
      </c>
      <c r="LJ12" s="16">
        <f>SUMIFS(Datos!$F:$F,Datos!$A:$A,$B12,Datos!$B:$B,LJ$3)</f>
        <v>0</v>
      </c>
      <c r="LK12" s="16">
        <f>SUMIFS(Datos!$F:$F,Datos!$A:$A,$B12,Datos!$B:$B,LK$3)</f>
        <v>0</v>
      </c>
      <c r="LL12" s="16">
        <f>SUMIFS(Datos!$F:$F,Datos!$A:$A,$B12,Datos!$B:$B,LL$3)</f>
        <v>0</v>
      </c>
      <c r="LM12" s="16">
        <f>SUMIFS(Datos!$F:$F,Datos!$A:$A,$B12,Datos!$B:$B,LM$3)</f>
        <v>0</v>
      </c>
      <c r="LN12" s="16">
        <f>SUMIFS(Datos!$F:$F,Datos!$A:$A,$B12,Datos!$B:$B,LN$3)</f>
        <v>0</v>
      </c>
      <c r="LO12" s="16">
        <f>SUMIFS(Datos!$F:$F,Datos!$A:$A,$B12,Datos!$B:$B,LO$3)</f>
        <v>0</v>
      </c>
      <c r="LP12" s="16">
        <f>SUMIFS(Datos!$F:$F,Datos!$A:$A,$B12,Datos!$B:$B,LP$3)</f>
        <v>0</v>
      </c>
      <c r="LQ12" s="16">
        <f>SUMIFS(Datos!$F:$F,Datos!$A:$A,$B12,Datos!$B:$B,LQ$3)</f>
        <v>0</v>
      </c>
      <c r="LR12" s="16">
        <f>SUMIFS(Datos!$F:$F,Datos!$A:$A,$B12,Datos!$B:$B,LR$3)</f>
        <v>0</v>
      </c>
      <c r="LS12" s="16">
        <f>SUMIFS(Datos!$F:$F,Datos!$A:$A,$B12,Datos!$B:$B,LS$3)</f>
        <v>0</v>
      </c>
      <c r="LT12" s="16">
        <f>SUMIFS(Datos!$F:$F,Datos!$A:$A,$B12,Datos!$B:$B,LT$3)</f>
        <v>0</v>
      </c>
      <c r="LU12" s="16">
        <f>SUMIFS(Datos!$F:$F,Datos!$A:$A,$B12,Datos!$B:$B,LU$3)</f>
        <v>0</v>
      </c>
      <c r="LV12" s="16">
        <f>SUMIFS(Datos!$F:$F,Datos!$A:$A,$B12,Datos!$B:$B,LV$3)</f>
        <v>0</v>
      </c>
      <c r="LW12" s="16">
        <f>SUMIFS(Datos!$F:$F,Datos!$A:$A,$B12,Datos!$B:$B,LW$3)</f>
        <v>0</v>
      </c>
      <c r="LX12" s="16">
        <f>SUMIFS(Datos!$F:$F,Datos!$A:$A,$B12,Datos!$B:$B,LX$3)</f>
        <v>0</v>
      </c>
      <c r="LY12" s="16">
        <f>SUMIFS(Datos!$F:$F,Datos!$A:$A,$B12,Datos!$B:$B,LY$3)</f>
        <v>0</v>
      </c>
      <c r="LZ12" s="16">
        <f>SUMIFS(Datos!$F:$F,Datos!$A:$A,$B12,Datos!$B:$B,LZ$3)</f>
        <v>0</v>
      </c>
      <c r="MA12" s="16">
        <f>SUMIFS(Datos!$F:$F,Datos!$A:$A,$B12,Datos!$B:$B,MA$3)</f>
        <v>0</v>
      </c>
      <c r="MB12" s="16">
        <f>SUMIFS(Datos!$F:$F,Datos!$A:$A,$B12,Datos!$B:$B,MB$3)</f>
        <v>0</v>
      </c>
      <c r="MC12" s="16">
        <f>SUMIFS(Datos!$F:$F,Datos!$A:$A,$B12,Datos!$B:$B,MC$3)</f>
        <v>0</v>
      </c>
      <c r="MD12" s="16">
        <f>SUMIFS(Datos!$F:$F,Datos!$A:$A,$B12,Datos!$B:$B,MD$3)</f>
        <v>0</v>
      </c>
      <c r="ME12" s="16">
        <f>SUMIFS(Datos!$F:$F,Datos!$A:$A,$B12,Datos!$B:$B,ME$3)</f>
        <v>0</v>
      </c>
      <c r="MF12" s="16">
        <f>SUMIFS(Datos!$F:$F,Datos!$A:$A,$B12,Datos!$B:$B,MF$3)</f>
        <v>0</v>
      </c>
      <c r="MG12" s="16">
        <f>SUMIFS(Datos!$F:$F,Datos!$A:$A,$B12,Datos!$B:$B,MG$3)</f>
        <v>0</v>
      </c>
      <c r="MH12" s="16">
        <f>SUMIFS(Datos!$F:$F,Datos!$A:$A,$B12,Datos!$B:$B,MH$3)</f>
        <v>0</v>
      </c>
      <c r="MI12" s="16">
        <f>SUMIFS(Datos!$F:$F,Datos!$A:$A,$B12,Datos!$B:$B,MI$3)</f>
        <v>0</v>
      </c>
      <c r="MJ12" s="16">
        <f>SUMIFS(Datos!$F:$F,Datos!$A:$A,$B12,Datos!$B:$B,MJ$3)</f>
        <v>0</v>
      </c>
      <c r="MK12" s="16">
        <f>SUMIFS(Datos!$F:$F,Datos!$A:$A,$B12,Datos!$B:$B,MK$3)</f>
        <v>0</v>
      </c>
      <c r="ML12" s="16">
        <f>SUMIFS(Datos!$F:$F,Datos!$A:$A,$B12,Datos!$B:$B,ML$3)</f>
        <v>0</v>
      </c>
      <c r="MM12" s="16">
        <f>SUMIFS(Datos!$F:$F,Datos!$A:$A,$B12,Datos!$B:$B,MM$3)</f>
        <v>0</v>
      </c>
      <c r="MN12" s="16">
        <f>SUMIFS(Datos!$F:$F,Datos!$A:$A,$B12,Datos!$B:$B,MN$3)</f>
        <v>0</v>
      </c>
      <c r="MO12" s="16">
        <f>SUMIFS(Datos!$F:$F,Datos!$A:$A,$B12,Datos!$B:$B,MO$3)</f>
        <v>0</v>
      </c>
      <c r="MP12" s="16">
        <f>SUMIFS(Datos!$F:$F,Datos!$A:$A,$B12,Datos!$B:$B,MP$3)</f>
        <v>0</v>
      </c>
      <c r="MQ12" s="16">
        <f>SUMIFS(Datos!$F:$F,Datos!$A:$A,$B12,Datos!$B:$B,MQ$3)</f>
        <v>0</v>
      </c>
      <c r="MR12" s="16">
        <f>SUMIFS(Datos!$F:$F,Datos!$A:$A,$B12,Datos!$B:$B,MR$3)</f>
        <v>0</v>
      </c>
      <c r="MS12" s="16">
        <f>SUMIFS(Datos!$F:$F,Datos!$A:$A,$B12,Datos!$B:$B,MS$3)</f>
        <v>0</v>
      </c>
      <c r="MT12" s="16">
        <f>SUMIFS(Datos!$F:$F,Datos!$A:$A,$B12,Datos!$B:$B,MT$3)</f>
        <v>0</v>
      </c>
      <c r="MU12" s="16">
        <f>SUMIFS(Datos!$F:$F,Datos!$A:$A,$B12,Datos!$B:$B,MU$3)</f>
        <v>0</v>
      </c>
      <c r="MV12" s="16">
        <f>SUMIFS(Datos!$F:$F,Datos!$A:$A,$B12,Datos!$B:$B,MV$3)</f>
        <v>0</v>
      </c>
      <c r="MW12" s="16">
        <f>SUMIFS(Datos!$F:$F,Datos!$A:$A,$B12,Datos!$B:$B,MW$3)</f>
        <v>0</v>
      </c>
      <c r="MX12" s="16">
        <f>SUMIFS(Datos!$F:$F,Datos!$A:$A,$B12,Datos!$B:$B,MX$3)</f>
        <v>0</v>
      </c>
      <c r="MY12" s="16">
        <f>SUMIFS(Datos!$F:$F,Datos!$A:$A,$B12,Datos!$B:$B,MY$3)</f>
        <v>0</v>
      </c>
      <c r="MZ12" s="16">
        <f>SUMIFS(Datos!$F:$F,Datos!$A:$A,$B12,Datos!$B:$B,MZ$3)</f>
        <v>0</v>
      </c>
      <c r="NA12" s="16">
        <f>SUMIFS(Datos!$F:$F,Datos!$A:$A,$B12,Datos!$B:$B,NA$3)</f>
        <v>0</v>
      </c>
      <c r="NB12" s="16">
        <f>SUMIFS(Datos!$F:$F,Datos!$A:$A,$B12,Datos!$B:$B,NB$3)</f>
        <v>0</v>
      </c>
      <c r="NC12" s="16">
        <f>SUMIFS(Datos!$F:$F,Datos!$A:$A,$B12,Datos!$B:$B,NC$3)</f>
        <v>0</v>
      </c>
      <c r="ND12" s="16">
        <f>SUMIFS(Datos!$F:$F,Datos!$A:$A,$B12,Datos!$B:$B,ND$3)</f>
        <v>0</v>
      </c>
      <c r="NE12" s="16">
        <f>SUMIFS(Datos!$F:$F,Datos!$A:$A,$B12,Datos!$B:$B,NE$3)</f>
        <v>0</v>
      </c>
      <c r="NF12" s="16">
        <f>SUMIFS(Datos!$F:$F,Datos!$A:$A,$B12,Datos!$B:$B,NF$3)</f>
        <v>0</v>
      </c>
      <c r="NG12" s="16">
        <f>SUMIFS(Datos!$F:$F,Datos!$A:$A,$B12,Datos!$B:$B,NG$3)</f>
        <v>0</v>
      </c>
      <c r="NH12" s="16">
        <f>SUMIFS(Datos!$F:$F,Datos!$A:$A,$B12,Datos!$B:$B,NH$3)</f>
        <v>0</v>
      </c>
      <c r="NI12" s="16">
        <f>SUMIFS(Datos!$F:$F,Datos!$A:$A,$B12,Datos!$B:$B,NI$3)</f>
        <v>0</v>
      </c>
      <c r="NJ12" s="16">
        <f>SUMIFS(Datos!$F:$F,Datos!$A:$A,$B12,Datos!$B:$B,NJ$3)</f>
        <v>0</v>
      </c>
      <c r="NK12" s="16">
        <f>SUMIFS(Datos!$F:$F,Datos!$A:$A,$B12,Datos!$B:$B,NK$3)</f>
        <v>0</v>
      </c>
      <c r="NL12" s="16">
        <f>SUMIFS(Datos!$F:$F,Datos!$A:$A,$B12,Datos!$B:$B,NL$3)</f>
        <v>0</v>
      </c>
      <c r="NM12" s="16">
        <f>SUMIFS(Datos!$F:$F,Datos!$A:$A,$B12,Datos!$B:$B,NM$3)</f>
        <v>0</v>
      </c>
      <c r="NN12" s="16">
        <f>SUMIFS(Datos!$F:$F,Datos!$A:$A,$B12,Datos!$B:$B,NN$3)</f>
        <v>0</v>
      </c>
      <c r="NO12" s="16">
        <f>SUMIFS(Datos!$F:$F,Datos!$A:$A,$B12,Datos!$B:$B,NO$3)</f>
        <v>0</v>
      </c>
      <c r="NP12" s="16">
        <f>SUMIFS(Datos!$F:$F,Datos!$A:$A,$B12,Datos!$B:$B,NP$3)</f>
        <v>0</v>
      </c>
      <c r="NQ12" s="16">
        <f>SUMIFS(Datos!$F:$F,Datos!$A:$A,$B12,Datos!$B:$B,NQ$3)</f>
        <v>0</v>
      </c>
      <c r="NR12" s="16">
        <f>SUMIFS(Datos!$F:$F,Datos!$A:$A,$B12,Datos!$B:$B,NR$3)</f>
        <v>0</v>
      </c>
      <c r="NS12" s="16">
        <f>SUMIFS(Datos!$F:$F,Datos!$A:$A,$B12,Datos!$B:$B,NS$3)</f>
        <v>0</v>
      </c>
      <c r="NT12" s="16">
        <f>SUMIFS(Datos!$F:$F,Datos!$A:$A,$B12,Datos!$B:$B,NT$3)</f>
        <v>0</v>
      </c>
      <c r="NU12" s="16">
        <f>SUMIFS(Datos!$F:$F,Datos!$A:$A,$B12,Datos!$B:$B,NU$3)</f>
        <v>0</v>
      </c>
      <c r="NV12" s="16">
        <f>SUMIFS(Datos!$F:$F,Datos!$A:$A,$B12,Datos!$B:$B,NV$3)</f>
        <v>0</v>
      </c>
      <c r="NW12" s="16">
        <f>SUMIFS(Datos!$F:$F,Datos!$A:$A,$B12,Datos!$B:$B,NW$3)</f>
        <v>0</v>
      </c>
      <c r="NX12" s="16">
        <f>SUMIFS(Datos!$F:$F,Datos!$A:$A,$B12,Datos!$B:$B,NX$3)</f>
        <v>0</v>
      </c>
      <c r="NY12" s="16">
        <f>SUMIFS(Datos!$F:$F,Datos!$A:$A,$B12,Datos!$B:$B,NY$3)</f>
        <v>0</v>
      </c>
      <c r="NZ12" s="16">
        <f>SUMIFS(Datos!$F:$F,Datos!$A:$A,$B12,Datos!$B:$B,NZ$3)</f>
        <v>0</v>
      </c>
      <c r="OA12" s="16">
        <f>SUMIFS(Datos!$F:$F,Datos!$A:$A,$B12,Datos!$B:$B,OA$3)</f>
        <v>0</v>
      </c>
      <c r="OB12" s="16">
        <f>SUMIFS(Datos!$F:$F,Datos!$A:$A,$B12,Datos!$B:$B,OB$3)</f>
        <v>0</v>
      </c>
      <c r="OC12" s="16">
        <f>SUMIFS(Datos!$F:$F,Datos!$A:$A,$B12,Datos!$B:$B,OC$3)</f>
        <v>0</v>
      </c>
      <c r="OD12" s="16">
        <f>SUMIFS(Datos!$F:$F,Datos!$A:$A,$B12,Datos!$B:$B,OD$3)</f>
        <v>0</v>
      </c>
      <c r="OE12" s="16">
        <f>SUMIFS(Datos!$F:$F,Datos!$A:$A,$B12,Datos!$B:$B,OE$3)</f>
        <v>0</v>
      </c>
      <c r="OF12" s="16">
        <f>SUMIFS(Datos!$F:$F,Datos!$A:$A,$B12,Datos!$B:$B,OF$3)</f>
        <v>0</v>
      </c>
      <c r="OG12" s="16">
        <f>SUMIFS(Datos!$F:$F,Datos!$A:$A,$B12,Datos!$B:$B,OG$3)</f>
        <v>0</v>
      </c>
      <c r="OH12" s="16">
        <f>SUMIFS(Datos!$F:$F,Datos!$A:$A,$B12,Datos!$B:$B,OH$3)</f>
        <v>0</v>
      </c>
      <c r="OI12" s="16">
        <f>SUMIFS(Datos!$F:$F,Datos!$A:$A,$B12,Datos!$B:$B,OI$3)</f>
        <v>0</v>
      </c>
      <c r="OJ12" s="16">
        <f>SUMIFS(Datos!$F:$F,Datos!$A:$A,$B12,Datos!$B:$B,OJ$3)</f>
        <v>0</v>
      </c>
      <c r="OK12" s="16">
        <f>SUMIFS(Datos!$F:$F,Datos!$A:$A,$B12,Datos!$B:$B,OK$3)</f>
        <v>0</v>
      </c>
      <c r="OL12" s="16">
        <f>SUMIFS(Datos!$F:$F,Datos!$A:$A,$B12,Datos!$B:$B,OL$3)</f>
        <v>0</v>
      </c>
      <c r="OM12" s="16">
        <f>SUMIFS(Datos!$F:$F,Datos!$A:$A,$B12,Datos!$B:$B,OM$3)</f>
        <v>0</v>
      </c>
      <c r="ON12" s="16">
        <f>SUMIFS(Datos!$F:$F,Datos!$A:$A,$B12,Datos!$B:$B,ON$3)</f>
        <v>0</v>
      </c>
      <c r="OO12" s="16">
        <f>SUMIFS(Datos!$F:$F,Datos!$A:$A,$B12,Datos!$B:$B,OO$3)</f>
        <v>0</v>
      </c>
      <c r="OP12" s="16">
        <f>SUMIFS(Datos!$F:$F,Datos!$A:$A,$B12,Datos!$B:$B,OP$3)</f>
        <v>0</v>
      </c>
      <c r="OQ12" s="16">
        <f>SUMIFS(Datos!$F:$F,Datos!$A:$A,$B12,Datos!$B:$B,OQ$3)</f>
        <v>0</v>
      </c>
      <c r="OR12" s="16">
        <f>SUMIFS(Datos!$F:$F,Datos!$A:$A,$B12,Datos!$B:$B,OR$3)</f>
        <v>0</v>
      </c>
      <c r="OS12" s="16">
        <f>SUMIFS(Datos!$F:$F,Datos!$A:$A,$B12,Datos!$B:$B,OS$3)</f>
        <v>0</v>
      </c>
      <c r="OT12" s="16">
        <f>SUMIFS(Datos!$F:$F,Datos!$A:$A,$B12,Datos!$B:$B,OT$3)</f>
        <v>0</v>
      </c>
      <c r="OU12" s="16">
        <f>SUMIFS(Datos!$F:$F,Datos!$A:$A,$B12,Datos!$B:$B,OU$3)</f>
        <v>0</v>
      </c>
      <c r="OV12" s="16">
        <f>SUMIFS(Datos!$F:$F,Datos!$A:$A,$B12,Datos!$B:$B,OV$3)</f>
        <v>0</v>
      </c>
      <c r="OW12" s="16">
        <f>SUMIFS(Datos!$F:$F,Datos!$A:$A,$B12,Datos!$B:$B,OW$3)</f>
        <v>0</v>
      </c>
      <c r="OX12" s="16">
        <f>SUMIFS(Datos!$F:$F,Datos!$A:$A,$B12,Datos!$B:$B,OX$3)</f>
        <v>0</v>
      </c>
      <c r="OY12" s="16">
        <f>SUMIFS(Datos!$F:$F,Datos!$A:$A,$B12,Datos!$B:$B,OY$3)</f>
        <v>0</v>
      </c>
      <c r="OZ12" s="16">
        <f>SUMIFS(Datos!$F:$F,Datos!$A:$A,$B12,Datos!$B:$B,OZ$3)</f>
        <v>0</v>
      </c>
      <c r="PA12" s="16">
        <f>SUMIFS(Datos!$F:$F,Datos!$A:$A,$B12,Datos!$B:$B,PA$3)</f>
        <v>0</v>
      </c>
      <c r="PB12" s="16">
        <f>SUMIFS(Datos!$F:$F,Datos!$A:$A,$B12,Datos!$B:$B,PB$3)</f>
        <v>0</v>
      </c>
      <c r="PC12" s="16">
        <f>SUMIFS(Datos!$F:$F,Datos!$A:$A,$B12,Datos!$B:$B,PC$3)</f>
        <v>0</v>
      </c>
      <c r="PD12" s="16">
        <f>SUMIFS(Datos!$F:$F,Datos!$A:$A,$B12,Datos!$B:$B,PD$3)</f>
        <v>0</v>
      </c>
      <c r="PE12" s="16">
        <f>SUMIFS(Datos!$F:$F,Datos!$A:$A,$B12,Datos!$B:$B,PE$3)</f>
        <v>0</v>
      </c>
      <c r="PF12" s="16">
        <f>SUMIFS(Datos!$F:$F,Datos!$A:$A,$B12,Datos!$B:$B,PF$3)</f>
        <v>0</v>
      </c>
      <c r="PG12" s="16">
        <f>SUMIFS(Datos!$F:$F,Datos!$A:$A,$B12,Datos!$B:$B,PG$3)</f>
        <v>0</v>
      </c>
      <c r="PH12" s="16">
        <f>SUMIFS(Datos!$F:$F,Datos!$A:$A,$B12,Datos!$B:$B,PH$3)</f>
        <v>0</v>
      </c>
      <c r="PI12" s="16">
        <f>SUMIFS(Datos!$F:$F,Datos!$A:$A,$B12,Datos!$B:$B,PI$3)</f>
        <v>0</v>
      </c>
      <c r="PJ12" s="16">
        <f>SUMIFS(Datos!$F:$F,Datos!$A:$A,$B12,Datos!$B:$B,PJ$3)</f>
        <v>0</v>
      </c>
      <c r="PK12" s="16">
        <f>SUMIFS(Datos!$F:$F,Datos!$A:$A,$B12,Datos!$B:$B,PK$3)</f>
        <v>0</v>
      </c>
      <c r="PL12" s="16">
        <f>SUMIFS(Datos!$F:$F,Datos!$A:$A,$B12,Datos!$B:$B,PL$3)</f>
        <v>0</v>
      </c>
      <c r="PM12" s="16">
        <f>SUMIFS(Datos!$F:$F,Datos!$A:$A,$B12,Datos!$B:$B,PM$3)</f>
        <v>0</v>
      </c>
      <c r="PN12" s="16">
        <f>SUMIFS(Datos!$F:$F,Datos!$A:$A,$B12,Datos!$B:$B,PN$3)</f>
        <v>0</v>
      </c>
      <c r="PO12" s="16">
        <f>SUMIFS(Datos!$F:$F,Datos!$A:$A,$B12,Datos!$B:$B,PO$3)</f>
        <v>0</v>
      </c>
      <c r="PP12" s="16">
        <f>SUMIFS(Datos!$F:$F,Datos!$A:$A,$B12,Datos!$B:$B,PP$3)</f>
        <v>0</v>
      </c>
      <c r="PQ12" s="16">
        <f>SUMIFS(Datos!$F:$F,Datos!$A:$A,$B12,Datos!$B:$B,PQ$3)</f>
        <v>0</v>
      </c>
      <c r="PR12" s="16">
        <f>SUMIFS(Datos!$F:$F,Datos!$A:$A,$B12,Datos!$B:$B,PR$3)</f>
        <v>0</v>
      </c>
      <c r="PS12" s="16">
        <f>SUMIFS(Datos!$F:$F,Datos!$A:$A,$B12,Datos!$B:$B,PS$3)</f>
        <v>0</v>
      </c>
      <c r="PT12" s="16">
        <f>SUMIFS(Datos!$F:$F,Datos!$A:$A,$B12,Datos!$B:$B,PT$3)</f>
        <v>0</v>
      </c>
      <c r="PU12" s="16">
        <f>SUMIFS(Datos!$F:$F,Datos!$A:$A,$B12,Datos!$B:$B,PU$3)</f>
        <v>0</v>
      </c>
      <c r="PV12" s="16">
        <f>SUMIFS(Datos!$F:$F,Datos!$A:$A,$B12,Datos!$B:$B,PV$3)</f>
        <v>0</v>
      </c>
      <c r="PW12" s="16">
        <f>SUMIFS(Datos!$F:$F,Datos!$A:$A,$B12,Datos!$B:$B,PW$3)</f>
        <v>0</v>
      </c>
      <c r="PX12" s="16">
        <f>SUMIFS(Datos!$F:$F,Datos!$A:$A,$B12,Datos!$B:$B,PX$3)</f>
        <v>0</v>
      </c>
      <c r="PY12" s="16">
        <f>SUMIFS(Datos!$F:$F,Datos!$A:$A,$B12,Datos!$B:$B,PY$3)</f>
        <v>0</v>
      </c>
      <c r="PZ12" s="16">
        <f>SUMIFS(Datos!$F:$F,Datos!$A:$A,$B12,Datos!$B:$B,PZ$3)</f>
        <v>0</v>
      </c>
      <c r="QA12" s="16">
        <f>SUMIFS(Datos!$F:$F,Datos!$A:$A,$B12,Datos!$B:$B,QA$3)</f>
        <v>0</v>
      </c>
      <c r="QB12" s="16">
        <f>SUMIFS(Datos!$F:$F,Datos!$A:$A,$B12,Datos!$B:$B,QB$3)</f>
        <v>0</v>
      </c>
      <c r="QC12" s="16">
        <f>SUMIFS(Datos!$F:$F,Datos!$A:$A,$B12,Datos!$B:$B,QC$3)</f>
        <v>0</v>
      </c>
      <c r="QD12" s="16">
        <f>SUMIFS(Datos!$F:$F,Datos!$A:$A,$B12,Datos!$B:$B,QD$3)</f>
        <v>0</v>
      </c>
      <c r="QE12" s="16">
        <f>SUMIFS(Datos!$F:$F,Datos!$A:$A,$B12,Datos!$B:$B,QE$3)</f>
        <v>0</v>
      </c>
      <c r="QF12" s="16">
        <f>SUMIFS(Datos!$F:$F,Datos!$A:$A,$B12,Datos!$B:$B,QF$3)</f>
        <v>0</v>
      </c>
      <c r="QG12" s="16">
        <f>SUMIFS(Datos!$F:$F,Datos!$A:$A,$B12,Datos!$B:$B,QG$3)</f>
        <v>0</v>
      </c>
      <c r="QH12" s="16">
        <f>SUMIFS(Datos!$F:$F,Datos!$A:$A,$B12,Datos!$B:$B,QH$3)</f>
        <v>0</v>
      </c>
      <c r="QI12" s="16">
        <f>SUMIFS(Datos!$F:$F,Datos!$A:$A,$B12,Datos!$B:$B,QI$3)</f>
        <v>0</v>
      </c>
      <c r="QJ12" s="16">
        <f>SUMIFS(Datos!$F:$F,Datos!$A:$A,$B12,Datos!$B:$B,QJ$3)</f>
        <v>0</v>
      </c>
      <c r="QK12" s="16">
        <f>SUMIFS(Datos!$F:$F,Datos!$A:$A,$B12,Datos!$B:$B,QK$3)</f>
        <v>0</v>
      </c>
      <c r="QL12" s="16">
        <f>SUMIFS(Datos!$F:$F,Datos!$A:$A,$B12,Datos!$B:$B,QL$3)</f>
        <v>0</v>
      </c>
      <c r="QM12" s="16">
        <f>SUMIFS(Datos!$F:$F,Datos!$A:$A,$B12,Datos!$B:$B,QM$3)</f>
        <v>0</v>
      </c>
      <c r="QN12" s="16">
        <f>SUMIFS(Datos!$F:$F,Datos!$A:$A,$B12,Datos!$B:$B,QN$3)</f>
        <v>0</v>
      </c>
      <c r="QO12" s="16">
        <f>SUMIFS(Datos!$F:$F,Datos!$A:$A,$B12,Datos!$B:$B,QO$3)</f>
        <v>0</v>
      </c>
      <c r="QP12" s="16">
        <f>SUMIFS(Datos!$F:$F,Datos!$A:$A,$B12,Datos!$B:$B,QP$3)</f>
        <v>0</v>
      </c>
      <c r="QQ12" s="16">
        <f>SUMIFS(Datos!$F:$F,Datos!$A:$A,$B12,Datos!$B:$B,QQ$3)</f>
        <v>0</v>
      </c>
      <c r="QR12" s="16">
        <f>SUMIFS(Datos!$F:$F,Datos!$A:$A,$B12,Datos!$B:$B,QR$3)</f>
        <v>0</v>
      </c>
      <c r="QS12" s="16">
        <f>SUMIFS(Datos!$F:$F,Datos!$A:$A,$B12,Datos!$B:$B,QS$3)</f>
        <v>0</v>
      </c>
      <c r="QT12" s="16">
        <f>SUMIFS(Datos!$F:$F,Datos!$A:$A,$B12,Datos!$B:$B,QT$3)</f>
        <v>0</v>
      </c>
      <c r="QU12" s="16">
        <f>SUMIFS(Datos!$F:$F,Datos!$A:$A,$B12,Datos!$B:$B,QU$3)</f>
        <v>0</v>
      </c>
      <c r="QV12" s="16">
        <f>SUMIFS(Datos!$F:$F,Datos!$A:$A,$B12,Datos!$B:$B,QV$3)</f>
        <v>0</v>
      </c>
      <c r="QW12" s="16">
        <f>SUMIFS(Datos!$F:$F,Datos!$A:$A,$B12,Datos!$B:$B,QW$3)</f>
        <v>0</v>
      </c>
      <c r="QX12" s="16">
        <f>SUMIFS(Datos!$F:$F,Datos!$A:$A,$B12,Datos!$B:$B,QX$3)</f>
        <v>0</v>
      </c>
      <c r="QY12" s="16">
        <f>SUMIFS(Datos!$F:$F,Datos!$A:$A,$B12,Datos!$B:$B,QY$3)</f>
        <v>0</v>
      </c>
      <c r="QZ12" s="16">
        <f>SUMIFS(Datos!$F:$F,Datos!$A:$A,$B12,Datos!$B:$B,QZ$3)</f>
        <v>0</v>
      </c>
      <c r="RA12" s="16">
        <f>SUMIFS(Datos!$F:$F,Datos!$A:$A,$B12,Datos!$B:$B,RA$3)</f>
        <v>0</v>
      </c>
      <c r="RB12" s="16">
        <f>SUMIFS(Datos!$F:$F,Datos!$A:$A,$B12,Datos!$B:$B,RB$3)</f>
        <v>0</v>
      </c>
      <c r="RC12" s="16">
        <f>SUMIFS(Datos!$F:$F,Datos!$A:$A,$B12,Datos!$B:$B,RC$3)</f>
        <v>0</v>
      </c>
      <c r="RD12" s="16">
        <f>SUMIFS(Datos!$F:$F,Datos!$A:$A,$B12,Datos!$B:$B,RD$3)</f>
        <v>0</v>
      </c>
      <c r="RE12" s="16">
        <f>SUMIFS(Datos!$F:$F,Datos!$A:$A,$B12,Datos!$B:$B,RE$3)</f>
        <v>0</v>
      </c>
      <c r="RF12" s="16">
        <f>SUMIFS(Datos!$F:$F,Datos!$A:$A,$B12,Datos!$B:$B,RF$3)</f>
        <v>0</v>
      </c>
      <c r="RG12" s="16">
        <f>SUMIFS(Datos!$F:$F,Datos!$A:$A,$B12,Datos!$B:$B,RG$3)</f>
        <v>0</v>
      </c>
      <c r="RH12" s="16">
        <f>SUMIFS(Datos!$F:$F,Datos!$A:$A,$B12,Datos!$B:$B,RH$3)</f>
        <v>0</v>
      </c>
      <c r="RI12" s="16">
        <f>SUMIFS(Datos!$F:$F,Datos!$A:$A,$B12,Datos!$B:$B,RI$3)</f>
        <v>0</v>
      </c>
      <c r="RJ12" s="16">
        <f>SUMIFS(Datos!$F:$F,Datos!$A:$A,$B12,Datos!$B:$B,RJ$3)</f>
        <v>0</v>
      </c>
      <c r="RK12" s="16">
        <f>SUMIFS(Datos!$F:$F,Datos!$A:$A,$B12,Datos!$B:$B,RK$3)</f>
        <v>0</v>
      </c>
      <c r="RL12" s="16">
        <f>SUMIFS(Datos!$F:$F,Datos!$A:$A,$B12,Datos!$B:$B,RL$3)</f>
        <v>0</v>
      </c>
      <c r="RM12" s="16">
        <f>SUMIFS(Datos!$F:$F,Datos!$A:$A,$B12,Datos!$B:$B,RM$3)</f>
        <v>0</v>
      </c>
      <c r="RN12" s="16">
        <f>SUMIFS(Datos!$F:$F,Datos!$A:$A,$B12,Datos!$B:$B,RN$3)</f>
        <v>0</v>
      </c>
      <c r="RO12" s="16">
        <f>SUMIFS(Datos!$F:$F,Datos!$A:$A,$B12,Datos!$B:$B,RO$3)</f>
        <v>0</v>
      </c>
      <c r="RP12" s="16">
        <f>SUMIFS(Datos!$F:$F,Datos!$A:$A,$B12,Datos!$B:$B,RP$3)</f>
        <v>0</v>
      </c>
      <c r="RQ12" s="16">
        <f>SUMIFS(Datos!$F:$F,Datos!$A:$A,$B12,Datos!$B:$B,RQ$3)</f>
        <v>0</v>
      </c>
      <c r="RR12" s="16">
        <f>SUMIFS(Datos!$F:$F,Datos!$A:$A,$B12,Datos!$B:$B,RR$3)</f>
        <v>0</v>
      </c>
      <c r="RS12" s="16">
        <f>SUMIFS(Datos!$F:$F,Datos!$A:$A,$B12,Datos!$B:$B,RS$3)</f>
        <v>0</v>
      </c>
      <c r="RT12" s="16">
        <f>SUMIFS(Datos!$F:$F,Datos!$A:$A,$B12,Datos!$B:$B,RT$3)</f>
        <v>0</v>
      </c>
      <c r="RU12" s="16">
        <f>SUMIFS(Datos!$F:$F,Datos!$A:$A,$B12,Datos!$B:$B,RU$3)</f>
        <v>0</v>
      </c>
      <c r="RV12" s="16">
        <f>SUMIFS(Datos!$F:$F,Datos!$A:$A,$B12,Datos!$B:$B,RV$3)</f>
        <v>0</v>
      </c>
      <c r="RW12" s="16">
        <f>SUMIFS(Datos!$F:$F,Datos!$A:$A,$B12,Datos!$B:$B,RW$3)</f>
        <v>0</v>
      </c>
      <c r="RX12" s="16">
        <f>SUMIFS(Datos!$F:$F,Datos!$A:$A,$B12,Datos!$B:$B,RX$3)</f>
        <v>0</v>
      </c>
      <c r="RY12" s="16">
        <f>SUMIFS(Datos!$F:$F,Datos!$A:$A,$B12,Datos!$B:$B,RY$3)</f>
        <v>0</v>
      </c>
      <c r="RZ12" s="16">
        <f>SUMIFS(Datos!$F:$F,Datos!$A:$A,$B12,Datos!$B:$B,RZ$3)</f>
        <v>0</v>
      </c>
      <c r="SA12" s="16">
        <f>SUMIFS(Datos!$F:$F,Datos!$A:$A,$B12,Datos!$B:$B,SA$3)</f>
        <v>0</v>
      </c>
      <c r="SB12" s="16">
        <f>SUMIFS(Datos!$F:$F,Datos!$A:$A,$B12,Datos!$B:$B,SB$3)</f>
        <v>0</v>
      </c>
      <c r="SC12" s="16">
        <f>SUMIFS(Datos!$F:$F,Datos!$A:$A,$B12,Datos!$B:$B,SC$3)</f>
        <v>0</v>
      </c>
      <c r="SD12" s="16">
        <f>SUMIFS(Datos!$F:$F,Datos!$A:$A,$B12,Datos!$B:$B,SD$3)</f>
        <v>0</v>
      </c>
      <c r="SE12" s="16">
        <f>SUMIFS(Datos!$F:$F,Datos!$A:$A,$B12,Datos!$B:$B,SE$3)</f>
        <v>0</v>
      </c>
      <c r="SF12" s="16">
        <f>SUMIFS(Datos!$F:$F,Datos!$A:$A,$B12,Datos!$B:$B,SF$3)</f>
        <v>0</v>
      </c>
      <c r="SG12" s="16">
        <f>SUMIFS(Datos!$F:$F,Datos!$A:$A,$B12,Datos!$B:$B,SG$3)</f>
        <v>0</v>
      </c>
      <c r="SH12" s="16">
        <f>SUMIFS(Datos!$F:$F,Datos!$A:$A,$B12,Datos!$B:$B,SH$3)</f>
        <v>0</v>
      </c>
      <c r="SI12" s="16">
        <f>SUMIFS(Datos!$F:$F,Datos!$A:$A,$B12,Datos!$B:$B,SI$3)</f>
        <v>0</v>
      </c>
      <c r="SJ12" s="16">
        <f>SUMIFS(Datos!$F:$F,Datos!$A:$A,$B12,Datos!$B:$B,SJ$3)</f>
        <v>0</v>
      </c>
      <c r="SK12" s="16">
        <f>SUMIFS(Datos!$F:$F,Datos!$A:$A,$B12,Datos!$B:$B,SK$3)</f>
        <v>0</v>
      </c>
      <c r="SL12" s="16">
        <f>SUMIFS(Datos!$F:$F,Datos!$A:$A,$B12,Datos!$B:$B,SL$3)</f>
        <v>0</v>
      </c>
      <c r="SM12" s="16">
        <f>SUMIFS(Datos!$F:$F,Datos!$A:$A,$B12,Datos!$B:$B,SM$3)</f>
        <v>0</v>
      </c>
      <c r="SN12" s="16">
        <f>SUMIFS(Datos!$F:$F,Datos!$A:$A,$B12,Datos!$B:$B,SN$3)</f>
        <v>0</v>
      </c>
      <c r="SO12" s="16">
        <f>SUMIFS(Datos!$F:$F,Datos!$A:$A,$B12,Datos!$B:$B,SO$3)</f>
        <v>0</v>
      </c>
      <c r="SP12" s="16">
        <f>SUMIFS(Datos!$F:$F,Datos!$A:$A,$B12,Datos!$B:$B,SP$3)</f>
        <v>0</v>
      </c>
      <c r="SQ12" s="16">
        <f>SUMIFS(Datos!$F:$F,Datos!$A:$A,$B12,Datos!$B:$B,SQ$3)</f>
        <v>0</v>
      </c>
      <c r="SR12" s="16">
        <f>SUMIFS(Datos!$F:$F,Datos!$A:$A,$B12,Datos!$B:$B,SR$3)</f>
        <v>0</v>
      </c>
      <c r="SS12" s="16">
        <f>SUMIFS(Datos!$F:$F,Datos!$A:$A,$B12,Datos!$B:$B,SS$3)</f>
        <v>0</v>
      </c>
      <c r="ST12" s="16">
        <f>SUMIFS(Datos!$F:$F,Datos!$A:$A,$B12,Datos!$B:$B,ST$3)</f>
        <v>0</v>
      </c>
      <c r="SU12" s="16">
        <f>SUMIFS(Datos!$F:$F,Datos!$A:$A,$B12,Datos!$B:$B,SU$3)</f>
        <v>0</v>
      </c>
      <c r="SV12" s="16">
        <f>SUMIFS(Datos!$F:$F,Datos!$A:$A,$B12,Datos!$B:$B,SV$3)</f>
        <v>0</v>
      </c>
      <c r="SW12" s="16">
        <f>SUMIFS(Datos!$F:$F,Datos!$A:$A,$B12,Datos!$B:$B,SW$3)</f>
        <v>0</v>
      </c>
      <c r="SX12" s="16">
        <f>SUMIFS(Datos!$F:$F,Datos!$A:$A,$B12,Datos!$B:$B,SX$3)</f>
        <v>0</v>
      </c>
      <c r="SY12" s="16">
        <f>SUMIFS(Datos!$F:$F,Datos!$A:$A,$B12,Datos!$B:$B,SY$3)</f>
        <v>0</v>
      </c>
      <c r="SZ12" s="16">
        <f>SUMIFS(Datos!$F:$F,Datos!$A:$A,$B12,Datos!$B:$B,SZ$3)</f>
        <v>0</v>
      </c>
      <c r="TA12" s="16">
        <f>SUMIFS(Datos!$F:$F,Datos!$A:$A,$B12,Datos!$B:$B,TA$3)</f>
        <v>0</v>
      </c>
      <c r="TB12" s="16">
        <f>SUMIFS(Datos!$F:$F,Datos!$A:$A,$B12,Datos!$B:$B,TB$3)</f>
        <v>0</v>
      </c>
      <c r="TC12" s="16">
        <f>SUMIFS(Datos!$F:$F,Datos!$A:$A,$B12,Datos!$B:$B,TC$3)</f>
        <v>0</v>
      </c>
      <c r="TD12" s="16">
        <f>SUMIFS(Datos!$F:$F,Datos!$A:$A,$B12,Datos!$B:$B,TD$3)</f>
        <v>0</v>
      </c>
      <c r="TE12" s="16">
        <f>SUMIFS(Datos!$F:$F,Datos!$A:$A,$B12,Datos!$B:$B,TE$3)</f>
        <v>0</v>
      </c>
      <c r="TF12" s="16">
        <f>SUMIFS(Datos!$F:$F,Datos!$A:$A,$B12,Datos!$B:$B,TF$3)</f>
        <v>0</v>
      </c>
    </row>
    <row r="13" spans="1:526">
      <c r="A13" s="31" t="s">
        <v>48</v>
      </c>
      <c r="B13" s="4">
        <f>Cartera!B13</f>
        <v>0</v>
      </c>
      <c r="C13" s="4">
        <f>Cartera!C13</f>
        <v>0</v>
      </c>
      <c r="D13" s="16">
        <f>SUMIFS(Datos!$F:$F,Datos!$A:$A,$B13,Datos!$B:$B,D$3)</f>
        <v>0</v>
      </c>
      <c r="E13" s="16">
        <f>SUMIFS(Datos!$F:$F,Datos!$A:$A,$B13,Datos!$B:$B,E$3)</f>
        <v>0</v>
      </c>
      <c r="F13" s="16">
        <f>SUMIFS(Datos!$F:$F,Datos!$A:$A,$B13,Datos!$B:$B,F$3)</f>
        <v>0</v>
      </c>
      <c r="G13" s="16">
        <f>SUMIFS(Datos!$F:$F,Datos!$A:$A,$B13,Datos!$B:$B,G$3)</f>
        <v>0</v>
      </c>
      <c r="H13" s="16">
        <f>SUMIFS(Datos!$F:$F,Datos!$A:$A,$B13,Datos!$B:$B,H$3)</f>
        <v>0</v>
      </c>
      <c r="I13" s="16">
        <f>SUMIFS(Datos!$F:$F,Datos!$A:$A,$B13,Datos!$B:$B,I$3)</f>
        <v>0</v>
      </c>
      <c r="J13" s="16">
        <f>SUMIFS(Datos!$F:$F,Datos!$A:$A,$B13,Datos!$B:$B,J$3)</f>
        <v>0</v>
      </c>
      <c r="K13" s="16">
        <f>SUMIFS(Datos!$F:$F,Datos!$A:$A,$B13,Datos!$B:$B,K$3)</f>
        <v>0</v>
      </c>
      <c r="L13" s="16">
        <f>SUMIFS(Datos!$F:$F,Datos!$A:$A,$B13,Datos!$B:$B,L$3)</f>
        <v>0</v>
      </c>
      <c r="M13" s="16">
        <f>SUMIFS(Datos!$F:$F,Datos!$A:$A,$B13,Datos!$B:$B,M$3)</f>
        <v>0</v>
      </c>
      <c r="N13" s="16">
        <f>SUMIFS(Datos!$F:$F,Datos!$A:$A,$B13,Datos!$B:$B,N$3)</f>
        <v>0</v>
      </c>
      <c r="O13" s="16">
        <f>SUMIFS(Datos!$F:$F,Datos!$A:$A,$B13,Datos!$B:$B,O$3)</f>
        <v>0</v>
      </c>
      <c r="P13" s="16">
        <f>SUMIFS(Datos!$F:$F,Datos!$A:$A,$B13,Datos!$B:$B,P$3)</f>
        <v>0</v>
      </c>
      <c r="Q13" s="16">
        <f>SUMIFS(Datos!$F:$F,Datos!$A:$A,$B13,Datos!$B:$B,Q$3)</f>
        <v>0</v>
      </c>
      <c r="R13" s="16">
        <f>SUMIFS(Datos!$F:$F,Datos!$A:$A,$B13,Datos!$B:$B,R$3)</f>
        <v>0</v>
      </c>
      <c r="S13" s="16">
        <f>SUMIFS(Datos!$F:$F,Datos!$A:$A,$B13,Datos!$B:$B,S$3)</f>
        <v>0</v>
      </c>
      <c r="T13" s="16">
        <f>SUMIFS(Datos!$F:$F,Datos!$A:$A,$B13,Datos!$B:$B,T$3)</f>
        <v>0</v>
      </c>
      <c r="U13" s="16">
        <f>SUMIFS(Datos!$F:$F,Datos!$A:$A,$B13,Datos!$B:$B,U$3)</f>
        <v>0</v>
      </c>
      <c r="V13" s="16">
        <f>SUMIFS(Datos!$F:$F,Datos!$A:$A,$B13,Datos!$B:$B,V$3)</f>
        <v>0</v>
      </c>
      <c r="W13" s="16">
        <f>SUMIFS(Datos!$F:$F,Datos!$A:$A,$B13,Datos!$B:$B,W$3)</f>
        <v>0</v>
      </c>
      <c r="X13" s="16">
        <f>SUMIFS(Datos!$F:$F,Datos!$A:$A,$B13,Datos!$B:$B,X$3)</f>
        <v>0</v>
      </c>
      <c r="Y13" s="16">
        <f>SUMIFS(Datos!$F:$F,Datos!$A:$A,$B13,Datos!$B:$B,Y$3)</f>
        <v>0</v>
      </c>
      <c r="Z13" s="16">
        <f>SUMIFS(Datos!$F:$F,Datos!$A:$A,$B13,Datos!$B:$B,Z$3)</f>
        <v>0</v>
      </c>
      <c r="AA13" s="16">
        <f>SUMIFS(Datos!$F:$F,Datos!$A:$A,$B13,Datos!$B:$B,AA$3)</f>
        <v>0</v>
      </c>
      <c r="AB13" s="16">
        <f>SUMIFS(Datos!$F:$F,Datos!$A:$A,$B13,Datos!$B:$B,AB$3)</f>
        <v>0</v>
      </c>
      <c r="AC13" s="16">
        <f>SUMIFS(Datos!$F:$F,Datos!$A:$A,$B13,Datos!$B:$B,AC$3)</f>
        <v>0</v>
      </c>
      <c r="AD13" s="16">
        <f>SUMIFS(Datos!$F:$F,Datos!$A:$A,$B13,Datos!$B:$B,AD$3)</f>
        <v>0</v>
      </c>
      <c r="AE13" s="16">
        <f>SUMIFS(Datos!$F:$F,Datos!$A:$A,$B13,Datos!$B:$B,AE$3)</f>
        <v>0</v>
      </c>
      <c r="AF13" s="16">
        <f>SUMIFS(Datos!$F:$F,Datos!$A:$A,$B13,Datos!$B:$B,AF$3)</f>
        <v>0</v>
      </c>
      <c r="AG13" s="16">
        <f>SUMIFS(Datos!$F:$F,Datos!$A:$A,$B13,Datos!$B:$B,AG$3)</f>
        <v>0</v>
      </c>
      <c r="AH13" s="16">
        <f>SUMIFS(Datos!$F:$F,Datos!$A:$A,$B13,Datos!$B:$B,AH$3)</f>
        <v>0</v>
      </c>
      <c r="AI13" s="16">
        <f>SUMIFS(Datos!$F:$F,Datos!$A:$A,$B13,Datos!$B:$B,AI$3)</f>
        <v>0</v>
      </c>
      <c r="AJ13" s="16">
        <f>SUMIFS(Datos!$F:$F,Datos!$A:$A,$B13,Datos!$B:$B,AJ$3)</f>
        <v>0</v>
      </c>
      <c r="AK13" s="16">
        <f>SUMIFS(Datos!$F:$F,Datos!$A:$A,$B13,Datos!$B:$B,AK$3)</f>
        <v>0</v>
      </c>
      <c r="AL13" s="16">
        <f>SUMIFS(Datos!$F:$F,Datos!$A:$A,$B13,Datos!$B:$B,AL$3)</f>
        <v>0</v>
      </c>
      <c r="AM13" s="16">
        <f>SUMIFS(Datos!$F:$F,Datos!$A:$A,$B13,Datos!$B:$B,AM$3)</f>
        <v>0</v>
      </c>
      <c r="AN13" s="16">
        <f>SUMIFS(Datos!$F:$F,Datos!$A:$A,$B13,Datos!$B:$B,AN$3)</f>
        <v>0</v>
      </c>
      <c r="AO13" s="16">
        <f>SUMIFS(Datos!$F:$F,Datos!$A:$A,$B13,Datos!$B:$B,AO$3)</f>
        <v>0</v>
      </c>
      <c r="AP13" s="16">
        <f>SUMIFS(Datos!$F:$F,Datos!$A:$A,$B13,Datos!$B:$B,AP$3)</f>
        <v>0</v>
      </c>
      <c r="AQ13" s="16">
        <f>SUMIFS(Datos!$F:$F,Datos!$A:$A,$B13,Datos!$B:$B,AQ$3)</f>
        <v>0</v>
      </c>
      <c r="AR13" s="16">
        <f>SUMIFS(Datos!$F:$F,Datos!$A:$A,$B13,Datos!$B:$B,AR$3)</f>
        <v>0</v>
      </c>
      <c r="AS13" s="16">
        <f>SUMIFS(Datos!$F:$F,Datos!$A:$A,$B13,Datos!$B:$B,AS$3)</f>
        <v>0</v>
      </c>
      <c r="AT13" s="16">
        <f>SUMIFS(Datos!$F:$F,Datos!$A:$A,$B13,Datos!$B:$B,AT$3)</f>
        <v>0</v>
      </c>
      <c r="AU13" s="16">
        <f>SUMIFS(Datos!$F:$F,Datos!$A:$A,$B13,Datos!$B:$B,AU$3)</f>
        <v>0</v>
      </c>
      <c r="AV13" s="16">
        <f>SUMIFS(Datos!$F:$F,Datos!$A:$A,$B13,Datos!$B:$B,AV$3)</f>
        <v>0</v>
      </c>
      <c r="AW13" s="16">
        <f>SUMIFS(Datos!$F:$F,Datos!$A:$A,$B13,Datos!$B:$B,AW$3)</f>
        <v>0</v>
      </c>
      <c r="AX13" s="16">
        <f>SUMIFS(Datos!$F:$F,Datos!$A:$A,$B13,Datos!$B:$B,AX$3)</f>
        <v>0</v>
      </c>
      <c r="AY13" s="16">
        <f>SUMIFS(Datos!$F:$F,Datos!$A:$A,$B13,Datos!$B:$B,AY$3)</f>
        <v>0</v>
      </c>
      <c r="AZ13" s="16">
        <f>SUMIFS(Datos!$F:$F,Datos!$A:$A,$B13,Datos!$B:$B,AZ$3)</f>
        <v>0</v>
      </c>
      <c r="BA13" s="16">
        <f>SUMIFS(Datos!$F:$F,Datos!$A:$A,$B13,Datos!$B:$B,BA$3)</f>
        <v>0</v>
      </c>
      <c r="BB13" s="16">
        <f>SUMIFS(Datos!$F:$F,Datos!$A:$A,$B13,Datos!$B:$B,BB$3)</f>
        <v>0</v>
      </c>
      <c r="BC13" s="16">
        <f>SUMIFS(Datos!$F:$F,Datos!$A:$A,$B13,Datos!$B:$B,BC$3)</f>
        <v>0</v>
      </c>
      <c r="BD13" s="16">
        <f>SUMIFS(Datos!$F:$F,Datos!$A:$A,$B13,Datos!$B:$B,BD$3)</f>
        <v>0</v>
      </c>
      <c r="BE13" s="16">
        <f>SUMIFS(Datos!$F:$F,Datos!$A:$A,$B13,Datos!$B:$B,BE$3)</f>
        <v>0</v>
      </c>
      <c r="BF13" s="16">
        <f>SUMIFS(Datos!$F:$F,Datos!$A:$A,$B13,Datos!$B:$B,BF$3)</f>
        <v>0</v>
      </c>
      <c r="BG13" s="16">
        <f>SUMIFS(Datos!$F:$F,Datos!$A:$A,$B13,Datos!$B:$B,BG$3)</f>
        <v>0</v>
      </c>
      <c r="BH13" s="16">
        <f>SUMIFS(Datos!$F:$F,Datos!$A:$A,$B13,Datos!$B:$B,BH$3)</f>
        <v>0</v>
      </c>
      <c r="BI13" s="16">
        <f>SUMIFS(Datos!$F:$F,Datos!$A:$A,$B13,Datos!$B:$B,BI$3)</f>
        <v>0</v>
      </c>
      <c r="BJ13" s="16">
        <f>SUMIFS(Datos!$F:$F,Datos!$A:$A,$B13,Datos!$B:$B,BJ$3)</f>
        <v>0</v>
      </c>
      <c r="BK13" s="16">
        <f>SUMIFS(Datos!$F:$F,Datos!$A:$A,$B13,Datos!$B:$B,BK$3)</f>
        <v>0</v>
      </c>
      <c r="BL13" s="16">
        <f>SUMIFS(Datos!$F:$F,Datos!$A:$A,$B13,Datos!$B:$B,BL$3)</f>
        <v>0</v>
      </c>
      <c r="BM13" s="16">
        <f>SUMIFS(Datos!$F:$F,Datos!$A:$A,$B13,Datos!$B:$B,BM$3)</f>
        <v>0</v>
      </c>
      <c r="BN13" s="16">
        <f>SUMIFS(Datos!$F:$F,Datos!$A:$A,$B13,Datos!$B:$B,BN$3)</f>
        <v>0</v>
      </c>
      <c r="BO13" s="16">
        <f>SUMIFS(Datos!$F:$F,Datos!$A:$A,$B13,Datos!$B:$B,BO$3)</f>
        <v>0</v>
      </c>
      <c r="BP13" s="16">
        <f>SUMIFS(Datos!$F:$F,Datos!$A:$A,$B13,Datos!$B:$B,BP$3)</f>
        <v>0</v>
      </c>
      <c r="BQ13" s="16">
        <f>SUMIFS(Datos!$F:$F,Datos!$A:$A,$B13,Datos!$B:$B,BQ$3)</f>
        <v>0</v>
      </c>
      <c r="BR13" s="16">
        <f>SUMIFS(Datos!$F:$F,Datos!$A:$A,$B13,Datos!$B:$B,BR$3)</f>
        <v>0</v>
      </c>
      <c r="BS13" s="16">
        <f>SUMIFS(Datos!$F:$F,Datos!$A:$A,$B13,Datos!$B:$B,BS$3)</f>
        <v>0</v>
      </c>
      <c r="BT13" s="16">
        <f>SUMIFS(Datos!$F:$F,Datos!$A:$A,$B13,Datos!$B:$B,BT$3)</f>
        <v>0</v>
      </c>
      <c r="BU13" s="16">
        <f>SUMIFS(Datos!$F:$F,Datos!$A:$A,$B13,Datos!$B:$B,BU$3)</f>
        <v>0</v>
      </c>
      <c r="BV13" s="16">
        <f>SUMIFS(Datos!$F:$F,Datos!$A:$A,$B13,Datos!$B:$B,BV$3)</f>
        <v>0</v>
      </c>
      <c r="BW13" s="16">
        <f>SUMIFS(Datos!$F:$F,Datos!$A:$A,$B13,Datos!$B:$B,BW$3)</f>
        <v>0</v>
      </c>
      <c r="BX13" s="16">
        <f>SUMIFS(Datos!$F:$F,Datos!$A:$A,$B13,Datos!$B:$B,BX$3)</f>
        <v>0</v>
      </c>
      <c r="BY13" s="16">
        <f>SUMIFS(Datos!$F:$F,Datos!$A:$A,$B13,Datos!$B:$B,BY$3)</f>
        <v>0</v>
      </c>
      <c r="BZ13" s="16">
        <f>SUMIFS(Datos!$F:$F,Datos!$A:$A,$B13,Datos!$B:$B,BZ$3)</f>
        <v>0</v>
      </c>
      <c r="CA13" s="16">
        <f>SUMIFS(Datos!$F:$F,Datos!$A:$A,$B13,Datos!$B:$B,CA$3)</f>
        <v>0</v>
      </c>
      <c r="CB13" s="16">
        <f>SUMIFS(Datos!$F:$F,Datos!$A:$A,$B13,Datos!$B:$B,CB$3)</f>
        <v>0</v>
      </c>
      <c r="CC13" s="16">
        <f>SUMIFS(Datos!$F:$F,Datos!$A:$A,$B13,Datos!$B:$B,CC$3)</f>
        <v>0</v>
      </c>
      <c r="CD13" s="16">
        <f>SUMIFS(Datos!$F:$F,Datos!$A:$A,$B13,Datos!$B:$B,CD$3)</f>
        <v>0</v>
      </c>
      <c r="CE13" s="16">
        <f>SUMIFS(Datos!$F:$F,Datos!$A:$A,$B13,Datos!$B:$B,CE$3)</f>
        <v>0</v>
      </c>
      <c r="CF13" s="16">
        <f>SUMIFS(Datos!$F:$F,Datos!$A:$A,$B13,Datos!$B:$B,CF$3)</f>
        <v>0</v>
      </c>
      <c r="CG13" s="16">
        <f>SUMIFS(Datos!$F:$F,Datos!$A:$A,$B13,Datos!$B:$B,CG$3)</f>
        <v>0</v>
      </c>
      <c r="CH13" s="16">
        <f>SUMIFS(Datos!$F:$F,Datos!$A:$A,$B13,Datos!$B:$B,CH$3)</f>
        <v>0</v>
      </c>
      <c r="CI13" s="16">
        <f>SUMIFS(Datos!$F:$F,Datos!$A:$A,$B13,Datos!$B:$B,CI$3)</f>
        <v>0</v>
      </c>
      <c r="CJ13" s="16">
        <f>SUMIFS(Datos!$F:$F,Datos!$A:$A,$B13,Datos!$B:$B,CJ$3)</f>
        <v>0</v>
      </c>
      <c r="CK13" s="16">
        <f>SUMIFS(Datos!$F:$F,Datos!$A:$A,$B13,Datos!$B:$B,CK$3)</f>
        <v>0</v>
      </c>
      <c r="CL13" s="16">
        <f>SUMIFS(Datos!$F:$F,Datos!$A:$A,$B13,Datos!$B:$B,CL$3)</f>
        <v>0</v>
      </c>
      <c r="CM13" s="16">
        <f>SUMIFS(Datos!$F:$F,Datos!$A:$A,$B13,Datos!$B:$B,CM$3)</f>
        <v>0</v>
      </c>
      <c r="CN13" s="16">
        <f>SUMIFS(Datos!$F:$F,Datos!$A:$A,$B13,Datos!$B:$B,CN$3)</f>
        <v>0</v>
      </c>
      <c r="CO13" s="16">
        <f>SUMIFS(Datos!$F:$F,Datos!$A:$A,$B13,Datos!$B:$B,CO$3)</f>
        <v>0</v>
      </c>
      <c r="CP13" s="16">
        <f>SUMIFS(Datos!$F:$F,Datos!$A:$A,$B13,Datos!$B:$B,CP$3)</f>
        <v>0</v>
      </c>
      <c r="CQ13" s="16">
        <f>SUMIFS(Datos!$F:$F,Datos!$A:$A,$B13,Datos!$B:$B,CQ$3)</f>
        <v>0</v>
      </c>
      <c r="CR13" s="16">
        <f>SUMIFS(Datos!$F:$F,Datos!$A:$A,$B13,Datos!$B:$B,CR$3)</f>
        <v>0</v>
      </c>
      <c r="CS13" s="16">
        <f>SUMIFS(Datos!$F:$F,Datos!$A:$A,$B13,Datos!$B:$B,CS$3)</f>
        <v>0</v>
      </c>
      <c r="CT13" s="16">
        <f>SUMIFS(Datos!$F:$F,Datos!$A:$A,$B13,Datos!$B:$B,CT$3)</f>
        <v>0</v>
      </c>
      <c r="CU13" s="16">
        <f>SUMIFS(Datos!$F:$F,Datos!$A:$A,$B13,Datos!$B:$B,CU$3)</f>
        <v>0</v>
      </c>
      <c r="CV13" s="16">
        <f>SUMIFS(Datos!$F:$F,Datos!$A:$A,$B13,Datos!$B:$B,CV$3)</f>
        <v>0</v>
      </c>
      <c r="CW13" s="16">
        <f>SUMIFS(Datos!$F:$F,Datos!$A:$A,$B13,Datos!$B:$B,CW$3)</f>
        <v>0</v>
      </c>
      <c r="CX13" s="16">
        <f>SUMIFS(Datos!$F:$F,Datos!$A:$A,$B13,Datos!$B:$B,CX$3)</f>
        <v>0</v>
      </c>
      <c r="CY13" s="16">
        <f>SUMIFS(Datos!$F:$F,Datos!$A:$A,$B13,Datos!$B:$B,CY$3)</f>
        <v>0</v>
      </c>
      <c r="CZ13" s="16">
        <f>SUMIFS(Datos!$F:$F,Datos!$A:$A,$B13,Datos!$B:$B,CZ$3)</f>
        <v>0</v>
      </c>
      <c r="DA13" s="16">
        <f>SUMIFS(Datos!$F:$F,Datos!$A:$A,$B13,Datos!$B:$B,DA$3)</f>
        <v>0</v>
      </c>
      <c r="DB13" s="16">
        <f>SUMIFS(Datos!$F:$F,Datos!$A:$A,$B13,Datos!$B:$B,DB$3)</f>
        <v>0</v>
      </c>
      <c r="DC13" s="16">
        <f>SUMIFS(Datos!$F:$F,Datos!$A:$A,$B13,Datos!$B:$B,DC$3)</f>
        <v>0</v>
      </c>
      <c r="DD13" s="16">
        <f>SUMIFS(Datos!$F:$F,Datos!$A:$A,$B13,Datos!$B:$B,DD$3)</f>
        <v>0</v>
      </c>
      <c r="DE13" s="16">
        <f>SUMIFS(Datos!$F:$F,Datos!$A:$A,$B13,Datos!$B:$B,DE$3)</f>
        <v>0</v>
      </c>
      <c r="DF13" s="16">
        <f>SUMIFS(Datos!$F:$F,Datos!$A:$A,$B13,Datos!$B:$B,DF$3)</f>
        <v>0</v>
      </c>
      <c r="DG13" s="16">
        <f>SUMIFS(Datos!$F:$F,Datos!$A:$A,$B13,Datos!$B:$B,DG$3)</f>
        <v>0</v>
      </c>
      <c r="DH13" s="16">
        <f>SUMIFS(Datos!$F:$F,Datos!$A:$A,$B13,Datos!$B:$B,DH$3)</f>
        <v>0</v>
      </c>
      <c r="DI13" s="16">
        <f>SUMIFS(Datos!$F:$F,Datos!$A:$A,$B13,Datos!$B:$B,DI$3)</f>
        <v>0</v>
      </c>
      <c r="DJ13" s="16">
        <f>SUMIFS(Datos!$F:$F,Datos!$A:$A,$B13,Datos!$B:$B,DJ$3)</f>
        <v>0</v>
      </c>
      <c r="DK13" s="16">
        <f>SUMIFS(Datos!$F:$F,Datos!$A:$A,$B13,Datos!$B:$B,DK$3)</f>
        <v>0</v>
      </c>
      <c r="DL13" s="16">
        <f>SUMIFS(Datos!$F:$F,Datos!$A:$A,$B13,Datos!$B:$B,DL$3)</f>
        <v>0</v>
      </c>
      <c r="DM13" s="16">
        <f>SUMIFS(Datos!$F:$F,Datos!$A:$A,$B13,Datos!$B:$B,DM$3)</f>
        <v>0</v>
      </c>
      <c r="DN13" s="16">
        <f>SUMIFS(Datos!$F:$F,Datos!$A:$A,$B13,Datos!$B:$B,DN$3)</f>
        <v>0</v>
      </c>
      <c r="DO13" s="16">
        <f>SUMIFS(Datos!$F:$F,Datos!$A:$A,$B13,Datos!$B:$B,DO$3)</f>
        <v>0</v>
      </c>
      <c r="DP13" s="16">
        <f>SUMIFS(Datos!$F:$F,Datos!$A:$A,$B13,Datos!$B:$B,DP$3)</f>
        <v>0</v>
      </c>
      <c r="DQ13" s="16">
        <f>SUMIFS(Datos!$F:$F,Datos!$A:$A,$B13,Datos!$B:$B,DQ$3)</f>
        <v>0</v>
      </c>
      <c r="DR13" s="16">
        <f>SUMIFS(Datos!$F:$F,Datos!$A:$A,$B13,Datos!$B:$B,DR$3)</f>
        <v>0</v>
      </c>
      <c r="DS13" s="16">
        <f>SUMIFS(Datos!$F:$F,Datos!$A:$A,$B13,Datos!$B:$B,DS$3)</f>
        <v>0</v>
      </c>
      <c r="DT13" s="16">
        <f>SUMIFS(Datos!$F:$F,Datos!$A:$A,$B13,Datos!$B:$B,DT$3)</f>
        <v>0</v>
      </c>
      <c r="DU13" s="16">
        <f>SUMIFS(Datos!$F:$F,Datos!$A:$A,$B13,Datos!$B:$B,DU$3)</f>
        <v>0</v>
      </c>
      <c r="DV13" s="16">
        <f>SUMIFS(Datos!$F:$F,Datos!$A:$A,$B13,Datos!$B:$B,DV$3)</f>
        <v>0</v>
      </c>
      <c r="DW13" s="16">
        <f>SUMIFS(Datos!$F:$F,Datos!$A:$A,$B13,Datos!$B:$B,DW$3)</f>
        <v>0</v>
      </c>
      <c r="DX13" s="16">
        <f>SUMIFS(Datos!$F:$F,Datos!$A:$A,$B13,Datos!$B:$B,DX$3)</f>
        <v>0</v>
      </c>
      <c r="DY13" s="16">
        <f>SUMIFS(Datos!$F:$F,Datos!$A:$A,$B13,Datos!$B:$B,DY$3)</f>
        <v>0</v>
      </c>
      <c r="DZ13" s="16">
        <f>SUMIFS(Datos!$F:$F,Datos!$A:$A,$B13,Datos!$B:$B,DZ$3)</f>
        <v>0</v>
      </c>
      <c r="EA13" s="16">
        <f>SUMIFS(Datos!$F:$F,Datos!$A:$A,$B13,Datos!$B:$B,EA$3)</f>
        <v>0</v>
      </c>
      <c r="EB13" s="16">
        <f>SUMIFS(Datos!$F:$F,Datos!$A:$A,$B13,Datos!$B:$B,EB$3)</f>
        <v>0</v>
      </c>
      <c r="EC13" s="16">
        <f>SUMIFS(Datos!$F:$F,Datos!$A:$A,$B13,Datos!$B:$B,EC$3)</f>
        <v>0</v>
      </c>
      <c r="ED13" s="16">
        <f>SUMIFS(Datos!$F:$F,Datos!$A:$A,$B13,Datos!$B:$B,ED$3)</f>
        <v>0</v>
      </c>
      <c r="EE13" s="16">
        <f>SUMIFS(Datos!$F:$F,Datos!$A:$A,$B13,Datos!$B:$B,EE$3)</f>
        <v>0</v>
      </c>
      <c r="EF13" s="16">
        <f>SUMIFS(Datos!$F:$F,Datos!$A:$A,$B13,Datos!$B:$B,EF$3)</f>
        <v>0</v>
      </c>
      <c r="EG13" s="16">
        <f>SUMIFS(Datos!$F:$F,Datos!$A:$A,$B13,Datos!$B:$B,EG$3)</f>
        <v>0</v>
      </c>
      <c r="EH13" s="16">
        <f>SUMIFS(Datos!$F:$F,Datos!$A:$A,$B13,Datos!$B:$B,EH$3)</f>
        <v>0</v>
      </c>
      <c r="EI13" s="16">
        <f>SUMIFS(Datos!$F:$F,Datos!$A:$A,$B13,Datos!$B:$B,EI$3)</f>
        <v>0</v>
      </c>
      <c r="EJ13" s="16">
        <f>SUMIFS(Datos!$F:$F,Datos!$A:$A,$B13,Datos!$B:$B,EJ$3)</f>
        <v>0</v>
      </c>
      <c r="EK13" s="16">
        <f>SUMIFS(Datos!$F:$F,Datos!$A:$A,$B13,Datos!$B:$B,EK$3)</f>
        <v>0</v>
      </c>
      <c r="EL13" s="16">
        <f>SUMIFS(Datos!$F:$F,Datos!$A:$A,$B13,Datos!$B:$B,EL$3)</f>
        <v>0</v>
      </c>
      <c r="EM13" s="16">
        <f>SUMIFS(Datos!$F:$F,Datos!$A:$A,$B13,Datos!$B:$B,EM$3)</f>
        <v>0</v>
      </c>
      <c r="EN13" s="16">
        <f>SUMIFS(Datos!$F:$F,Datos!$A:$A,$B13,Datos!$B:$B,EN$3)</f>
        <v>0</v>
      </c>
      <c r="EO13" s="16">
        <f>SUMIFS(Datos!$F:$F,Datos!$A:$A,$B13,Datos!$B:$B,EO$3)</f>
        <v>0</v>
      </c>
      <c r="EP13" s="16">
        <f>SUMIFS(Datos!$F:$F,Datos!$A:$A,$B13,Datos!$B:$B,EP$3)</f>
        <v>0</v>
      </c>
      <c r="EQ13" s="16">
        <f>SUMIFS(Datos!$F:$F,Datos!$A:$A,$B13,Datos!$B:$B,EQ$3)</f>
        <v>0</v>
      </c>
      <c r="ER13" s="16">
        <f>SUMIFS(Datos!$F:$F,Datos!$A:$A,$B13,Datos!$B:$B,ER$3)</f>
        <v>0</v>
      </c>
      <c r="ES13" s="16">
        <f>SUMIFS(Datos!$F:$F,Datos!$A:$A,$B13,Datos!$B:$B,ES$3)</f>
        <v>0</v>
      </c>
      <c r="ET13" s="16">
        <f>SUMIFS(Datos!$F:$F,Datos!$A:$A,$B13,Datos!$B:$B,ET$3)</f>
        <v>0</v>
      </c>
      <c r="EU13" s="16">
        <f>SUMIFS(Datos!$F:$F,Datos!$A:$A,$B13,Datos!$B:$B,EU$3)</f>
        <v>0</v>
      </c>
      <c r="EV13" s="16">
        <f>SUMIFS(Datos!$F:$F,Datos!$A:$A,$B13,Datos!$B:$B,EV$3)</f>
        <v>0</v>
      </c>
      <c r="EW13" s="16">
        <f>SUMIFS(Datos!$F:$F,Datos!$A:$A,$B13,Datos!$B:$B,EW$3)</f>
        <v>0</v>
      </c>
      <c r="EX13" s="16">
        <f>SUMIFS(Datos!$F:$F,Datos!$A:$A,$B13,Datos!$B:$B,EX$3)</f>
        <v>0</v>
      </c>
      <c r="EY13" s="16">
        <f>SUMIFS(Datos!$F:$F,Datos!$A:$A,$B13,Datos!$B:$B,EY$3)</f>
        <v>0</v>
      </c>
      <c r="EZ13" s="16">
        <f>SUMIFS(Datos!$F:$F,Datos!$A:$A,$B13,Datos!$B:$B,EZ$3)</f>
        <v>0</v>
      </c>
      <c r="FA13" s="16">
        <f>SUMIFS(Datos!$F:$F,Datos!$A:$A,$B13,Datos!$B:$B,FA$3)</f>
        <v>0</v>
      </c>
      <c r="FB13" s="16">
        <f>SUMIFS(Datos!$F:$F,Datos!$A:$A,$B13,Datos!$B:$B,FB$3)</f>
        <v>0</v>
      </c>
      <c r="FC13" s="16">
        <f>SUMIFS(Datos!$F:$F,Datos!$A:$A,$B13,Datos!$B:$B,FC$3)</f>
        <v>0</v>
      </c>
      <c r="FD13" s="16">
        <f>SUMIFS(Datos!$F:$F,Datos!$A:$A,$B13,Datos!$B:$B,FD$3)</f>
        <v>0</v>
      </c>
      <c r="FE13" s="16">
        <f>SUMIFS(Datos!$F:$F,Datos!$A:$A,$B13,Datos!$B:$B,FE$3)</f>
        <v>0</v>
      </c>
      <c r="FF13" s="16">
        <f>SUMIFS(Datos!$F:$F,Datos!$A:$A,$B13,Datos!$B:$B,FF$3)</f>
        <v>0</v>
      </c>
      <c r="FG13" s="16">
        <f>SUMIFS(Datos!$F:$F,Datos!$A:$A,$B13,Datos!$B:$B,FG$3)</f>
        <v>0</v>
      </c>
      <c r="FH13" s="16">
        <f>SUMIFS(Datos!$F:$F,Datos!$A:$A,$B13,Datos!$B:$B,FH$3)</f>
        <v>0</v>
      </c>
      <c r="FI13" s="16">
        <f>SUMIFS(Datos!$F:$F,Datos!$A:$A,$B13,Datos!$B:$B,FI$3)</f>
        <v>0</v>
      </c>
      <c r="FJ13" s="16">
        <f>SUMIFS(Datos!$F:$F,Datos!$A:$A,$B13,Datos!$B:$B,FJ$3)</f>
        <v>0</v>
      </c>
      <c r="FK13" s="16">
        <f>SUMIFS(Datos!$F:$F,Datos!$A:$A,$B13,Datos!$B:$B,FK$3)</f>
        <v>0</v>
      </c>
      <c r="FL13" s="16">
        <f>SUMIFS(Datos!$F:$F,Datos!$A:$A,$B13,Datos!$B:$B,FL$3)</f>
        <v>0</v>
      </c>
      <c r="FM13" s="16">
        <f>SUMIFS(Datos!$F:$F,Datos!$A:$A,$B13,Datos!$B:$B,FM$3)</f>
        <v>0</v>
      </c>
      <c r="FN13" s="16">
        <f>SUMIFS(Datos!$F:$F,Datos!$A:$A,$B13,Datos!$B:$B,FN$3)</f>
        <v>0</v>
      </c>
      <c r="FO13" s="16">
        <f>SUMIFS(Datos!$F:$F,Datos!$A:$A,$B13,Datos!$B:$B,FO$3)</f>
        <v>0</v>
      </c>
      <c r="FP13" s="16">
        <f>SUMIFS(Datos!$F:$F,Datos!$A:$A,$B13,Datos!$B:$B,FP$3)</f>
        <v>0</v>
      </c>
      <c r="FQ13" s="16">
        <f>SUMIFS(Datos!$F:$F,Datos!$A:$A,$B13,Datos!$B:$B,FQ$3)</f>
        <v>0</v>
      </c>
      <c r="FR13" s="16">
        <f>SUMIFS(Datos!$F:$F,Datos!$A:$A,$B13,Datos!$B:$B,FR$3)</f>
        <v>0</v>
      </c>
      <c r="FS13" s="16">
        <f>SUMIFS(Datos!$F:$F,Datos!$A:$A,$B13,Datos!$B:$B,FS$3)</f>
        <v>0</v>
      </c>
      <c r="FT13" s="16">
        <f>SUMIFS(Datos!$F:$F,Datos!$A:$A,$B13,Datos!$B:$B,FT$3)</f>
        <v>0</v>
      </c>
      <c r="FU13" s="16">
        <f>SUMIFS(Datos!$F:$F,Datos!$A:$A,$B13,Datos!$B:$B,FU$3)</f>
        <v>0</v>
      </c>
      <c r="FV13" s="16">
        <f>SUMIFS(Datos!$F:$F,Datos!$A:$A,$B13,Datos!$B:$B,FV$3)</f>
        <v>0</v>
      </c>
      <c r="FW13" s="16">
        <f>SUMIFS(Datos!$F:$F,Datos!$A:$A,$B13,Datos!$B:$B,FW$3)</f>
        <v>0</v>
      </c>
      <c r="FX13" s="16">
        <f>SUMIFS(Datos!$F:$F,Datos!$A:$A,$B13,Datos!$B:$B,FX$3)</f>
        <v>0</v>
      </c>
      <c r="FY13" s="16">
        <f>SUMIFS(Datos!$F:$F,Datos!$A:$A,$B13,Datos!$B:$B,FY$3)</f>
        <v>0</v>
      </c>
      <c r="FZ13" s="16">
        <f>SUMIFS(Datos!$F:$F,Datos!$A:$A,$B13,Datos!$B:$B,FZ$3)</f>
        <v>0</v>
      </c>
      <c r="GA13" s="16">
        <f>SUMIFS(Datos!$F:$F,Datos!$A:$A,$B13,Datos!$B:$B,GA$3)</f>
        <v>0</v>
      </c>
      <c r="GB13" s="16">
        <f>SUMIFS(Datos!$F:$F,Datos!$A:$A,$B13,Datos!$B:$B,GB$3)</f>
        <v>0</v>
      </c>
      <c r="GC13" s="16">
        <f>SUMIFS(Datos!$F:$F,Datos!$A:$A,$B13,Datos!$B:$B,GC$3)</f>
        <v>0</v>
      </c>
      <c r="GD13" s="16">
        <f>SUMIFS(Datos!$F:$F,Datos!$A:$A,$B13,Datos!$B:$B,GD$3)</f>
        <v>0</v>
      </c>
      <c r="GE13" s="16">
        <f>SUMIFS(Datos!$F:$F,Datos!$A:$A,$B13,Datos!$B:$B,GE$3)</f>
        <v>0</v>
      </c>
      <c r="GF13" s="16">
        <f>SUMIFS(Datos!$F:$F,Datos!$A:$A,$B13,Datos!$B:$B,GF$3)</f>
        <v>0</v>
      </c>
      <c r="GG13" s="16">
        <f>SUMIFS(Datos!$F:$F,Datos!$A:$A,$B13,Datos!$B:$B,GG$3)</f>
        <v>0</v>
      </c>
      <c r="GH13" s="16">
        <f>SUMIFS(Datos!$F:$F,Datos!$A:$A,$B13,Datos!$B:$B,GH$3)</f>
        <v>0</v>
      </c>
      <c r="GI13" s="16">
        <f>SUMIFS(Datos!$F:$F,Datos!$A:$A,$B13,Datos!$B:$B,GI$3)</f>
        <v>0</v>
      </c>
      <c r="GJ13" s="16">
        <f>SUMIFS(Datos!$F:$F,Datos!$A:$A,$B13,Datos!$B:$B,GJ$3)</f>
        <v>0</v>
      </c>
      <c r="GK13" s="16">
        <f>SUMIFS(Datos!$F:$F,Datos!$A:$A,$B13,Datos!$B:$B,GK$3)</f>
        <v>0</v>
      </c>
      <c r="GL13" s="16">
        <f>SUMIFS(Datos!$F:$F,Datos!$A:$A,$B13,Datos!$B:$B,GL$3)</f>
        <v>0</v>
      </c>
      <c r="GM13" s="16">
        <f>SUMIFS(Datos!$F:$F,Datos!$A:$A,$B13,Datos!$B:$B,GM$3)</f>
        <v>0</v>
      </c>
      <c r="GN13" s="16">
        <f>SUMIFS(Datos!$F:$F,Datos!$A:$A,$B13,Datos!$B:$B,GN$3)</f>
        <v>0</v>
      </c>
      <c r="GO13" s="16">
        <f>SUMIFS(Datos!$F:$F,Datos!$A:$A,$B13,Datos!$B:$B,GO$3)</f>
        <v>0</v>
      </c>
      <c r="GP13" s="16">
        <f>SUMIFS(Datos!$F:$F,Datos!$A:$A,$B13,Datos!$B:$B,GP$3)</f>
        <v>0</v>
      </c>
      <c r="GQ13" s="16">
        <f>SUMIFS(Datos!$F:$F,Datos!$A:$A,$B13,Datos!$B:$B,GQ$3)</f>
        <v>0</v>
      </c>
      <c r="GR13" s="16">
        <f>SUMIFS(Datos!$F:$F,Datos!$A:$A,$B13,Datos!$B:$B,GR$3)</f>
        <v>0</v>
      </c>
      <c r="GS13" s="16">
        <f>SUMIFS(Datos!$F:$F,Datos!$A:$A,$B13,Datos!$B:$B,GS$3)</f>
        <v>0</v>
      </c>
      <c r="GT13" s="16">
        <f>SUMIFS(Datos!$F:$F,Datos!$A:$A,$B13,Datos!$B:$B,GT$3)</f>
        <v>0</v>
      </c>
      <c r="GU13" s="16">
        <f>SUMIFS(Datos!$F:$F,Datos!$A:$A,$B13,Datos!$B:$B,GU$3)</f>
        <v>0</v>
      </c>
      <c r="GV13" s="16">
        <f>SUMIFS(Datos!$F:$F,Datos!$A:$A,$B13,Datos!$B:$B,GV$3)</f>
        <v>0</v>
      </c>
      <c r="GW13" s="16">
        <f>SUMIFS(Datos!$F:$F,Datos!$A:$A,$B13,Datos!$B:$B,GW$3)</f>
        <v>0</v>
      </c>
      <c r="GX13" s="16">
        <f>SUMIFS(Datos!$F:$F,Datos!$A:$A,$B13,Datos!$B:$B,GX$3)</f>
        <v>0</v>
      </c>
      <c r="GY13" s="16">
        <f>SUMIFS(Datos!$F:$F,Datos!$A:$A,$B13,Datos!$B:$B,GY$3)</f>
        <v>0</v>
      </c>
      <c r="GZ13" s="16">
        <f>SUMIFS(Datos!$F:$F,Datos!$A:$A,$B13,Datos!$B:$B,GZ$3)</f>
        <v>0</v>
      </c>
      <c r="HA13" s="16">
        <f>SUMIFS(Datos!$F:$F,Datos!$A:$A,$B13,Datos!$B:$B,HA$3)</f>
        <v>0</v>
      </c>
      <c r="HB13" s="16">
        <f>SUMIFS(Datos!$F:$F,Datos!$A:$A,$B13,Datos!$B:$B,HB$3)</f>
        <v>0</v>
      </c>
      <c r="HC13" s="16">
        <f>SUMIFS(Datos!$F:$F,Datos!$A:$A,$B13,Datos!$B:$B,HC$3)</f>
        <v>0</v>
      </c>
      <c r="HD13" s="16">
        <f>SUMIFS(Datos!$F:$F,Datos!$A:$A,$B13,Datos!$B:$B,HD$3)</f>
        <v>0</v>
      </c>
      <c r="HE13" s="16">
        <f>SUMIFS(Datos!$F:$F,Datos!$A:$A,$B13,Datos!$B:$B,HE$3)</f>
        <v>0</v>
      </c>
      <c r="HF13" s="16">
        <f>SUMIFS(Datos!$F:$F,Datos!$A:$A,$B13,Datos!$B:$B,HF$3)</f>
        <v>0</v>
      </c>
      <c r="HG13" s="16">
        <f>SUMIFS(Datos!$F:$F,Datos!$A:$A,$B13,Datos!$B:$B,HG$3)</f>
        <v>0</v>
      </c>
      <c r="HH13" s="16">
        <f>SUMIFS(Datos!$F:$F,Datos!$A:$A,$B13,Datos!$B:$B,HH$3)</f>
        <v>0</v>
      </c>
      <c r="HI13" s="16">
        <f>SUMIFS(Datos!$F:$F,Datos!$A:$A,$B13,Datos!$B:$B,HI$3)</f>
        <v>0</v>
      </c>
      <c r="HJ13" s="16">
        <f>SUMIFS(Datos!$F:$F,Datos!$A:$A,$B13,Datos!$B:$B,HJ$3)</f>
        <v>0</v>
      </c>
      <c r="HK13" s="16">
        <f>SUMIFS(Datos!$F:$F,Datos!$A:$A,$B13,Datos!$B:$B,HK$3)</f>
        <v>0</v>
      </c>
      <c r="HL13" s="16">
        <f>SUMIFS(Datos!$F:$F,Datos!$A:$A,$B13,Datos!$B:$B,HL$3)</f>
        <v>0</v>
      </c>
      <c r="HM13" s="16">
        <f>SUMIFS(Datos!$F:$F,Datos!$A:$A,$B13,Datos!$B:$B,HM$3)</f>
        <v>0</v>
      </c>
      <c r="HN13" s="16">
        <f>SUMIFS(Datos!$F:$F,Datos!$A:$A,$B13,Datos!$B:$B,HN$3)</f>
        <v>0</v>
      </c>
      <c r="HO13" s="16">
        <f>SUMIFS(Datos!$F:$F,Datos!$A:$A,$B13,Datos!$B:$B,HO$3)</f>
        <v>0</v>
      </c>
      <c r="HP13" s="16">
        <f>SUMIFS(Datos!$F:$F,Datos!$A:$A,$B13,Datos!$B:$B,HP$3)</f>
        <v>0</v>
      </c>
      <c r="HQ13" s="16">
        <f>SUMIFS(Datos!$F:$F,Datos!$A:$A,$B13,Datos!$B:$B,HQ$3)</f>
        <v>0</v>
      </c>
      <c r="HR13" s="16">
        <f>SUMIFS(Datos!$F:$F,Datos!$A:$A,$B13,Datos!$B:$B,HR$3)</f>
        <v>0</v>
      </c>
      <c r="HS13" s="16">
        <f>SUMIFS(Datos!$F:$F,Datos!$A:$A,$B13,Datos!$B:$B,HS$3)</f>
        <v>0</v>
      </c>
      <c r="HT13" s="16">
        <f>SUMIFS(Datos!$F:$F,Datos!$A:$A,$B13,Datos!$B:$B,HT$3)</f>
        <v>0</v>
      </c>
      <c r="HU13" s="16">
        <f>SUMIFS(Datos!$F:$F,Datos!$A:$A,$B13,Datos!$B:$B,HU$3)</f>
        <v>0</v>
      </c>
      <c r="HV13" s="16">
        <f>SUMIFS(Datos!$F:$F,Datos!$A:$A,$B13,Datos!$B:$B,HV$3)</f>
        <v>0</v>
      </c>
      <c r="HW13" s="16">
        <f>SUMIFS(Datos!$F:$F,Datos!$A:$A,$B13,Datos!$B:$B,HW$3)</f>
        <v>0</v>
      </c>
      <c r="HX13" s="16">
        <f>SUMIFS(Datos!$F:$F,Datos!$A:$A,$B13,Datos!$B:$B,HX$3)</f>
        <v>0</v>
      </c>
      <c r="HY13" s="16">
        <f>SUMIFS(Datos!$F:$F,Datos!$A:$A,$B13,Datos!$B:$B,HY$3)</f>
        <v>0</v>
      </c>
      <c r="HZ13" s="16">
        <f>SUMIFS(Datos!$F:$F,Datos!$A:$A,$B13,Datos!$B:$B,HZ$3)</f>
        <v>0</v>
      </c>
      <c r="IA13" s="16">
        <f>SUMIFS(Datos!$F:$F,Datos!$A:$A,$B13,Datos!$B:$B,IA$3)</f>
        <v>0</v>
      </c>
      <c r="IB13" s="16">
        <f>SUMIFS(Datos!$F:$F,Datos!$A:$A,$B13,Datos!$B:$B,IB$3)</f>
        <v>0</v>
      </c>
      <c r="IC13" s="16">
        <f>SUMIFS(Datos!$F:$F,Datos!$A:$A,$B13,Datos!$B:$B,IC$3)</f>
        <v>0</v>
      </c>
      <c r="ID13" s="16">
        <f>SUMIFS(Datos!$F:$F,Datos!$A:$A,$B13,Datos!$B:$B,ID$3)</f>
        <v>0</v>
      </c>
      <c r="IE13" s="16">
        <f>SUMIFS(Datos!$F:$F,Datos!$A:$A,$B13,Datos!$B:$B,IE$3)</f>
        <v>0</v>
      </c>
      <c r="IF13" s="16">
        <f>SUMIFS(Datos!$F:$F,Datos!$A:$A,$B13,Datos!$B:$B,IF$3)</f>
        <v>0</v>
      </c>
      <c r="IG13" s="16">
        <f>SUMIFS(Datos!$F:$F,Datos!$A:$A,$B13,Datos!$B:$B,IG$3)</f>
        <v>0</v>
      </c>
      <c r="IH13" s="16">
        <f>SUMIFS(Datos!$F:$F,Datos!$A:$A,$B13,Datos!$B:$B,IH$3)</f>
        <v>0</v>
      </c>
      <c r="II13" s="16">
        <f>SUMIFS(Datos!$F:$F,Datos!$A:$A,$B13,Datos!$B:$B,II$3)</f>
        <v>0</v>
      </c>
      <c r="IJ13" s="16">
        <f>SUMIFS(Datos!$F:$F,Datos!$A:$A,$B13,Datos!$B:$B,IJ$3)</f>
        <v>0</v>
      </c>
      <c r="IK13" s="16">
        <f>SUMIFS(Datos!$F:$F,Datos!$A:$A,$B13,Datos!$B:$B,IK$3)</f>
        <v>0</v>
      </c>
      <c r="IL13" s="16">
        <f>SUMIFS(Datos!$F:$F,Datos!$A:$A,$B13,Datos!$B:$B,IL$3)</f>
        <v>0</v>
      </c>
      <c r="IM13" s="16">
        <f>SUMIFS(Datos!$F:$F,Datos!$A:$A,$B13,Datos!$B:$B,IM$3)</f>
        <v>0</v>
      </c>
      <c r="IN13" s="16">
        <f>SUMIFS(Datos!$F:$F,Datos!$A:$A,$B13,Datos!$B:$B,IN$3)</f>
        <v>0</v>
      </c>
      <c r="IO13" s="16">
        <f>SUMIFS(Datos!$F:$F,Datos!$A:$A,$B13,Datos!$B:$B,IO$3)</f>
        <v>0</v>
      </c>
      <c r="IP13" s="16">
        <f>SUMIFS(Datos!$F:$F,Datos!$A:$A,$B13,Datos!$B:$B,IP$3)</f>
        <v>0</v>
      </c>
      <c r="IQ13" s="16">
        <f>SUMIFS(Datos!$F:$F,Datos!$A:$A,$B13,Datos!$B:$B,IQ$3)</f>
        <v>0</v>
      </c>
      <c r="IR13" s="16">
        <f>SUMIFS(Datos!$F:$F,Datos!$A:$A,$B13,Datos!$B:$B,IR$3)</f>
        <v>0</v>
      </c>
      <c r="IS13" s="16">
        <f>SUMIFS(Datos!$F:$F,Datos!$A:$A,$B13,Datos!$B:$B,IS$3)</f>
        <v>0</v>
      </c>
      <c r="IT13" s="16">
        <f>SUMIFS(Datos!$F:$F,Datos!$A:$A,$B13,Datos!$B:$B,IT$3)</f>
        <v>0</v>
      </c>
      <c r="IU13" s="16">
        <f>SUMIFS(Datos!$F:$F,Datos!$A:$A,$B13,Datos!$B:$B,IU$3)</f>
        <v>0</v>
      </c>
      <c r="IV13" s="16">
        <f>SUMIFS(Datos!$F:$F,Datos!$A:$A,$B13,Datos!$B:$B,IV$3)</f>
        <v>0</v>
      </c>
      <c r="IW13" s="16">
        <f>SUMIFS(Datos!$F:$F,Datos!$A:$A,$B13,Datos!$B:$B,IW$3)</f>
        <v>0</v>
      </c>
      <c r="IX13" s="16">
        <f>SUMIFS(Datos!$F:$F,Datos!$A:$A,$B13,Datos!$B:$B,IX$3)</f>
        <v>0</v>
      </c>
      <c r="IY13" s="16">
        <f>SUMIFS(Datos!$F:$F,Datos!$A:$A,$B13,Datos!$B:$B,IY$3)</f>
        <v>0</v>
      </c>
      <c r="IZ13" s="16">
        <f>SUMIFS(Datos!$F:$F,Datos!$A:$A,$B13,Datos!$B:$B,IZ$3)</f>
        <v>0</v>
      </c>
      <c r="JA13" s="16">
        <f>SUMIFS(Datos!$F:$F,Datos!$A:$A,$B13,Datos!$B:$B,JA$3)</f>
        <v>0</v>
      </c>
      <c r="JB13" s="16">
        <f>SUMIFS(Datos!$F:$F,Datos!$A:$A,$B13,Datos!$B:$B,JB$3)</f>
        <v>0</v>
      </c>
      <c r="JC13" s="16">
        <f>SUMIFS(Datos!$F:$F,Datos!$A:$A,$B13,Datos!$B:$B,JC$3)</f>
        <v>0</v>
      </c>
      <c r="JD13" s="16">
        <f>SUMIFS(Datos!$F:$F,Datos!$A:$A,$B13,Datos!$B:$B,JD$3)</f>
        <v>0</v>
      </c>
      <c r="JE13" s="16">
        <f>SUMIFS(Datos!$F:$F,Datos!$A:$A,$B13,Datos!$B:$B,JE$3)</f>
        <v>0</v>
      </c>
      <c r="JF13" s="16">
        <f>SUMIFS(Datos!$F:$F,Datos!$A:$A,$B13,Datos!$B:$B,JF$3)</f>
        <v>0</v>
      </c>
      <c r="JG13" s="16">
        <f>SUMIFS(Datos!$F:$F,Datos!$A:$A,$B13,Datos!$B:$B,JG$3)</f>
        <v>0</v>
      </c>
      <c r="JH13" s="16">
        <f>SUMIFS(Datos!$F:$F,Datos!$A:$A,$B13,Datos!$B:$B,JH$3)</f>
        <v>0</v>
      </c>
      <c r="JI13" s="16">
        <f>SUMIFS(Datos!$F:$F,Datos!$A:$A,$B13,Datos!$B:$B,JI$3)</f>
        <v>0</v>
      </c>
      <c r="JJ13" s="16">
        <f>SUMIFS(Datos!$F:$F,Datos!$A:$A,$B13,Datos!$B:$B,JJ$3)</f>
        <v>0</v>
      </c>
      <c r="JK13" s="16">
        <f>SUMIFS(Datos!$F:$F,Datos!$A:$A,$B13,Datos!$B:$B,JK$3)</f>
        <v>0</v>
      </c>
      <c r="JL13" s="16">
        <f>SUMIFS(Datos!$F:$F,Datos!$A:$A,$B13,Datos!$B:$B,JL$3)</f>
        <v>0</v>
      </c>
      <c r="JM13" s="16">
        <f>SUMIFS(Datos!$F:$F,Datos!$A:$A,$B13,Datos!$B:$B,JM$3)</f>
        <v>0</v>
      </c>
      <c r="JN13" s="16">
        <f>SUMIFS(Datos!$F:$F,Datos!$A:$A,$B13,Datos!$B:$B,JN$3)</f>
        <v>0</v>
      </c>
      <c r="JO13" s="16">
        <f>SUMIFS(Datos!$F:$F,Datos!$A:$A,$B13,Datos!$B:$B,JO$3)</f>
        <v>0</v>
      </c>
      <c r="JP13" s="16">
        <f>SUMIFS(Datos!$F:$F,Datos!$A:$A,$B13,Datos!$B:$B,JP$3)</f>
        <v>0</v>
      </c>
      <c r="JQ13" s="16">
        <f>SUMIFS(Datos!$F:$F,Datos!$A:$A,$B13,Datos!$B:$B,JQ$3)</f>
        <v>0</v>
      </c>
      <c r="JR13" s="16">
        <f>SUMIFS(Datos!$F:$F,Datos!$A:$A,$B13,Datos!$B:$B,JR$3)</f>
        <v>0</v>
      </c>
      <c r="JS13" s="16">
        <f>SUMIFS(Datos!$F:$F,Datos!$A:$A,$B13,Datos!$B:$B,JS$3)</f>
        <v>0</v>
      </c>
      <c r="JT13" s="16">
        <f>SUMIFS(Datos!$F:$F,Datos!$A:$A,$B13,Datos!$B:$B,JT$3)</f>
        <v>0</v>
      </c>
      <c r="JU13" s="16">
        <f>SUMIFS(Datos!$F:$F,Datos!$A:$A,$B13,Datos!$B:$B,JU$3)</f>
        <v>0</v>
      </c>
      <c r="JV13" s="16">
        <f>SUMIFS(Datos!$F:$F,Datos!$A:$A,$B13,Datos!$B:$B,JV$3)</f>
        <v>0</v>
      </c>
      <c r="JW13" s="16">
        <f>SUMIFS(Datos!$F:$F,Datos!$A:$A,$B13,Datos!$B:$B,JW$3)</f>
        <v>0</v>
      </c>
      <c r="JX13" s="16">
        <f>SUMIFS(Datos!$F:$F,Datos!$A:$A,$B13,Datos!$B:$B,JX$3)</f>
        <v>0</v>
      </c>
      <c r="JY13" s="16">
        <f>SUMIFS(Datos!$F:$F,Datos!$A:$A,$B13,Datos!$B:$B,JY$3)</f>
        <v>0</v>
      </c>
      <c r="JZ13" s="16">
        <f>SUMIFS(Datos!$F:$F,Datos!$A:$A,$B13,Datos!$B:$B,JZ$3)</f>
        <v>0</v>
      </c>
      <c r="KA13" s="16">
        <f>SUMIFS(Datos!$F:$F,Datos!$A:$A,$B13,Datos!$B:$B,KA$3)</f>
        <v>0</v>
      </c>
      <c r="KB13" s="16">
        <f>SUMIFS(Datos!$F:$F,Datos!$A:$A,$B13,Datos!$B:$B,KB$3)</f>
        <v>0</v>
      </c>
      <c r="KC13" s="16">
        <f>SUMIFS(Datos!$F:$F,Datos!$A:$A,$B13,Datos!$B:$B,KC$3)</f>
        <v>0</v>
      </c>
      <c r="KD13" s="16">
        <f>SUMIFS(Datos!$F:$F,Datos!$A:$A,$B13,Datos!$B:$B,KD$3)</f>
        <v>0</v>
      </c>
      <c r="KE13" s="16">
        <f>SUMIFS(Datos!$F:$F,Datos!$A:$A,$B13,Datos!$B:$B,KE$3)</f>
        <v>0</v>
      </c>
      <c r="KF13" s="16">
        <f>SUMIFS(Datos!$F:$F,Datos!$A:$A,$B13,Datos!$B:$B,KF$3)</f>
        <v>0</v>
      </c>
      <c r="KG13" s="16">
        <f>SUMIFS(Datos!$F:$F,Datos!$A:$A,$B13,Datos!$B:$B,KG$3)</f>
        <v>0</v>
      </c>
      <c r="KH13" s="16">
        <f>SUMIFS(Datos!$F:$F,Datos!$A:$A,$B13,Datos!$B:$B,KH$3)</f>
        <v>0</v>
      </c>
      <c r="KI13" s="16">
        <f>SUMIFS(Datos!$F:$F,Datos!$A:$A,$B13,Datos!$B:$B,KI$3)</f>
        <v>0</v>
      </c>
      <c r="KJ13" s="16">
        <f>SUMIFS(Datos!$F:$F,Datos!$A:$A,$B13,Datos!$B:$B,KJ$3)</f>
        <v>0</v>
      </c>
      <c r="KK13" s="16">
        <f>SUMIFS(Datos!$F:$F,Datos!$A:$A,$B13,Datos!$B:$B,KK$3)</f>
        <v>0</v>
      </c>
      <c r="KL13" s="16">
        <f>SUMIFS(Datos!$F:$F,Datos!$A:$A,$B13,Datos!$B:$B,KL$3)</f>
        <v>0</v>
      </c>
      <c r="KM13" s="16">
        <f>SUMIFS(Datos!$F:$F,Datos!$A:$A,$B13,Datos!$B:$B,KM$3)</f>
        <v>0</v>
      </c>
      <c r="KN13" s="16">
        <f>SUMIFS(Datos!$F:$F,Datos!$A:$A,$B13,Datos!$B:$B,KN$3)</f>
        <v>0</v>
      </c>
      <c r="KO13" s="16">
        <f>SUMIFS(Datos!$F:$F,Datos!$A:$A,$B13,Datos!$B:$B,KO$3)</f>
        <v>0</v>
      </c>
      <c r="KP13" s="16">
        <f>SUMIFS(Datos!$F:$F,Datos!$A:$A,$B13,Datos!$B:$B,KP$3)</f>
        <v>0</v>
      </c>
      <c r="KQ13" s="16">
        <f>SUMIFS(Datos!$F:$F,Datos!$A:$A,$B13,Datos!$B:$B,KQ$3)</f>
        <v>0</v>
      </c>
      <c r="KR13" s="16">
        <f>SUMIFS(Datos!$F:$F,Datos!$A:$A,$B13,Datos!$B:$B,KR$3)</f>
        <v>0</v>
      </c>
      <c r="KS13" s="16">
        <f>SUMIFS(Datos!$F:$F,Datos!$A:$A,$B13,Datos!$B:$B,KS$3)</f>
        <v>0</v>
      </c>
      <c r="KT13" s="16">
        <f>SUMIFS(Datos!$F:$F,Datos!$A:$A,$B13,Datos!$B:$B,KT$3)</f>
        <v>0</v>
      </c>
      <c r="KU13" s="16">
        <f>SUMIFS(Datos!$F:$F,Datos!$A:$A,$B13,Datos!$B:$B,KU$3)</f>
        <v>0</v>
      </c>
      <c r="KV13" s="16">
        <f>SUMIFS(Datos!$F:$F,Datos!$A:$A,$B13,Datos!$B:$B,KV$3)</f>
        <v>0</v>
      </c>
      <c r="KW13" s="16">
        <f>SUMIFS(Datos!$F:$F,Datos!$A:$A,$B13,Datos!$B:$B,KW$3)</f>
        <v>0</v>
      </c>
      <c r="KX13" s="16">
        <f>SUMIFS(Datos!$F:$F,Datos!$A:$A,$B13,Datos!$B:$B,KX$3)</f>
        <v>0</v>
      </c>
      <c r="KY13" s="16">
        <f>SUMIFS(Datos!$F:$F,Datos!$A:$A,$B13,Datos!$B:$B,KY$3)</f>
        <v>0</v>
      </c>
      <c r="KZ13" s="16">
        <f>SUMIFS(Datos!$F:$F,Datos!$A:$A,$B13,Datos!$B:$B,KZ$3)</f>
        <v>0</v>
      </c>
      <c r="LA13" s="16">
        <f>SUMIFS(Datos!$F:$F,Datos!$A:$A,$B13,Datos!$B:$B,LA$3)</f>
        <v>0</v>
      </c>
      <c r="LB13" s="16">
        <f>SUMIFS(Datos!$F:$F,Datos!$A:$A,$B13,Datos!$B:$B,LB$3)</f>
        <v>0</v>
      </c>
      <c r="LC13" s="16">
        <f>SUMIFS(Datos!$F:$F,Datos!$A:$A,$B13,Datos!$B:$B,LC$3)</f>
        <v>0</v>
      </c>
      <c r="LD13" s="16">
        <f>SUMIFS(Datos!$F:$F,Datos!$A:$A,$B13,Datos!$B:$B,LD$3)</f>
        <v>0</v>
      </c>
      <c r="LE13" s="16">
        <f>SUMIFS(Datos!$F:$F,Datos!$A:$A,$B13,Datos!$B:$B,LE$3)</f>
        <v>0</v>
      </c>
      <c r="LF13" s="16">
        <f>SUMIFS(Datos!$F:$F,Datos!$A:$A,$B13,Datos!$B:$B,LF$3)</f>
        <v>0</v>
      </c>
      <c r="LG13" s="16">
        <f>SUMIFS(Datos!$F:$F,Datos!$A:$A,$B13,Datos!$B:$B,LG$3)</f>
        <v>0</v>
      </c>
      <c r="LH13" s="16">
        <f>SUMIFS(Datos!$F:$F,Datos!$A:$A,$B13,Datos!$B:$B,LH$3)</f>
        <v>0</v>
      </c>
      <c r="LI13" s="16">
        <f>SUMIFS(Datos!$F:$F,Datos!$A:$A,$B13,Datos!$B:$B,LI$3)</f>
        <v>0</v>
      </c>
      <c r="LJ13" s="16">
        <f>SUMIFS(Datos!$F:$F,Datos!$A:$A,$B13,Datos!$B:$B,LJ$3)</f>
        <v>0</v>
      </c>
      <c r="LK13" s="16">
        <f>SUMIFS(Datos!$F:$F,Datos!$A:$A,$B13,Datos!$B:$B,LK$3)</f>
        <v>0</v>
      </c>
      <c r="LL13" s="16">
        <f>SUMIFS(Datos!$F:$F,Datos!$A:$A,$B13,Datos!$B:$B,LL$3)</f>
        <v>0</v>
      </c>
      <c r="LM13" s="16">
        <f>SUMIFS(Datos!$F:$F,Datos!$A:$A,$B13,Datos!$B:$B,LM$3)</f>
        <v>0</v>
      </c>
      <c r="LN13" s="16">
        <f>SUMIFS(Datos!$F:$F,Datos!$A:$A,$B13,Datos!$B:$B,LN$3)</f>
        <v>0</v>
      </c>
      <c r="LO13" s="16">
        <f>SUMIFS(Datos!$F:$F,Datos!$A:$A,$B13,Datos!$B:$B,LO$3)</f>
        <v>0</v>
      </c>
      <c r="LP13" s="16">
        <f>SUMIFS(Datos!$F:$F,Datos!$A:$A,$B13,Datos!$B:$B,LP$3)</f>
        <v>0</v>
      </c>
      <c r="LQ13" s="16">
        <f>SUMIFS(Datos!$F:$F,Datos!$A:$A,$B13,Datos!$B:$B,LQ$3)</f>
        <v>0</v>
      </c>
      <c r="LR13" s="16">
        <f>SUMIFS(Datos!$F:$F,Datos!$A:$A,$B13,Datos!$B:$B,LR$3)</f>
        <v>0</v>
      </c>
      <c r="LS13" s="16">
        <f>SUMIFS(Datos!$F:$F,Datos!$A:$A,$B13,Datos!$B:$B,LS$3)</f>
        <v>0</v>
      </c>
      <c r="LT13" s="16">
        <f>SUMIFS(Datos!$F:$F,Datos!$A:$A,$B13,Datos!$B:$B,LT$3)</f>
        <v>0</v>
      </c>
      <c r="LU13" s="16">
        <f>SUMIFS(Datos!$F:$F,Datos!$A:$A,$B13,Datos!$B:$B,LU$3)</f>
        <v>0</v>
      </c>
      <c r="LV13" s="16">
        <f>SUMIFS(Datos!$F:$F,Datos!$A:$A,$B13,Datos!$B:$B,LV$3)</f>
        <v>0</v>
      </c>
      <c r="LW13" s="16">
        <f>SUMIFS(Datos!$F:$F,Datos!$A:$A,$B13,Datos!$B:$B,LW$3)</f>
        <v>0</v>
      </c>
      <c r="LX13" s="16">
        <f>SUMIFS(Datos!$F:$F,Datos!$A:$A,$B13,Datos!$B:$B,LX$3)</f>
        <v>0</v>
      </c>
      <c r="LY13" s="16">
        <f>SUMIFS(Datos!$F:$F,Datos!$A:$A,$B13,Datos!$B:$B,LY$3)</f>
        <v>0</v>
      </c>
      <c r="LZ13" s="16">
        <f>SUMIFS(Datos!$F:$F,Datos!$A:$A,$B13,Datos!$B:$B,LZ$3)</f>
        <v>0</v>
      </c>
      <c r="MA13" s="16">
        <f>SUMIFS(Datos!$F:$F,Datos!$A:$A,$B13,Datos!$B:$B,MA$3)</f>
        <v>0</v>
      </c>
      <c r="MB13" s="16">
        <f>SUMIFS(Datos!$F:$F,Datos!$A:$A,$B13,Datos!$B:$B,MB$3)</f>
        <v>0</v>
      </c>
      <c r="MC13" s="16">
        <f>SUMIFS(Datos!$F:$F,Datos!$A:$A,$B13,Datos!$B:$B,MC$3)</f>
        <v>0</v>
      </c>
      <c r="MD13" s="16">
        <f>SUMIFS(Datos!$F:$F,Datos!$A:$A,$B13,Datos!$B:$B,MD$3)</f>
        <v>0</v>
      </c>
      <c r="ME13" s="16">
        <f>SUMIFS(Datos!$F:$F,Datos!$A:$A,$B13,Datos!$B:$B,ME$3)</f>
        <v>0</v>
      </c>
      <c r="MF13" s="16">
        <f>SUMIFS(Datos!$F:$F,Datos!$A:$A,$B13,Datos!$B:$B,MF$3)</f>
        <v>0</v>
      </c>
      <c r="MG13" s="16">
        <f>SUMIFS(Datos!$F:$F,Datos!$A:$A,$B13,Datos!$B:$B,MG$3)</f>
        <v>0</v>
      </c>
      <c r="MH13" s="16">
        <f>SUMIFS(Datos!$F:$F,Datos!$A:$A,$B13,Datos!$B:$B,MH$3)</f>
        <v>0</v>
      </c>
      <c r="MI13" s="16">
        <f>SUMIFS(Datos!$F:$F,Datos!$A:$A,$B13,Datos!$B:$B,MI$3)</f>
        <v>0</v>
      </c>
      <c r="MJ13" s="16">
        <f>SUMIFS(Datos!$F:$F,Datos!$A:$A,$B13,Datos!$B:$B,MJ$3)</f>
        <v>0</v>
      </c>
      <c r="MK13" s="16">
        <f>SUMIFS(Datos!$F:$F,Datos!$A:$A,$B13,Datos!$B:$B,MK$3)</f>
        <v>0</v>
      </c>
      <c r="ML13" s="16">
        <f>SUMIFS(Datos!$F:$F,Datos!$A:$A,$B13,Datos!$B:$B,ML$3)</f>
        <v>0</v>
      </c>
      <c r="MM13" s="16">
        <f>SUMIFS(Datos!$F:$F,Datos!$A:$A,$B13,Datos!$B:$B,MM$3)</f>
        <v>0</v>
      </c>
      <c r="MN13" s="16">
        <f>SUMIFS(Datos!$F:$F,Datos!$A:$A,$B13,Datos!$B:$B,MN$3)</f>
        <v>0</v>
      </c>
      <c r="MO13" s="16">
        <f>SUMIFS(Datos!$F:$F,Datos!$A:$A,$B13,Datos!$B:$B,MO$3)</f>
        <v>0</v>
      </c>
      <c r="MP13" s="16">
        <f>SUMIFS(Datos!$F:$F,Datos!$A:$A,$B13,Datos!$B:$B,MP$3)</f>
        <v>0</v>
      </c>
      <c r="MQ13" s="16">
        <f>SUMIFS(Datos!$F:$F,Datos!$A:$A,$B13,Datos!$B:$B,MQ$3)</f>
        <v>0</v>
      </c>
      <c r="MR13" s="16">
        <f>SUMIFS(Datos!$F:$F,Datos!$A:$A,$B13,Datos!$B:$B,MR$3)</f>
        <v>0</v>
      </c>
      <c r="MS13" s="16">
        <f>SUMIFS(Datos!$F:$F,Datos!$A:$A,$B13,Datos!$B:$B,MS$3)</f>
        <v>0</v>
      </c>
      <c r="MT13" s="16">
        <f>SUMIFS(Datos!$F:$F,Datos!$A:$A,$B13,Datos!$B:$B,MT$3)</f>
        <v>0</v>
      </c>
      <c r="MU13" s="16">
        <f>SUMIFS(Datos!$F:$F,Datos!$A:$A,$B13,Datos!$B:$B,MU$3)</f>
        <v>0</v>
      </c>
      <c r="MV13" s="16">
        <f>SUMIFS(Datos!$F:$F,Datos!$A:$A,$B13,Datos!$B:$B,MV$3)</f>
        <v>0</v>
      </c>
      <c r="MW13" s="16">
        <f>SUMIFS(Datos!$F:$F,Datos!$A:$A,$B13,Datos!$B:$B,MW$3)</f>
        <v>0</v>
      </c>
      <c r="MX13" s="16">
        <f>SUMIFS(Datos!$F:$F,Datos!$A:$A,$B13,Datos!$B:$B,MX$3)</f>
        <v>0</v>
      </c>
      <c r="MY13" s="16">
        <f>SUMIFS(Datos!$F:$F,Datos!$A:$A,$B13,Datos!$B:$B,MY$3)</f>
        <v>0</v>
      </c>
      <c r="MZ13" s="16">
        <f>SUMIFS(Datos!$F:$F,Datos!$A:$A,$B13,Datos!$B:$B,MZ$3)</f>
        <v>0</v>
      </c>
      <c r="NA13" s="16">
        <f>SUMIFS(Datos!$F:$F,Datos!$A:$A,$B13,Datos!$B:$B,NA$3)</f>
        <v>0</v>
      </c>
      <c r="NB13" s="16">
        <f>SUMIFS(Datos!$F:$F,Datos!$A:$A,$B13,Datos!$B:$B,NB$3)</f>
        <v>0</v>
      </c>
      <c r="NC13" s="16">
        <f>SUMIFS(Datos!$F:$F,Datos!$A:$A,$B13,Datos!$B:$B,NC$3)</f>
        <v>0</v>
      </c>
      <c r="ND13" s="16">
        <f>SUMIFS(Datos!$F:$F,Datos!$A:$A,$B13,Datos!$B:$B,ND$3)</f>
        <v>0</v>
      </c>
      <c r="NE13" s="16">
        <f>SUMIFS(Datos!$F:$F,Datos!$A:$A,$B13,Datos!$B:$B,NE$3)</f>
        <v>0</v>
      </c>
      <c r="NF13" s="16">
        <f>SUMIFS(Datos!$F:$F,Datos!$A:$A,$B13,Datos!$B:$B,NF$3)</f>
        <v>0</v>
      </c>
      <c r="NG13" s="16">
        <f>SUMIFS(Datos!$F:$F,Datos!$A:$A,$B13,Datos!$B:$B,NG$3)</f>
        <v>0</v>
      </c>
      <c r="NH13" s="16">
        <f>SUMIFS(Datos!$F:$F,Datos!$A:$A,$B13,Datos!$B:$B,NH$3)</f>
        <v>0</v>
      </c>
      <c r="NI13" s="16">
        <f>SUMIFS(Datos!$F:$F,Datos!$A:$A,$B13,Datos!$B:$B,NI$3)</f>
        <v>0</v>
      </c>
      <c r="NJ13" s="16">
        <f>SUMIFS(Datos!$F:$F,Datos!$A:$A,$B13,Datos!$B:$B,NJ$3)</f>
        <v>0</v>
      </c>
      <c r="NK13" s="16">
        <f>SUMIFS(Datos!$F:$F,Datos!$A:$A,$B13,Datos!$B:$B,NK$3)</f>
        <v>0</v>
      </c>
      <c r="NL13" s="16">
        <f>SUMIFS(Datos!$F:$F,Datos!$A:$A,$B13,Datos!$B:$B,NL$3)</f>
        <v>0</v>
      </c>
      <c r="NM13" s="16">
        <f>SUMIFS(Datos!$F:$F,Datos!$A:$A,$B13,Datos!$B:$B,NM$3)</f>
        <v>0</v>
      </c>
      <c r="NN13" s="16">
        <f>SUMIFS(Datos!$F:$F,Datos!$A:$A,$B13,Datos!$B:$B,NN$3)</f>
        <v>0</v>
      </c>
      <c r="NO13" s="16">
        <f>SUMIFS(Datos!$F:$F,Datos!$A:$A,$B13,Datos!$B:$B,NO$3)</f>
        <v>0</v>
      </c>
      <c r="NP13" s="16">
        <f>SUMIFS(Datos!$F:$F,Datos!$A:$A,$B13,Datos!$B:$B,NP$3)</f>
        <v>0</v>
      </c>
      <c r="NQ13" s="16">
        <f>SUMIFS(Datos!$F:$F,Datos!$A:$A,$B13,Datos!$B:$B,NQ$3)</f>
        <v>0</v>
      </c>
      <c r="NR13" s="16">
        <f>SUMIFS(Datos!$F:$F,Datos!$A:$A,$B13,Datos!$B:$B,NR$3)</f>
        <v>0</v>
      </c>
      <c r="NS13" s="16">
        <f>SUMIFS(Datos!$F:$F,Datos!$A:$A,$B13,Datos!$B:$B,NS$3)</f>
        <v>0</v>
      </c>
      <c r="NT13" s="16">
        <f>SUMIFS(Datos!$F:$F,Datos!$A:$A,$B13,Datos!$B:$B,NT$3)</f>
        <v>0</v>
      </c>
      <c r="NU13" s="16">
        <f>SUMIFS(Datos!$F:$F,Datos!$A:$A,$B13,Datos!$B:$B,NU$3)</f>
        <v>0</v>
      </c>
      <c r="NV13" s="16">
        <f>SUMIFS(Datos!$F:$F,Datos!$A:$A,$B13,Datos!$B:$B,NV$3)</f>
        <v>0</v>
      </c>
      <c r="NW13" s="16">
        <f>SUMIFS(Datos!$F:$F,Datos!$A:$A,$B13,Datos!$B:$B,NW$3)</f>
        <v>0</v>
      </c>
      <c r="NX13" s="16">
        <f>SUMIFS(Datos!$F:$F,Datos!$A:$A,$B13,Datos!$B:$B,NX$3)</f>
        <v>0</v>
      </c>
      <c r="NY13" s="16">
        <f>SUMIFS(Datos!$F:$F,Datos!$A:$A,$B13,Datos!$B:$B,NY$3)</f>
        <v>0</v>
      </c>
      <c r="NZ13" s="16">
        <f>SUMIFS(Datos!$F:$F,Datos!$A:$A,$B13,Datos!$B:$B,NZ$3)</f>
        <v>0</v>
      </c>
      <c r="OA13" s="16">
        <f>SUMIFS(Datos!$F:$F,Datos!$A:$A,$B13,Datos!$B:$B,OA$3)</f>
        <v>0</v>
      </c>
      <c r="OB13" s="16">
        <f>SUMIFS(Datos!$F:$F,Datos!$A:$A,$B13,Datos!$B:$B,OB$3)</f>
        <v>0</v>
      </c>
      <c r="OC13" s="16">
        <f>SUMIFS(Datos!$F:$F,Datos!$A:$A,$B13,Datos!$B:$B,OC$3)</f>
        <v>0</v>
      </c>
      <c r="OD13" s="16">
        <f>SUMIFS(Datos!$F:$F,Datos!$A:$A,$B13,Datos!$B:$B,OD$3)</f>
        <v>0</v>
      </c>
      <c r="OE13" s="16">
        <f>SUMIFS(Datos!$F:$F,Datos!$A:$A,$B13,Datos!$B:$B,OE$3)</f>
        <v>0</v>
      </c>
      <c r="OF13" s="16">
        <f>SUMIFS(Datos!$F:$F,Datos!$A:$A,$B13,Datos!$B:$B,OF$3)</f>
        <v>0</v>
      </c>
      <c r="OG13" s="16">
        <f>SUMIFS(Datos!$F:$F,Datos!$A:$A,$B13,Datos!$B:$B,OG$3)</f>
        <v>0</v>
      </c>
      <c r="OH13" s="16">
        <f>SUMIFS(Datos!$F:$F,Datos!$A:$A,$B13,Datos!$B:$B,OH$3)</f>
        <v>0</v>
      </c>
      <c r="OI13" s="16">
        <f>SUMIFS(Datos!$F:$F,Datos!$A:$A,$B13,Datos!$B:$B,OI$3)</f>
        <v>0</v>
      </c>
      <c r="OJ13" s="16">
        <f>SUMIFS(Datos!$F:$F,Datos!$A:$A,$B13,Datos!$B:$B,OJ$3)</f>
        <v>0</v>
      </c>
      <c r="OK13" s="16">
        <f>SUMIFS(Datos!$F:$F,Datos!$A:$A,$B13,Datos!$B:$B,OK$3)</f>
        <v>0</v>
      </c>
      <c r="OL13" s="16">
        <f>SUMIFS(Datos!$F:$F,Datos!$A:$A,$B13,Datos!$B:$B,OL$3)</f>
        <v>0</v>
      </c>
      <c r="OM13" s="16">
        <f>SUMIFS(Datos!$F:$F,Datos!$A:$A,$B13,Datos!$B:$B,OM$3)</f>
        <v>0</v>
      </c>
      <c r="ON13" s="16">
        <f>SUMIFS(Datos!$F:$F,Datos!$A:$A,$B13,Datos!$B:$B,ON$3)</f>
        <v>0</v>
      </c>
      <c r="OO13" s="16">
        <f>SUMIFS(Datos!$F:$F,Datos!$A:$A,$B13,Datos!$B:$B,OO$3)</f>
        <v>0</v>
      </c>
      <c r="OP13" s="16">
        <f>SUMIFS(Datos!$F:$F,Datos!$A:$A,$B13,Datos!$B:$B,OP$3)</f>
        <v>0</v>
      </c>
      <c r="OQ13" s="16">
        <f>SUMIFS(Datos!$F:$F,Datos!$A:$A,$B13,Datos!$B:$B,OQ$3)</f>
        <v>0</v>
      </c>
      <c r="OR13" s="16">
        <f>SUMIFS(Datos!$F:$F,Datos!$A:$A,$B13,Datos!$B:$B,OR$3)</f>
        <v>0</v>
      </c>
      <c r="OS13" s="16">
        <f>SUMIFS(Datos!$F:$F,Datos!$A:$A,$B13,Datos!$B:$B,OS$3)</f>
        <v>0</v>
      </c>
      <c r="OT13" s="16">
        <f>SUMIFS(Datos!$F:$F,Datos!$A:$A,$B13,Datos!$B:$B,OT$3)</f>
        <v>0</v>
      </c>
      <c r="OU13" s="16">
        <f>SUMIFS(Datos!$F:$F,Datos!$A:$A,$B13,Datos!$B:$B,OU$3)</f>
        <v>0</v>
      </c>
      <c r="OV13" s="16">
        <f>SUMIFS(Datos!$F:$F,Datos!$A:$A,$B13,Datos!$B:$B,OV$3)</f>
        <v>0</v>
      </c>
      <c r="OW13" s="16">
        <f>SUMIFS(Datos!$F:$F,Datos!$A:$A,$B13,Datos!$B:$B,OW$3)</f>
        <v>0</v>
      </c>
      <c r="OX13" s="16">
        <f>SUMIFS(Datos!$F:$F,Datos!$A:$A,$B13,Datos!$B:$B,OX$3)</f>
        <v>0</v>
      </c>
      <c r="OY13" s="16">
        <f>SUMIFS(Datos!$F:$F,Datos!$A:$A,$B13,Datos!$B:$B,OY$3)</f>
        <v>0</v>
      </c>
      <c r="OZ13" s="16">
        <f>SUMIFS(Datos!$F:$F,Datos!$A:$A,$B13,Datos!$B:$B,OZ$3)</f>
        <v>0</v>
      </c>
      <c r="PA13" s="16">
        <f>SUMIFS(Datos!$F:$F,Datos!$A:$A,$B13,Datos!$B:$B,PA$3)</f>
        <v>0</v>
      </c>
      <c r="PB13" s="16">
        <f>SUMIFS(Datos!$F:$F,Datos!$A:$A,$B13,Datos!$B:$B,PB$3)</f>
        <v>0</v>
      </c>
      <c r="PC13" s="16">
        <f>SUMIFS(Datos!$F:$F,Datos!$A:$A,$B13,Datos!$B:$B,PC$3)</f>
        <v>0</v>
      </c>
      <c r="PD13" s="16">
        <f>SUMIFS(Datos!$F:$F,Datos!$A:$A,$B13,Datos!$B:$B,PD$3)</f>
        <v>0</v>
      </c>
      <c r="PE13" s="16">
        <f>SUMIFS(Datos!$F:$F,Datos!$A:$A,$B13,Datos!$B:$B,PE$3)</f>
        <v>0</v>
      </c>
      <c r="PF13" s="16">
        <f>SUMIFS(Datos!$F:$F,Datos!$A:$A,$B13,Datos!$B:$B,PF$3)</f>
        <v>0</v>
      </c>
      <c r="PG13" s="16">
        <f>SUMIFS(Datos!$F:$F,Datos!$A:$A,$B13,Datos!$B:$B,PG$3)</f>
        <v>0</v>
      </c>
      <c r="PH13" s="16">
        <f>SUMIFS(Datos!$F:$F,Datos!$A:$A,$B13,Datos!$B:$B,PH$3)</f>
        <v>0</v>
      </c>
      <c r="PI13" s="16">
        <f>SUMIFS(Datos!$F:$F,Datos!$A:$A,$B13,Datos!$B:$B,PI$3)</f>
        <v>0</v>
      </c>
      <c r="PJ13" s="16">
        <f>SUMIFS(Datos!$F:$F,Datos!$A:$A,$B13,Datos!$B:$B,PJ$3)</f>
        <v>0</v>
      </c>
      <c r="PK13" s="16">
        <f>SUMIFS(Datos!$F:$F,Datos!$A:$A,$B13,Datos!$B:$B,PK$3)</f>
        <v>0</v>
      </c>
      <c r="PL13" s="16">
        <f>SUMIFS(Datos!$F:$F,Datos!$A:$A,$B13,Datos!$B:$B,PL$3)</f>
        <v>0</v>
      </c>
      <c r="PM13" s="16">
        <f>SUMIFS(Datos!$F:$F,Datos!$A:$A,$B13,Datos!$B:$B,PM$3)</f>
        <v>0</v>
      </c>
      <c r="PN13" s="16">
        <f>SUMIFS(Datos!$F:$F,Datos!$A:$A,$B13,Datos!$B:$B,PN$3)</f>
        <v>0</v>
      </c>
      <c r="PO13" s="16">
        <f>SUMIFS(Datos!$F:$F,Datos!$A:$A,$B13,Datos!$B:$B,PO$3)</f>
        <v>0</v>
      </c>
      <c r="PP13" s="16">
        <f>SUMIFS(Datos!$F:$F,Datos!$A:$A,$B13,Datos!$B:$B,PP$3)</f>
        <v>0</v>
      </c>
      <c r="PQ13" s="16">
        <f>SUMIFS(Datos!$F:$F,Datos!$A:$A,$B13,Datos!$B:$B,PQ$3)</f>
        <v>0</v>
      </c>
      <c r="PR13" s="16">
        <f>SUMIFS(Datos!$F:$F,Datos!$A:$A,$B13,Datos!$B:$B,PR$3)</f>
        <v>0</v>
      </c>
      <c r="PS13" s="16">
        <f>SUMIFS(Datos!$F:$F,Datos!$A:$A,$B13,Datos!$B:$B,PS$3)</f>
        <v>0</v>
      </c>
      <c r="PT13" s="16">
        <f>SUMIFS(Datos!$F:$F,Datos!$A:$A,$B13,Datos!$B:$B,PT$3)</f>
        <v>0</v>
      </c>
      <c r="PU13" s="16">
        <f>SUMIFS(Datos!$F:$F,Datos!$A:$A,$B13,Datos!$B:$B,PU$3)</f>
        <v>0</v>
      </c>
      <c r="PV13" s="16">
        <f>SUMIFS(Datos!$F:$F,Datos!$A:$A,$B13,Datos!$B:$B,PV$3)</f>
        <v>0</v>
      </c>
      <c r="PW13" s="16">
        <f>SUMIFS(Datos!$F:$F,Datos!$A:$A,$B13,Datos!$B:$B,PW$3)</f>
        <v>0</v>
      </c>
      <c r="PX13" s="16">
        <f>SUMIFS(Datos!$F:$F,Datos!$A:$A,$B13,Datos!$B:$B,PX$3)</f>
        <v>0</v>
      </c>
      <c r="PY13" s="16">
        <f>SUMIFS(Datos!$F:$F,Datos!$A:$A,$B13,Datos!$B:$B,PY$3)</f>
        <v>0</v>
      </c>
      <c r="PZ13" s="16">
        <f>SUMIFS(Datos!$F:$F,Datos!$A:$A,$B13,Datos!$B:$B,PZ$3)</f>
        <v>0</v>
      </c>
      <c r="QA13" s="16">
        <f>SUMIFS(Datos!$F:$F,Datos!$A:$A,$B13,Datos!$B:$B,QA$3)</f>
        <v>0</v>
      </c>
      <c r="QB13" s="16">
        <f>SUMIFS(Datos!$F:$F,Datos!$A:$A,$B13,Datos!$B:$B,QB$3)</f>
        <v>0</v>
      </c>
      <c r="QC13" s="16">
        <f>SUMIFS(Datos!$F:$F,Datos!$A:$A,$B13,Datos!$B:$B,QC$3)</f>
        <v>0</v>
      </c>
      <c r="QD13" s="16">
        <f>SUMIFS(Datos!$F:$F,Datos!$A:$A,$B13,Datos!$B:$B,QD$3)</f>
        <v>0</v>
      </c>
      <c r="QE13" s="16">
        <f>SUMIFS(Datos!$F:$F,Datos!$A:$A,$B13,Datos!$B:$B,QE$3)</f>
        <v>0</v>
      </c>
      <c r="QF13" s="16">
        <f>SUMIFS(Datos!$F:$F,Datos!$A:$A,$B13,Datos!$B:$B,QF$3)</f>
        <v>0</v>
      </c>
      <c r="QG13" s="16">
        <f>SUMIFS(Datos!$F:$F,Datos!$A:$A,$B13,Datos!$B:$B,QG$3)</f>
        <v>0</v>
      </c>
      <c r="QH13" s="16">
        <f>SUMIFS(Datos!$F:$F,Datos!$A:$A,$B13,Datos!$B:$B,QH$3)</f>
        <v>0</v>
      </c>
      <c r="QI13" s="16">
        <f>SUMIFS(Datos!$F:$F,Datos!$A:$A,$B13,Datos!$B:$B,QI$3)</f>
        <v>0</v>
      </c>
      <c r="QJ13" s="16">
        <f>SUMIFS(Datos!$F:$F,Datos!$A:$A,$B13,Datos!$B:$B,QJ$3)</f>
        <v>0</v>
      </c>
      <c r="QK13" s="16">
        <f>SUMIFS(Datos!$F:$F,Datos!$A:$A,$B13,Datos!$B:$B,QK$3)</f>
        <v>0</v>
      </c>
      <c r="QL13" s="16">
        <f>SUMIFS(Datos!$F:$F,Datos!$A:$A,$B13,Datos!$B:$B,QL$3)</f>
        <v>0</v>
      </c>
      <c r="QM13" s="16">
        <f>SUMIFS(Datos!$F:$F,Datos!$A:$A,$B13,Datos!$B:$B,QM$3)</f>
        <v>0</v>
      </c>
      <c r="QN13" s="16">
        <f>SUMIFS(Datos!$F:$F,Datos!$A:$A,$B13,Datos!$B:$B,QN$3)</f>
        <v>0</v>
      </c>
      <c r="QO13" s="16">
        <f>SUMIFS(Datos!$F:$F,Datos!$A:$A,$B13,Datos!$B:$B,QO$3)</f>
        <v>0</v>
      </c>
      <c r="QP13" s="16">
        <f>SUMIFS(Datos!$F:$F,Datos!$A:$A,$B13,Datos!$B:$B,QP$3)</f>
        <v>0</v>
      </c>
      <c r="QQ13" s="16">
        <f>SUMIFS(Datos!$F:$F,Datos!$A:$A,$B13,Datos!$B:$B,QQ$3)</f>
        <v>0</v>
      </c>
      <c r="QR13" s="16">
        <f>SUMIFS(Datos!$F:$F,Datos!$A:$A,$B13,Datos!$B:$B,QR$3)</f>
        <v>0</v>
      </c>
      <c r="QS13" s="16">
        <f>SUMIFS(Datos!$F:$F,Datos!$A:$A,$B13,Datos!$B:$B,QS$3)</f>
        <v>0</v>
      </c>
      <c r="QT13" s="16">
        <f>SUMIFS(Datos!$F:$F,Datos!$A:$A,$B13,Datos!$B:$B,QT$3)</f>
        <v>0</v>
      </c>
      <c r="QU13" s="16">
        <f>SUMIFS(Datos!$F:$F,Datos!$A:$A,$B13,Datos!$B:$B,QU$3)</f>
        <v>0</v>
      </c>
      <c r="QV13" s="16">
        <f>SUMIFS(Datos!$F:$F,Datos!$A:$A,$B13,Datos!$B:$B,QV$3)</f>
        <v>0</v>
      </c>
      <c r="QW13" s="16">
        <f>SUMIFS(Datos!$F:$F,Datos!$A:$A,$B13,Datos!$B:$B,QW$3)</f>
        <v>0</v>
      </c>
      <c r="QX13" s="16">
        <f>SUMIFS(Datos!$F:$F,Datos!$A:$A,$B13,Datos!$B:$B,QX$3)</f>
        <v>0</v>
      </c>
      <c r="QY13" s="16">
        <f>SUMIFS(Datos!$F:$F,Datos!$A:$A,$B13,Datos!$B:$B,QY$3)</f>
        <v>0</v>
      </c>
      <c r="QZ13" s="16">
        <f>SUMIFS(Datos!$F:$F,Datos!$A:$A,$B13,Datos!$B:$B,QZ$3)</f>
        <v>0</v>
      </c>
      <c r="RA13" s="16">
        <f>SUMIFS(Datos!$F:$F,Datos!$A:$A,$B13,Datos!$B:$B,RA$3)</f>
        <v>0</v>
      </c>
      <c r="RB13" s="16">
        <f>SUMIFS(Datos!$F:$F,Datos!$A:$A,$B13,Datos!$B:$B,RB$3)</f>
        <v>0</v>
      </c>
      <c r="RC13" s="16">
        <f>SUMIFS(Datos!$F:$F,Datos!$A:$A,$B13,Datos!$B:$B,RC$3)</f>
        <v>0</v>
      </c>
      <c r="RD13" s="16">
        <f>SUMIFS(Datos!$F:$F,Datos!$A:$A,$B13,Datos!$B:$B,RD$3)</f>
        <v>0</v>
      </c>
      <c r="RE13" s="16">
        <f>SUMIFS(Datos!$F:$F,Datos!$A:$A,$B13,Datos!$B:$B,RE$3)</f>
        <v>0</v>
      </c>
      <c r="RF13" s="16">
        <f>SUMIFS(Datos!$F:$F,Datos!$A:$A,$B13,Datos!$B:$B,RF$3)</f>
        <v>0</v>
      </c>
      <c r="RG13" s="16">
        <f>SUMIFS(Datos!$F:$F,Datos!$A:$A,$B13,Datos!$B:$B,RG$3)</f>
        <v>0</v>
      </c>
      <c r="RH13" s="16">
        <f>SUMIFS(Datos!$F:$F,Datos!$A:$A,$B13,Datos!$B:$B,RH$3)</f>
        <v>0</v>
      </c>
      <c r="RI13" s="16">
        <f>SUMIFS(Datos!$F:$F,Datos!$A:$A,$B13,Datos!$B:$B,RI$3)</f>
        <v>0</v>
      </c>
      <c r="RJ13" s="16">
        <f>SUMIFS(Datos!$F:$F,Datos!$A:$A,$B13,Datos!$B:$B,RJ$3)</f>
        <v>0</v>
      </c>
      <c r="RK13" s="16">
        <f>SUMIFS(Datos!$F:$F,Datos!$A:$A,$B13,Datos!$B:$B,RK$3)</f>
        <v>0</v>
      </c>
      <c r="RL13" s="16">
        <f>SUMIFS(Datos!$F:$F,Datos!$A:$A,$B13,Datos!$B:$B,RL$3)</f>
        <v>0</v>
      </c>
      <c r="RM13" s="16">
        <f>SUMIFS(Datos!$F:$F,Datos!$A:$A,$B13,Datos!$B:$B,RM$3)</f>
        <v>0</v>
      </c>
      <c r="RN13" s="16">
        <f>SUMIFS(Datos!$F:$F,Datos!$A:$A,$B13,Datos!$B:$B,RN$3)</f>
        <v>0</v>
      </c>
      <c r="RO13" s="16">
        <f>SUMIFS(Datos!$F:$F,Datos!$A:$A,$B13,Datos!$B:$B,RO$3)</f>
        <v>0</v>
      </c>
      <c r="RP13" s="16">
        <f>SUMIFS(Datos!$F:$F,Datos!$A:$A,$B13,Datos!$B:$B,RP$3)</f>
        <v>0</v>
      </c>
      <c r="RQ13" s="16">
        <f>SUMIFS(Datos!$F:$F,Datos!$A:$A,$B13,Datos!$B:$B,RQ$3)</f>
        <v>0</v>
      </c>
      <c r="RR13" s="16">
        <f>SUMIFS(Datos!$F:$F,Datos!$A:$A,$B13,Datos!$B:$B,RR$3)</f>
        <v>0</v>
      </c>
      <c r="RS13" s="16">
        <f>SUMIFS(Datos!$F:$F,Datos!$A:$A,$B13,Datos!$B:$B,RS$3)</f>
        <v>0</v>
      </c>
      <c r="RT13" s="16">
        <f>SUMIFS(Datos!$F:$F,Datos!$A:$A,$B13,Datos!$B:$B,RT$3)</f>
        <v>0</v>
      </c>
      <c r="RU13" s="16">
        <f>SUMIFS(Datos!$F:$F,Datos!$A:$A,$B13,Datos!$B:$B,RU$3)</f>
        <v>0</v>
      </c>
      <c r="RV13" s="16">
        <f>SUMIFS(Datos!$F:$F,Datos!$A:$A,$B13,Datos!$B:$B,RV$3)</f>
        <v>0</v>
      </c>
      <c r="RW13" s="16">
        <f>SUMIFS(Datos!$F:$F,Datos!$A:$A,$B13,Datos!$B:$B,RW$3)</f>
        <v>0</v>
      </c>
      <c r="RX13" s="16">
        <f>SUMIFS(Datos!$F:$F,Datos!$A:$A,$B13,Datos!$B:$B,RX$3)</f>
        <v>0</v>
      </c>
      <c r="RY13" s="16">
        <f>SUMIFS(Datos!$F:$F,Datos!$A:$A,$B13,Datos!$B:$B,RY$3)</f>
        <v>0</v>
      </c>
      <c r="RZ13" s="16">
        <f>SUMIFS(Datos!$F:$F,Datos!$A:$A,$B13,Datos!$B:$B,RZ$3)</f>
        <v>0</v>
      </c>
      <c r="SA13" s="16">
        <f>SUMIFS(Datos!$F:$F,Datos!$A:$A,$B13,Datos!$B:$B,SA$3)</f>
        <v>0</v>
      </c>
      <c r="SB13" s="16">
        <f>SUMIFS(Datos!$F:$F,Datos!$A:$A,$B13,Datos!$B:$B,SB$3)</f>
        <v>0</v>
      </c>
      <c r="SC13" s="16">
        <f>SUMIFS(Datos!$F:$F,Datos!$A:$A,$B13,Datos!$B:$B,SC$3)</f>
        <v>0</v>
      </c>
      <c r="SD13" s="16">
        <f>SUMIFS(Datos!$F:$F,Datos!$A:$A,$B13,Datos!$B:$B,SD$3)</f>
        <v>0</v>
      </c>
      <c r="SE13" s="16">
        <f>SUMIFS(Datos!$F:$F,Datos!$A:$A,$B13,Datos!$B:$B,SE$3)</f>
        <v>0</v>
      </c>
      <c r="SF13" s="16">
        <f>SUMIFS(Datos!$F:$F,Datos!$A:$A,$B13,Datos!$B:$B,SF$3)</f>
        <v>0</v>
      </c>
      <c r="SG13" s="16">
        <f>SUMIFS(Datos!$F:$F,Datos!$A:$A,$B13,Datos!$B:$B,SG$3)</f>
        <v>0</v>
      </c>
      <c r="SH13" s="16">
        <f>SUMIFS(Datos!$F:$F,Datos!$A:$A,$B13,Datos!$B:$B,SH$3)</f>
        <v>0</v>
      </c>
      <c r="SI13" s="16">
        <f>SUMIFS(Datos!$F:$F,Datos!$A:$A,$B13,Datos!$B:$B,SI$3)</f>
        <v>0</v>
      </c>
      <c r="SJ13" s="16">
        <f>SUMIFS(Datos!$F:$F,Datos!$A:$A,$B13,Datos!$B:$B,SJ$3)</f>
        <v>0</v>
      </c>
      <c r="SK13" s="16">
        <f>SUMIFS(Datos!$F:$F,Datos!$A:$A,$B13,Datos!$B:$B,SK$3)</f>
        <v>0</v>
      </c>
      <c r="SL13" s="16">
        <f>SUMIFS(Datos!$F:$F,Datos!$A:$A,$B13,Datos!$B:$B,SL$3)</f>
        <v>0</v>
      </c>
      <c r="SM13" s="16">
        <f>SUMIFS(Datos!$F:$F,Datos!$A:$A,$B13,Datos!$B:$B,SM$3)</f>
        <v>0</v>
      </c>
      <c r="SN13" s="16">
        <f>SUMIFS(Datos!$F:$F,Datos!$A:$A,$B13,Datos!$B:$B,SN$3)</f>
        <v>0</v>
      </c>
      <c r="SO13" s="16">
        <f>SUMIFS(Datos!$F:$F,Datos!$A:$A,$B13,Datos!$B:$B,SO$3)</f>
        <v>0</v>
      </c>
      <c r="SP13" s="16">
        <f>SUMIFS(Datos!$F:$F,Datos!$A:$A,$B13,Datos!$B:$B,SP$3)</f>
        <v>0</v>
      </c>
      <c r="SQ13" s="16">
        <f>SUMIFS(Datos!$F:$F,Datos!$A:$A,$B13,Datos!$B:$B,SQ$3)</f>
        <v>0</v>
      </c>
      <c r="SR13" s="16">
        <f>SUMIFS(Datos!$F:$F,Datos!$A:$A,$B13,Datos!$B:$B,SR$3)</f>
        <v>0</v>
      </c>
      <c r="SS13" s="16">
        <f>SUMIFS(Datos!$F:$F,Datos!$A:$A,$B13,Datos!$B:$B,SS$3)</f>
        <v>0</v>
      </c>
      <c r="ST13" s="16">
        <f>SUMIFS(Datos!$F:$F,Datos!$A:$A,$B13,Datos!$B:$B,ST$3)</f>
        <v>0</v>
      </c>
      <c r="SU13" s="16">
        <f>SUMIFS(Datos!$F:$F,Datos!$A:$A,$B13,Datos!$B:$B,SU$3)</f>
        <v>0</v>
      </c>
      <c r="SV13" s="16">
        <f>SUMIFS(Datos!$F:$F,Datos!$A:$A,$B13,Datos!$B:$B,SV$3)</f>
        <v>0</v>
      </c>
      <c r="SW13" s="16">
        <f>SUMIFS(Datos!$F:$F,Datos!$A:$A,$B13,Datos!$B:$B,SW$3)</f>
        <v>0</v>
      </c>
      <c r="SX13" s="16">
        <f>SUMIFS(Datos!$F:$F,Datos!$A:$A,$B13,Datos!$B:$B,SX$3)</f>
        <v>0</v>
      </c>
      <c r="SY13" s="16">
        <f>SUMIFS(Datos!$F:$F,Datos!$A:$A,$B13,Datos!$B:$B,SY$3)</f>
        <v>0</v>
      </c>
      <c r="SZ13" s="16">
        <f>SUMIFS(Datos!$F:$F,Datos!$A:$A,$B13,Datos!$B:$B,SZ$3)</f>
        <v>0</v>
      </c>
      <c r="TA13" s="16">
        <f>SUMIFS(Datos!$F:$F,Datos!$A:$A,$B13,Datos!$B:$B,TA$3)</f>
        <v>0</v>
      </c>
      <c r="TB13" s="16">
        <f>SUMIFS(Datos!$F:$F,Datos!$A:$A,$B13,Datos!$B:$B,TB$3)</f>
        <v>0</v>
      </c>
      <c r="TC13" s="16">
        <f>SUMIFS(Datos!$F:$F,Datos!$A:$A,$B13,Datos!$B:$B,TC$3)</f>
        <v>0</v>
      </c>
      <c r="TD13" s="16">
        <f>SUMIFS(Datos!$F:$F,Datos!$A:$A,$B13,Datos!$B:$B,TD$3)</f>
        <v>0</v>
      </c>
      <c r="TE13" s="16">
        <f>SUMIFS(Datos!$F:$F,Datos!$A:$A,$B13,Datos!$B:$B,TE$3)</f>
        <v>0</v>
      </c>
      <c r="TF13" s="16">
        <f>SUMIFS(Datos!$F:$F,Datos!$A:$A,$B13,Datos!$B:$B,TF$3)</f>
        <v>0</v>
      </c>
    </row>
    <row r="14" spans="1:526">
      <c r="A14" s="31" t="s">
        <v>48</v>
      </c>
      <c r="B14" s="4">
        <f>Cartera!B14</f>
        <v>0</v>
      </c>
      <c r="C14" s="4">
        <f>Cartera!C14</f>
        <v>0</v>
      </c>
      <c r="D14" s="16">
        <f>SUMIFS(Datos!$F:$F,Datos!$A:$A,$B14,Datos!$B:$B,D$3)</f>
        <v>0</v>
      </c>
      <c r="E14" s="16">
        <f>SUMIFS(Datos!$F:$F,Datos!$A:$A,$B14,Datos!$B:$B,E$3)</f>
        <v>0</v>
      </c>
      <c r="F14" s="16">
        <f>SUMIFS(Datos!$F:$F,Datos!$A:$A,$B14,Datos!$B:$B,F$3)</f>
        <v>0</v>
      </c>
      <c r="G14" s="16">
        <f>SUMIFS(Datos!$F:$F,Datos!$A:$A,$B14,Datos!$B:$B,G$3)</f>
        <v>0</v>
      </c>
      <c r="H14" s="16">
        <f>SUMIFS(Datos!$F:$F,Datos!$A:$A,$B14,Datos!$B:$B,H$3)</f>
        <v>0</v>
      </c>
      <c r="I14" s="16">
        <f>SUMIFS(Datos!$F:$F,Datos!$A:$A,$B14,Datos!$B:$B,I$3)</f>
        <v>0</v>
      </c>
      <c r="J14" s="16">
        <f>SUMIFS(Datos!$F:$F,Datos!$A:$A,$B14,Datos!$B:$B,J$3)</f>
        <v>0</v>
      </c>
      <c r="K14" s="16">
        <f>SUMIFS(Datos!$F:$F,Datos!$A:$A,$B14,Datos!$B:$B,K$3)</f>
        <v>0</v>
      </c>
      <c r="L14" s="16">
        <f>SUMIFS(Datos!$F:$F,Datos!$A:$A,$B14,Datos!$B:$B,L$3)</f>
        <v>0</v>
      </c>
      <c r="M14" s="16">
        <f>SUMIFS(Datos!$F:$F,Datos!$A:$A,$B14,Datos!$B:$B,M$3)</f>
        <v>0</v>
      </c>
      <c r="N14" s="16">
        <f>SUMIFS(Datos!$F:$F,Datos!$A:$A,$B14,Datos!$B:$B,N$3)</f>
        <v>0</v>
      </c>
      <c r="O14" s="16">
        <f>SUMIFS(Datos!$F:$F,Datos!$A:$A,$B14,Datos!$B:$B,O$3)</f>
        <v>0</v>
      </c>
      <c r="P14" s="16">
        <f>SUMIFS(Datos!$F:$F,Datos!$A:$A,$B14,Datos!$B:$B,P$3)</f>
        <v>0</v>
      </c>
      <c r="Q14" s="16">
        <f>SUMIFS(Datos!$F:$F,Datos!$A:$A,$B14,Datos!$B:$B,Q$3)</f>
        <v>0</v>
      </c>
      <c r="R14" s="16">
        <f>SUMIFS(Datos!$F:$F,Datos!$A:$A,$B14,Datos!$B:$B,R$3)</f>
        <v>0</v>
      </c>
      <c r="S14" s="16">
        <f>SUMIFS(Datos!$F:$F,Datos!$A:$A,$B14,Datos!$B:$B,S$3)</f>
        <v>0</v>
      </c>
      <c r="T14" s="16">
        <f>SUMIFS(Datos!$F:$F,Datos!$A:$A,$B14,Datos!$B:$B,T$3)</f>
        <v>0</v>
      </c>
      <c r="U14" s="16">
        <f>SUMIFS(Datos!$F:$F,Datos!$A:$A,$B14,Datos!$B:$B,U$3)</f>
        <v>0</v>
      </c>
      <c r="V14" s="16">
        <f>SUMIFS(Datos!$F:$F,Datos!$A:$A,$B14,Datos!$B:$B,V$3)</f>
        <v>0</v>
      </c>
      <c r="W14" s="16">
        <f>SUMIFS(Datos!$F:$F,Datos!$A:$A,$B14,Datos!$B:$B,W$3)</f>
        <v>0</v>
      </c>
      <c r="X14" s="16">
        <f>SUMIFS(Datos!$F:$F,Datos!$A:$A,$B14,Datos!$B:$B,X$3)</f>
        <v>0</v>
      </c>
      <c r="Y14" s="16">
        <f>SUMIFS(Datos!$F:$F,Datos!$A:$A,$B14,Datos!$B:$B,Y$3)</f>
        <v>0</v>
      </c>
      <c r="Z14" s="16">
        <f>SUMIFS(Datos!$F:$F,Datos!$A:$A,$B14,Datos!$B:$B,Z$3)</f>
        <v>0</v>
      </c>
      <c r="AA14" s="16">
        <f>SUMIFS(Datos!$F:$F,Datos!$A:$A,$B14,Datos!$B:$B,AA$3)</f>
        <v>0</v>
      </c>
      <c r="AB14" s="16">
        <f>SUMIFS(Datos!$F:$F,Datos!$A:$A,$B14,Datos!$B:$B,AB$3)</f>
        <v>0</v>
      </c>
      <c r="AC14" s="16">
        <f>SUMIFS(Datos!$F:$F,Datos!$A:$A,$B14,Datos!$B:$B,AC$3)</f>
        <v>0</v>
      </c>
      <c r="AD14" s="16">
        <f>SUMIFS(Datos!$F:$F,Datos!$A:$A,$B14,Datos!$B:$B,AD$3)</f>
        <v>0</v>
      </c>
      <c r="AE14" s="16">
        <f>SUMIFS(Datos!$F:$F,Datos!$A:$A,$B14,Datos!$B:$B,AE$3)</f>
        <v>0</v>
      </c>
      <c r="AF14" s="16">
        <f>SUMIFS(Datos!$F:$F,Datos!$A:$A,$B14,Datos!$B:$B,AF$3)</f>
        <v>0</v>
      </c>
      <c r="AG14" s="16">
        <f>SUMIFS(Datos!$F:$F,Datos!$A:$A,$B14,Datos!$B:$B,AG$3)</f>
        <v>0</v>
      </c>
      <c r="AH14" s="16">
        <f>SUMIFS(Datos!$F:$F,Datos!$A:$A,$B14,Datos!$B:$B,AH$3)</f>
        <v>0</v>
      </c>
      <c r="AI14" s="16">
        <f>SUMIFS(Datos!$F:$F,Datos!$A:$A,$B14,Datos!$B:$B,AI$3)</f>
        <v>0</v>
      </c>
      <c r="AJ14" s="16">
        <f>SUMIFS(Datos!$F:$F,Datos!$A:$A,$B14,Datos!$B:$B,AJ$3)</f>
        <v>0</v>
      </c>
      <c r="AK14" s="16">
        <f>SUMIFS(Datos!$F:$F,Datos!$A:$A,$B14,Datos!$B:$B,AK$3)</f>
        <v>0</v>
      </c>
      <c r="AL14" s="16">
        <f>SUMIFS(Datos!$F:$F,Datos!$A:$A,$B14,Datos!$B:$B,AL$3)</f>
        <v>0</v>
      </c>
      <c r="AM14" s="16">
        <f>SUMIFS(Datos!$F:$F,Datos!$A:$A,$B14,Datos!$B:$B,AM$3)</f>
        <v>0</v>
      </c>
      <c r="AN14" s="16">
        <f>SUMIFS(Datos!$F:$F,Datos!$A:$A,$B14,Datos!$B:$B,AN$3)</f>
        <v>0</v>
      </c>
      <c r="AO14" s="16">
        <f>SUMIFS(Datos!$F:$F,Datos!$A:$A,$B14,Datos!$B:$B,AO$3)</f>
        <v>0</v>
      </c>
      <c r="AP14" s="16">
        <f>SUMIFS(Datos!$F:$F,Datos!$A:$A,$B14,Datos!$B:$B,AP$3)</f>
        <v>0</v>
      </c>
      <c r="AQ14" s="16">
        <f>SUMIFS(Datos!$F:$F,Datos!$A:$A,$B14,Datos!$B:$B,AQ$3)</f>
        <v>0</v>
      </c>
      <c r="AR14" s="16">
        <f>SUMIFS(Datos!$F:$F,Datos!$A:$A,$B14,Datos!$B:$B,AR$3)</f>
        <v>0</v>
      </c>
      <c r="AS14" s="16">
        <f>SUMIFS(Datos!$F:$F,Datos!$A:$A,$B14,Datos!$B:$B,AS$3)</f>
        <v>0</v>
      </c>
      <c r="AT14" s="16">
        <f>SUMIFS(Datos!$F:$F,Datos!$A:$A,$B14,Datos!$B:$B,AT$3)</f>
        <v>0</v>
      </c>
      <c r="AU14" s="16">
        <f>SUMIFS(Datos!$F:$F,Datos!$A:$A,$B14,Datos!$B:$B,AU$3)</f>
        <v>0</v>
      </c>
      <c r="AV14" s="16">
        <f>SUMIFS(Datos!$F:$F,Datos!$A:$A,$B14,Datos!$B:$B,AV$3)</f>
        <v>0</v>
      </c>
      <c r="AW14" s="16">
        <f>SUMIFS(Datos!$F:$F,Datos!$A:$A,$B14,Datos!$B:$B,AW$3)</f>
        <v>0</v>
      </c>
      <c r="AX14" s="16">
        <f>SUMIFS(Datos!$F:$F,Datos!$A:$A,$B14,Datos!$B:$B,AX$3)</f>
        <v>0</v>
      </c>
      <c r="AY14" s="16">
        <f>SUMIFS(Datos!$F:$F,Datos!$A:$A,$B14,Datos!$B:$B,AY$3)</f>
        <v>0</v>
      </c>
      <c r="AZ14" s="16">
        <f>SUMIFS(Datos!$F:$F,Datos!$A:$A,$B14,Datos!$B:$B,AZ$3)</f>
        <v>0</v>
      </c>
      <c r="BA14" s="16">
        <f>SUMIFS(Datos!$F:$F,Datos!$A:$A,$B14,Datos!$B:$B,BA$3)</f>
        <v>0</v>
      </c>
      <c r="BB14" s="16">
        <f>SUMIFS(Datos!$F:$F,Datos!$A:$A,$B14,Datos!$B:$B,BB$3)</f>
        <v>0</v>
      </c>
      <c r="BC14" s="16">
        <f>SUMIFS(Datos!$F:$F,Datos!$A:$A,$B14,Datos!$B:$B,BC$3)</f>
        <v>0</v>
      </c>
      <c r="BD14" s="16">
        <f>SUMIFS(Datos!$F:$F,Datos!$A:$A,$B14,Datos!$B:$B,BD$3)</f>
        <v>0</v>
      </c>
      <c r="BE14" s="16">
        <f>SUMIFS(Datos!$F:$F,Datos!$A:$A,$B14,Datos!$B:$B,BE$3)</f>
        <v>0</v>
      </c>
      <c r="BF14" s="16">
        <f>SUMIFS(Datos!$F:$F,Datos!$A:$A,$B14,Datos!$B:$B,BF$3)</f>
        <v>0</v>
      </c>
      <c r="BG14" s="16">
        <f>SUMIFS(Datos!$F:$F,Datos!$A:$A,$B14,Datos!$B:$B,BG$3)</f>
        <v>0</v>
      </c>
      <c r="BH14" s="16">
        <f>SUMIFS(Datos!$F:$F,Datos!$A:$A,$B14,Datos!$B:$B,BH$3)</f>
        <v>0</v>
      </c>
      <c r="BI14" s="16">
        <f>SUMIFS(Datos!$F:$F,Datos!$A:$A,$B14,Datos!$B:$B,BI$3)</f>
        <v>0</v>
      </c>
      <c r="BJ14" s="16">
        <f>SUMIFS(Datos!$F:$F,Datos!$A:$A,$B14,Datos!$B:$B,BJ$3)</f>
        <v>0</v>
      </c>
      <c r="BK14" s="16">
        <f>SUMIFS(Datos!$F:$F,Datos!$A:$A,$B14,Datos!$B:$B,BK$3)</f>
        <v>0</v>
      </c>
      <c r="BL14" s="16">
        <f>SUMIFS(Datos!$F:$F,Datos!$A:$A,$B14,Datos!$B:$B,BL$3)</f>
        <v>0</v>
      </c>
      <c r="BM14" s="16">
        <f>SUMIFS(Datos!$F:$F,Datos!$A:$A,$B14,Datos!$B:$B,BM$3)</f>
        <v>0</v>
      </c>
      <c r="BN14" s="16">
        <f>SUMIFS(Datos!$F:$F,Datos!$A:$A,$B14,Datos!$B:$B,BN$3)</f>
        <v>0</v>
      </c>
      <c r="BO14" s="16">
        <f>SUMIFS(Datos!$F:$F,Datos!$A:$A,$B14,Datos!$B:$B,BO$3)</f>
        <v>0</v>
      </c>
      <c r="BP14" s="16">
        <f>SUMIFS(Datos!$F:$F,Datos!$A:$A,$B14,Datos!$B:$B,BP$3)</f>
        <v>0</v>
      </c>
      <c r="BQ14" s="16">
        <f>SUMIFS(Datos!$F:$F,Datos!$A:$A,$B14,Datos!$B:$B,BQ$3)</f>
        <v>0</v>
      </c>
      <c r="BR14" s="16">
        <f>SUMIFS(Datos!$F:$F,Datos!$A:$A,$B14,Datos!$B:$B,BR$3)</f>
        <v>0</v>
      </c>
      <c r="BS14" s="16">
        <f>SUMIFS(Datos!$F:$F,Datos!$A:$A,$B14,Datos!$B:$B,BS$3)</f>
        <v>0</v>
      </c>
      <c r="BT14" s="16">
        <f>SUMIFS(Datos!$F:$F,Datos!$A:$A,$B14,Datos!$B:$B,BT$3)</f>
        <v>0</v>
      </c>
      <c r="BU14" s="16">
        <f>SUMIFS(Datos!$F:$F,Datos!$A:$A,$B14,Datos!$B:$B,BU$3)</f>
        <v>0</v>
      </c>
      <c r="BV14" s="16">
        <f>SUMIFS(Datos!$F:$F,Datos!$A:$A,$B14,Datos!$B:$B,BV$3)</f>
        <v>0</v>
      </c>
      <c r="BW14" s="16">
        <f>SUMIFS(Datos!$F:$F,Datos!$A:$A,$B14,Datos!$B:$B,BW$3)</f>
        <v>0</v>
      </c>
      <c r="BX14" s="16">
        <f>SUMIFS(Datos!$F:$F,Datos!$A:$A,$B14,Datos!$B:$B,BX$3)</f>
        <v>0</v>
      </c>
      <c r="BY14" s="16">
        <f>SUMIFS(Datos!$F:$F,Datos!$A:$A,$B14,Datos!$B:$B,BY$3)</f>
        <v>0</v>
      </c>
      <c r="BZ14" s="16">
        <f>SUMIFS(Datos!$F:$F,Datos!$A:$A,$B14,Datos!$B:$B,BZ$3)</f>
        <v>0</v>
      </c>
      <c r="CA14" s="16">
        <f>SUMIFS(Datos!$F:$F,Datos!$A:$A,$B14,Datos!$B:$B,CA$3)</f>
        <v>0</v>
      </c>
      <c r="CB14" s="16">
        <f>SUMIFS(Datos!$F:$F,Datos!$A:$A,$B14,Datos!$B:$B,CB$3)</f>
        <v>0</v>
      </c>
      <c r="CC14" s="16">
        <f>SUMIFS(Datos!$F:$F,Datos!$A:$A,$B14,Datos!$B:$B,CC$3)</f>
        <v>0</v>
      </c>
      <c r="CD14" s="16">
        <f>SUMIFS(Datos!$F:$F,Datos!$A:$A,$B14,Datos!$B:$B,CD$3)</f>
        <v>0</v>
      </c>
      <c r="CE14" s="16">
        <f>SUMIFS(Datos!$F:$F,Datos!$A:$A,$B14,Datos!$B:$B,CE$3)</f>
        <v>0</v>
      </c>
      <c r="CF14" s="16">
        <f>SUMIFS(Datos!$F:$F,Datos!$A:$A,$B14,Datos!$B:$B,CF$3)</f>
        <v>0</v>
      </c>
      <c r="CG14" s="16">
        <f>SUMIFS(Datos!$F:$F,Datos!$A:$A,$B14,Datos!$B:$B,CG$3)</f>
        <v>0</v>
      </c>
      <c r="CH14" s="16">
        <f>SUMIFS(Datos!$F:$F,Datos!$A:$A,$B14,Datos!$B:$B,CH$3)</f>
        <v>0</v>
      </c>
      <c r="CI14" s="16">
        <f>SUMIFS(Datos!$F:$F,Datos!$A:$A,$B14,Datos!$B:$B,CI$3)</f>
        <v>0</v>
      </c>
      <c r="CJ14" s="16">
        <f>SUMIFS(Datos!$F:$F,Datos!$A:$A,$B14,Datos!$B:$B,CJ$3)</f>
        <v>0</v>
      </c>
      <c r="CK14" s="16">
        <f>SUMIFS(Datos!$F:$F,Datos!$A:$A,$B14,Datos!$B:$B,CK$3)</f>
        <v>0</v>
      </c>
      <c r="CL14" s="16">
        <f>SUMIFS(Datos!$F:$F,Datos!$A:$A,$B14,Datos!$B:$B,CL$3)</f>
        <v>0</v>
      </c>
      <c r="CM14" s="16">
        <f>SUMIFS(Datos!$F:$F,Datos!$A:$A,$B14,Datos!$B:$B,CM$3)</f>
        <v>0</v>
      </c>
      <c r="CN14" s="16">
        <f>SUMIFS(Datos!$F:$F,Datos!$A:$A,$B14,Datos!$B:$B,CN$3)</f>
        <v>0</v>
      </c>
      <c r="CO14" s="16">
        <f>SUMIFS(Datos!$F:$F,Datos!$A:$A,$B14,Datos!$B:$B,CO$3)</f>
        <v>0</v>
      </c>
      <c r="CP14" s="16">
        <f>SUMIFS(Datos!$F:$F,Datos!$A:$A,$B14,Datos!$B:$B,CP$3)</f>
        <v>0</v>
      </c>
      <c r="CQ14" s="16">
        <f>SUMIFS(Datos!$F:$F,Datos!$A:$A,$B14,Datos!$B:$B,CQ$3)</f>
        <v>0</v>
      </c>
      <c r="CR14" s="16">
        <f>SUMIFS(Datos!$F:$F,Datos!$A:$A,$B14,Datos!$B:$B,CR$3)</f>
        <v>0</v>
      </c>
      <c r="CS14" s="16">
        <f>SUMIFS(Datos!$F:$F,Datos!$A:$A,$B14,Datos!$B:$B,CS$3)</f>
        <v>0</v>
      </c>
      <c r="CT14" s="16">
        <f>SUMIFS(Datos!$F:$F,Datos!$A:$A,$B14,Datos!$B:$B,CT$3)</f>
        <v>0</v>
      </c>
      <c r="CU14" s="16">
        <f>SUMIFS(Datos!$F:$F,Datos!$A:$A,$B14,Datos!$B:$B,CU$3)</f>
        <v>0</v>
      </c>
      <c r="CV14" s="16">
        <f>SUMIFS(Datos!$F:$F,Datos!$A:$A,$B14,Datos!$B:$B,CV$3)</f>
        <v>0</v>
      </c>
      <c r="CW14" s="16">
        <f>SUMIFS(Datos!$F:$F,Datos!$A:$A,$B14,Datos!$B:$B,CW$3)</f>
        <v>0</v>
      </c>
      <c r="CX14" s="16">
        <f>SUMIFS(Datos!$F:$F,Datos!$A:$A,$B14,Datos!$B:$B,CX$3)</f>
        <v>0</v>
      </c>
      <c r="CY14" s="16">
        <f>SUMIFS(Datos!$F:$F,Datos!$A:$A,$B14,Datos!$B:$B,CY$3)</f>
        <v>0</v>
      </c>
      <c r="CZ14" s="16">
        <f>SUMIFS(Datos!$F:$F,Datos!$A:$A,$B14,Datos!$B:$B,CZ$3)</f>
        <v>0</v>
      </c>
      <c r="DA14" s="16">
        <f>SUMIFS(Datos!$F:$F,Datos!$A:$A,$B14,Datos!$B:$B,DA$3)</f>
        <v>0</v>
      </c>
      <c r="DB14" s="16">
        <f>SUMIFS(Datos!$F:$F,Datos!$A:$A,$B14,Datos!$B:$B,DB$3)</f>
        <v>0</v>
      </c>
      <c r="DC14" s="16">
        <f>SUMIFS(Datos!$F:$F,Datos!$A:$A,$B14,Datos!$B:$B,DC$3)</f>
        <v>0</v>
      </c>
      <c r="DD14" s="16">
        <f>SUMIFS(Datos!$F:$F,Datos!$A:$A,$B14,Datos!$B:$B,DD$3)</f>
        <v>0</v>
      </c>
      <c r="DE14" s="16">
        <f>SUMIFS(Datos!$F:$F,Datos!$A:$A,$B14,Datos!$B:$B,DE$3)</f>
        <v>0</v>
      </c>
      <c r="DF14" s="16">
        <f>SUMIFS(Datos!$F:$F,Datos!$A:$A,$B14,Datos!$B:$B,DF$3)</f>
        <v>0</v>
      </c>
      <c r="DG14" s="16">
        <f>SUMIFS(Datos!$F:$F,Datos!$A:$A,$B14,Datos!$B:$B,DG$3)</f>
        <v>0</v>
      </c>
      <c r="DH14" s="16">
        <f>SUMIFS(Datos!$F:$F,Datos!$A:$A,$B14,Datos!$B:$B,DH$3)</f>
        <v>0</v>
      </c>
      <c r="DI14" s="16">
        <f>SUMIFS(Datos!$F:$F,Datos!$A:$A,$B14,Datos!$B:$B,DI$3)</f>
        <v>0</v>
      </c>
      <c r="DJ14" s="16">
        <f>SUMIFS(Datos!$F:$F,Datos!$A:$A,$B14,Datos!$B:$B,DJ$3)</f>
        <v>0</v>
      </c>
      <c r="DK14" s="16">
        <f>SUMIFS(Datos!$F:$F,Datos!$A:$A,$B14,Datos!$B:$B,DK$3)</f>
        <v>0</v>
      </c>
      <c r="DL14" s="16">
        <f>SUMIFS(Datos!$F:$F,Datos!$A:$A,$B14,Datos!$B:$B,DL$3)</f>
        <v>0</v>
      </c>
      <c r="DM14" s="16">
        <f>SUMIFS(Datos!$F:$F,Datos!$A:$A,$B14,Datos!$B:$B,DM$3)</f>
        <v>0</v>
      </c>
      <c r="DN14" s="16">
        <f>SUMIFS(Datos!$F:$F,Datos!$A:$A,$B14,Datos!$B:$B,DN$3)</f>
        <v>0</v>
      </c>
      <c r="DO14" s="16">
        <f>SUMIFS(Datos!$F:$F,Datos!$A:$A,$B14,Datos!$B:$B,DO$3)</f>
        <v>0</v>
      </c>
      <c r="DP14" s="16">
        <f>SUMIFS(Datos!$F:$F,Datos!$A:$A,$B14,Datos!$B:$B,DP$3)</f>
        <v>0</v>
      </c>
      <c r="DQ14" s="16">
        <f>SUMIFS(Datos!$F:$F,Datos!$A:$A,$B14,Datos!$B:$B,DQ$3)</f>
        <v>0</v>
      </c>
      <c r="DR14" s="16">
        <f>SUMIFS(Datos!$F:$F,Datos!$A:$A,$B14,Datos!$B:$B,DR$3)</f>
        <v>0</v>
      </c>
      <c r="DS14" s="16">
        <f>SUMIFS(Datos!$F:$F,Datos!$A:$A,$B14,Datos!$B:$B,DS$3)</f>
        <v>0</v>
      </c>
      <c r="DT14" s="16">
        <f>SUMIFS(Datos!$F:$F,Datos!$A:$A,$B14,Datos!$B:$B,DT$3)</f>
        <v>0</v>
      </c>
      <c r="DU14" s="16">
        <f>SUMIFS(Datos!$F:$F,Datos!$A:$A,$B14,Datos!$B:$B,DU$3)</f>
        <v>0</v>
      </c>
      <c r="DV14" s="16">
        <f>SUMIFS(Datos!$F:$F,Datos!$A:$A,$B14,Datos!$B:$B,DV$3)</f>
        <v>0</v>
      </c>
      <c r="DW14" s="16">
        <f>SUMIFS(Datos!$F:$F,Datos!$A:$A,$B14,Datos!$B:$B,DW$3)</f>
        <v>0</v>
      </c>
      <c r="DX14" s="16">
        <f>SUMIFS(Datos!$F:$F,Datos!$A:$A,$B14,Datos!$B:$B,DX$3)</f>
        <v>0</v>
      </c>
      <c r="DY14" s="16">
        <f>SUMIFS(Datos!$F:$F,Datos!$A:$A,$B14,Datos!$B:$B,DY$3)</f>
        <v>0</v>
      </c>
      <c r="DZ14" s="16">
        <f>SUMIFS(Datos!$F:$F,Datos!$A:$A,$B14,Datos!$B:$B,DZ$3)</f>
        <v>0</v>
      </c>
      <c r="EA14" s="16">
        <f>SUMIFS(Datos!$F:$F,Datos!$A:$A,$B14,Datos!$B:$B,EA$3)</f>
        <v>0</v>
      </c>
      <c r="EB14" s="16">
        <f>SUMIFS(Datos!$F:$F,Datos!$A:$A,$B14,Datos!$B:$B,EB$3)</f>
        <v>0</v>
      </c>
      <c r="EC14" s="16">
        <f>SUMIFS(Datos!$F:$F,Datos!$A:$A,$B14,Datos!$B:$B,EC$3)</f>
        <v>0</v>
      </c>
      <c r="ED14" s="16">
        <f>SUMIFS(Datos!$F:$F,Datos!$A:$A,$B14,Datos!$B:$B,ED$3)</f>
        <v>0</v>
      </c>
      <c r="EE14" s="16">
        <f>SUMIFS(Datos!$F:$F,Datos!$A:$A,$B14,Datos!$B:$B,EE$3)</f>
        <v>0</v>
      </c>
      <c r="EF14" s="16">
        <f>SUMIFS(Datos!$F:$F,Datos!$A:$A,$B14,Datos!$B:$B,EF$3)</f>
        <v>0</v>
      </c>
      <c r="EG14" s="16">
        <f>SUMIFS(Datos!$F:$F,Datos!$A:$A,$B14,Datos!$B:$B,EG$3)</f>
        <v>0</v>
      </c>
      <c r="EH14" s="16">
        <f>SUMIFS(Datos!$F:$F,Datos!$A:$A,$B14,Datos!$B:$B,EH$3)</f>
        <v>0</v>
      </c>
      <c r="EI14" s="16">
        <f>SUMIFS(Datos!$F:$F,Datos!$A:$A,$B14,Datos!$B:$B,EI$3)</f>
        <v>0</v>
      </c>
      <c r="EJ14" s="16">
        <f>SUMIFS(Datos!$F:$F,Datos!$A:$A,$B14,Datos!$B:$B,EJ$3)</f>
        <v>0</v>
      </c>
      <c r="EK14" s="16">
        <f>SUMIFS(Datos!$F:$F,Datos!$A:$A,$B14,Datos!$B:$B,EK$3)</f>
        <v>0</v>
      </c>
      <c r="EL14" s="16">
        <f>SUMIFS(Datos!$F:$F,Datos!$A:$A,$B14,Datos!$B:$B,EL$3)</f>
        <v>0</v>
      </c>
      <c r="EM14" s="16">
        <f>SUMIFS(Datos!$F:$F,Datos!$A:$A,$B14,Datos!$B:$B,EM$3)</f>
        <v>0</v>
      </c>
      <c r="EN14" s="16">
        <f>SUMIFS(Datos!$F:$F,Datos!$A:$A,$B14,Datos!$B:$B,EN$3)</f>
        <v>0</v>
      </c>
      <c r="EO14" s="16">
        <f>SUMIFS(Datos!$F:$F,Datos!$A:$A,$B14,Datos!$B:$B,EO$3)</f>
        <v>0</v>
      </c>
      <c r="EP14" s="16">
        <f>SUMIFS(Datos!$F:$F,Datos!$A:$A,$B14,Datos!$B:$B,EP$3)</f>
        <v>0</v>
      </c>
      <c r="EQ14" s="16">
        <f>SUMIFS(Datos!$F:$F,Datos!$A:$A,$B14,Datos!$B:$B,EQ$3)</f>
        <v>0</v>
      </c>
      <c r="ER14" s="16">
        <f>SUMIFS(Datos!$F:$F,Datos!$A:$A,$B14,Datos!$B:$B,ER$3)</f>
        <v>0</v>
      </c>
      <c r="ES14" s="16">
        <f>SUMIFS(Datos!$F:$F,Datos!$A:$A,$B14,Datos!$B:$B,ES$3)</f>
        <v>0</v>
      </c>
      <c r="ET14" s="16">
        <f>SUMIFS(Datos!$F:$F,Datos!$A:$A,$B14,Datos!$B:$B,ET$3)</f>
        <v>0</v>
      </c>
      <c r="EU14" s="16">
        <f>SUMIFS(Datos!$F:$F,Datos!$A:$A,$B14,Datos!$B:$B,EU$3)</f>
        <v>0</v>
      </c>
      <c r="EV14" s="16">
        <f>SUMIFS(Datos!$F:$F,Datos!$A:$A,$B14,Datos!$B:$B,EV$3)</f>
        <v>0</v>
      </c>
      <c r="EW14" s="16">
        <f>SUMIFS(Datos!$F:$F,Datos!$A:$A,$B14,Datos!$B:$B,EW$3)</f>
        <v>0</v>
      </c>
      <c r="EX14" s="16">
        <f>SUMIFS(Datos!$F:$F,Datos!$A:$A,$B14,Datos!$B:$B,EX$3)</f>
        <v>0</v>
      </c>
      <c r="EY14" s="16">
        <f>SUMIFS(Datos!$F:$F,Datos!$A:$A,$B14,Datos!$B:$B,EY$3)</f>
        <v>0</v>
      </c>
      <c r="EZ14" s="16">
        <f>SUMIFS(Datos!$F:$F,Datos!$A:$A,$B14,Datos!$B:$B,EZ$3)</f>
        <v>0</v>
      </c>
      <c r="FA14" s="16">
        <f>SUMIFS(Datos!$F:$F,Datos!$A:$A,$B14,Datos!$B:$B,FA$3)</f>
        <v>0</v>
      </c>
      <c r="FB14" s="16">
        <f>SUMIFS(Datos!$F:$F,Datos!$A:$A,$B14,Datos!$B:$B,FB$3)</f>
        <v>0</v>
      </c>
      <c r="FC14" s="16">
        <f>SUMIFS(Datos!$F:$F,Datos!$A:$A,$B14,Datos!$B:$B,FC$3)</f>
        <v>0</v>
      </c>
      <c r="FD14" s="16">
        <f>SUMIFS(Datos!$F:$F,Datos!$A:$A,$B14,Datos!$B:$B,FD$3)</f>
        <v>0</v>
      </c>
      <c r="FE14" s="16">
        <f>SUMIFS(Datos!$F:$F,Datos!$A:$A,$B14,Datos!$B:$B,FE$3)</f>
        <v>0</v>
      </c>
      <c r="FF14" s="16">
        <f>SUMIFS(Datos!$F:$F,Datos!$A:$A,$B14,Datos!$B:$B,FF$3)</f>
        <v>0</v>
      </c>
      <c r="FG14" s="16">
        <f>SUMIFS(Datos!$F:$F,Datos!$A:$A,$B14,Datos!$B:$B,FG$3)</f>
        <v>0</v>
      </c>
      <c r="FH14" s="16">
        <f>SUMIFS(Datos!$F:$F,Datos!$A:$A,$B14,Datos!$B:$B,FH$3)</f>
        <v>0</v>
      </c>
      <c r="FI14" s="16">
        <f>SUMIFS(Datos!$F:$F,Datos!$A:$A,$B14,Datos!$B:$B,FI$3)</f>
        <v>0</v>
      </c>
      <c r="FJ14" s="16">
        <f>SUMIFS(Datos!$F:$F,Datos!$A:$A,$B14,Datos!$B:$B,FJ$3)</f>
        <v>0</v>
      </c>
      <c r="FK14" s="16">
        <f>SUMIFS(Datos!$F:$F,Datos!$A:$A,$B14,Datos!$B:$B,FK$3)</f>
        <v>0</v>
      </c>
      <c r="FL14" s="16">
        <f>SUMIFS(Datos!$F:$F,Datos!$A:$A,$B14,Datos!$B:$B,FL$3)</f>
        <v>0</v>
      </c>
      <c r="FM14" s="16">
        <f>SUMIFS(Datos!$F:$F,Datos!$A:$A,$B14,Datos!$B:$B,FM$3)</f>
        <v>0</v>
      </c>
      <c r="FN14" s="16">
        <f>SUMIFS(Datos!$F:$F,Datos!$A:$A,$B14,Datos!$B:$B,FN$3)</f>
        <v>0</v>
      </c>
      <c r="FO14" s="16">
        <f>SUMIFS(Datos!$F:$F,Datos!$A:$A,$B14,Datos!$B:$B,FO$3)</f>
        <v>0</v>
      </c>
      <c r="FP14" s="16">
        <f>SUMIFS(Datos!$F:$F,Datos!$A:$A,$B14,Datos!$B:$B,FP$3)</f>
        <v>0</v>
      </c>
      <c r="FQ14" s="16">
        <f>SUMIFS(Datos!$F:$F,Datos!$A:$A,$B14,Datos!$B:$B,FQ$3)</f>
        <v>0</v>
      </c>
      <c r="FR14" s="16">
        <f>SUMIFS(Datos!$F:$F,Datos!$A:$A,$B14,Datos!$B:$B,FR$3)</f>
        <v>0</v>
      </c>
      <c r="FS14" s="16">
        <f>SUMIFS(Datos!$F:$F,Datos!$A:$A,$B14,Datos!$B:$B,FS$3)</f>
        <v>0</v>
      </c>
      <c r="FT14" s="16">
        <f>SUMIFS(Datos!$F:$F,Datos!$A:$A,$B14,Datos!$B:$B,FT$3)</f>
        <v>0</v>
      </c>
      <c r="FU14" s="16">
        <f>SUMIFS(Datos!$F:$F,Datos!$A:$A,$B14,Datos!$B:$B,FU$3)</f>
        <v>0</v>
      </c>
      <c r="FV14" s="16">
        <f>SUMIFS(Datos!$F:$F,Datos!$A:$A,$B14,Datos!$B:$B,FV$3)</f>
        <v>0</v>
      </c>
      <c r="FW14" s="16">
        <f>SUMIFS(Datos!$F:$F,Datos!$A:$A,$B14,Datos!$B:$B,FW$3)</f>
        <v>0</v>
      </c>
      <c r="FX14" s="16">
        <f>SUMIFS(Datos!$F:$F,Datos!$A:$A,$B14,Datos!$B:$B,FX$3)</f>
        <v>0</v>
      </c>
      <c r="FY14" s="16">
        <f>SUMIFS(Datos!$F:$F,Datos!$A:$A,$B14,Datos!$B:$B,FY$3)</f>
        <v>0</v>
      </c>
      <c r="FZ14" s="16">
        <f>SUMIFS(Datos!$F:$F,Datos!$A:$A,$B14,Datos!$B:$B,FZ$3)</f>
        <v>0</v>
      </c>
      <c r="GA14" s="16">
        <f>SUMIFS(Datos!$F:$F,Datos!$A:$A,$B14,Datos!$B:$B,GA$3)</f>
        <v>0</v>
      </c>
      <c r="GB14" s="16">
        <f>SUMIFS(Datos!$F:$F,Datos!$A:$A,$B14,Datos!$B:$B,GB$3)</f>
        <v>0</v>
      </c>
      <c r="GC14" s="16">
        <f>SUMIFS(Datos!$F:$F,Datos!$A:$A,$B14,Datos!$B:$B,GC$3)</f>
        <v>0</v>
      </c>
      <c r="GD14" s="16">
        <f>SUMIFS(Datos!$F:$F,Datos!$A:$A,$B14,Datos!$B:$B,GD$3)</f>
        <v>0</v>
      </c>
      <c r="GE14" s="16">
        <f>SUMIFS(Datos!$F:$F,Datos!$A:$A,$B14,Datos!$B:$B,GE$3)</f>
        <v>0</v>
      </c>
      <c r="GF14" s="16">
        <f>SUMIFS(Datos!$F:$F,Datos!$A:$A,$B14,Datos!$B:$B,GF$3)</f>
        <v>0</v>
      </c>
      <c r="GG14" s="16">
        <f>SUMIFS(Datos!$F:$F,Datos!$A:$A,$B14,Datos!$B:$B,GG$3)</f>
        <v>0</v>
      </c>
      <c r="GH14" s="16">
        <f>SUMIFS(Datos!$F:$F,Datos!$A:$A,$B14,Datos!$B:$B,GH$3)</f>
        <v>0</v>
      </c>
      <c r="GI14" s="16">
        <f>SUMIFS(Datos!$F:$F,Datos!$A:$A,$B14,Datos!$B:$B,GI$3)</f>
        <v>0</v>
      </c>
      <c r="GJ14" s="16">
        <f>SUMIFS(Datos!$F:$F,Datos!$A:$A,$B14,Datos!$B:$B,GJ$3)</f>
        <v>0</v>
      </c>
      <c r="GK14" s="16">
        <f>SUMIFS(Datos!$F:$F,Datos!$A:$A,$B14,Datos!$B:$B,GK$3)</f>
        <v>0</v>
      </c>
      <c r="GL14" s="16">
        <f>SUMIFS(Datos!$F:$F,Datos!$A:$A,$B14,Datos!$B:$B,GL$3)</f>
        <v>0</v>
      </c>
      <c r="GM14" s="16">
        <f>SUMIFS(Datos!$F:$F,Datos!$A:$A,$B14,Datos!$B:$B,GM$3)</f>
        <v>0</v>
      </c>
      <c r="GN14" s="16">
        <f>SUMIFS(Datos!$F:$F,Datos!$A:$A,$B14,Datos!$B:$B,GN$3)</f>
        <v>0</v>
      </c>
      <c r="GO14" s="16">
        <f>SUMIFS(Datos!$F:$F,Datos!$A:$A,$B14,Datos!$B:$B,GO$3)</f>
        <v>0</v>
      </c>
      <c r="GP14" s="16">
        <f>SUMIFS(Datos!$F:$F,Datos!$A:$A,$B14,Datos!$B:$B,GP$3)</f>
        <v>0</v>
      </c>
      <c r="GQ14" s="16">
        <f>SUMIFS(Datos!$F:$F,Datos!$A:$A,$B14,Datos!$B:$B,GQ$3)</f>
        <v>0</v>
      </c>
      <c r="GR14" s="16">
        <f>SUMIFS(Datos!$F:$F,Datos!$A:$A,$B14,Datos!$B:$B,GR$3)</f>
        <v>0</v>
      </c>
      <c r="GS14" s="16">
        <f>SUMIFS(Datos!$F:$F,Datos!$A:$A,$B14,Datos!$B:$B,GS$3)</f>
        <v>0</v>
      </c>
      <c r="GT14" s="16">
        <f>SUMIFS(Datos!$F:$F,Datos!$A:$A,$B14,Datos!$B:$B,GT$3)</f>
        <v>0</v>
      </c>
      <c r="GU14" s="16">
        <f>SUMIFS(Datos!$F:$F,Datos!$A:$A,$B14,Datos!$B:$B,GU$3)</f>
        <v>0</v>
      </c>
      <c r="GV14" s="16">
        <f>SUMIFS(Datos!$F:$F,Datos!$A:$A,$B14,Datos!$B:$B,GV$3)</f>
        <v>0</v>
      </c>
      <c r="GW14" s="16">
        <f>SUMIFS(Datos!$F:$F,Datos!$A:$A,$B14,Datos!$B:$B,GW$3)</f>
        <v>0</v>
      </c>
      <c r="GX14" s="16">
        <f>SUMIFS(Datos!$F:$F,Datos!$A:$A,$B14,Datos!$B:$B,GX$3)</f>
        <v>0</v>
      </c>
      <c r="GY14" s="16">
        <f>SUMIFS(Datos!$F:$F,Datos!$A:$A,$B14,Datos!$B:$B,GY$3)</f>
        <v>0</v>
      </c>
      <c r="GZ14" s="16">
        <f>SUMIFS(Datos!$F:$F,Datos!$A:$A,$B14,Datos!$B:$B,GZ$3)</f>
        <v>0</v>
      </c>
      <c r="HA14" s="16">
        <f>SUMIFS(Datos!$F:$F,Datos!$A:$A,$B14,Datos!$B:$B,HA$3)</f>
        <v>0</v>
      </c>
      <c r="HB14" s="16">
        <f>SUMIFS(Datos!$F:$F,Datos!$A:$A,$B14,Datos!$B:$B,HB$3)</f>
        <v>0</v>
      </c>
      <c r="HC14" s="16">
        <f>SUMIFS(Datos!$F:$F,Datos!$A:$A,$B14,Datos!$B:$B,HC$3)</f>
        <v>0</v>
      </c>
      <c r="HD14" s="16">
        <f>SUMIFS(Datos!$F:$F,Datos!$A:$A,$B14,Datos!$B:$B,HD$3)</f>
        <v>0</v>
      </c>
      <c r="HE14" s="16">
        <f>SUMIFS(Datos!$F:$F,Datos!$A:$A,$B14,Datos!$B:$B,HE$3)</f>
        <v>0</v>
      </c>
      <c r="HF14" s="16">
        <f>SUMIFS(Datos!$F:$F,Datos!$A:$A,$B14,Datos!$B:$B,HF$3)</f>
        <v>0</v>
      </c>
      <c r="HG14" s="16">
        <f>SUMIFS(Datos!$F:$F,Datos!$A:$A,$B14,Datos!$B:$B,HG$3)</f>
        <v>0</v>
      </c>
      <c r="HH14" s="16">
        <f>SUMIFS(Datos!$F:$F,Datos!$A:$A,$B14,Datos!$B:$B,HH$3)</f>
        <v>0</v>
      </c>
      <c r="HI14" s="16">
        <f>SUMIFS(Datos!$F:$F,Datos!$A:$A,$B14,Datos!$B:$B,HI$3)</f>
        <v>0</v>
      </c>
      <c r="HJ14" s="16">
        <f>SUMIFS(Datos!$F:$F,Datos!$A:$A,$B14,Datos!$B:$B,HJ$3)</f>
        <v>0</v>
      </c>
      <c r="HK14" s="16">
        <f>SUMIFS(Datos!$F:$F,Datos!$A:$A,$B14,Datos!$B:$B,HK$3)</f>
        <v>0</v>
      </c>
      <c r="HL14" s="16">
        <f>SUMIFS(Datos!$F:$F,Datos!$A:$A,$B14,Datos!$B:$B,HL$3)</f>
        <v>0</v>
      </c>
      <c r="HM14" s="16">
        <f>SUMIFS(Datos!$F:$F,Datos!$A:$A,$B14,Datos!$B:$B,HM$3)</f>
        <v>0</v>
      </c>
      <c r="HN14" s="16">
        <f>SUMIFS(Datos!$F:$F,Datos!$A:$A,$B14,Datos!$B:$B,HN$3)</f>
        <v>0</v>
      </c>
      <c r="HO14" s="16">
        <f>SUMIFS(Datos!$F:$F,Datos!$A:$A,$B14,Datos!$B:$B,HO$3)</f>
        <v>0</v>
      </c>
      <c r="HP14" s="16">
        <f>SUMIFS(Datos!$F:$F,Datos!$A:$A,$B14,Datos!$B:$B,HP$3)</f>
        <v>0</v>
      </c>
      <c r="HQ14" s="16">
        <f>SUMIFS(Datos!$F:$F,Datos!$A:$A,$B14,Datos!$B:$B,HQ$3)</f>
        <v>0</v>
      </c>
      <c r="HR14" s="16">
        <f>SUMIFS(Datos!$F:$F,Datos!$A:$A,$B14,Datos!$B:$B,HR$3)</f>
        <v>0</v>
      </c>
      <c r="HS14" s="16">
        <f>SUMIFS(Datos!$F:$F,Datos!$A:$A,$B14,Datos!$B:$B,HS$3)</f>
        <v>0</v>
      </c>
      <c r="HT14" s="16">
        <f>SUMIFS(Datos!$F:$F,Datos!$A:$A,$B14,Datos!$B:$B,HT$3)</f>
        <v>0</v>
      </c>
      <c r="HU14" s="16">
        <f>SUMIFS(Datos!$F:$F,Datos!$A:$A,$B14,Datos!$B:$B,HU$3)</f>
        <v>0</v>
      </c>
      <c r="HV14" s="16">
        <f>SUMIFS(Datos!$F:$F,Datos!$A:$A,$B14,Datos!$B:$B,HV$3)</f>
        <v>0</v>
      </c>
      <c r="HW14" s="16">
        <f>SUMIFS(Datos!$F:$F,Datos!$A:$A,$B14,Datos!$B:$B,HW$3)</f>
        <v>0</v>
      </c>
      <c r="HX14" s="16">
        <f>SUMIFS(Datos!$F:$F,Datos!$A:$A,$B14,Datos!$B:$B,HX$3)</f>
        <v>0</v>
      </c>
      <c r="HY14" s="16">
        <f>SUMIFS(Datos!$F:$F,Datos!$A:$A,$B14,Datos!$B:$B,HY$3)</f>
        <v>0</v>
      </c>
      <c r="HZ14" s="16">
        <f>SUMIFS(Datos!$F:$F,Datos!$A:$A,$B14,Datos!$B:$B,HZ$3)</f>
        <v>0</v>
      </c>
      <c r="IA14" s="16">
        <f>SUMIFS(Datos!$F:$F,Datos!$A:$A,$B14,Datos!$B:$B,IA$3)</f>
        <v>0</v>
      </c>
      <c r="IB14" s="16">
        <f>SUMIFS(Datos!$F:$F,Datos!$A:$A,$B14,Datos!$B:$B,IB$3)</f>
        <v>0</v>
      </c>
      <c r="IC14" s="16">
        <f>SUMIFS(Datos!$F:$F,Datos!$A:$A,$B14,Datos!$B:$B,IC$3)</f>
        <v>0</v>
      </c>
      <c r="ID14" s="16">
        <f>SUMIFS(Datos!$F:$F,Datos!$A:$A,$B14,Datos!$B:$B,ID$3)</f>
        <v>0</v>
      </c>
      <c r="IE14" s="16">
        <f>SUMIFS(Datos!$F:$F,Datos!$A:$A,$B14,Datos!$B:$B,IE$3)</f>
        <v>0</v>
      </c>
      <c r="IF14" s="16">
        <f>SUMIFS(Datos!$F:$F,Datos!$A:$A,$B14,Datos!$B:$B,IF$3)</f>
        <v>0</v>
      </c>
      <c r="IG14" s="16">
        <f>SUMIFS(Datos!$F:$F,Datos!$A:$A,$B14,Datos!$B:$B,IG$3)</f>
        <v>0</v>
      </c>
      <c r="IH14" s="16">
        <f>SUMIFS(Datos!$F:$F,Datos!$A:$A,$B14,Datos!$B:$B,IH$3)</f>
        <v>0</v>
      </c>
      <c r="II14" s="16">
        <f>SUMIFS(Datos!$F:$F,Datos!$A:$A,$B14,Datos!$B:$B,II$3)</f>
        <v>0</v>
      </c>
      <c r="IJ14" s="16">
        <f>SUMIFS(Datos!$F:$F,Datos!$A:$A,$B14,Datos!$B:$B,IJ$3)</f>
        <v>0</v>
      </c>
      <c r="IK14" s="16">
        <f>SUMIFS(Datos!$F:$F,Datos!$A:$A,$B14,Datos!$B:$B,IK$3)</f>
        <v>0</v>
      </c>
      <c r="IL14" s="16">
        <f>SUMIFS(Datos!$F:$F,Datos!$A:$A,$B14,Datos!$B:$B,IL$3)</f>
        <v>0</v>
      </c>
      <c r="IM14" s="16">
        <f>SUMIFS(Datos!$F:$F,Datos!$A:$A,$B14,Datos!$B:$B,IM$3)</f>
        <v>0</v>
      </c>
      <c r="IN14" s="16">
        <f>SUMIFS(Datos!$F:$F,Datos!$A:$A,$B14,Datos!$B:$B,IN$3)</f>
        <v>0</v>
      </c>
      <c r="IO14" s="16">
        <f>SUMIFS(Datos!$F:$F,Datos!$A:$A,$B14,Datos!$B:$B,IO$3)</f>
        <v>0</v>
      </c>
      <c r="IP14" s="16">
        <f>SUMIFS(Datos!$F:$F,Datos!$A:$A,$B14,Datos!$B:$B,IP$3)</f>
        <v>0</v>
      </c>
      <c r="IQ14" s="16">
        <f>SUMIFS(Datos!$F:$F,Datos!$A:$A,$B14,Datos!$B:$B,IQ$3)</f>
        <v>0</v>
      </c>
      <c r="IR14" s="16">
        <f>SUMIFS(Datos!$F:$F,Datos!$A:$A,$B14,Datos!$B:$B,IR$3)</f>
        <v>0</v>
      </c>
      <c r="IS14" s="16">
        <f>SUMIFS(Datos!$F:$F,Datos!$A:$A,$B14,Datos!$B:$B,IS$3)</f>
        <v>0</v>
      </c>
      <c r="IT14" s="16">
        <f>SUMIFS(Datos!$F:$F,Datos!$A:$A,$B14,Datos!$B:$B,IT$3)</f>
        <v>0</v>
      </c>
      <c r="IU14" s="16">
        <f>SUMIFS(Datos!$F:$F,Datos!$A:$A,$B14,Datos!$B:$B,IU$3)</f>
        <v>0</v>
      </c>
      <c r="IV14" s="16">
        <f>SUMIFS(Datos!$F:$F,Datos!$A:$A,$B14,Datos!$B:$B,IV$3)</f>
        <v>0</v>
      </c>
      <c r="IW14" s="16">
        <f>SUMIFS(Datos!$F:$F,Datos!$A:$A,$B14,Datos!$B:$B,IW$3)</f>
        <v>0</v>
      </c>
      <c r="IX14" s="16">
        <f>SUMIFS(Datos!$F:$F,Datos!$A:$A,$B14,Datos!$B:$B,IX$3)</f>
        <v>0</v>
      </c>
      <c r="IY14" s="16">
        <f>SUMIFS(Datos!$F:$F,Datos!$A:$A,$B14,Datos!$B:$B,IY$3)</f>
        <v>0</v>
      </c>
      <c r="IZ14" s="16">
        <f>SUMIFS(Datos!$F:$F,Datos!$A:$A,$B14,Datos!$B:$B,IZ$3)</f>
        <v>0</v>
      </c>
      <c r="JA14" s="16">
        <f>SUMIFS(Datos!$F:$F,Datos!$A:$A,$B14,Datos!$B:$B,JA$3)</f>
        <v>0</v>
      </c>
      <c r="JB14" s="16">
        <f>SUMIFS(Datos!$F:$F,Datos!$A:$A,$B14,Datos!$B:$B,JB$3)</f>
        <v>0</v>
      </c>
      <c r="JC14" s="16">
        <f>SUMIFS(Datos!$F:$F,Datos!$A:$A,$B14,Datos!$B:$B,JC$3)</f>
        <v>0</v>
      </c>
      <c r="JD14" s="16">
        <f>SUMIFS(Datos!$F:$F,Datos!$A:$A,$B14,Datos!$B:$B,JD$3)</f>
        <v>0</v>
      </c>
      <c r="JE14" s="16">
        <f>SUMIFS(Datos!$F:$F,Datos!$A:$A,$B14,Datos!$B:$B,JE$3)</f>
        <v>0</v>
      </c>
      <c r="JF14" s="16">
        <f>SUMIFS(Datos!$F:$F,Datos!$A:$A,$B14,Datos!$B:$B,JF$3)</f>
        <v>0</v>
      </c>
      <c r="JG14" s="16">
        <f>SUMIFS(Datos!$F:$F,Datos!$A:$A,$B14,Datos!$B:$B,JG$3)</f>
        <v>0</v>
      </c>
      <c r="JH14" s="16">
        <f>SUMIFS(Datos!$F:$F,Datos!$A:$A,$B14,Datos!$B:$B,JH$3)</f>
        <v>0</v>
      </c>
      <c r="JI14" s="16">
        <f>SUMIFS(Datos!$F:$F,Datos!$A:$A,$B14,Datos!$B:$B,JI$3)</f>
        <v>0</v>
      </c>
      <c r="JJ14" s="16">
        <f>SUMIFS(Datos!$F:$F,Datos!$A:$A,$B14,Datos!$B:$B,JJ$3)</f>
        <v>0</v>
      </c>
      <c r="JK14" s="16">
        <f>SUMIFS(Datos!$F:$F,Datos!$A:$A,$B14,Datos!$B:$B,JK$3)</f>
        <v>0</v>
      </c>
      <c r="JL14" s="16">
        <f>SUMIFS(Datos!$F:$F,Datos!$A:$A,$B14,Datos!$B:$B,JL$3)</f>
        <v>0</v>
      </c>
      <c r="JM14" s="16">
        <f>SUMIFS(Datos!$F:$F,Datos!$A:$A,$B14,Datos!$B:$B,JM$3)</f>
        <v>0</v>
      </c>
      <c r="JN14" s="16">
        <f>SUMIFS(Datos!$F:$F,Datos!$A:$A,$B14,Datos!$B:$B,JN$3)</f>
        <v>0</v>
      </c>
      <c r="JO14" s="16">
        <f>SUMIFS(Datos!$F:$F,Datos!$A:$A,$B14,Datos!$B:$B,JO$3)</f>
        <v>0</v>
      </c>
      <c r="JP14" s="16">
        <f>SUMIFS(Datos!$F:$F,Datos!$A:$A,$B14,Datos!$B:$B,JP$3)</f>
        <v>0</v>
      </c>
      <c r="JQ14" s="16">
        <f>SUMIFS(Datos!$F:$F,Datos!$A:$A,$B14,Datos!$B:$B,JQ$3)</f>
        <v>0</v>
      </c>
      <c r="JR14" s="16">
        <f>SUMIFS(Datos!$F:$F,Datos!$A:$A,$B14,Datos!$B:$B,JR$3)</f>
        <v>0</v>
      </c>
      <c r="JS14" s="16">
        <f>SUMIFS(Datos!$F:$F,Datos!$A:$A,$B14,Datos!$B:$B,JS$3)</f>
        <v>0</v>
      </c>
      <c r="JT14" s="16">
        <f>SUMIFS(Datos!$F:$F,Datos!$A:$A,$B14,Datos!$B:$B,JT$3)</f>
        <v>0</v>
      </c>
      <c r="JU14" s="16">
        <f>SUMIFS(Datos!$F:$F,Datos!$A:$A,$B14,Datos!$B:$B,JU$3)</f>
        <v>0</v>
      </c>
      <c r="JV14" s="16">
        <f>SUMIFS(Datos!$F:$F,Datos!$A:$A,$B14,Datos!$B:$B,JV$3)</f>
        <v>0</v>
      </c>
      <c r="JW14" s="16">
        <f>SUMIFS(Datos!$F:$F,Datos!$A:$A,$B14,Datos!$B:$B,JW$3)</f>
        <v>0</v>
      </c>
      <c r="JX14" s="16">
        <f>SUMIFS(Datos!$F:$F,Datos!$A:$A,$B14,Datos!$B:$B,JX$3)</f>
        <v>0</v>
      </c>
      <c r="JY14" s="16">
        <f>SUMIFS(Datos!$F:$F,Datos!$A:$A,$B14,Datos!$B:$B,JY$3)</f>
        <v>0</v>
      </c>
      <c r="JZ14" s="16">
        <f>SUMIFS(Datos!$F:$F,Datos!$A:$A,$B14,Datos!$B:$B,JZ$3)</f>
        <v>0</v>
      </c>
      <c r="KA14" s="16">
        <f>SUMIFS(Datos!$F:$F,Datos!$A:$A,$B14,Datos!$B:$B,KA$3)</f>
        <v>0</v>
      </c>
      <c r="KB14" s="16">
        <f>SUMIFS(Datos!$F:$F,Datos!$A:$A,$B14,Datos!$B:$B,KB$3)</f>
        <v>0</v>
      </c>
      <c r="KC14" s="16">
        <f>SUMIFS(Datos!$F:$F,Datos!$A:$A,$B14,Datos!$B:$B,KC$3)</f>
        <v>0</v>
      </c>
      <c r="KD14" s="16">
        <f>SUMIFS(Datos!$F:$F,Datos!$A:$A,$B14,Datos!$B:$B,KD$3)</f>
        <v>0</v>
      </c>
      <c r="KE14" s="16">
        <f>SUMIFS(Datos!$F:$F,Datos!$A:$A,$B14,Datos!$B:$B,KE$3)</f>
        <v>0</v>
      </c>
      <c r="KF14" s="16">
        <f>SUMIFS(Datos!$F:$F,Datos!$A:$A,$B14,Datos!$B:$B,KF$3)</f>
        <v>0</v>
      </c>
      <c r="KG14" s="16">
        <f>SUMIFS(Datos!$F:$F,Datos!$A:$A,$B14,Datos!$B:$B,KG$3)</f>
        <v>0</v>
      </c>
      <c r="KH14" s="16">
        <f>SUMIFS(Datos!$F:$F,Datos!$A:$A,$B14,Datos!$B:$B,KH$3)</f>
        <v>0</v>
      </c>
      <c r="KI14" s="16">
        <f>SUMIFS(Datos!$F:$F,Datos!$A:$A,$B14,Datos!$B:$B,KI$3)</f>
        <v>0</v>
      </c>
      <c r="KJ14" s="16">
        <f>SUMIFS(Datos!$F:$F,Datos!$A:$A,$B14,Datos!$B:$B,KJ$3)</f>
        <v>0</v>
      </c>
      <c r="KK14" s="16">
        <f>SUMIFS(Datos!$F:$F,Datos!$A:$A,$B14,Datos!$B:$B,KK$3)</f>
        <v>0</v>
      </c>
      <c r="KL14" s="16">
        <f>SUMIFS(Datos!$F:$F,Datos!$A:$A,$B14,Datos!$B:$B,KL$3)</f>
        <v>0</v>
      </c>
      <c r="KM14" s="16">
        <f>SUMIFS(Datos!$F:$F,Datos!$A:$A,$B14,Datos!$B:$B,KM$3)</f>
        <v>0</v>
      </c>
      <c r="KN14" s="16">
        <f>SUMIFS(Datos!$F:$F,Datos!$A:$A,$B14,Datos!$B:$B,KN$3)</f>
        <v>0</v>
      </c>
      <c r="KO14" s="16">
        <f>SUMIFS(Datos!$F:$F,Datos!$A:$A,$B14,Datos!$B:$B,KO$3)</f>
        <v>0</v>
      </c>
      <c r="KP14" s="16">
        <f>SUMIFS(Datos!$F:$F,Datos!$A:$A,$B14,Datos!$B:$B,KP$3)</f>
        <v>0</v>
      </c>
      <c r="KQ14" s="16">
        <f>SUMIFS(Datos!$F:$F,Datos!$A:$A,$B14,Datos!$B:$B,KQ$3)</f>
        <v>0</v>
      </c>
      <c r="KR14" s="16">
        <f>SUMIFS(Datos!$F:$F,Datos!$A:$A,$B14,Datos!$B:$B,KR$3)</f>
        <v>0</v>
      </c>
      <c r="KS14" s="16">
        <f>SUMIFS(Datos!$F:$F,Datos!$A:$A,$B14,Datos!$B:$B,KS$3)</f>
        <v>0</v>
      </c>
      <c r="KT14" s="16">
        <f>SUMIFS(Datos!$F:$F,Datos!$A:$A,$B14,Datos!$B:$B,KT$3)</f>
        <v>0</v>
      </c>
      <c r="KU14" s="16">
        <f>SUMIFS(Datos!$F:$F,Datos!$A:$A,$B14,Datos!$B:$B,KU$3)</f>
        <v>0</v>
      </c>
      <c r="KV14" s="16">
        <f>SUMIFS(Datos!$F:$F,Datos!$A:$A,$B14,Datos!$B:$B,KV$3)</f>
        <v>0</v>
      </c>
      <c r="KW14" s="16">
        <f>SUMIFS(Datos!$F:$F,Datos!$A:$A,$B14,Datos!$B:$B,KW$3)</f>
        <v>0</v>
      </c>
      <c r="KX14" s="16">
        <f>SUMIFS(Datos!$F:$F,Datos!$A:$A,$B14,Datos!$B:$B,KX$3)</f>
        <v>0</v>
      </c>
      <c r="KY14" s="16">
        <f>SUMIFS(Datos!$F:$F,Datos!$A:$A,$B14,Datos!$B:$B,KY$3)</f>
        <v>0</v>
      </c>
      <c r="KZ14" s="16">
        <f>SUMIFS(Datos!$F:$F,Datos!$A:$A,$B14,Datos!$B:$B,KZ$3)</f>
        <v>0</v>
      </c>
      <c r="LA14" s="16">
        <f>SUMIFS(Datos!$F:$F,Datos!$A:$A,$B14,Datos!$B:$B,LA$3)</f>
        <v>0</v>
      </c>
      <c r="LB14" s="16">
        <f>SUMIFS(Datos!$F:$F,Datos!$A:$A,$B14,Datos!$B:$B,LB$3)</f>
        <v>0</v>
      </c>
      <c r="LC14" s="16">
        <f>SUMIFS(Datos!$F:$F,Datos!$A:$A,$B14,Datos!$B:$B,LC$3)</f>
        <v>0</v>
      </c>
      <c r="LD14" s="16">
        <f>SUMIFS(Datos!$F:$F,Datos!$A:$A,$B14,Datos!$B:$B,LD$3)</f>
        <v>0</v>
      </c>
      <c r="LE14" s="16">
        <f>SUMIFS(Datos!$F:$F,Datos!$A:$A,$B14,Datos!$B:$B,LE$3)</f>
        <v>0</v>
      </c>
      <c r="LF14" s="16">
        <f>SUMIFS(Datos!$F:$F,Datos!$A:$A,$B14,Datos!$B:$B,LF$3)</f>
        <v>0</v>
      </c>
      <c r="LG14" s="16">
        <f>SUMIFS(Datos!$F:$F,Datos!$A:$A,$B14,Datos!$B:$B,LG$3)</f>
        <v>0</v>
      </c>
      <c r="LH14" s="16">
        <f>SUMIFS(Datos!$F:$F,Datos!$A:$A,$B14,Datos!$B:$B,LH$3)</f>
        <v>0</v>
      </c>
      <c r="LI14" s="16">
        <f>SUMIFS(Datos!$F:$F,Datos!$A:$A,$B14,Datos!$B:$B,LI$3)</f>
        <v>0</v>
      </c>
      <c r="LJ14" s="16">
        <f>SUMIFS(Datos!$F:$F,Datos!$A:$A,$B14,Datos!$B:$B,LJ$3)</f>
        <v>0</v>
      </c>
      <c r="LK14" s="16">
        <f>SUMIFS(Datos!$F:$F,Datos!$A:$A,$B14,Datos!$B:$B,LK$3)</f>
        <v>0</v>
      </c>
      <c r="LL14" s="16">
        <f>SUMIFS(Datos!$F:$F,Datos!$A:$A,$B14,Datos!$B:$B,LL$3)</f>
        <v>0</v>
      </c>
      <c r="LM14" s="16">
        <f>SUMIFS(Datos!$F:$F,Datos!$A:$A,$B14,Datos!$B:$B,LM$3)</f>
        <v>0</v>
      </c>
      <c r="LN14" s="16">
        <f>SUMIFS(Datos!$F:$F,Datos!$A:$A,$B14,Datos!$B:$B,LN$3)</f>
        <v>0</v>
      </c>
      <c r="LO14" s="16">
        <f>SUMIFS(Datos!$F:$F,Datos!$A:$A,$B14,Datos!$B:$B,LO$3)</f>
        <v>0</v>
      </c>
      <c r="LP14" s="16">
        <f>SUMIFS(Datos!$F:$F,Datos!$A:$A,$B14,Datos!$B:$B,LP$3)</f>
        <v>0</v>
      </c>
      <c r="LQ14" s="16">
        <f>SUMIFS(Datos!$F:$F,Datos!$A:$A,$B14,Datos!$B:$B,LQ$3)</f>
        <v>0</v>
      </c>
      <c r="LR14" s="16">
        <f>SUMIFS(Datos!$F:$F,Datos!$A:$A,$B14,Datos!$B:$B,LR$3)</f>
        <v>0</v>
      </c>
      <c r="LS14" s="16">
        <f>SUMIFS(Datos!$F:$F,Datos!$A:$A,$B14,Datos!$B:$B,LS$3)</f>
        <v>0</v>
      </c>
      <c r="LT14" s="16">
        <f>SUMIFS(Datos!$F:$F,Datos!$A:$A,$B14,Datos!$B:$B,LT$3)</f>
        <v>0</v>
      </c>
      <c r="LU14" s="16">
        <f>SUMIFS(Datos!$F:$F,Datos!$A:$A,$B14,Datos!$B:$B,LU$3)</f>
        <v>0</v>
      </c>
      <c r="LV14" s="16">
        <f>SUMIFS(Datos!$F:$F,Datos!$A:$A,$B14,Datos!$B:$B,LV$3)</f>
        <v>0</v>
      </c>
      <c r="LW14" s="16">
        <f>SUMIFS(Datos!$F:$F,Datos!$A:$A,$B14,Datos!$B:$B,LW$3)</f>
        <v>0</v>
      </c>
      <c r="LX14" s="16">
        <f>SUMIFS(Datos!$F:$F,Datos!$A:$A,$B14,Datos!$B:$B,LX$3)</f>
        <v>0</v>
      </c>
      <c r="LY14" s="16">
        <f>SUMIFS(Datos!$F:$F,Datos!$A:$A,$B14,Datos!$B:$B,LY$3)</f>
        <v>0</v>
      </c>
      <c r="LZ14" s="16">
        <f>SUMIFS(Datos!$F:$F,Datos!$A:$A,$B14,Datos!$B:$B,LZ$3)</f>
        <v>0</v>
      </c>
      <c r="MA14" s="16">
        <f>SUMIFS(Datos!$F:$F,Datos!$A:$A,$B14,Datos!$B:$B,MA$3)</f>
        <v>0</v>
      </c>
      <c r="MB14" s="16">
        <f>SUMIFS(Datos!$F:$F,Datos!$A:$A,$B14,Datos!$B:$B,MB$3)</f>
        <v>0</v>
      </c>
      <c r="MC14" s="16">
        <f>SUMIFS(Datos!$F:$F,Datos!$A:$A,$B14,Datos!$B:$B,MC$3)</f>
        <v>0</v>
      </c>
      <c r="MD14" s="16">
        <f>SUMIFS(Datos!$F:$F,Datos!$A:$A,$B14,Datos!$B:$B,MD$3)</f>
        <v>0</v>
      </c>
      <c r="ME14" s="16">
        <f>SUMIFS(Datos!$F:$F,Datos!$A:$A,$B14,Datos!$B:$B,ME$3)</f>
        <v>0</v>
      </c>
      <c r="MF14" s="16">
        <f>SUMIFS(Datos!$F:$F,Datos!$A:$A,$B14,Datos!$B:$B,MF$3)</f>
        <v>0</v>
      </c>
      <c r="MG14" s="16">
        <f>SUMIFS(Datos!$F:$F,Datos!$A:$A,$B14,Datos!$B:$B,MG$3)</f>
        <v>0</v>
      </c>
      <c r="MH14" s="16">
        <f>SUMIFS(Datos!$F:$F,Datos!$A:$A,$B14,Datos!$B:$B,MH$3)</f>
        <v>0</v>
      </c>
      <c r="MI14" s="16">
        <f>SUMIFS(Datos!$F:$F,Datos!$A:$A,$B14,Datos!$B:$B,MI$3)</f>
        <v>0</v>
      </c>
      <c r="MJ14" s="16">
        <f>SUMIFS(Datos!$F:$F,Datos!$A:$A,$B14,Datos!$B:$B,MJ$3)</f>
        <v>0</v>
      </c>
      <c r="MK14" s="16">
        <f>SUMIFS(Datos!$F:$F,Datos!$A:$A,$B14,Datos!$B:$B,MK$3)</f>
        <v>0</v>
      </c>
      <c r="ML14" s="16">
        <f>SUMIFS(Datos!$F:$F,Datos!$A:$A,$B14,Datos!$B:$B,ML$3)</f>
        <v>0</v>
      </c>
      <c r="MM14" s="16">
        <f>SUMIFS(Datos!$F:$F,Datos!$A:$A,$B14,Datos!$B:$B,MM$3)</f>
        <v>0</v>
      </c>
      <c r="MN14" s="16">
        <f>SUMIFS(Datos!$F:$F,Datos!$A:$A,$B14,Datos!$B:$B,MN$3)</f>
        <v>0</v>
      </c>
      <c r="MO14" s="16">
        <f>SUMIFS(Datos!$F:$F,Datos!$A:$A,$B14,Datos!$B:$B,MO$3)</f>
        <v>0</v>
      </c>
      <c r="MP14" s="16">
        <f>SUMIFS(Datos!$F:$F,Datos!$A:$A,$B14,Datos!$B:$B,MP$3)</f>
        <v>0</v>
      </c>
      <c r="MQ14" s="16">
        <f>SUMIFS(Datos!$F:$F,Datos!$A:$A,$B14,Datos!$B:$B,MQ$3)</f>
        <v>0</v>
      </c>
      <c r="MR14" s="16">
        <f>SUMIFS(Datos!$F:$F,Datos!$A:$A,$B14,Datos!$B:$B,MR$3)</f>
        <v>0</v>
      </c>
      <c r="MS14" s="16">
        <f>SUMIFS(Datos!$F:$F,Datos!$A:$A,$B14,Datos!$B:$B,MS$3)</f>
        <v>0</v>
      </c>
      <c r="MT14" s="16">
        <f>SUMIFS(Datos!$F:$F,Datos!$A:$A,$B14,Datos!$B:$B,MT$3)</f>
        <v>0</v>
      </c>
      <c r="MU14" s="16">
        <f>SUMIFS(Datos!$F:$F,Datos!$A:$A,$B14,Datos!$B:$B,MU$3)</f>
        <v>0</v>
      </c>
      <c r="MV14" s="16">
        <f>SUMIFS(Datos!$F:$F,Datos!$A:$A,$B14,Datos!$B:$B,MV$3)</f>
        <v>0</v>
      </c>
      <c r="MW14" s="16">
        <f>SUMIFS(Datos!$F:$F,Datos!$A:$A,$B14,Datos!$B:$B,MW$3)</f>
        <v>0</v>
      </c>
      <c r="MX14" s="16">
        <f>SUMIFS(Datos!$F:$F,Datos!$A:$A,$B14,Datos!$B:$B,MX$3)</f>
        <v>0</v>
      </c>
      <c r="MY14" s="16">
        <f>SUMIFS(Datos!$F:$F,Datos!$A:$A,$B14,Datos!$B:$B,MY$3)</f>
        <v>0</v>
      </c>
      <c r="MZ14" s="16">
        <f>SUMIFS(Datos!$F:$F,Datos!$A:$A,$B14,Datos!$B:$B,MZ$3)</f>
        <v>0</v>
      </c>
      <c r="NA14" s="16">
        <f>SUMIFS(Datos!$F:$F,Datos!$A:$A,$B14,Datos!$B:$B,NA$3)</f>
        <v>0</v>
      </c>
      <c r="NB14" s="16">
        <f>SUMIFS(Datos!$F:$F,Datos!$A:$A,$B14,Datos!$B:$B,NB$3)</f>
        <v>0</v>
      </c>
      <c r="NC14" s="16">
        <f>SUMIFS(Datos!$F:$F,Datos!$A:$A,$B14,Datos!$B:$B,NC$3)</f>
        <v>0</v>
      </c>
      <c r="ND14" s="16">
        <f>SUMIFS(Datos!$F:$F,Datos!$A:$A,$B14,Datos!$B:$B,ND$3)</f>
        <v>0</v>
      </c>
      <c r="NE14" s="16">
        <f>SUMIFS(Datos!$F:$F,Datos!$A:$A,$B14,Datos!$B:$B,NE$3)</f>
        <v>0</v>
      </c>
      <c r="NF14" s="16">
        <f>SUMIFS(Datos!$F:$F,Datos!$A:$A,$B14,Datos!$B:$B,NF$3)</f>
        <v>0</v>
      </c>
      <c r="NG14" s="16">
        <f>SUMIFS(Datos!$F:$F,Datos!$A:$A,$B14,Datos!$B:$B,NG$3)</f>
        <v>0</v>
      </c>
      <c r="NH14" s="16">
        <f>SUMIFS(Datos!$F:$F,Datos!$A:$A,$B14,Datos!$B:$B,NH$3)</f>
        <v>0</v>
      </c>
      <c r="NI14" s="16">
        <f>SUMIFS(Datos!$F:$F,Datos!$A:$A,$B14,Datos!$B:$B,NI$3)</f>
        <v>0</v>
      </c>
      <c r="NJ14" s="16">
        <f>SUMIFS(Datos!$F:$F,Datos!$A:$A,$B14,Datos!$B:$B,NJ$3)</f>
        <v>0</v>
      </c>
      <c r="NK14" s="16">
        <f>SUMIFS(Datos!$F:$F,Datos!$A:$A,$B14,Datos!$B:$B,NK$3)</f>
        <v>0</v>
      </c>
      <c r="NL14" s="16">
        <f>SUMIFS(Datos!$F:$F,Datos!$A:$A,$B14,Datos!$B:$B,NL$3)</f>
        <v>0</v>
      </c>
      <c r="NM14" s="16">
        <f>SUMIFS(Datos!$F:$F,Datos!$A:$A,$B14,Datos!$B:$B,NM$3)</f>
        <v>0</v>
      </c>
      <c r="NN14" s="16">
        <f>SUMIFS(Datos!$F:$F,Datos!$A:$A,$B14,Datos!$B:$B,NN$3)</f>
        <v>0</v>
      </c>
      <c r="NO14" s="16">
        <f>SUMIFS(Datos!$F:$F,Datos!$A:$A,$B14,Datos!$B:$B,NO$3)</f>
        <v>0</v>
      </c>
      <c r="NP14" s="16">
        <f>SUMIFS(Datos!$F:$F,Datos!$A:$A,$B14,Datos!$B:$B,NP$3)</f>
        <v>0</v>
      </c>
      <c r="NQ14" s="16">
        <f>SUMIFS(Datos!$F:$F,Datos!$A:$A,$B14,Datos!$B:$B,NQ$3)</f>
        <v>0</v>
      </c>
      <c r="NR14" s="16">
        <f>SUMIFS(Datos!$F:$F,Datos!$A:$A,$B14,Datos!$B:$B,NR$3)</f>
        <v>0</v>
      </c>
      <c r="NS14" s="16">
        <f>SUMIFS(Datos!$F:$F,Datos!$A:$A,$B14,Datos!$B:$B,NS$3)</f>
        <v>0</v>
      </c>
      <c r="NT14" s="16">
        <f>SUMIFS(Datos!$F:$F,Datos!$A:$A,$B14,Datos!$B:$B,NT$3)</f>
        <v>0</v>
      </c>
      <c r="NU14" s="16">
        <f>SUMIFS(Datos!$F:$F,Datos!$A:$A,$B14,Datos!$B:$B,NU$3)</f>
        <v>0</v>
      </c>
      <c r="NV14" s="16">
        <f>SUMIFS(Datos!$F:$F,Datos!$A:$A,$B14,Datos!$B:$B,NV$3)</f>
        <v>0</v>
      </c>
      <c r="NW14" s="16">
        <f>SUMIFS(Datos!$F:$F,Datos!$A:$A,$B14,Datos!$B:$B,NW$3)</f>
        <v>0</v>
      </c>
      <c r="NX14" s="16">
        <f>SUMIFS(Datos!$F:$F,Datos!$A:$A,$B14,Datos!$B:$B,NX$3)</f>
        <v>0</v>
      </c>
      <c r="NY14" s="16">
        <f>SUMIFS(Datos!$F:$F,Datos!$A:$A,$B14,Datos!$B:$B,NY$3)</f>
        <v>0</v>
      </c>
      <c r="NZ14" s="16">
        <f>SUMIFS(Datos!$F:$F,Datos!$A:$A,$B14,Datos!$B:$B,NZ$3)</f>
        <v>0</v>
      </c>
      <c r="OA14" s="16">
        <f>SUMIFS(Datos!$F:$F,Datos!$A:$A,$B14,Datos!$B:$B,OA$3)</f>
        <v>0</v>
      </c>
      <c r="OB14" s="16">
        <f>SUMIFS(Datos!$F:$F,Datos!$A:$A,$B14,Datos!$B:$B,OB$3)</f>
        <v>0</v>
      </c>
      <c r="OC14" s="16">
        <f>SUMIFS(Datos!$F:$F,Datos!$A:$A,$B14,Datos!$B:$B,OC$3)</f>
        <v>0</v>
      </c>
      <c r="OD14" s="16">
        <f>SUMIFS(Datos!$F:$F,Datos!$A:$A,$B14,Datos!$B:$B,OD$3)</f>
        <v>0</v>
      </c>
      <c r="OE14" s="16">
        <f>SUMIFS(Datos!$F:$F,Datos!$A:$A,$B14,Datos!$B:$B,OE$3)</f>
        <v>0</v>
      </c>
      <c r="OF14" s="16">
        <f>SUMIFS(Datos!$F:$F,Datos!$A:$A,$B14,Datos!$B:$B,OF$3)</f>
        <v>0</v>
      </c>
      <c r="OG14" s="16">
        <f>SUMIFS(Datos!$F:$F,Datos!$A:$A,$B14,Datos!$B:$B,OG$3)</f>
        <v>0</v>
      </c>
      <c r="OH14" s="16">
        <f>SUMIFS(Datos!$F:$F,Datos!$A:$A,$B14,Datos!$B:$B,OH$3)</f>
        <v>0</v>
      </c>
      <c r="OI14" s="16">
        <f>SUMIFS(Datos!$F:$F,Datos!$A:$A,$B14,Datos!$B:$B,OI$3)</f>
        <v>0</v>
      </c>
      <c r="OJ14" s="16">
        <f>SUMIFS(Datos!$F:$F,Datos!$A:$A,$B14,Datos!$B:$B,OJ$3)</f>
        <v>0</v>
      </c>
      <c r="OK14" s="16">
        <f>SUMIFS(Datos!$F:$F,Datos!$A:$A,$B14,Datos!$B:$B,OK$3)</f>
        <v>0</v>
      </c>
      <c r="OL14" s="16">
        <f>SUMIFS(Datos!$F:$F,Datos!$A:$A,$B14,Datos!$B:$B,OL$3)</f>
        <v>0</v>
      </c>
      <c r="OM14" s="16">
        <f>SUMIFS(Datos!$F:$F,Datos!$A:$A,$B14,Datos!$B:$B,OM$3)</f>
        <v>0</v>
      </c>
      <c r="ON14" s="16">
        <f>SUMIFS(Datos!$F:$F,Datos!$A:$A,$B14,Datos!$B:$B,ON$3)</f>
        <v>0</v>
      </c>
      <c r="OO14" s="16">
        <f>SUMIFS(Datos!$F:$F,Datos!$A:$A,$B14,Datos!$B:$B,OO$3)</f>
        <v>0</v>
      </c>
      <c r="OP14" s="16">
        <f>SUMIFS(Datos!$F:$F,Datos!$A:$A,$B14,Datos!$B:$B,OP$3)</f>
        <v>0</v>
      </c>
      <c r="OQ14" s="16">
        <f>SUMIFS(Datos!$F:$F,Datos!$A:$A,$B14,Datos!$B:$B,OQ$3)</f>
        <v>0</v>
      </c>
      <c r="OR14" s="16">
        <f>SUMIFS(Datos!$F:$F,Datos!$A:$A,$B14,Datos!$B:$B,OR$3)</f>
        <v>0</v>
      </c>
      <c r="OS14" s="16">
        <f>SUMIFS(Datos!$F:$F,Datos!$A:$A,$B14,Datos!$B:$B,OS$3)</f>
        <v>0</v>
      </c>
      <c r="OT14" s="16">
        <f>SUMIFS(Datos!$F:$F,Datos!$A:$A,$B14,Datos!$B:$B,OT$3)</f>
        <v>0</v>
      </c>
      <c r="OU14" s="16">
        <f>SUMIFS(Datos!$F:$F,Datos!$A:$A,$B14,Datos!$B:$B,OU$3)</f>
        <v>0</v>
      </c>
      <c r="OV14" s="16">
        <f>SUMIFS(Datos!$F:$F,Datos!$A:$A,$B14,Datos!$B:$B,OV$3)</f>
        <v>0</v>
      </c>
      <c r="OW14" s="16">
        <f>SUMIFS(Datos!$F:$F,Datos!$A:$A,$B14,Datos!$B:$B,OW$3)</f>
        <v>0</v>
      </c>
      <c r="OX14" s="16">
        <f>SUMIFS(Datos!$F:$F,Datos!$A:$A,$B14,Datos!$B:$B,OX$3)</f>
        <v>0</v>
      </c>
      <c r="OY14" s="16">
        <f>SUMIFS(Datos!$F:$F,Datos!$A:$A,$B14,Datos!$B:$B,OY$3)</f>
        <v>0</v>
      </c>
      <c r="OZ14" s="16">
        <f>SUMIFS(Datos!$F:$F,Datos!$A:$A,$B14,Datos!$B:$B,OZ$3)</f>
        <v>0</v>
      </c>
      <c r="PA14" s="16">
        <f>SUMIFS(Datos!$F:$F,Datos!$A:$A,$B14,Datos!$B:$B,PA$3)</f>
        <v>0</v>
      </c>
      <c r="PB14" s="16">
        <f>SUMIFS(Datos!$F:$F,Datos!$A:$A,$B14,Datos!$B:$B,PB$3)</f>
        <v>0</v>
      </c>
      <c r="PC14" s="16">
        <f>SUMIFS(Datos!$F:$F,Datos!$A:$A,$B14,Datos!$B:$B,PC$3)</f>
        <v>0</v>
      </c>
      <c r="PD14" s="16">
        <f>SUMIFS(Datos!$F:$F,Datos!$A:$A,$B14,Datos!$B:$B,PD$3)</f>
        <v>0</v>
      </c>
      <c r="PE14" s="16">
        <f>SUMIFS(Datos!$F:$F,Datos!$A:$A,$B14,Datos!$B:$B,PE$3)</f>
        <v>0</v>
      </c>
      <c r="PF14" s="16">
        <f>SUMIFS(Datos!$F:$F,Datos!$A:$A,$B14,Datos!$B:$B,PF$3)</f>
        <v>0</v>
      </c>
      <c r="PG14" s="16">
        <f>SUMIFS(Datos!$F:$F,Datos!$A:$A,$B14,Datos!$B:$B,PG$3)</f>
        <v>0</v>
      </c>
      <c r="PH14" s="16">
        <f>SUMIFS(Datos!$F:$F,Datos!$A:$A,$B14,Datos!$B:$B,PH$3)</f>
        <v>0</v>
      </c>
      <c r="PI14" s="16">
        <f>SUMIFS(Datos!$F:$F,Datos!$A:$A,$B14,Datos!$B:$B,PI$3)</f>
        <v>0</v>
      </c>
      <c r="PJ14" s="16">
        <f>SUMIFS(Datos!$F:$F,Datos!$A:$A,$B14,Datos!$B:$B,PJ$3)</f>
        <v>0</v>
      </c>
      <c r="PK14" s="16">
        <f>SUMIFS(Datos!$F:$F,Datos!$A:$A,$B14,Datos!$B:$B,PK$3)</f>
        <v>0</v>
      </c>
      <c r="PL14" s="16">
        <f>SUMIFS(Datos!$F:$F,Datos!$A:$A,$B14,Datos!$B:$B,PL$3)</f>
        <v>0</v>
      </c>
      <c r="PM14" s="16">
        <f>SUMIFS(Datos!$F:$F,Datos!$A:$A,$B14,Datos!$B:$B,PM$3)</f>
        <v>0</v>
      </c>
      <c r="PN14" s="16">
        <f>SUMIFS(Datos!$F:$F,Datos!$A:$A,$B14,Datos!$B:$B,PN$3)</f>
        <v>0</v>
      </c>
      <c r="PO14" s="16">
        <f>SUMIFS(Datos!$F:$F,Datos!$A:$A,$B14,Datos!$B:$B,PO$3)</f>
        <v>0</v>
      </c>
      <c r="PP14" s="16">
        <f>SUMIFS(Datos!$F:$F,Datos!$A:$A,$B14,Datos!$B:$B,PP$3)</f>
        <v>0</v>
      </c>
      <c r="PQ14" s="16">
        <f>SUMIFS(Datos!$F:$F,Datos!$A:$A,$B14,Datos!$B:$B,PQ$3)</f>
        <v>0</v>
      </c>
      <c r="PR14" s="16">
        <f>SUMIFS(Datos!$F:$F,Datos!$A:$A,$B14,Datos!$B:$B,PR$3)</f>
        <v>0</v>
      </c>
      <c r="PS14" s="16">
        <f>SUMIFS(Datos!$F:$F,Datos!$A:$A,$B14,Datos!$B:$B,PS$3)</f>
        <v>0</v>
      </c>
      <c r="PT14" s="16">
        <f>SUMIFS(Datos!$F:$F,Datos!$A:$A,$B14,Datos!$B:$B,PT$3)</f>
        <v>0</v>
      </c>
      <c r="PU14" s="16">
        <f>SUMIFS(Datos!$F:$F,Datos!$A:$A,$B14,Datos!$B:$B,PU$3)</f>
        <v>0</v>
      </c>
      <c r="PV14" s="16">
        <f>SUMIFS(Datos!$F:$F,Datos!$A:$A,$B14,Datos!$B:$B,PV$3)</f>
        <v>0</v>
      </c>
      <c r="PW14" s="16">
        <f>SUMIFS(Datos!$F:$F,Datos!$A:$A,$B14,Datos!$B:$B,PW$3)</f>
        <v>0</v>
      </c>
      <c r="PX14" s="16">
        <f>SUMIFS(Datos!$F:$F,Datos!$A:$A,$B14,Datos!$B:$B,PX$3)</f>
        <v>0</v>
      </c>
      <c r="PY14" s="16">
        <f>SUMIFS(Datos!$F:$F,Datos!$A:$A,$B14,Datos!$B:$B,PY$3)</f>
        <v>0</v>
      </c>
      <c r="PZ14" s="16">
        <f>SUMIFS(Datos!$F:$F,Datos!$A:$A,$B14,Datos!$B:$B,PZ$3)</f>
        <v>0</v>
      </c>
      <c r="QA14" s="16">
        <f>SUMIFS(Datos!$F:$F,Datos!$A:$A,$B14,Datos!$B:$B,QA$3)</f>
        <v>0</v>
      </c>
      <c r="QB14" s="16">
        <f>SUMIFS(Datos!$F:$F,Datos!$A:$A,$B14,Datos!$B:$B,QB$3)</f>
        <v>0</v>
      </c>
      <c r="QC14" s="16">
        <f>SUMIFS(Datos!$F:$F,Datos!$A:$A,$B14,Datos!$B:$B,QC$3)</f>
        <v>0</v>
      </c>
      <c r="QD14" s="16">
        <f>SUMIFS(Datos!$F:$F,Datos!$A:$A,$B14,Datos!$B:$B,QD$3)</f>
        <v>0</v>
      </c>
      <c r="QE14" s="16">
        <f>SUMIFS(Datos!$F:$F,Datos!$A:$A,$B14,Datos!$B:$B,QE$3)</f>
        <v>0</v>
      </c>
      <c r="QF14" s="16">
        <f>SUMIFS(Datos!$F:$F,Datos!$A:$A,$B14,Datos!$B:$B,QF$3)</f>
        <v>0</v>
      </c>
      <c r="QG14" s="16">
        <f>SUMIFS(Datos!$F:$F,Datos!$A:$A,$B14,Datos!$B:$B,QG$3)</f>
        <v>0</v>
      </c>
      <c r="QH14" s="16">
        <f>SUMIFS(Datos!$F:$F,Datos!$A:$A,$B14,Datos!$B:$B,QH$3)</f>
        <v>0</v>
      </c>
      <c r="QI14" s="16">
        <f>SUMIFS(Datos!$F:$F,Datos!$A:$A,$B14,Datos!$B:$B,QI$3)</f>
        <v>0</v>
      </c>
      <c r="QJ14" s="16">
        <f>SUMIFS(Datos!$F:$F,Datos!$A:$A,$B14,Datos!$B:$B,QJ$3)</f>
        <v>0</v>
      </c>
      <c r="QK14" s="16">
        <f>SUMIFS(Datos!$F:$F,Datos!$A:$A,$B14,Datos!$B:$B,QK$3)</f>
        <v>0</v>
      </c>
      <c r="QL14" s="16">
        <f>SUMIFS(Datos!$F:$F,Datos!$A:$A,$B14,Datos!$B:$B,QL$3)</f>
        <v>0</v>
      </c>
      <c r="QM14" s="16">
        <f>SUMIFS(Datos!$F:$F,Datos!$A:$A,$B14,Datos!$B:$B,QM$3)</f>
        <v>0</v>
      </c>
      <c r="QN14" s="16">
        <f>SUMIFS(Datos!$F:$F,Datos!$A:$A,$B14,Datos!$B:$B,QN$3)</f>
        <v>0</v>
      </c>
      <c r="QO14" s="16">
        <f>SUMIFS(Datos!$F:$F,Datos!$A:$A,$B14,Datos!$B:$B,QO$3)</f>
        <v>0</v>
      </c>
      <c r="QP14" s="16">
        <f>SUMIFS(Datos!$F:$F,Datos!$A:$A,$B14,Datos!$B:$B,QP$3)</f>
        <v>0</v>
      </c>
      <c r="QQ14" s="16">
        <f>SUMIFS(Datos!$F:$F,Datos!$A:$A,$B14,Datos!$B:$B,QQ$3)</f>
        <v>0</v>
      </c>
      <c r="QR14" s="16">
        <f>SUMIFS(Datos!$F:$F,Datos!$A:$A,$B14,Datos!$B:$B,QR$3)</f>
        <v>0</v>
      </c>
      <c r="QS14" s="16">
        <f>SUMIFS(Datos!$F:$F,Datos!$A:$A,$B14,Datos!$B:$B,QS$3)</f>
        <v>0</v>
      </c>
      <c r="QT14" s="16">
        <f>SUMIFS(Datos!$F:$F,Datos!$A:$A,$B14,Datos!$B:$B,QT$3)</f>
        <v>0</v>
      </c>
      <c r="QU14" s="16">
        <f>SUMIFS(Datos!$F:$F,Datos!$A:$A,$B14,Datos!$B:$B,QU$3)</f>
        <v>0</v>
      </c>
      <c r="QV14" s="16">
        <f>SUMIFS(Datos!$F:$F,Datos!$A:$A,$B14,Datos!$B:$B,QV$3)</f>
        <v>0</v>
      </c>
      <c r="QW14" s="16">
        <f>SUMIFS(Datos!$F:$F,Datos!$A:$A,$B14,Datos!$B:$B,QW$3)</f>
        <v>0</v>
      </c>
      <c r="QX14" s="16">
        <f>SUMIFS(Datos!$F:$F,Datos!$A:$A,$B14,Datos!$B:$B,QX$3)</f>
        <v>0</v>
      </c>
      <c r="QY14" s="16">
        <f>SUMIFS(Datos!$F:$F,Datos!$A:$A,$B14,Datos!$B:$B,QY$3)</f>
        <v>0</v>
      </c>
      <c r="QZ14" s="16">
        <f>SUMIFS(Datos!$F:$F,Datos!$A:$A,$B14,Datos!$B:$B,QZ$3)</f>
        <v>0</v>
      </c>
      <c r="RA14" s="16">
        <f>SUMIFS(Datos!$F:$F,Datos!$A:$A,$B14,Datos!$B:$B,RA$3)</f>
        <v>0</v>
      </c>
      <c r="RB14" s="16">
        <f>SUMIFS(Datos!$F:$F,Datos!$A:$A,$B14,Datos!$B:$B,RB$3)</f>
        <v>0</v>
      </c>
      <c r="RC14" s="16">
        <f>SUMIFS(Datos!$F:$F,Datos!$A:$A,$B14,Datos!$B:$B,RC$3)</f>
        <v>0</v>
      </c>
      <c r="RD14" s="16">
        <f>SUMIFS(Datos!$F:$F,Datos!$A:$A,$B14,Datos!$B:$B,RD$3)</f>
        <v>0</v>
      </c>
      <c r="RE14" s="16">
        <f>SUMIFS(Datos!$F:$F,Datos!$A:$A,$B14,Datos!$B:$B,RE$3)</f>
        <v>0</v>
      </c>
      <c r="RF14" s="16">
        <f>SUMIFS(Datos!$F:$F,Datos!$A:$A,$B14,Datos!$B:$B,RF$3)</f>
        <v>0</v>
      </c>
      <c r="RG14" s="16">
        <f>SUMIFS(Datos!$F:$F,Datos!$A:$A,$B14,Datos!$B:$B,RG$3)</f>
        <v>0</v>
      </c>
      <c r="RH14" s="16">
        <f>SUMIFS(Datos!$F:$F,Datos!$A:$A,$B14,Datos!$B:$B,RH$3)</f>
        <v>0</v>
      </c>
      <c r="RI14" s="16">
        <f>SUMIFS(Datos!$F:$F,Datos!$A:$A,$B14,Datos!$B:$B,RI$3)</f>
        <v>0</v>
      </c>
      <c r="RJ14" s="16">
        <f>SUMIFS(Datos!$F:$F,Datos!$A:$A,$B14,Datos!$B:$B,RJ$3)</f>
        <v>0</v>
      </c>
      <c r="RK14" s="16">
        <f>SUMIFS(Datos!$F:$F,Datos!$A:$A,$B14,Datos!$B:$B,RK$3)</f>
        <v>0</v>
      </c>
      <c r="RL14" s="16">
        <f>SUMIFS(Datos!$F:$F,Datos!$A:$A,$B14,Datos!$B:$B,RL$3)</f>
        <v>0</v>
      </c>
      <c r="RM14" s="16">
        <f>SUMIFS(Datos!$F:$F,Datos!$A:$A,$B14,Datos!$B:$B,RM$3)</f>
        <v>0</v>
      </c>
      <c r="RN14" s="16">
        <f>SUMIFS(Datos!$F:$F,Datos!$A:$A,$B14,Datos!$B:$B,RN$3)</f>
        <v>0</v>
      </c>
      <c r="RO14" s="16">
        <f>SUMIFS(Datos!$F:$F,Datos!$A:$A,$B14,Datos!$B:$B,RO$3)</f>
        <v>0</v>
      </c>
      <c r="RP14" s="16">
        <f>SUMIFS(Datos!$F:$F,Datos!$A:$A,$B14,Datos!$B:$B,RP$3)</f>
        <v>0</v>
      </c>
      <c r="RQ14" s="16">
        <f>SUMIFS(Datos!$F:$F,Datos!$A:$A,$B14,Datos!$B:$B,RQ$3)</f>
        <v>0</v>
      </c>
      <c r="RR14" s="16">
        <f>SUMIFS(Datos!$F:$F,Datos!$A:$A,$B14,Datos!$B:$B,RR$3)</f>
        <v>0</v>
      </c>
      <c r="RS14" s="16">
        <f>SUMIFS(Datos!$F:$F,Datos!$A:$A,$B14,Datos!$B:$B,RS$3)</f>
        <v>0</v>
      </c>
      <c r="RT14" s="16">
        <f>SUMIFS(Datos!$F:$F,Datos!$A:$A,$B14,Datos!$B:$B,RT$3)</f>
        <v>0</v>
      </c>
      <c r="RU14" s="16">
        <f>SUMIFS(Datos!$F:$F,Datos!$A:$A,$B14,Datos!$B:$B,RU$3)</f>
        <v>0</v>
      </c>
      <c r="RV14" s="16">
        <f>SUMIFS(Datos!$F:$F,Datos!$A:$A,$B14,Datos!$B:$B,RV$3)</f>
        <v>0</v>
      </c>
      <c r="RW14" s="16">
        <f>SUMIFS(Datos!$F:$F,Datos!$A:$A,$B14,Datos!$B:$B,RW$3)</f>
        <v>0</v>
      </c>
      <c r="RX14" s="16">
        <f>SUMIFS(Datos!$F:$F,Datos!$A:$A,$B14,Datos!$B:$B,RX$3)</f>
        <v>0</v>
      </c>
      <c r="RY14" s="16">
        <f>SUMIFS(Datos!$F:$F,Datos!$A:$A,$B14,Datos!$B:$B,RY$3)</f>
        <v>0</v>
      </c>
      <c r="RZ14" s="16">
        <f>SUMIFS(Datos!$F:$F,Datos!$A:$A,$B14,Datos!$B:$B,RZ$3)</f>
        <v>0</v>
      </c>
      <c r="SA14" s="16">
        <f>SUMIFS(Datos!$F:$F,Datos!$A:$A,$B14,Datos!$B:$B,SA$3)</f>
        <v>0</v>
      </c>
      <c r="SB14" s="16">
        <f>SUMIFS(Datos!$F:$F,Datos!$A:$A,$B14,Datos!$B:$B,SB$3)</f>
        <v>0</v>
      </c>
      <c r="SC14" s="16">
        <f>SUMIFS(Datos!$F:$F,Datos!$A:$A,$B14,Datos!$B:$B,SC$3)</f>
        <v>0</v>
      </c>
      <c r="SD14" s="16">
        <f>SUMIFS(Datos!$F:$F,Datos!$A:$A,$B14,Datos!$B:$B,SD$3)</f>
        <v>0</v>
      </c>
      <c r="SE14" s="16">
        <f>SUMIFS(Datos!$F:$F,Datos!$A:$A,$B14,Datos!$B:$B,SE$3)</f>
        <v>0</v>
      </c>
      <c r="SF14" s="16">
        <f>SUMIFS(Datos!$F:$F,Datos!$A:$A,$B14,Datos!$B:$B,SF$3)</f>
        <v>0</v>
      </c>
      <c r="SG14" s="16">
        <f>SUMIFS(Datos!$F:$F,Datos!$A:$A,$B14,Datos!$B:$B,SG$3)</f>
        <v>0</v>
      </c>
      <c r="SH14" s="16">
        <f>SUMIFS(Datos!$F:$F,Datos!$A:$A,$B14,Datos!$B:$B,SH$3)</f>
        <v>0</v>
      </c>
      <c r="SI14" s="16">
        <f>SUMIFS(Datos!$F:$F,Datos!$A:$A,$B14,Datos!$B:$B,SI$3)</f>
        <v>0</v>
      </c>
      <c r="SJ14" s="16">
        <f>SUMIFS(Datos!$F:$F,Datos!$A:$A,$B14,Datos!$B:$B,SJ$3)</f>
        <v>0</v>
      </c>
      <c r="SK14" s="16">
        <f>SUMIFS(Datos!$F:$F,Datos!$A:$A,$B14,Datos!$B:$B,SK$3)</f>
        <v>0</v>
      </c>
      <c r="SL14" s="16">
        <f>SUMIFS(Datos!$F:$F,Datos!$A:$A,$B14,Datos!$B:$B,SL$3)</f>
        <v>0</v>
      </c>
      <c r="SM14" s="16">
        <f>SUMIFS(Datos!$F:$F,Datos!$A:$A,$B14,Datos!$B:$B,SM$3)</f>
        <v>0</v>
      </c>
      <c r="SN14" s="16">
        <f>SUMIFS(Datos!$F:$F,Datos!$A:$A,$B14,Datos!$B:$B,SN$3)</f>
        <v>0</v>
      </c>
      <c r="SO14" s="16">
        <f>SUMIFS(Datos!$F:$F,Datos!$A:$A,$B14,Datos!$B:$B,SO$3)</f>
        <v>0</v>
      </c>
      <c r="SP14" s="16">
        <f>SUMIFS(Datos!$F:$F,Datos!$A:$A,$B14,Datos!$B:$B,SP$3)</f>
        <v>0</v>
      </c>
      <c r="SQ14" s="16">
        <f>SUMIFS(Datos!$F:$F,Datos!$A:$A,$B14,Datos!$B:$B,SQ$3)</f>
        <v>0</v>
      </c>
      <c r="SR14" s="16">
        <f>SUMIFS(Datos!$F:$F,Datos!$A:$A,$B14,Datos!$B:$B,SR$3)</f>
        <v>0</v>
      </c>
      <c r="SS14" s="16">
        <f>SUMIFS(Datos!$F:$F,Datos!$A:$A,$B14,Datos!$B:$B,SS$3)</f>
        <v>0</v>
      </c>
      <c r="ST14" s="16">
        <f>SUMIFS(Datos!$F:$F,Datos!$A:$A,$B14,Datos!$B:$B,ST$3)</f>
        <v>0</v>
      </c>
      <c r="SU14" s="16">
        <f>SUMIFS(Datos!$F:$F,Datos!$A:$A,$B14,Datos!$B:$B,SU$3)</f>
        <v>0</v>
      </c>
      <c r="SV14" s="16">
        <f>SUMIFS(Datos!$F:$F,Datos!$A:$A,$B14,Datos!$B:$B,SV$3)</f>
        <v>0</v>
      </c>
      <c r="SW14" s="16">
        <f>SUMIFS(Datos!$F:$F,Datos!$A:$A,$B14,Datos!$B:$B,SW$3)</f>
        <v>0</v>
      </c>
      <c r="SX14" s="16">
        <f>SUMIFS(Datos!$F:$F,Datos!$A:$A,$B14,Datos!$B:$B,SX$3)</f>
        <v>0</v>
      </c>
      <c r="SY14" s="16">
        <f>SUMIFS(Datos!$F:$F,Datos!$A:$A,$B14,Datos!$B:$B,SY$3)</f>
        <v>0</v>
      </c>
      <c r="SZ14" s="16">
        <f>SUMIFS(Datos!$F:$F,Datos!$A:$A,$B14,Datos!$B:$B,SZ$3)</f>
        <v>0</v>
      </c>
      <c r="TA14" s="16">
        <f>SUMIFS(Datos!$F:$F,Datos!$A:$A,$B14,Datos!$B:$B,TA$3)</f>
        <v>0</v>
      </c>
      <c r="TB14" s="16">
        <f>SUMIFS(Datos!$F:$F,Datos!$A:$A,$B14,Datos!$B:$B,TB$3)</f>
        <v>0</v>
      </c>
      <c r="TC14" s="16">
        <f>SUMIFS(Datos!$F:$F,Datos!$A:$A,$B14,Datos!$B:$B,TC$3)</f>
        <v>0</v>
      </c>
      <c r="TD14" s="16">
        <f>SUMIFS(Datos!$F:$F,Datos!$A:$A,$B14,Datos!$B:$B,TD$3)</f>
        <v>0</v>
      </c>
      <c r="TE14" s="16">
        <f>SUMIFS(Datos!$F:$F,Datos!$A:$A,$B14,Datos!$B:$B,TE$3)</f>
        <v>0</v>
      </c>
      <c r="TF14" s="16">
        <f>SUMIFS(Datos!$F:$F,Datos!$A:$A,$B14,Datos!$B:$B,TF$3)</f>
        <v>0</v>
      </c>
    </row>
    <row r="15" spans="1:526">
      <c r="A15" s="31" t="s">
        <v>48</v>
      </c>
      <c r="B15" s="4">
        <f>Cartera!B15</f>
        <v>0</v>
      </c>
      <c r="C15" s="4">
        <f>Cartera!C15</f>
        <v>0</v>
      </c>
      <c r="D15" s="16">
        <f>SUMIFS(Datos!$F:$F,Datos!$A:$A,$B15,Datos!$B:$B,D$3)</f>
        <v>0</v>
      </c>
      <c r="E15" s="16">
        <f>SUMIFS(Datos!$F:$F,Datos!$A:$A,$B15,Datos!$B:$B,E$3)</f>
        <v>0</v>
      </c>
      <c r="F15" s="16">
        <f>SUMIFS(Datos!$F:$F,Datos!$A:$A,$B15,Datos!$B:$B,F$3)</f>
        <v>0</v>
      </c>
      <c r="G15" s="16">
        <f>SUMIFS(Datos!$F:$F,Datos!$A:$A,$B15,Datos!$B:$B,G$3)</f>
        <v>0</v>
      </c>
      <c r="H15" s="16">
        <f>SUMIFS(Datos!$F:$F,Datos!$A:$A,$B15,Datos!$B:$B,H$3)</f>
        <v>0</v>
      </c>
      <c r="I15" s="16">
        <f>SUMIFS(Datos!$F:$F,Datos!$A:$A,$B15,Datos!$B:$B,I$3)</f>
        <v>0</v>
      </c>
      <c r="J15" s="16">
        <f>SUMIFS(Datos!$F:$F,Datos!$A:$A,$B15,Datos!$B:$B,J$3)</f>
        <v>0</v>
      </c>
      <c r="K15" s="16">
        <f>SUMIFS(Datos!$F:$F,Datos!$A:$A,$B15,Datos!$B:$B,K$3)</f>
        <v>0</v>
      </c>
      <c r="L15" s="16">
        <f>SUMIFS(Datos!$F:$F,Datos!$A:$A,$B15,Datos!$B:$B,L$3)</f>
        <v>0</v>
      </c>
      <c r="M15" s="16">
        <f>SUMIFS(Datos!$F:$F,Datos!$A:$A,$B15,Datos!$B:$B,M$3)</f>
        <v>0</v>
      </c>
      <c r="N15" s="16">
        <f>SUMIFS(Datos!$F:$F,Datos!$A:$A,$B15,Datos!$B:$B,N$3)</f>
        <v>0</v>
      </c>
      <c r="O15" s="16">
        <f>SUMIFS(Datos!$F:$F,Datos!$A:$A,$B15,Datos!$B:$B,O$3)</f>
        <v>0</v>
      </c>
      <c r="P15" s="16">
        <f>SUMIFS(Datos!$F:$F,Datos!$A:$A,$B15,Datos!$B:$B,P$3)</f>
        <v>0</v>
      </c>
      <c r="Q15" s="16">
        <f>SUMIFS(Datos!$F:$F,Datos!$A:$A,$B15,Datos!$B:$B,Q$3)</f>
        <v>0</v>
      </c>
      <c r="R15" s="16">
        <f>SUMIFS(Datos!$F:$F,Datos!$A:$A,$B15,Datos!$B:$B,R$3)</f>
        <v>0</v>
      </c>
      <c r="S15" s="16">
        <f>SUMIFS(Datos!$F:$F,Datos!$A:$A,$B15,Datos!$B:$B,S$3)</f>
        <v>0</v>
      </c>
      <c r="T15" s="16">
        <f>SUMIFS(Datos!$F:$F,Datos!$A:$A,$B15,Datos!$B:$B,T$3)</f>
        <v>0</v>
      </c>
      <c r="U15" s="16">
        <f>SUMIFS(Datos!$F:$F,Datos!$A:$A,$B15,Datos!$B:$B,U$3)</f>
        <v>0</v>
      </c>
      <c r="V15" s="16">
        <f>SUMIFS(Datos!$F:$F,Datos!$A:$A,$B15,Datos!$B:$B,V$3)</f>
        <v>0</v>
      </c>
      <c r="W15" s="16">
        <f>SUMIFS(Datos!$F:$F,Datos!$A:$A,$B15,Datos!$B:$B,W$3)</f>
        <v>0</v>
      </c>
      <c r="X15" s="16">
        <f>SUMIFS(Datos!$F:$F,Datos!$A:$A,$B15,Datos!$B:$B,X$3)</f>
        <v>0</v>
      </c>
      <c r="Y15" s="16">
        <f>SUMIFS(Datos!$F:$F,Datos!$A:$A,$B15,Datos!$B:$B,Y$3)</f>
        <v>0</v>
      </c>
      <c r="Z15" s="16">
        <f>SUMIFS(Datos!$F:$F,Datos!$A:$A,$B15,Datos!$B:$B,Z$3)</f>
        <v>0</v>
      </c>
      <c r="AA15" s="16">
        <f>SUMIFS(Datos!$F:$F,Datos!$A:$A,$B15,Datos!$B:$B,AA$3)</f>
        <v>0</v>
      </c>
      <c r="AB15" s="16">
        <f>SUMIFS(Datos!$F:$F,Datos!$A:$A,$B15,Datos!$B:$B,AB$3)</f>
        <v>0</v>
      </c>
      <c r="AC15" s="16">
        <f>SUMIFS(Datos!$F:$F,Datos!$A:$A,$B15,Datos!$B:$B,AC$3)</f>
        <v>0</v>
      </c>
      <c r="AD15" s="16">
        <f>SUMIFS(Datos!$F:$F,Datos!$A:$A,$B15,Datos!$B:$B,AD$3)</f>
        <v>0</v>
      </c>
      <c r="AE15" s="16">
        <f>SUMIFS(Datos!$F:$F,Datos!$A:$A,$B15,Datos!$B:$B,AE$3)</f>
        <v>0</v>
      </c>
      <c r="AF15" s="16">
        <f>SUMIFS(Datos!$F:$F,Datos!$A:$A,$B15,Datos!$B:$B,AF$3)</f>
        <v>0</v>
      </c>
      <c r="AG15" s="16">
        <f>SUMIFS(Datos!$F:$F,Datos!$A:$A,$B15,Datos!$B:$B,AG$3)</f>
        <v>0</v>
      </c>
      <c r="AH15" s="16">
        <f>SUMIFS(Datos!$F:$F,Datos!$A:$A,$B15,Datos!$B:$B,AH$3)</f>
        <v>0</v>
      </c>
      <c r="AI15" s="16">
        <f>SUMIFS(Datos!$F:$F,Datos!$A:$A,$B15,Datos!$B:$B,AI$3)</f>
        <v>0</v>
      </c>
      <c r="AJ15" s="16">
        <f>SUMIFS(Datos!$F:$F,Datos!$A:$A,$B15,Datos!$B:$B,AJ$3)</f>
        <v>0</v>
      </c>
      <c r="AK15" s="16">
        <f>SUMIFS(Datos!$F:$F,Datos!$A:$A,$B15,Datos!$B:$B,AK$3)</f>
        <v>0</v>
      </c>
      <c r="AL15" s="16">
        <f>SUMIFS(Datos!$F:$F,Datos!$A:$A,$B15,Datos!$B:$B,AL$3)</f>
        <v>0</v>
      </c>
      <c r="AM15" s="16">
        <f>SUMIFS(Datos!$F:$F,Datos!$A:$A,$B15,Datos!$B:$B,AM$3)</f>
        <v>0</v>
      </c>
      <c r="AN15" s="16">
        <f>SUMIFS(Datos!$F:$F,Datos!$A:$A,$B15,Datos!$B:$B,AN$3)</f>
        <v>0</v>
      </c>
      <c r="AO15" s="16">
        <f>SUMIFS(Datos!$F:$F,Datos!$A:$A,$B15,Datos!$B:$B,AO$3)</f>
        <v>0</v>
      </c>
      <c r="AP15" s="16">
        <f>SUMIFS(Datos!$F:$F,Datos!$A:$A,$B15,Datos!$B:$B,AP$3)</f>
        <v>0</v>
      </c>
      <c r="AQ15" s="16">
        <f>SUMIFS(Datos!$F:$F,Datos!$A:$A,$B15,Datos!$B:$B,AQ$3)</f>
        <v>0</v>
      </c>
      <c r="AR15" s="16">
        <f>SUMIFS(Datos!$F:$F,Datos!$A:$A,$B15,Datos!$B:$B,AR$3)</f>
        <v>0</v>
      </c>
      <c r="AS15" s="16">
        <f>SUMIFS(Datos!$F:$F,Datos!$A:$A,$B15,Datos!$B:$B,AS$3)</f>
        <v>0</v>
      </c>
      <c r="AT15" s="16">
        <f>SUMIFS(Datos!$F:$F,Datos!$A:$A,$B15,Datos!$B:$B,AT$3)</f>
        <v>0</v>
      </c>
      <c r="AU15" s="16">
        <f>SUMIFS(Datos!$F:$F,Datos!$A:$A,$B15,Datos!$B:$B,AU$3)</f>
        <v>0</v>
      </c>
      <c r="AV15" s="16">
        <f>SUMIFS(Datos!$F:$F,Datos!$A:$A,$B15,Datos!$B:$B,AV$3)</f>
        <v>0</v>
      </c>
      <c r="AW15" s="16">
        <f>SUMIFS(Datos!$F:$F,Datos!$A:$A,$B15,Datos!$B:$B,AW$3)</f>
        <v>0</v>
      </c>
      <c r="AX15" s="16">
        <f>SUMIFS(Datos!$F:$F,Datos!$A:$A,$B15,Datos!$B:$B,AX$3)</f>
        <v>0</v>
      </c>
      <c r="AY15" s="16">
        <f>SUMIFS(Datos!$F:$F,Datos!$A:$A,$B15,Datos!$B:$B,AY$3)</f>
        <v>0</v>
      </c>
      <c r="AZ15" s="16">
        <f>SUMIFS(Datos!$F:$F,Datos!$A:$A,$B15,Datos!$B:$B,AZ$3)</f>
        <v>0</v>
      </c>
      <c r="BA15" s="16">
        <f>SUMIFS(Datos!$F:$F,Datos!$A:$A,$B15,Datos!$B:$B,BA$3)</f>
        <v>0</v>
      </c>
      <c r="BB15" s="16">
        <f>SUMIFS(Datos!$F:$F,Datos!$A:$A,$B15,Datos!$B:$B,BB$3)</f>
        <v>0</v>
      </c>
      <c r="BC15" s="16">
        <f>SUMIFS(Datos!$F:$F,Datos!$A:$A,$B15,Datos!$B:$B,BC$3)</f>
        <v>0</v>
      </c>
      <c r="BD15" s="16">
        <f>SUMIFS(Datos!$F:$F,Datos!$A:$A,$B15,Datos!$B:$B,BD$3)</f>
        <v>0</v>
      </c>
      <c r="BE15" s="16">
        <f>SUMIFS(Datos!$F:$F,Datos!$A:$A,$B15,Datos!$B:$B,BE$3)</f>
        <v>0</v>
      </c>
      <c r="BF15" s="16">
        <f>SUMIFS(Datos!$F:$F,Datos!$A:$A,$B15,Datos!$B:$B,BF$3)</f>
        <v>0</v>
      </c>
      <c r="BG15" s="16">
        <f>SUMIFS(Datos!$F:$F,Datos!$A:$A,$B15,Datos!$B:$B,BG$3)</f>
        <v>0</v>
      </c>
      <c r="BH15" s="16">
        <f>SUMIFS(Datos!$F:$F,Datos!$A:$A,$B15,Datos!$B:$B,BH$3)</f>
        <v>0</v>
      </c>
      <c r="BI15" s="16">
        <f>SUMIFS(Datos!$F:$F,Datos!$A:$A,$B15,Datos!$B:$B,BI$3)</f>
        <v>0</v>
      </c>
      <c r="BJ15" s="16">
        <f>SUMIFS(Datos!$F:$F,Datos!$A:$A,$B15,Datos!$B:$B,BJ$3)</f>
        <v>0</v>
      </c>
      <c r="BK15" s="16">
        <f>SUMIFS(Datos!$F:$F,Datos!$A:$A,$B15,Datos!$B:$B,BK$3)</f>
        <v>0</v>
      </c>
      <c r="BL15" s="16">
        <f>SUMIFS(Datos!$F:$F,Datos!$A:$A,$B15,Datos!$B:$B,BL$3)</f>
        <v>0</v>
      </c>
      <c r="BM15" s="16">
        <f>SUMIFS(Datos!$F:$F,Datos!$A:$A,$B15,Datos!$B:$B,BM$3)</f>
        <v>0</v>
      </c>
      <c r="BN15" s="16">
        <f>SUMIFS(Datos!$F:$F,Datos!$A:$A,$B15,Datos!$B:$B,BN$3)</f>
        <v>0</v>
      </c>
      <c r="BO15" s="16">
        <f>SUMIFS(Datos!$F:$F,Datos!$A:$A,$B15,Datos!$B:$B,BO$3)</f>
        <v>0</v>
      </c>
      <c r="BP15" s="16">
        <f>SUMIFS(Datos!$F:$F,Datos!$A:$A,$B15,Datos!$B:$B,BP$3)</f>
        <v>0</v>
      </c>
      <c r="BQ15" s="16">
        <f>SUMIFS(Datos!$F:$F,Datos!$A:$A,$B15,Datos!$B:$B,BQ$3)</f>
        <v>0</v>
      </c>
      <c r="BR15" s="16">
        <f>SUMIFS(Datos!$F:$F,Datos!$A:$A,$B15,Datos!$B:$B,BR$3)</f>
        <v>0</v>
      </c>
      <c r="BS15" s="16">
        <f>SUMIFS(Datos!$F:$F,Datos!$A:$A,$B15,Datos!$B:$B,BS$3)</f>
        <v>0</v>
      </c>
      <c r="BT15" s="16">
        <f>SUMIFS(Datos!$F:$F,Datos!$A:$A,$B15,Datos!$B:$B,BT$3)</f>
        <v>0</v>
      </c>
      <c r="BU15" s="16">
        <f>SUMIFS(Datos!$F:$F,Datos!$A:$A,$B15,Datos!$B:$B,BU$3)</f>
        <v>0</v>
      </c>
      <c r="BV15" s="16">
        <f>SUMIFS(Datos!$F:$F,Datos!$A:$A,$B15,Datos!$B:$B,BV$3)</f>
        <v>0</v>
      </c>
      <c r="BW15" s="16">
        <f>SUMIFS(Datos!$F:$F,Datos!$A:$A,$B15,Datos!$B:$B,BW$3)</f>
        <v>0</v>
      </c>
      <c r="BX15" s="16">
        <f>SUMIFS(Datos!$F:$F,Datos!$A:$A,$B15,Datos!$B:$B,BX$3)</f>
        <v>0</v>
      </c>
      <c r="BY15" s="16">
        <f>SUMIFS(Datos!$F:$F,Datos!$A:$A,$B15,Datos!$B:$B,BY$3)</f>
        <v>0</v>
      </c>
      <c r="BZ15" s="16">
        <f>SUMIFS(Datos!$F:$F,Datos!$A:$A,$B15,Datos!$B:$B,BZ$3)</f>
        <v>0</v>
      </c>
      <c r="CA15" s="16">
        <f>SUMIFS(Datos!$F:$F,Datos!$A:$A,$B15,Datos!$B:$B,CA$3)</f>
        <v>0</v>
      </c>
      <c r="CB15" s="16">
        <f>SUMIFS(Datos!$F:$F,Datos!$A:$A,$B15,Datos!$B:$B,CB$3)</f>
        <v>0</v>
      </c>
      <c r="CC15" s="16">
        <f>SUMIFS(Datos!$F:$F,Datos!$A:$A,$B15,Datos!$B:$B,CC$3)</f>
        <v>0</v>
      </c>
      <c r="CD15" s="16">
        <f>SUMIFS(Datos!$F:$F,Datos!$A:$A,$B15,Datos!$B:$B,CD$3)</f>
        <v>0</v>
      </c>
      <c r="CE15" s="16">
        <f>SUMIFS(Datos!$F:$F,Datos!$A:$A,$B15,Datos!$B:$B,CE$3)</f>
        <v>0</v>
      </c>
      <c r="CF15" s="16">
        <f>SUMIFS(Datos!$F:$F,Datos!$A:$A,$B15,Datos!$B:$B,CF$3)</f>
        <v>0</v>
      </c>
      <c r="CG15" s="16">
        <f>SUMIFS(Datos!$F:$F,Datos!$A:$A,$B15,Datos!$B:$B,CG$3)</f>
        <v>0</v>
      </c>
      <c r="CH15" s="16">
        <f>SUMIFS(Datos!$F:$F,Datos!$A:$A,$B15,Datos!$B:$B,CH$3)</f>
        <v>0</v>
      </c>
      <c r="CI15" s="16">
        <f>SUMIFS(Datos!$F:$F,Datos!$A:$A,$B15,Datos!$B:$B,CI$3)</f>
        <v>0</v>
      </c>
      <c r="CJ15" s="16">
        <f>SUMIFS(Datos!$F:$F,Datos!$A:$A,$B15,Datos!$B:$B,CJ$3)</f>
        <v>0</v>
      </c>
      <c r="CK15" s="16">
        <f>SUMIFS(Datos!$F:$F,Datos!$A:$A,$B15,Datos!$B:$B,CK$3)</f>
        <v>0</v>
      </c>
      <c r="CL15" s="16">
        <f>SUMIFS(Datos!$F:$F,Datos!$A:$A,$B15,Datos!$B:$B,CL$3)</f>
        <v>0</v>
      </c>
      <c r="CM15" s="16">
        <f>SUMIFS(Datos!$F:$F,Datos!$A:$A,$B15,Datos!$B:$B,CM$3)</f>
        <v>0</v>
      </c>
      <c r="CN15" s="16">
        <f>SUMIFS(Datos!$F:$F,Datos!$A:$A,$B15,Datos!$B:$B,CN$3)</f>
        <v>0</v>
      </c>
      <c r="CO15" s="16">
        <f>SUMIFS(Datos!$F:$F,Datos!$A:$A,$B15,Datos!$B:$B,CO$3)</f>
        <v>0</v>
      </c>
      <c r="CP15" s="16">
        <f>SUMIFS(Datos!$F:$F,Datos!$A:$A,$B15,Datos!$B:$B,CP$3)</f>
        <v>0</v>
      </c>
      <c r="CQ15" s="16">
        <f>SUMIFS(Datos!$F:$F,Datos!$A:$A,$B15,Datos!$B:$B,CQ$3)</f>
        <v>0</v>
      </c>
      <c r="CR15" s="16">
        <f>SUMIFS(Datos!$F:$F,Datos!$A:$A,$B15,Datos!$B:$B,CR$3)</f>
        <v>0</v>
      </c>
      <c r="CS15" s="16">
        <f>SUMIFS(Datos!$F:$F,Datos!$A:$A,$B15,Datos!$B:$B,CS$3)</f>
        <v>0</v>
      </c>
      <c r="CT15" s="16">
        <f>SUMIFS(Datos!$F:$F,Datos!$A:$A,$B15,Datos!$B:$B,CT$3)</f>
        <v>0</v>
      </c>
      <c r="CU15" s="16">
        <f>SUMIFS(Datos!$F:$F,Datos!$A:$A,$B15,Datos!$B:$B,CU$3)</f>
        <v>0</v>
      </c>
      <c r="CV15" s="16">
        <f>SUMIFS(Datos!$F:$F,Datos!$A:$A,$B15,Datos!$B:$B,CV$3)</f>
        <v>0</v>
      </c>
      <c r="CW15" s="16">
        <f>SUMIFS(Datos!$F:$F,Datos!$A:$A,$B15,Datos!$B:$B,CW$3)</f>
        <v>0</v>
      </c>
      <c r="CX15" s="16">
        <f>SUMIFS(Datos!$F:$F,Datos!$A:$A,$B15,Datos!$B:$B,CX$3)</f>
        <v>0</v>
      </c>
      <c r="CY15" s="16">
        <f>SUMIFS(Datos!$F:$F,Datos!$A:$A,$B15,Datos!$B:$B,CY$3)</f>
        <v>0</v>
      </c>
      <c r="CZ15" s="16">
        <f>SUMIFS(Datos!$F:$F,Datos!$A:$A,$B15,Datos!$B:$B,CZ$3)</f>
        <v>0</v>
      </c>
      <c r="DA15" s="16">
        <f>SUMIFS(Datos!$F:$F,Datos!$A:$A,$B15,Datos!$B:$B,DA$3)</f>
        <v>0</v>
      </c>
      <c r="DB15" s="16">
        <f>SUMIFS(Datos!$F:$F,Datos!$A:$A,$B15,Datos!$B:$B,DB$3)</f>
        <v>0</v>
      </c>
      <c r="DC15" s="16">
        <f>SUMIFS(Datos!$F:$F,Datos!$A:$A,$B15,Datos!$B:$B,DC$3)</f>
        <v>0</v>
      </c>
      <c r="DD15" s="16">
        <f>SUMIFS(Datos!$F:$F,Datos!$A:$A,$B15,Datos!$B:$B,DD$3)</f>
        <v>0</v>
      </c>
      <c r="DE15" s="16">
        <f>SUMIFS(Datos!$F:$F,Datos!$A:$A,$B15,Datos!$B:$B,DE$3)</f>
        <v>0</v>
      </c>
      <c r="DF15" s="16">
        <f>SUMIFS(Datos!$F:$F,Datos!$A:$A,$B15,Datos!$B:$B,DF$3)</f>
        <v>0</v>
      </c>
      <c r="DG15" s="16">
        <f>SUMIFS(Datos!$F:$F,Datos!$A:$A,$B15,Datos!$B:$B,DG$3)</f>
        <v>0</v>
      </c>
      <c r="DH15" s="16">
        <f>SUMIFS(Datos!$F:$F,Datos!$A:$A,$B15,Datos!$B:$B,DH$3)</f>
        <v>0</v>
      </c>
      <c r="DI15" s="16">
        <f>SUMIFS(Datos!$F:$F,Datos!$A:$A,$B15,Datos!$B:$B,DI$3)</f>
        <v>0</v>
      </c>
      <c r="DJ15" s="16">
        <f>SUMIFS(Datos!$F:$F,Datos!$A:$A,$B15,Datos!$B:$B,DJ$3)</f>
        <v>0</v>
      </c>
      <c r="DK15" s="16">
        <f>SUMIFS(Datos!$F:$F,Datos!$A:$A,$B15,Datos!$B:$B,DK$3)</f>
        <v>0</v>
      </c>
      <c r="DL15" s="16">
        <f>SUMIFS(Datos!$F:$F,Datos!$A:$A,$B15,Datos!$B:$B,DL$3)</f>
        <v>0</v>
      </c>
      <c r="DM15" s="16">
        <f>SUMIFS(Datos!$F:$F,Datos!$A:$A,$B15,Datos!$B:$B,DM$3)</f>
        <v>0</v>
      </c>
      <c r="DN15" s="16">
        <f>SUMIFS(Datos!$F:$F,Datos!$A:$A,$B15,Datos!$B:$B,DN$3)</f>
        <v>0</v>
      </c>
      <c r="DO15" s="16">
        <f>SUMIFS(Datos!$F:$F,Datos!$A:$A,$B15,Datos!$B:$B,DO$3)</f>
        <v>0</v>
      </c>
      <c r="DP15" s="16">
        <f>SUMIFS(Datos!$F:$F,Datos!$A:$A,$B15,Datos!$B:$B,DP$3)</f>
        <v>0</v>
      </c>
      <c r="DQ15" s="16">
        <f>SUMIFS(Datos!$F:$F,Datos!$A:$A,$B15,Datos!$B:$B,DQ$3)</f>
        <v>0</v>
      </c>
      <c r="DR15" s="16">
        <f>SUMIFS(Datos!$F:$F,Datos!$A:$A,$B15,Datos!$B:$B,DR$3)</f>
        <v>0</v>
      </c>
      <c r="DS15" s="16">
        <f>SUMIFS(Datos!$F:$F,Datos!$A:$A,$B15,Datos!$B:$B,DS$3)</f>
        <v>0</v>
      </c>
      <c r="DT15" s="16">
        <f>SUMIFS(Datos!$F:$F,Datos!$A:$A,$B15,Datos!$B:$B,DT$3)</f>
        <v>0</v>
      </c>
      <c r="DU15" s="16">
        <f>SUMIFS(Datos!$F:$F,Datos!$A:$A,$B15,Datos!$B:$B,DU$3)</f>
        <v>0</v>
      </c>
      <c r="DV15" s="16">
        <f>SUMIFS(Datos!$F:$F,Datos!$A:$A,$B15,Datos!$B:$B,DV$3)</f>
        <v>0</v>
      </c>
      <c r="DW15" s="16">
        <f>SUMIFS(Datos!$F:$F,Datos!$A:$A,$B15,Datos!$B:$B,DW$3)</f>
        <v>0</v>
      </c>
      <c r="DX15" s="16">
        <f>SUMIFS(Datos!$F:$F,Datos!$A:$A,$B15,Datos!$B:$B,DX$3)</f>
        <v>0</v>
      </c>
      <c r="DY15" s="16">
        <f>SUMIFS(Datos!$F:$F,Datos!$A:$A,$B15,Datos!$B:$B,DY$3)</f>
        <v>0</v>
      </c>
      <c r="DZ15" s="16">
        <f>SUMIFS(Datos!$F:$F,Datos!$A:$A,$B15,Datos!$B:$B,DZ$3)</f>
        <v>0</v>
      </c>
      <c r="EA15" s="16">
        <f>SUMIFS(Datos!$F:$F,Datos!$A:$A,$B15,Datos!$B:$B,EA$3)</f>
        <v>0</v>
      </c>
      <c r="EB15" s="16">
        <f>SUMIFS(Datos!$F:$F,Datos!$A:$A,$B15,Datos!$B:$B,EB$3)</f>
        <v>0</v>
      </c>
      <c r="EC15" s="16">
        <f>SUMIFS(Datos!$F:$F,Datos!$A:$A,$B15,Datos!$B:$B,EC$3)</f>
        <v>0</v>
      </c>
      <c r="ED15" s="16">
        <f>SUMIFS(Datos!$F:$F,Datos!$A:$A,$B15,Datos!$B:$B,ED$3)</f>
        <v>0</v>
      </c>
      <c r="EE15" s="16">
        <f>SUMIFS(Datos!$F:$F,Datos!$A:$A,$B15,Datos!$B:$B,EE$3)</f>
        <v>0</v>
      </c>
      <c r="EF15" s="16">
        <f>SUMIFS(Datos!$F:$F,Datos!$A:$A,$B15,Datos!$B:$B,EF$3)</f>
        <v>0</v>
      </c>
      <c r="EG15" s="16">
        <f>SUMIFS(Datos!$F:$F,Datos!$A:$A,$B15,Datos!$B:$B,EG$3)</f>
        <v>0</v>
      </c>
      <c r="EH15" s="16">
        <f>SUMIFS(Datos!$F:$F,Datos!$A:$A,$B15,Datos!$B:$B,EH$3)</f>
        <v>0</v>
      </c>
      <c r="EI15" s="16">
        <f>SUMIFS(Datos!$F:$F,Datos!$A:$A,$B15,Datos!$B:$B,EI$3)</f>
        <v>0</v>
      </c>
      <c r="EJ15" s="16">
        <f>SUMIFS(Datos!$F:$F,Datos!$A:$A,$B15,Datos!$B:$B,EJ$3)</f>
        <v>0</v>
      </c>
      <c r="EK15" s="16">
        <f>SUMIFS(Datos!$F:$F,Datos!$A:$A,$B15,Datos!$B:$B,EK$3)</f>
        <v>0</v>
      </c>
      <c r="EL15" s="16">
        <f>SUMIFS(Datos!$F:$F,Datos!$A:$A,$B15,Datos!$B:$B,EL$3)</f>
        <v>0</v>
      </c>
      <c r="EM15" s="16">
        <f>SUMIFS(Datos!$F:$F,Datos!$A:$A,$B15,Datos!$B:$B,EM$3)</f>
        <v>0</v>
      </c>
      <c r="EN15" s="16">
        <f>SUMIFS(Datos!$F:$F,Datos!$A:$A,$B15,Datos!$B:$B,EN$3)</f>
        <v>0</v>
      </c>
      <c r="EO15" s="16">
        <f>SUMIFS(Datos!$F:$F,Datos!$A:$A,$B15,Datos!$B:$B,EO$3)</f>
        <v>0</v>
      </c>
      <c r="EP15" s="16">
        <f>SUMIFS(Datos!$F:$F,Datos!$A:$A,$B15,Datos!$B:$B,EP$3)</f>
        <v>0</v>
      </c>
      <c r="EQ15" s="16">
        <f>SUMIFS(Datos!$F:$F,Datos!$A:$A,$B15,Datos!$B:$B,EQ$3)</f>
        <v>0</v>
      </c>
      <c r="ER15" s="16">
        <f>SUMIFS(Datos!$F:$F,Datos!$A:$A,$B15,Datos!$B:$B,ER$3)</f>
        <v>0</v>
      </c>
      <c r="ES15" s="16">
        <f>SUMIFS(Datos!$F:$F,Datos!$A:$A,$B15,Datos!$B:$B,ES$3)</f>
        <v>0</v>
      </c>
      <c r="ET15" s="16">
        <f>SUMIFS(Datos!$F:$F,Datos!$A:$A,$B15,Datos!$B:$B,ET$3)</f>
        <v>0</v>
      </c>
      <c r="EU15" s="16">
        <f>SUMIFS(Datos!$F:$F,Datos!$A:$A,$B15,Datos!$B:$B,EU$3)</f>
        <v>0</v>
      </c>
      <c r="EV15" s="16">
        <f>SUMIFS(Datos!$F:$F,Datos!$A:$A,$B15,Datos!$B:$B,EV$3)</f>
        <v>0</v>
      </c>
      <c r="EW15" s="16">
        <f>SUMIFS(Datos!$F:$F,Datos!$A:$A,$B15,Datos!$B:$B,EW$3)</f>
        <v>0</v>
      </c>
      <c r="EX15" s="16">
        <f>SUMIFS(Datos!$F:$F,Datos!$A:$A,$B15,Datos!$B:$B,EX$3)</f>
        <v>0</v>
      </c>
      <c r="EY15" s="16">
        <f>SUMIFS(Datos!$F:$F,Datos!$A:$A,$B15,Datos!$B:$B,EY$3)</f>
        <v>0</v>
      </c>
      <c r="EZ15" s="16">
        <f>SUMIFS(Datos!$F:$F,Datos!$A:$A,$B15,Datos!$B:$B,EZ$3)</f>
        <v>0</v>
      </c>
      <c r="FA15" s="16">
        <f>SUMIFS(Datos!$F:$F,Datos!$A:$A,$B15,Datos!$B:$B,FA$3)</f>
        <v>0</v>
      </c>
      <c r="FB15" s="16">
        <f>SUMIFS(Datos!$F:$F,Datos!$A:$A,$B15,Datos!$B:$B,FB$3)</f>
        <v>0</v>
      </c>
      <c r="FC15" s="16">
        <f>SUMIFS(Datos!$F:$F,Datos!$A:$A,$B15,Datos!$B:$B,FC$3)</f>
        <v>0</v>
      </c>
      <c r="FD15" s="16">
        <f>SUMIFS(Datos!$F:$F,Datos!$A:$A,$B15,Datos!$B:$B,FD$3)</f>
        <v>0</v>
      </c>
      <c r="FE15" s="16">
        <f>SUMIFS(Datos!$F:$F,Datos!$A:$A,$B15,Datos!$B:$B,FE$3)</f>
        <v>0</v>
      </c>
      <c r="FF15" s="16">
        <f>SUMIFS(Datos!$F:$F,Datos!$A:$A,$B15,Datos!$B:$B,FF$3)</f>
        <v>0</v>
      </c>
      <c r="FG15" s="16">
        <f>SUMIFS(Datos!$F:$F,Datos!$A:$A,$B15,Datos!$B:$B,FG$3)</f>
        <v>0</v>
      </c>
      <c r="FH15" s="16">
        <f>SUMIFS(Datos!$F:$F,Datos!$A:$A,$B15,Datos!$B:$B,FH$3)</f>
        <v>0</v>
      </c>
      <c r="FI15" s="16">
        <f>SUMIFS(Datos!$F:$F,Datos!$A:$A,$B15,Datos!$B:$B,FI$3)</f>
        <v>0</v>
      </c>
      <c r="FJ15" s="16">
        <f>SUMIFS(Datos!$F:$F,Datos!$A:$A,$B15,Datos!$B:$B,FJ$3)</f>
        <v>0</v>
      </c>
      <c r="FK15" s="16">
        <f>SUMIFS(Datos!$F:$F,Datos!$A:$A,$B15,Datos!$B:$B,FK$3)</f>
        <v>0</v>
      </c>
      <c r="FL15" s="16">
        <f>SUMIFS(Datos!$F:$F,Datos!$A:$A,$B15,Datos!$B:$B,FL$3)</f>
        <v>0</v>
      </c>
      <c r="FM15" s="16">
        <f>SUMIFS(Datos!$F:$F,Datos!$A:$A,$B15,Datos!$B:$B,FM$3)</f>
        <v>0</v>
      </c>
      <c r="FN15" s="16">
        <f>SUMIFS(Datos!$F:$F,Datos!$A:$A,$B15,Datos!$B:$B,FN$3)</f>
        <v>0</v>
      </c>
      <c r="FO15" s="16">
        <f>SUMIFS(Datos!$F:$F,Datos!$A:$A,$B15,Datos!$B:$B,FO$3)</f>
        <v>0</v>
      </c>
      <c r="FP15" s="16">
        <f>SUMIFS(Datos!$F:$F,Datos!$A:$A,$B15,Datos!$B:$B,FP$3)</f>
        <v>0</v>
      </c>
      <c r="FQ15" s="16">
        <f>SUMIFS(Datos!$F:$F,Datos!$A:$A,$B15,Datos!$B:$B,FQ$3)</f>
        <v>0</v>
      </c>
      <c r="FR15" s="16">
        <f>SUMIFS(Datos!$F:$F,Datos!$A:$A,$B15,Datos!$B:$B,FR$3)</f>
        <v>0</v>
      </c>
      <c r="FS15" s="16">
        <f>SUMIFS(Datos!$F:$F,Datos!$A:$A,$B15,Datos!$B:$B,FS$3)</f>
        <v>0</v>
      </c>
      <c r="FT15" s="16">
        <f>SUMIFS(Datos!$F:$F,Datos!$A:$A,$B15,Datos!$B:$B,FT$3)</f>
        <v>0</v>
      </c>
      <c r="FU15" s="16">
        <f>SUMIFS(Datos!$F:$F,Datos!$A:$A,$B15,Datos!$B:$B,FU$3)</f>
        <v>0</v>
      </c>
      <c r="FV15" s="16">
        <f>SUMIFS(Datos!$F:$F,Datos!$A:$A,$B15,Datos!$B:$B,FV$3)</f>
        <v>0</v>
      </c>
      <c r="FW15" s="16">
        <f>SUMIFS(Datos!$F:$F,Datos!$A:$A,$B15,Datos!$B:$B,FW$3)</f>
        <v>0</v>
      </c>
      <c r="FX15" s="16">
        <f>SUMIFS(Datos!$F:$F,Datos!$A:$A,$B15,Datos!$B:$B,FX$3)</f>
        <v>0</v>
      </c>
      <c r="FY15" s="16">
        <f>SUMIFS(Datos!$F:$F,Datos!$A:$A,$B15,Datos!$B:$B,FY$3)</f>
        <v>0</v>
      </c>
      <c r="FZ15" s="16">
        <f>SUMIFS(Datos!$F:$F,Datos!$A:$A,$B15,Datos!$B:$B,FZ$3)</f>
        <v>0</v>
      </c>
      <c r="GA15" s="16">
        <f>SUMIFS(Datos!$F:$F,Datos!$A:$A,$B15,Datos!$B:$B,GA$3)</f>
        <v>0</v>
      </c>
      <c r="GB15" s="16">
        <f>SUMIFS(Datos!$F:$F,Datos!$A:$A,$B15,Datos!$B:$B,GB$3)</f>
        <v>0</v>
      </c>
      <c r="GC15" s="16">
        <f>SUMIFS(Datos!$F:$F,Datos!$A:$A,$B15,Datos!$B:$B,GC$3)</f>
        <v>0</v>
      </c>
      <c r="GD15" s="16">
        <f>SUMIFS(Datos!$F:$F,Datos!$A:$A,$B15,Datos!$B:$B,GD$3)</f>
        <v>0</v>
      </c>
      <c r="GE15" s="16">
        <f>SUMIFS(Datos!$F:$F,Datos!$A:$A,$B15,Datos!$B:$B,GE$3)</f>
        <v>0</v>
      </c>
      <c r="GF15" s="16">
        <f>SUMIFS(Datos!$F:$F,Datos!$A:$A,$B15,Datos!$B:$B,GF$3)</f>
        <v>0</v>
      </c>
      <c r="GG15" s="16">
        <f>SUMIFS(Datos!$F:$F,Datos!$A:$A,$B15,Datos!$B:$B,GG$3)</f>
        <v>0</v>
      </c>
      <c r="GH15" s="16">
        <f>SUMIFS(Datos!$F:$F,Datos!$A:$A,$B15,Datos!$B:$B,GH$3)</f>
        <v>0</v>
      </c>
      <c r="GI15" s="16">
        <f>SUMIFS(Datos!$F:$F,Datos!$A:$A,$B15,Datos!$B:$B,GI$3)</f>
        <v>0</v>
      </c>
      <c r="GJ15" s="16">
        <f>SUMIFS(Datos!$F:$F,Datos!$A:$A,$B15,Datos!$B:$B,GJ$3)</f>
        <v>0</v>
      </c>
      <c r="GK15" s="16">
        <f>SUMIFS(Datos!$F:$F,Datos!$A:$A,$B15,Datos!$B:$B,GK$3)</f>
        <v>0</v>
      </c>
      <c r="GL15" s="16">
        <f>SUMIFS(Datos!$F:$F,Datos!$A:$A,$B15,Datos!$B:$B,GL$3)</f>
        <v>0</v>
      </c>
      <c r="GM15" s="16">
        <f>SUMIFS(Datos!$F:$F,Datos!$A:$A,$B15,Datos!$B:$B,GM$3)</f>
        <v>0</v>
      </c>
      <c r="GN15" s="16">
        <f>SUMIFS(Datos!$F:$F,Datos!$A:$A,$B15,Datos!$B:$B,GN$3)</f>
        <v>0</v>
      </c>
      <c r="GO15" s="16">
        <f>SUMIFS(Datos!$F:$F,Datos!$A:$A,$B15,Datos!$B:$B,GO$3)</f>
        <v>0</v>
      </c>
      <c r="GP15" s="16">
        <f>SUMIFS(Datos!$F:$F,Datos!$A:$A,$B15,Datos!$B:$B,GP$3)</f>
        <v>0</v>
      </c>
      <c r="GQ15" s="16">
        <f>SUMIFS(Datos!$F:$F,Datos!$A:$A,$B15,Datos!$B:$B,GQ$3)</f>
        <v>0</v>
      </c>
      <c r="GR15" s="16">
        <f>SUMIFS(Datos!$F:$F,Datos!$A:$A,$B15,Datos!$B:$B,GR$3)</f>
        <v>0</v>
      </c>
      <c r="GS15" s="16">
        <f>SUMIFS(Datos!$F:$F,Datos!$A:$A,$B15,Datos!$B:$B,GS$3)</f>
        <v>0</v>
      </c>
      <c r="GT15" s="16">
        <f>SUMIFS(Datos!$F:$F,Datos!$A:$A,$B15,Datos!$B:$B,GT$3)</f>
        <v>0</v>
      </c>
      <c r="GU15" s="16">
        <f>SUMIFS(Datos!$F:$F,Datos!$A:$A,$B15,Datos!$B:$B,GU$3)</f>
        <v>0</v>
      </c>
      <c r="GV15" s="16">
        <f>SUMIFS(Datos!$F:$F,Datos!$A:$A,$B15,Datos!$B:$B,GV$3)</f>
        <v>0</v>
      </c>
      <c r="GW15" s="16">
        <f>SUMIFS(Datos!$F:$F,Datos!$A:$A,$B15,Datos!$B:$B,GW$3)</f>
        <v>0</v>
      </c>
      <c r="GX15" s="16">
        <f>SUMIFS(Datos!$F:$F,Datos!$A:$A,$B15,Datos!$B:$B,GX$3)</f>
        <v>0</v>
      </c>
      <c r="GY15" s="16">
        <f>SUMIFS(Datos!$F:$F,Datos!$A:$A,$B15,Datos!$B:$B,GY$3)</f>
        <v>0</v>
      </c>
      <c r="GZ15" s="16">
        <f>SUMIFS(Datos!$F:$F,Datos!$A:$A,$B15,Datos!$B:$B,GZ$3)</f>
        <v>0</v>
      </c>
      <c r="HA15" s="16">
        <f>SUMIFS(Datos!$F:$F,Datos!$A:$A,$B15,Datos!$B:$B,HA$3)</f>
        <v>0</v>
      </c>
      <c r="HB15" s="16">
        <f>SUMIFS(Datos!$F:$F,Datos!$A:$A,$B15,Datos!$B:$B,HB$3)</f>
        <v>0</v>
      </c>
      <c r="HC15" s="16">
        <f>SUMIFS(Datos!$F:$F,Datos!$A:$A,$B15,Datos!$B:$B,HC$3)</f>
        <v>0</v>
      </c>
      <c r="HD15" s="16">
        <f>SUMIFS(Datos!$F:$F,Datos!$A:$A,$B15,Datos!$B:$B,HD$3)</f>
        <v>0</v>
      </c>
      <c r="HE15" s="16">
        <f>SUMIFS(Datos!$F:$F,Datos!$A:$A,$B15,Datos!$B:$B,HE$3)</f>
        <v>0</v>
      </c>
      <c r="HF15" s="16">
        <f>SUMIFS(Datos!$F:$F,Datos!$A:$A,$B15,Datos!$B:$B,HF$3)</f>
        <v>0</v>
      </c>
      <c r="HG15" s="16">
        <f>SUMIFS(Datos!$F:$F,Datos!$A:$A,$B15,Datos!$B:$B,HG$3)</f>
        <v>0</v>
      </c>
      <c r="HH15" s="16">
        <f>SUMIFS(Datos!$F:$F,Datos!$A:$A,$B15,Datos!$B:$B,HH$3)</f>
        <v>0</v>
      </c>
      <c r="HI15" s="16">
        <f>SUMIFS(Datos!$F:$F,Datos!$A:$A,$B15,Datos!$B:$B,HI$3)</f>
        <v>0</v>
      </c>
      <c r="HJ15" s="16">
        <f>SUMIFS(Datos!$F:$F,Datos!$A:$A,$B15,Datos!$B:$B,HJ$3)</f>
        <v>0</v>
      </c>
      <c r="HK15" s="16">
        <f>SUMIFS(Datos!$F:$F,Datos!$A:$A,$B15,Datos!$B:$B,HK$3)</f>
        <v>0</v>
      </c>
      <c r="HL15" s="16">
        <f>SUMIFS(Datos!$F:$F,Datos!$A:$A,$B15,Datos!$B:$B,HL$3)</f>
        <v>0</v>
      </c>
      <c r="HM15" s="16">
        <f>SUMIFS(Datos!$F:$F,Datos!$A:$A,$B15,Datos!$B:$B,HM$3)</f>
        <v>0</v>
      </c>
      <c r="HN15" s="16">
        <f>SUMIFS(Datos!$F:$F,Datos!$A:$A,$B15,Datos!$B:$B,HN$3)</f>
        <v>0</v>
      </c>
      <c r="HO15" s="16">
        <f>SUMIFS(Datos!$F:$F,Datos!$A:$A,$B15,Datos!$B:$B,HO$3)</f>
        <v>0</v>
      </c>
      <c r="HP15" s="16">
        <f>SUMIFS(Datos!$F:$F,Datos!$A:$A,$B15,Datos!$B:$B,HP$3)</f>
        <v>0</v>
      </c>
      <c r="HQ15" s="16">
        <f>SUMIFS(Datos!$F:$F,Datos!$A:$A,$B15,Datos!$B:$B,HQ$3)</f>
        <v>0</v>
      </c>
      <c r="HR15" s="16">
        <f>SUMIFS(Datos!$F:$F,Datos!$A:$A,$B15,Datos!$B:$B,HR$3)</f>
        <v>0</v>
      </c>
      <c r="HS15" s="16">
        <f>SUMIFS(Datos!$F:$F,Datos!$A:$A,$B15,Datos!$B:$B,HS$3)</f>
        <v>0</v>
      </c>
      <c r="HT15" s="16">
        <f>SUMIFS(Datos!$F:$F,Datos!$A:$A,$B15,Datos!$B:$B,HT$3)</f>
        <v>0</v>
      </c>
      <c r="HU15" s="16">
        <f>SUMIFS(Datos!$F:$F,Datos!$A:$A,$B15,Datos!$B:$B,HU$3)</f>
        <v>0</v>
      </c>
      <c r="HV15" s="16">
        <f>SUMIFS(Datos!$F:$F,Datos!$A:$A,$B15,Datos!$B:$B,HV$3)</f>
        <v>0</v>
      </c>
      <c r="HW15" s="16">
        <f>SUMIFS(Datos!$F:$F,Datos!$A:$A,$B15,Datos!$B:$B,HW$3)</f>
        <v>0</v>
      </c>
      <c r="HX15" s="16">
        <f>SUMIFS(Datos!$F:$F,Datos!$A:$A,$B15,Datos!$B:$B,HX$3)</f>
        <v>0</v>
      </c>
      <c r="HY15" s="16">
        <f>SUMIFS(Datos!$F:$F,Datos!$A:$A,$B15,Datos!$B:$B,HY$3)</f>
        <v>0</v>
      </c>
      <c r="HZ15" s="16">
        <f>SUMIFS(Datos!$F:$F,Datos!$A:$A,$B15,Datos!$B:$B,HZ$3)</f>
        <v>0</v>
      </c>
      <c r="IA15" s="16">
        <f>SUMIFS(Datos!$F:$F,Datos!$A:$A,$B15,Datos!$B:$B,IA$3)</f>
        <v>0</v>
      </c>
      <c r="IB15" s="16">
        <f>SUMIFS(Datos!$F:$F,Datos!$A:$A,$B15,Datos!$B:$B,IB$3)</f>
        <v>0</v>
      </c>
      <c r="IC15" s="16">
        <f>SUMIFS(Datos!$F:$F,Datos!$A:$A,$B15,Datos!$B:$B,IC$3)</f>
        <v>0</v>
      </c>
      <c r="ID15" s="16">
        <f>SUMIFS(Datos!$F:$F,Datos!$A:$A,$B15,Datos!$B:$B,ID$3)</f>
        <v>0</v>
      </c>
      <c r="IE15" s="16">
        <f>SUMIFS(Datos!$F:$F,Datos!$A:$A,$B15,Datos!$B:$B,IE$3)</f>
        <v>0</v>
      </c>
      <c r="IF15" s="16">
        <f>SUMIFS(Datos!$F:$F,Datos!$A:$A,$B15,Datos!$B:$B,IF$3)</f>
        <v>0</v>
      </c>
      <c r="IG15" s="16">
        <f>SUMIFS(Datos!$F:$F,Datos!$A:$A,$B15,Datos!$B:$B,IG$3)</f>
        <v>0</v>
      </c>
      <c r="IH15" s="16">
        <f>SUMIFS(Datos!$F:$F,Datos!$A:$A,$B15,Datos!$B:$B,IH$3)</f>
        <v>0</v>
      </c>
      <c r="II15" s="16">
        <f>SUMIFS(Datos!$F:$F,Datos!$A:$A,$B15,Datos!$B:$B,II$3)</f>
        <v>0</v>
      </c>
      <c r="IJ15" s="16">
        <f>SUMIFS(Datos!$F:$F,Datos!$A:$A,$B15,Datos!$B:$B,IJ$3)</f>
        <v>0</v>
      </c>
      <c r="IK15" s="16">
        <f>SUMIFS(Datos!$F:$F,Datos!$A:$A,$B15,Datos!$B:$B,IK$3)</f>
        <v>0</v>
      </c>
      <c r="IL15" s="16">
        <f>SUMIFS(Datos!$F:$F,Datos!$A:$A,$B15,Datos!$B:$B,IL$3)</f>
        <v>0</v>
      </c>
      <c r="IM15" s="16">
        <f>SUMIFS(Datos!$F:$F,Datos!$A:$A,$B15,Datos!$B:$B,IM$3)</f>
        <v>0</v>
      </c>
      <c r="IN15" s="16">
        <f>SUMIFS(Datos!$F:$F,Datos!$A:$A,$B15,Datos!$B:$B,IN$3)</f>
        <v>0</v>
      </c>
      <c r="IO15" s="16">
        <f>SUMIFS(Datos!$F:$F,Datos!$A:$A,$B15,Datos!$B:$B,IO$3)</f>
        <v>0</v>
      </c>
      <c r="IP15" s="16">
        <f>SUMIFS(Datos!$F:$F,Datos!$A:$A,$B15,Datos!$B:$B,IP$3)</f>
        <v>0</v>
      </c>
      <c r="IQ15" s="16">
        <f>SUMIFS(Datos!$F:$F,Datos!$A:$A,$B15,Datos!$B:$B,IQ$3)</f>
        <v>0</v>
      </c>
      <c r="IR15" s="16">
        <f>SUMIFS(Datos!$F:$F,Datos!$A:$A,$B15,Datos!$B:$B,IR$3)</f>
        <v>0</v>
      </c>
      <c r="IS15" s="16">
        <f>SUMIFS(Datos!$F:$F,Datos!$A:$A,$B15,Datos!$B:$B,IS$3)</f>
        <v>0</v>
      </c>
      <c r="IT15" s="16">
        <f>SUMIFS(Datos!$F:$F,Datos!$A:$A,$B15,Datos!$B:$B,IT$3)</f>
        <v>0</v>
      </c>
      <c r="IU15" s="16">
        <f>SUMIFS(Datos!$F:$F,Datos!$A:$A,$B15,Datos!$B:$B,IU$3)</f>
        <v>0</v>
      </c>
      <c r="IV15" s="16">
        <f>SUMIFS(Datos!$F:$F,Datos!$A:$A,$B15,Datos!$B:$B,IV$3)</f>
        <v>0</v>
      </c>
      <c r="IW15" s="16">
        <f>SUMIFS(Datos!$F:$F,Datos!$A:$A,$B15,Datos!$B:$B,IW$3)</f>
        <v>0</v>
      </c>
      <c r="IX15" s="16">
        <f>SUMIFS(Datos!$F:$F,Datos!$A:$A,$B15,Datos!$B:$B,IX$3)</f>
        <v>0</v>
      </c>
      <c r="IY15" s="16">
        <f>SUMIFS(Datos!$F:$F,Datos!$A:$A,$B15,Datos!$B:$B,IY$3)</f>
        <v>0</v>
      </c>
      <c r="IZ15" s="16">
        <f>SUMIFS(Datos!$F:$F,Datos!$A:$A,$B15,Datos!$B:$B,IZ$3)</f>
        <v>0</v>
      </c>
      <c r="JA15" s="16">
        <f>SUMIFS(Datos!$F:$F,Datos!$A:$A,$B15,Datos!$B:$B,JA$3)</f>
        <v>0</v>
      </c>
      <c r="JB15" s="16">
        <f>SUMIFS(Datos!$F:$F,Datos!$A:$A,$B15,Datos!$B:$B,JB$3)</f>
        <v>0</v>
      </c>
      <c r="JC15" s="16">
        <f>SUMIFS(Datos!$F:$F,Datos!$A:$A,$B15,Datos!$B:$B,JC$3)</f>
        <v>0</v>
      </c>
      <c r="JD15" s="16">
        <f>SUMIFS(Datos!$F:$F,Datos!$A:$A,$B15,Datos!$B:$B,JD$3)</f>
        <v>0</v>
      </c>
      <c r="JE15" s="16">
        <f>SUMIFS(Datos!$F:$F,Datos!$A:$A,$B15,Datos!$B:$B,JE$3)</f>
        <v>0</v>
      </c>
      <c r="JF15" s="16">
        <f>SUMIFS(Datos!$F:$F,Datos!$A:$A,$B15,Datos!$B:$B,JF$3)</f>
        <v>0</v>
      </c>
      <c r="JG15" s="16">
        <f>SUMIFS(Datos!$F:$F,Datos!$A:$A,$B15,Datos!$B:$B,JG$3)</f>
        <v>0</v>
      </c>
      <c r="JH15" s="16">
        <f>SUMIFS(Datos!$F:$F,Datos!$A:$A,$B15,Datos!$B:$B,JH$3)</f>
        <v>0</v>
      </c>
      <c r="JI15" s="16">
        <f>SUMIFS(Datos!$F:$F,Datos!$A:$A,$B15,Datos!$B:$B,JI$3)</f>
        <v>0</v>
      </c>
      <c r="JJ15" s="16">
        <f>SUMIFS(Datos!$F:$F,Datos!$A:$A,$B15,Datos!$B:$B,JJ$3)</f>
        <v>0</v>
      </c>
      <c r="JK15" s="16">
        <f>SUMIFS(Datos!$F:$F,Datos!$A:$A,$B15,Datos!$B:$B,JK$3)</f>
        <v>0</v>
      </c>
      <c r="JL15" s="16">
        <f>SUMIFS(Datos!$F:$F,Datos!$A:$A,$B15,Datos!$B:$B,JL$3)</f>
        <v>0</v>
      </c>
      <c r="JM15" s="16">
        <f>SUMIFS(Datos!$F:$F,Datos!$A:$A,$B15,Datos!$B:$B,JM$3)</f>
        <v>0</v>
      </c>
      <c r="JN15" s="16">
        <f>SUMIFS(Datos!$F:$F,Datos!$A:$A,$B15,Datos!$B:$B,JN$3)</f>
        <v>0</v>
      </c>
      <c r="JO15" s="16">
        <f>SUMIFS(Datos!$F:$F,Datos!$A:$A,$B15,Datos!$B:$B,JO$3)</f>
        <v>0</v>
      </c>
      <c r="JP15" s="16">
        <f>SUMIFS(Datos!$F:$F,Datos!$A:$A,$B15,Datos!$B:$B,JP$3)</f>
        <v>0</v>
      </c>
      <c r="JQ15" s="16">
        <f>SUMIFS(Datos!$F:$F,Datos!$A:$A,$B15,Datos!$B:$B,JQ$3)</f>
        <v>0</v>
      </c>
      <c r="JR15" s="16">
        <f>SUMIFS(Datos!$F:$F,Datos!$A:$A,$B15,Datos!$B:$B,JR$3)</f>
        <v>0</v>
      </c>
      <c r="JS15" s="16">
        <f>SUMIFS(Datos!$F:$F,Datos!$A:$A,$B15,Datos!$B:$B,JS$3)</f>
        <v>0</v>
      </c>
      <c r="JT15" s="16">
        <f>SUMIFS(Datos!$F:$F,Datos!$A:$A,$B15,Datos!$B:$B,JT$3)</f>
        <v>0</v>
      </c>
      <c r="JU15" s="16">
        <f>SUMIFS(Datos!$F:$F,Datos!$A:$A,$B15,Datos!$B:$B,JU$3)</f>
        <v>0</v>
      </c>
      <c r="JV15" s="16">
        <f>SUMIFS(Datos!$F:$F,Datos!$A:$A,$B15,Datos!$B:$B,JV$3)</f>
        <v>0</v>
      </c>
      <c r="JW15" s="16">
        <f>SUMIFS(Datos!$F:$F,Datos!$A:$A,$B15,Datos!$B:$B,JW$3)</f>
        <v>0</v>
      </c>
      <c r="JX15" s="16">
        <f>SUMIFS(Datos!$F:$F,Datos!$A:$A,$B15,Datos!$B:$B,JX$3)</f>
        <v>0</v>
      </c>
      <c r="JY15" s="16">
        <f>SUMIFS(Datos!$F:$F,Datos!$A:$A,$B15,Datos!$B:$B,JY$3)</f>
        <v>0</v>
      </c>
      <c r="JZ15" s="16">
        <f>SUMIFS(Datos!$F:$F,Datos!$A:$A,$B15,Datos!$B:$B,JZ$3)</f>
        <v>0</v>
      </c>
      <c r="KA15" s="16">
        <f>SUMIFS(Datos!$F:$F,Datos!$A:$A,$B15,Datos!$B:$B,KA$3)</f>
        <v>0</v>
      </c>
      <c r="KB15" s="16">
        <f>SUMIFS(Datos!$F:$F,Datos!$A:$A,$B15,Datos!$B:$B,KB$3)</f>
        <v>0</v>
      </c>
      <c r="KC15" s="16">
        <f>SUMIFS(Datos!$F:$F,Datos!$A:$A,$B15,Datos!$B:$B,KC$3)</f>
        <v>0</v>
      </c>
      <c r="KD15" s="16">
        <f>SUMIFS(Datos!$F:$F,Datos!$A:$A,$B15,Datos!$B:$B,KD$3)</f>
        <v>0</v>
      </c>
      <c r="KE15" s="16">
        <f>SUMIFS(Datos!$F:$F,Datos!$A:$A,$B15,Datos!$B:$B,KE$3)</f>
        <v>0</v>
      </c>
      <c r="KF15" s="16">
        <f>SUMIFS(Datos!$F:$F,Datos!$A:$A,$B15,Datos!$B:$B,KF$3)</f>
        <v>0</v>
      </c>
      <c r="KG15" s="16">
        <f>SUMIFS(Datos!$F:$F,Datos!$A:$A,$B15,Datos!$B:$B,KG$3)</f>
        <v>0</v>
      </c>
      <c r="KH15" s="16">
        <f>SUMIFS(Datos!$F:$F,Datos!$A:$A,$B15,Datos!$B:$B,KH$3)</f>
        <v>0</v>
      </c>
      <c r="KI15" s="16">
        <f>SUMIFS(Datos!$F:$F,Datos!$A:$A,$B15,Datos!$B:$B,KI$3)</f>
        <v>0</v>
      </c>
      <c r="KJ15" s="16">
        <f>SUMIFS(Datos!$F:$F,Datos!$A:$A,$B15,Datos!$B:$B,KJ$3)</f>
        <v>0</v>
      </c>
      <c r="KK15" s="16">
        <f>SUMIFS(Datos!$F:$F,Datos!$A:$A,$B15,Datos!$B:$B,KK$3)</f>
        <v>0</v>
      </c>
      <c r="KL15" s="16">
        <f>SUMIFS(Datos!$F:$F,Datos!$A:$A,$B15,Datos!$B:$B,KL$3)</f>
        <v>0</v>
      </c>
      <c r="KM15" s="16">
        <f>SUMIFS(Datos!$F:$F,Datos!$A:$A,$B15,Datos!$B:$B,KM$3)</f>
        <v>0</v>
      </c>
      <c r="KN15" s="16">
        <f>SUMIFS(Datos!$F:$F,Datos!$A:$A,$B15,Datos!$B:$B,KN$3)</f>
        <v>0</v>
      </c>
      <c r="KO15" s="16">
        <f>SUMIFS(Datos!$F:$F,Datos!$A:$A,$B15,Datos!$B:$B,KO$3)</f>
        <v>0</v>
      </c>
      <c r="KP15" s="16">
        <f>SUMIFS(Datos!$F:$F,Datos!$A:$A,$B15,Datos!$B:$B,KP$3)</f>
        <v>0</v>
      </c>
      <c r="KQ15" s="16">
        <f>SUMIFS(Datos!$F:$F,Datos!$A:$A,$B15,Datos!$B:$B,KQ$3)</f>
        <v>0</v>
      </c>
      <c r="KR15" s="16">
        <f>SUMIFS(Datos!$F:$F,Datos!$A:$A,$B15,Datos!$B:$B,KR$3)</f>
        <v>0</v>
      </c>
      <c r="KS15" s="16">
        <f>SUMIFS(Datos!$F:$F,Datos!$A:$A,$B15,Datos!$B:$B,KS$3)</f>
        <v>0</v>
      </c>
      <c r="KT15" s="16">
        <f>SUMIFS(Datos!$F:$F,Datos!$A:$A,$B15,Datos!$B:$B,KT$3)</f>
        <v>0</v>
      </c>
      <c r="KU15" s="16">
        <f>SUMIFS(Datos!$F:$F,Datos!$A:$A,$B15,Datos!$B:$B,KU$3)</f>
        <v>0</v>
      </c>
      <c r="KV15" s="16">
        <f>SUMIFS(Datos!$F:$F,Datos!$A:$A,$B15,Datos!$B:$B,KV$3)</f>
        <v>0</v>
      </c>
      <c r="KW15" s="16">
        <f>SUMIFS(Datos!$F:$F,Datos!$A:$A,$B15,Datos!$B:$B,KW$3)</f>
        <v>0</v>
      </c>
      <c r="KX15" s="16">
        <f>SUMIFS(Datos!$F:$F,Datos!$A:$A,$B15,Datos!$B:$B,KX$3)</f>
        <v>0</v>
      </c>
      <c r="KY15" s="16">
        <f>SUMIFS(Datos!$F:$F,Datos!$A:$A,$B15,Datos!$B:$B,KY$3)</f>
        <v>0</v>
      </c>
      <c r="KZ15" s="16">
        <f>SUMIFS(Datos!$F:$F,Datos!$A:$A,$B15,Datos!$B:$B,KZ$3)</f>
        <v>0</v>
      </c>
      <c r="LA15" s="16">
        <f>SUMIFS(Datos!$F:$F,Datos!$A:$A,$B15,Datos!$B:$B,LA$3)</f>
        <v>0</v>
      </c>
      <c r="LB15" s="16">
        <f>SUMIFS(Datos!$F:$F,Datos!$A:$A,$B15,Datos!$B:$B,LB$3)</f>
        <v>0</v>
      </c>
      <c r="LC15" s="16">
        <f>SUMIFS(Datos!$F:$F,Datos!$A:$A,$B15,Datos!$B:$B,LC$3)</f>
        <v>0</v>
      </c>
      <c r="LD15" s="16">
        <f>SUMIFS(Datos!$F:$F,Datos!$A:$A,$B15,Datos!$B:$B,LD$3)</f>
        <v>0</v>
      </c>
      <c r="LE15" s="16">
        <f>SUMIFS(Datos!$F:$F,Datos!$A:$A,$B15,Datos!$B:$B,LE$3)</f>
        <v>0</v>
      </c>
      <c r="LF15" s="16">
        <f>SUMIFS(Datos!$F:$F,Datos!$A:$A,$B15,Datos!$B:$B,LF$3)</f>
        <v>0</v>
      </c>
      <c r="LG15" s="16">
        <f>SUMIFS(Datos!$F:$F,Datos!$A:$A,$B15,Datos!$B:$B,LG$3)</f>
        <v>0</v>
      </c>
      <c r="LH15" s="16">
        <f>SUMIFS(Datos!$F:$F,Datos!$A:$A,$B15,Datos!$B:$B,LH$3)</f>
        <v>0</v>
      </c>
      <c r="LI15" s="16">
        <f>SUMIFS(Datos!$F:$F,Datos!$A:$A,$B15,Datos!$B:$B,LI$3)</f>
        <v>0</v>
      </c>
      <c r="LJ15" s="16">
        <f>SUMIFS(Datos!$F:$F,Datos!$A:$A,$B15,Datos!$B:$B,LJ$3)</f>
        <v>0</v>
      </c>
      <c r="LK15" s="16">
        <f>SUMIFS(Datos!$F:$F,Datos!$A:$A,$B15,Datos!$B:$B,LK$3)</f>
        <v>0</v>
      </c>
      <c r="LL15" s="16">
        <f>SUMIFS(Datos!$F:$F,Datos!$A:$A,$B15,Datos!$B:$B,LL$3)</f>
        <v>0</v>
      </c>
      <c r="LM15" s="16">
        <f>SUMIFS(Datos!$F:$F,Datos!$A:$A,$B15,Datos!$B:$B,LM$3)</f>
        <v>0</v>
      </c>
      <c r="LN15" s="16">
        <f>SUMIFS(Datos!$F:$F,Datos!$A:$A,$B15,Datos!$B:$B,LN$3)</f>
        <v>0</v>
      </c>
      <c r="LO15" s="16">
        <f>SUMIFS(Datos!$F:$F,Datos!$A:$A,$B15,Datos!$B:$B,LO$3)</f>
        <v>0</v>
      </c>
      <c r="LP15" s="16">
        <f>SUMIFS(Datos!$F:$F,Datos!$A:$A,$B15,Datos!$B:$B,LP$3)</f>
        <v>0</v>
      </c>
      <c r="LQ15" s="16">
        <f>SUMIFS(Datos!$F:$F,Datos!$A:$A,$B15,Datos!$B:$B,LQ$3)</f>
        <v>0</v>
      </c>
      <c r="LR15" s="16">
        <f>SUMIFS(Datos!$F:$F,Datos!$A:$A,$B15,Datos!$B:$B,LR$3)</f>
        <v>0</v>
      </c>
      <c r="LS15" s="16">
        <f>SUMIFS(Datos!$F:$F,Datos!$A:$A,$B15,Datos!$B:$B,LS$3)</f>
        <v>0</v>
      </c>
      <c r="LT15" s="16">
        <f>SUMIFS(Datos!$F:$F,Datos!$A:$A,$B15,Datos!$B:$B,LT$3)</f>
        <v>0</v>
      </c>
      <c r="LU15" s="16">
        <f>SUMIFS(Datos!$F:$F,Datos!$A:$A,$B15,Datos!$B:$B,LU$3)</f>
        <v>0</v>
      </c>
      <c r="LV15" s="16">
        <f>SUMIFS(Datos!$F:$F,Datos!$A:$A,$B15,Datos!$B:$B,LV$3)</f>
        <v>0</v>
      </c>
      <c r="LW15" s="16">
        <f>SUMIFS(Datos!$F:$F,Datos!$A:$A,$B15,Datos!$B:$B,LW$3)</f>
        <v>0</v>
      </c>
      <c r="LX15" s="16">
        <f>SUMIFS(Datos!$F:$F,Datos!$A:$A,$B15,Datos!$B:$B,LX$3)</f>
        <v>0</v>
      </c>
      <c r="LY15" s="16">
        <f>SUMIFS(Datos!$F:$F,Datos!$A:$A,$B15,Datos!$B:$B,LY$3)</f>
        <v>0</v>
      </c>
      <c r="LZ15" s="16">
        <f>SUMIFS(Datos!$F:$F,Datos!$A:$A,$B15,Datos!$B:$B,LZ$3)</f>
        <v>0</v>
      </c>
      <c r="MA15" s="16">
        <f>SUMIFS(Datos!$F:$F,Datos!$A:$A,$B15,Datos!$B:$B,MA$3)</f>
        <v>0</v>
      </c>
      <c r="MB15" s="16">
        <f>SUMIFS(Datos!$F:$F,Datos!$A:$A,$B15,Datos!$B:$B,MB$3)</f>
        <v>0</v>
      </c>
      <c r="MC15" s="16">
        <f>SUMIFS(Datos!$F:$F,Datos!$A:$A,$B15,Datos!$B:$B,MC$3)</f>
        <v>0</v>
      </c>
      <c r="MD15" s="16">
        <f>SUMIFS(Datos!$F:$F,Datos!$A:$A,$B15,Datos!$B:$B,MD$3)</f>
        <v>0</v>
      </c>
      <c r="ME15" s="16">
        <f>SUMIFS(Datos!$F:$F,Datos!$A:$A,$B15,Datos!$B:$B,ME$3)</f>
        <v>0</v>
      </c>
      <c r="MF15" s="16">
        <f>SUMIFS(Datos!$F:$F,Datos!$A:$A,$B15,Datos!$B:$B,MF$3)</f>
        <v>0</v>
      </c>
      <c r="MG15" s="16">
        <f>SUMIFS(Datos!$F:$F,Datos!$A:$A,$B15,Datos!$B:$B,MG$3)</f>
        <v>0</v>
      </c>
      <c r="MH15" s="16">
        <f>SUMIFS(Datos!$F:$F,Datos!$A:$A,$B15,Datos!$B:$B,MH$3)</f>
        <v>0</v>
      </c>
      <c r="MI15" s="16">
        <f>SUMIFS(Datos!$F:$F,Datos!$A:$A,$B15,Datos!$B:$B,MI$3)</f>
        <v>0</v>
      </c>
      <c r="MJ15" s="16">
        <f>SUMIFS(Datos!$F:$F,Datos!$A:$A,$B15,Datos!$B:$B,MJ$3)</f>
        <v>0</v>
      </c>
      <c r="MK15" s="16">
        <f>SUMIFS(Datos!$F:$F,Datos!$A:$A,$B15,Datos!$B:$B,MK$3)</f>
        <v>0</v>
      </c>
      <c r="ML15" s="16">
        <f>SUMIFS(Datos!$F:$F,Datos!$A:$A,$B15,Datos!$B:$B,ML$3)</f>
        <v>0</v>
      </c>
      <c r="MM15" s="16">
        <f>SUMIFS(Datos!$F:$F,Datos!$A:$A,$B15,Datos!$B:$B,MM$3)</f>
        <v>0</v>
      </c>
      <c r="MN15" s="16">
        <f>SUMIFS(Datos!$F:$F,Datos!$A:$A,$B15,Datos!$B:$B,MN$3)</f>
        <v>0</v>
      </c>
      <c r="MO15" s="16">
        <f>SUMIFS(Datos!$F:$F,Datos!$A:$A,$B15,Datos!$B:$B,MO$3)</f>
        <v>0</v>
      </c>
      <c r="MP15" s="16">
        <f>SUMIFS(Datos!$F:$F,Datos!$A:$A,$B15,Datos!$B:$B,MP$3)</f>
        <v>0</v>
      </c>
      <c r="MQ15" s="16">
        <f>SUMIFS(Datos!$F:$F,Datos!$A:$A,$B15,Datos!$B:$B,MQ$3)</f>
        <v>0</v>
      </c>
      <c r="MR15" s="16">
        <f>SUMIFS(Datos!$F:$F,Datos!$A:$A,$B15,Datos!$B:$B,MR$3)</f>
        <v>0</v>
      </c>
      <c r="MS15" s="16">
        <f>SUMIFS(Datos!$F:$F,Datos!$A:$A,$B15,Datos!$B:$B,MS$3)</f>
        <v>0</v>
      </c>
      <c r="MT15" s="16">
        <f>SUMIFS(Datos!$F:$F,Datos!$A:$A,$B15,Datos!$B:$B,MT$3)</f>
        <v>0</v>
      </c>
      <c r="MU15" s="16">
        <f>SUMIFS(Datos!$F:$F,Datos!$A:$A,$B15,Datos!$B:$B,MU$3)</f>
        <v>0</v>
      </c>
      <c r="MV15" s="16">
        <f>SUMIFS(Datos!$F:$F,Datos!$A:$A,$B15,Datos!$B:$B,MV$3)</f>
        <v>0</v>
      </c>
      <c r="MW15" s="16">
        <f>SUMIFS(Datos!$F:$F,Datos!$A:$A,$B15,Datos!$B:$B,MW$3)</f>
        <v>0</v>
      </c>
      <c r="MX15" s="16">
        <f>SUMIFS(Datos!$F:$F,Datos!$A:$A,$B15,Datos!$B:$B,MX$3)</f>
        <v>0</v>
      </c>
      <c r="MY15" s="16">
        <f>SUMIFS(Datos!$F:$F,Datos!$A:$A,$B15,Datos!$B:$B,MY$3)</f>
        <v>0</v>
      </c>
      <c r="MZ15" s="16">
        <f>SUMIFS(Datos!$F:$F,Datos!$A:$A,$B15,Datos!$B:$B,MZ$3)</f>
        <v>0</v>
      </c>
      <c r="NA15" s="16">
        <f>SUMIFS(Datos!$F:$F,Datos!$A:$A,$B15,Datos!$B:$B,NA$3)</f>
        <v>0</v>
      </c>
      <c r="NB15" s="16">
        <f>SUMIFS(Datos!$F:$F,Datos!$A:$A,$B15,Datos!$B:$B,NB$3)</f>
        <v>0</v>
      </c>
      <c r="NC15" s="16">
        <f>SUMIFS(Datos!$F:$F,Datos!$A:$A,$B15,Datos!$B:$B,NC$3)</f>
        <v>0</v>
      </c>
      <c r="ND15" s="16">
        <f>SUMIFS(Datos!$F:$F,Datos!$A:$A,$B15,Datos!$B:$B,ND$3)</f>
        <v>0</v>
      </c>
      <c r="NE15" s="16">
        <f>SUMIFS(Datos!$F:$F,Datos!$A:$A,$B15,Datos!$B:$B,NE$3)</f>
        <v>0</v>
      </c>
      <c r="NF15" s="16">
        <f>SUMIFS(Datos!$F:$F,Datos!$A:$A,$B15,Datos!$B:$B,NF$3)</f>
        <v>0</v>
      </c>
      <c r="NG15" s="16">
        <f>SUMIFS(Datos!$F:$F,Datos!$A:$A,$B15,Datos!$B:$B,NG$3)</f>
        <v>0</v>
      </c>
      <c r="NH15" s="16">
        <f>SUMIFS(Datos!$F:$F,Datos!$A:$A,$B15,Datos!$B:$B,NH$3)</f>
        <v>0</v>
      </c>
      <c r="NI15" s="16">
        <f>SUMIFS(Datos!$F:$F,Datos!$A:$A,$B15,Datos!$B:$B,NI$3)</f>
        <v>0</v>
      </c>
      <c r="NJ15" s="16">
        <f>SUMIFS(Datos!$F:$F,Datos!$A:$A,$B15,Datos!$B:$B,NJ$3)</f>
        <v>0</v>
      </c>
      <c r="NK15" s="16">
        <f>SUMIFS(Datos!$F:$F,Datos!$A:$A,$B15,Datos!$B:$B,NK$3)</f>
        <v>0</v>
      </c>
      <c r="NL15" s="16">
        <f>SUMIFS(Datos!$F:$F,Datos!$A:$A,$B15,Datos!$B:$B,NL$3)</f>
        <v>0</v>
      </c>
      <c r="NM15" s="16">
        <f>SUMIFS(Datos!$F:$F,Datos!$A:$A,$B15,Datos!$B:$B,NM$3)</f>
        <v>0</v>
      </c>
      <c r="NN15" s="16">
        <f>SUMIFS(Datos!$F:$F,Datos!$A:$A,$B15,Datos!$B:$B,NN$3)</f>
        <v>0</v>
      </c>
      <c r="NO15" s="16">
        <f>SUMIFS(Datos!$F:$F,Datos!$A:$A,$B15,Datos!$B:$B,NO$3)</f>
        <v>0</v>
      </c>
      <c r="NP15" s="16">
        <f>SUMIFS(Datos!$F:$F,Datos!$A:$A,$B15,Datos!$B:$B,NP$3)</f>
        <v>0</v>
      </c>
      <c r="NQ15" s="16">
        <f>SUMIFS(Datos!$F:$F,Datos!$A:$A,$B15,Datos!$B:$B,NQ$3)</f>
        <v>0</v>
      </c>
      <c r="NR15" s="16">
        <f>SUMIFS(Datos!$F:$F,Datos!$A:$A,$B15,Datos!$B:$B,NR$3)</f>
        <v>0</v>
      </c>
      <c r="NS15" s="16">
        <f>SUMIFS(Datos!$F:$F,Datos!$A:$A,$B15,Datos!$B:$B,NS$3)</f>
        <v>0</v>
      </c>
      <c r="NT15" s="16">
        <f>SUMIFS(Datos!$F:$F,Datos!$A:$A,$B15,Datos!$B:$B,NT$3)</f>
        <v>0</v>
      </c>
      <c r="NU15" s="16">
        <f>SUMIFS(Datos!$F:$F,Datos!$A:$A,$B15,Datos!$B:$B,NU$3)</f>
        <v>0</v>
      </c>
      <c r="NV15" s="16">
        <f>SUMIFS(Datos!$F:$F,Datos!$A:$A,$B15,Datos!$B:$B,NV$3)</f>
        <v>0</v>
      </c>
      <c r="NW15" s="16">
        <f>SUMIFS(Datos!$F:$F,Datos!$A:$A,$B15,Datos!$B:$B,NW$3)</f>
        <v>0</v>
      </c>
      <c r="NX15" s="16">
        <f>SUMIFS(Datos!$F:$F,Datos!$A:$A,$B15,Datos!$B:$B,NX$3)</f>
        <v>0</v>
      </c>
      <c r="NY15" s="16">
        <f>SUMIFS(Datos!$F:$F,Datos!$A:$A,$B15,Datos!$B:$B,NY$3)</f>
        <v>0</v>
      </c>
      <c r="NZ15" s="16">
        <f>SUMIFS(Datos!$F:$F,Datos!$A:$A,$B15,Datos!$B:$B,NZ$3)</f>
        <v>0</v>
      </c>
      <c r="OA15" s="16">
        <f>SUMIFS(Datos!$F:$F,Datos!$A:$A,$B15,Datos!$B:$B,OA$3)</f>
        <v>0</v>
      </c>
      <c r="OB15" s="16">
        <f>SUMIFS(Datos!$F:$F,Datos!$A:$A,$B15,Datos!$B:$B,OB$3)</f>
        <v>0</v>
      </c>
      <c r="OC15" s="16">
        <f>SUMIFS(Datos!$F:$F,Datos!$A:$A,$B15,Datos!$B:$B,OC$3)</f>
        <v>0</v>
      </c>
      <c r="OD15" s="16">
        <f>SUMIFS(Datos!$F:$F,Datos!$A:$A,$B15,Datos!$B:$B,OD$3)</f>
        <v>0</v>
      </c>
      <c r="OE15" s="16">
        <f>SUMIFS(Datos!$F:$F,Datos!$A:$A,$B15,Datos!$B:$B,OE$3)</f>
        <v>0</v>
      </c>
      <c r="OF15" s="16">
        <f>SUMIFS(Datos!$F:$F,Datos!$A:$A,$B15,Datos!$B:$B,OF$3)</f>
        <v>0</v>
      </c>
      <c r="OG15" s="16">
        <f>SUMIFS(Datos!$F:$F,Datos!$A:$A,$B15,Datos!$B:$B,OG$3)</f>
        <v>0</v>
      </c>
      <c r="OH15" s="16">
        <f>SUMIFS(Datos!$F:$F,Datos!$A:$A,$B15,Datos!$B:$B,OH$3)</f>
        <v>0</v>
      </c>
      <c r="OI15" s="16">
        <f>SUMIFS(Datos!$F:$F,Datos!$A:$A,$B15,Datos!$B:$B,OI$3)</f>
        <v>0</v>
      </c>
      <c r="OJ15" s="16">
        <f>SUMIFS(Datos!$F:$F,Datos!$A:$A,$B15,Datos!$B:$B,OJ$3)</f>
        <v>0</v>
      </c>
      <c r="OK15" s="16">
        <f>SUMIFS(Datos!$F:$F,Datos!$A:$A,$B15,Datos!$B:$B,OK$3)</f>
        <v>0</v>
      </c>
      <c r="OL15" s="16">
        <f>SUMIFS(Datos!$F:$F,Datos!$A:$A,$B15,Datos!$B:$B,OL$3)</f>
        <v>0</v>
      </c>
      <c r="OM15" s="16">
        <f>SUMIFS(Datos!$F:$F,Datos!$A:$A,$B15,Datos!$B:$B,OM$3)</f>
        <v>0</v>
      </c>
      <c r="ON15" s="16">
        <f>SUMIFS(Datos!$F:$F,Datos!$A:$A,$B15,Datos!$B:$B,ON$3)</f>
        <v>0</v>
      </c>
      <c r="OO15" s="16">
        <f>SUMIFS(Datos!$F:$F,Datos!$A:$A,$B15,Datos!$B:$B,OO$3)</f>
        <v>0</v>
      </c>
      <c r="OP15" s="16">
        <f>SUMIFS(Datos!$F:$F,Datos!$A:$A,$B15,Datos!$B:$B,OP$3)</f>
        <v>0</v>
      </c>
      <c r="OQ15" s="16">
        <f>SUMIFS(Datos!$F:$F,Datos!$A:$A,$B15,Datos!$B:$B,OQ$3)</f>
        <v>0</v>
      </c>
      <c r="OR15" s="16">
        <f>SUMIFS(Datos!$F:$F,Datos!$A:$A,$B15,Datos!$B:$B,OR$3)</f>
        <v>0</v>
      </c>
      <c r="OS15" s="16">
        <f>SUMIFS(Datos!$F:$F,Datos!$A:$A,$B15,Datos!$B:$B,OS$3)</f>
        <v>0</v>
      </c>
      <c r="OT15" s="16">
        <f>SUMIFS(Datos!$F:$F,Datos!$A:$A,$B15,Datos!$B:$B,OT$3)</f>
        <v>0</v>
      </c>
      <c r="OU15" s="16">
        <f>SUMIFS(Datos!$F:$F,Datos!$A:$A,$B15,Datos!$B:$B,OU$3)</f>
        <v>0</v>
      </c>
      <c r="OV15" s="16">
        <f>SUMIFS(Datos!$F:$F,Datos!$A:$A,$B15,Datos!$B:$B,OV$3)</f>
        <v>0</v>
      </c>
      <c r="OW15" s="16">
        <f>SUMIFS(Datos!$F:$F,Datos!$A:$A,$B15,Datos!$B:$B,OW$3)</f>
        <v>0</v>
      </c>
      <c r="OX15" s="16">
        <f>SUMIFS(Datos!$F:$F,Datos!$A:$A,$B15,Datos!$B:$B,OX$3)</f>
        <v>0</v>
      </c>
      <c r="OY15" s="16">
        <f>SUMIFS(Datos!$F:$F,Datos!$A:$A,$B15,Datos!$B:$B,OY$3)</f>
        <v>0</v>
      </c>
      <c r="OZ15" s="16">
        <f>SUMIFS(Datos!$F:$F,Datos!$A:$A,$B15,Datos!$B:$B,OZ$3)</f>
        <v>0</v>
      </c>
      <c r="PA15" s="16">
        <f>SUMIFS(Datos!$F:$F,Datos!$A:$A,$B15,Datos!$B:$B,PA$3)</f>
        <v>0</v>
      </c>
      <c r="PB15" s="16">
        <f>SUMIFS(Datos!$F:$F,Datos!$A:$A,$B15,Datos!$B:$B,PB$3)</f>
        <v>0</v>
      </c>
      <c r="PC15" s="16">
        <f>SUMIFS(Datos!$F:$F,Datos!$A:$A,$B15,Datos!$B:$B,PC$3)</f>
        <v>0</v>
      </c>
      <c r="PD15" s="16">
        <f>SUMIFS(Datos!$F:$F,Datos!$A:$A,$B15,Datos!$B:$B,PD$3)</f>
        <v>0</v>
      </c>
      <c r="PE15" s="16">
        <f>SUMIFS(Datos!$F:$F,Datos!$A:$A,$B15,Datos!$B:$B,PE$3)</f>
        <v>0</v>
      </c>
      <c r="PF15" s="16">
        <f>SUMIFS(Datos!$F:$F,Datos!$A:$A,$B15,Datos!$B:$B,PF$3)</f>
        <v>0</v>
      </c>
      <c r="PG15" s="16">
        <f>SUMIFS(Datos!$F:$F,Datos!$A:$A,$B15,Datos!$B:$B,PG$3)</f>
        <v>0</v>
      </c>
      <c r="PH15" s="16">
        <f>SUMIFS(Datos!$F:$F,Datos!$A:$A,$B15,Datos!$B:$B,PH$3)</f>
        <v>0</v>
      </c>
      <c r="PI15" s="16">
        <f>SUMIFS(Datos!$F:$F,Datos!$A:$A,$B15,Datos!$B:$B,PI$3)</f>
        <v>0</v>
      </c>
      <c r="PJ15" s="16">
        <f>SUMIFS(Datos!$F:$F,Datos!$A:$A,$B15,Datos!$B:$B,PJ$3)</f>
        <v>0</v>
      </c>
      <c r="PK15" s="16">
        <f>SUMIFS(Datos!$F:$F,Datos!$A:$A,$B15,Datos!$B:$B,PK$3)</f>
        <v>0</v>
      </c>
      <c r="PL15" s="16">
        <f>SUMIFS(Datos!$F:$F,Datos!$A:$A,$B15,Datos!$B:$B,PL$3)</f>
        <v>0</v>
      </c>
      <c r="PM15" s="16">
        <f>SUMIFS(Datos!$F:$F,Datos!$A:$A,$B15,Datos!$B:$B,PM$3)</f>
        <v>0</v>
      </c>
      <c r="PN15" s="16">
        <f>SUMIFS(Datos!$F:$F,Datos!$A:$A,$B15,Datos!$B:$B,PN$3)</f>
        <v>0</v>
      </c>
      <c r="PO15" s="16">
        <f>SUMIFS(Datos!$F:$F,Datos!$A:$A,$B15,Datos!$B:$B,PO$3)</f>
        <v>0</v>
      </c>
      <c r="PP15" s="16">
        <f>SUMIFS(Datos!$F:$F,Datos!$A:$A,$B15,Datos!$B:$B,PP$3)</f>
        <v>0</v>
      </c>
      <c r="PQ15" s="16">
        <f>SUMIFS(Datos!$F:$F,Datos!$A:$A,$B15,Datos!$B:$B,PQ$3)</f>
        <v>0</v>
      </c>
      <c r="PR15" s="16">
        <f>SUMIFS(Datos!$F:$F,Datos!$A:$A,$B15,Datos!$B:$B,PR$3)</f>
        <v>0</v>
      </c>
      <c r="PS15" s="16">
        <f>SUMIFS(Datos!$F:$F,Datos!$A:$A,$B15,Datos!$B:$B,PS$3)</f>
        <v>0</v>
      </c>
      <c r="PT15" s="16">
        <f>SUMIFS(Datos!$F:$F,Datos!$A:$A,$B15,Datos!$B:$B,PT$3)</f>
        <v>0</v>
      </c>
      <c r="PU15" s="16">
        <f>SUMIFS(Datos!$F:$F,Datos!$A:$A,$B15,Datos!$B:$B,PU$3)</f>
        <v>0</v>
      </c>
      <c r="PV15" s="16">
        <f>SUMIFS(Datos!$F:$F,Datos!$A:$A,$B15,Datos!$B:$B,PV$3)</f>
        <v>0</v>
      </c>
      <c r="PW15" s="16">
        <f>SUMIFS(Datos!$F:$F,Datos!$A:$A,$B15,Datos!$B:$B,PW$3)</f>
        <v>0</v>
      </c>
      <c r="PX15" s="16">
        <f>SUMIFS(Datos!$F:$F,Datos!$A:$A,$B15,Datos!$B:$B,PX$3)</f>
        <v>0</v>
      </c>
      <c r="PY15" s="16">
        <f>SUMIFS(Datos!$F:$F,Datos!$A:$A,$B15,Datos!$B:$B,PY$3)</f>
        <v>0</v>
      </c>
      <c r="PZ15" s="16">
        <f>SUMIFS(Datos!$F:$F,Datos!$A:$A,$B15,Datos!$B:$B,PZ$3)</f>
        <v>0</v>
      </c>
      <c r="QA15" s="16">
        <f>SUMIFS(Datos!$F:$F,Datos!$A:$A,$B15,Datos!$B:$B,QA$3)</f>
        <v>0</v>
      </c>
      <c r="QB15" s="16">
        <f>SUMIFS(Datos!$F:$F,Datos!$A:$A,$B15,Datos!$B:$B,QB$3)</f>
        <v>0</v>
      </c>
      <c r="QC15" s="16">
        <f>SUMIFS(Datos!$F:$F,Datos!$A:$A,$B15,Datos!$B:$B,QC$3)</f>
        <v>0</v>
      </c>
      <c r="QD15" s="16">
        <f>SUMIFS(Datos!$F:$F,Datos!$A:$A,$B15,Datos!$B:$B,QD$3)</f>
        <v>0</v>
      </c>
      <c r="QE15" s="16">
        <f>SUMIFS(Datos!$F:$F,Datos!$A:$A,$B15,Datos!$B:$B,QE$3)</f>
        <v>0</v>
      </c>
      <c r="QF15" s="16">
        <f>SUMIFS(Datos!$F:$F,Datos!$A:$A,$B15,Datos!$B:$B,QF$3)</f>
        <v>0</v>
      </c>
      <c r="QG15" s="16">
        <f>SUMIFS(Datos!$F:$F,Datos!$A:$A,$B15,Datos!$B:$B,QG$3)</f>
        <v>0</v>
      </c>
      <c r="QH15" s="16">
        <f>SUMIFS(Datos!$F:$F,Datos!$A:$A,$B15,Datos!$B:$B,QH$3)</f>
        <v>0</v>
      </c>
      <c r="QI15" s="16">
        <f>SUMIFS(Datos!$F:$F,Datos!$A:$A,$B15,Datos!$B:$B,QI$3)</f>
        <v>0</v>
      </c>
      <c r="QJ15" s="16">
        <f>SUMIFS(Datos!$F:$F,Datos!$A:$A,$B15,Datos!$B:$B,QJ$3)</f>
        <v>0</v>
      </c>
      <c r="QK15" s="16">
        <f>SUMIFS(Datos!$F:$F,Datos!$A:$A,$B15,Datos!$B:$B,QK$3)</f>
        <v>0</v>
      </c>
      <c r="QL15" s="16">
        <f>SUMIFS(Datos!$F:$F,Datos!$A:$A,$B15,Datos!$B:$B,QL$3)</f>
        <v>0</v>
      </c>
      <c r="QM15" s="16">
        <f>SUMIFS(Datos!$F:$F,Datos!$A:$A,$B15,Datos!$B:$B,QM$3)</f>
        <v>0</v>
      </c>
      <c r="QN15" s="16">
        <f>SUMIFS(Datos!$F:$F,Datos!$A:$A,$B15,Datos!$B:$B,QN$3)</f>
        <v>0</v>
      </c>
      <c r="QO15" s="16">
        <f>SUMIFS(Datos!$F:$F,Datos!$A:$A,$B15,Datos!$B:$B,QO$3)</f>
        <v>0</v>
      </c>
      <c r="QP15" s="16">
        <f>SUMIFS(Datos!$F:$F,Datos!$A:$A,$B15,Datos!$B:$B,QP$3)</f>
        <v>0</v>
      </c>
      <c r="QQ15" s="16">
        <f>SUMIFS(Datos!$F:$F,Datos!$A:$A,$B15,Datos!$B:$B,QQ$3)</f>
        <v>0</v>
      </c>
      <c r="QR15" s="16">
        <f>SUMIFS(Datos!$F:$F,Datos!$A:$A,$B15,Datos!$B:$B,QR$3)</f>
        <v>0</v>
      </c>
      <c r="QS15" s="16">
        <f>SUMIFS(Datos!$F:$F,Datos!$A:$A,$B15,Datos!$B:$B,QS$3)</f>
        <v>0</v>
      </c>
      <c r="QT15" s="16">
        <f>SUMIFS(Datos!$F:$F,Datos!$A:$A,$B15,Datos!$B:$B,QT$3)</f>
        <v>0</v>
      </c>
      <c r="QU15" s="16">
        <f>SUMIFS(Datos!$F:$F,Datos!$A:$A,$B15,Datos!$B:$B,QU$3)</f>
        <v>0</v>
      </c>
      <c r="QV15" s="16">
        <f>SUMIFS(Datos!$F:$F,Datos!$A:$A,$B15,Datos!$B:$B,QV$3)</f>
        <v>0</v>
      </c>
      <c r="QW15" s="16">
        <f>SUMIFS(Datos!$F:$F,Datos!$A:$A,$B15,Datos!$B:$B,QW$3)</f>
        <v>0</v>
      </c>
      <c r="QX15" s="16">
        <f>SUMIFS(Datos!$F:$F,Datos!$A:$A,$B15,Datos!$B:$B,QX$3)</f>
        <v>0</v>
      </c>
      <c r="QY15" s="16">
        <f>SUMIFS(Datos!$F:$F,Datos!$A:$A,$B15,Datos!$B:$B,QY$3)</f>
        <v>0</v>
      </c>
      <c r="QZ15" s="16">
        <f>SUMIFS(Datos!$F:$F,Datos!$A:$A,$B15,Datos!$B:$B,QZ$3)</f>
        <v>0</v>
      </c>
      <c r="RA15" s="16">
        <f>SUMIFS(Datos!$F:$F,Datos!$A:$A,$B15,Datos!$B:$B,RA$3)</f>
        <v>0</v>
      </c>
      <c r="RB15" s="16">
        <f>SUMIFS(Datos!$F:$F,Datos!$A:$A,$B15,Datos!$B:$B,RB$3)</f>
        <v>0</v>
      </c>
      <c r="RC15" s="16">
        <f>SUMIFS(Datos!$F:$F,Datos!$A:$A,$B15,Datos!$B:$B,RC$3)</f>
        <v>0</v>
      </c>
      <c r="RD15" s="16">
        <f>SUMIFS(Datos!$F:$F,Datos!$A:$A,$B15,Datos!$B:$B,RD$3)</f>
        <v>0</v>
      </c>
      <c r="RE15" s="16">
        <f>SUMIFS(Datos!$F:$F,Datos!$A:$A,$B15,Datos!$B:$B,RE$3)</f>
        <v>0</v>
      </c>
      <c r="RF15" s="16">
        <f>SUMIFS(Datos!$F:$F,Datos!$A:$A,$B15,Datos!$B:$B,RF$3)</f>
        <v>0</v>
      </c>
      <c r="RG15" s="16">
        <f>SUMIFS(Datos!$F:$F,Datos!$A:$A,$B15,Datos!$B:$B,RG$3)</f>
        <v>0</v>
      </c>
      <c r="RH15" s="16">
        <f>SUMIFS(Datos!$F:$F,Datos!$A:$A,$B15,Datos!$B:$B,RH$3)</f>
        <v>0</v>
      </c>
      <c r="RI15" s="16">
        <f>SUMIFS(Datos!$F:$F,Datos!$A:$A,$B15,Datos!$B:$B,RI$3)</f>
        <v>0</v>
      </c>
      <c r="RJ15" s="16">
        <f>SUMIFS(Datos!$F:$F,Datos!$A:$A,$B15,Datos!$B:$B,RJ$3)</f>
        <v>0</v>
      </c>
      <c r="RK15" s="16">
        <f>SUMIFS(Datos!$F:$F,Datos!$A:$A,$B15,Datos!$B:$B,RK$3)</f>
        <v>0</v>
      </c>
      <c r="RL15" s="16">
        <f>SUMIFS(Datos!$F:$F,Datos!$A:$A,$B15,Datos!$B:$B,RL$3)</f>
        <v>0</v>
      </c>
      <c r="RM15" s="16">
        <f>SUMIFS(Datos!$F:$F,Datos!$A:$A,$B15,Datos!$B:$B,RM$3)</f>
        <v>0</v>
      </c>
      <c r="RN15" s="16">
        <f>SUMIFS(Datos!$F:$F,Datos!$A:$A,$B15,Datos!$B:$B,RN$3)</f>
        <v>0</v>
      </c>
      <c r="RO15" s="16">
        <f>SUMIFS(Datos!$F:$F,Datos!$A:$A,$B15,Datos!$B:$B,RO$3)</f>
        <v>0</v>
      </c>
      <c r="RP15" s="16">
        <f>SUMIFS(Datos!$F:$F,Datos!$A:$A,$B15,Datos!$B:$B,RP$3)</f>
        <v>0</v>
      </c>
      <c r="RQ15" s="16">
        <f>SUMIFS(Datos!$F:$F,Datos!$A:$A,$B15,Datos!$B:$B,RQ$3)</f>
        <v>0</v>
      </c>
      <c r="RR15" s="16">
        <f>SUMIFS(Datos!$F:$F,Datos!$A:$A,$B15,Datos!$B:$B,RR$3)</f>
        <v>0</v>
      </c>
      <c r="RS15" s="16">
        <f>SUMIFS(Datos!$F:$F,Datos!$A:$A,$B15,Datos!$B:$B,RS$3)</f>
        <v>0</v>
      </c>
      <c r="RT15" s="16">
        <f>SUMIFS(Datos!$F:$F,Datos!$A:$A,$B15,Datos!$B:$B,RT$3)</f>
        <v>0</v>
      </c>
      <c r="RU15" s="16">
        <f>SUMIFS(Datos!$F:$F,Datos!$A:$A,$B15,Datos!$B:$B,RU$3)</f>
        <v>0</v>
      </c>
      <c r="RV15" s="16">
        <f>SUMIFS(Datos!$F:$F,Datos!$A:$A,$B15,Datos!$B:$B,RV$3)</f>
        <v>0</v>
      </c>
      <c r="RW15" s="16">
        <f>SUMIFS(Datos!$F:$F,Datos!$A:$A,$B15,Datos!$B:$B,RW$3)</f>
        <v>0</v>
      </c>
      <c r="RX15" s="16">
        <f>SUMIFS(Datos!$F:$F,Datos!$A:$A,$B15,Datos!$B:$B,RX$3)</f>
        <v>0</v>
      </c>
      <c r="RY15" s="16">
        <f>SUMIFS(Datos!$F:$F,Datos!$A:$A,$B15,Datos!$B:$B,RY$3)</f>
        <v>0</v>
      </c>
      <c r="RZ15" s="16">
        <f>SUMIFS(Datos!$F:$F,Datos!$A:$A,$B15,Datos!$B:$B,RZ$3)</f>
        <v>0</v>
      </c>
      <c r="SA15" s="16">
        <f>SUMIFS(Datos!$F:$F,Datos!$A:$A,$B15,Datos!$B:$B,SA$3)</f>
        <v>0</v>
      </c>
      <c r="SB15" s="16">
        <f>SUMIFS(Datos!$F:$F,Datos!$A:$A,$B15,Datos!$B:$B,SB$3)</f>
        <v>0</v>
      </c>
      <c r="SC15" s="16">
        <f>SUMIFS(Datos!$F:$F,Datos!$A:$A,$B15,Datos!$B:$B,SC$3)</f>
        <v>0</v>
      </c>
      <c r="SD15" s="16">
        <f>SUMIFS(Datos!$F:$F,Datos!$A:$A,$B15,Datos!$B:$B,SD$3)</f>
        <v>0</v>
      </c>
      <c r="SE15" s="16">
        <f>SUMIFS(Datos!$F:$F,Datos!$A:$A,$B15,Datos!$B:$B,SE$3)</f>
        <v>0</v>
      </c>
      <c r="SF15" s="16">
        <f>SUMIFS(Datos!$F:$F,Datos!$A:$A,$B15,Datos!$B:$B,SF$3)</f>
        <v>0</v>
      </c>
      <c r="SG15" s="16">
        <f>SUMIFS(Datos!$F:$F,Datos!$A:$A,$B15,Datos!$B:$B,SG$3)</f>
        <v>0</v>
      </c>
      <c r="SH15" s="16">
        <f>SUMIFS(Datos!$F:$F,Datos!$A:$A,$B15,Datos!$B:$B,SH$3)</f>
        <v>0</v>
      </c>
      <c r="SI15" s="16">
        <f>SUMIFS(Datos!$F:$F,Datos!$A:$A,$B15,Datos!$B:$B,SI$3)</f>
        <v>0</v>
      </c>
      <c r="SJ15" s="16">
        <f>SUMIFS(Datos!$F:$F,Datos!$A:$A,$B15,Datos!$B:$B,SJ$3)</f>
        <v>0</v>
      </c>
      <c r="SK15" s="16">
        <f>SUMIFS(Datos!$F:$F,Datos!$A:$A,$B15,Datos!$B:$B,SK$3)</f>
        <v>0</v>
      </c>
      <c r="SL15" s="16">
        <f>SUMIFS(Datos!$F:$F,Datos!$A:$A,$B15,Datos!$B:$B,SL$3)</f>
        <v>0</v>
      </c>
      <c r="SM15" s="16">
        <f>SUMIFS(Datos!$F:$F,Datos!$A:$A,$B15,Datos!$B:$B,SM$3)</f>
        <v>0</v>
      </c>
      <c r="SN15" s="16">
        <f>SUMIFS(Datos!$F:$F,Datos!$A:$A,$B15,Datos!$B:$B,SN$3)</f>
        <v>0</v>
      </c>
      <c r="SO15" s="16">
        <f>SUMIFS(Datos!$F:$F,Datos!$A:$A,$B15,Datos!$B:$B,SO$3)</f>
        <v>0</v>
      </c>
      <c r="SP15" s="16">
        <f>SUMIFS(Datos!$F:$F,Datos!$A:$A,$B15,Datos!$B:$B,SP$3)</f>
        <v>0</v>
      </c>
      <c r="SQ15" s="16">
        <f>SUMIFS(Datos!$F:$F,Datos!$A:$A,$B15,Datos!$B:$B,SQ$3)</f>
        <v>0</v>
      </c>
      <c r="SR15" s="16">
        <f>SUMIFS(Datos!$F:$F,Datos!$A:$A,$B15,Datos!$B:$B,SR$3)</f>
        <v>0</v>
      </c>
      <c r="SS15" s="16">
        <f>SUMIFS(Datos!$F:$F,Datos!$A:$A,$B15,Datos!$B:$B,SS$3)</f>
        <v>0</v>
      </c>
      <c r="ST15" s="16">
        <f>SUMIFS(Datos!$F:$F,Datos!$A:$A,$B15,Datos!$B:$B,ST$3)</f>
        <v>0</v>
      </c>
      <c r="SU15" s="16">
        <f>SUMIFS(Datos!$F:$F,Datos!$A:$A,$B15,Datos!$B:$B,SU$3)</f>
        <v>0</v>
      </c>
      <c r="SV15" s="16">
        <f>SUMIFS(Datos!$F:$F,Datos!$A:$A,$B15,Datos!$B:$B,SV$3)</f>
        <v>0</v>
      </c>
      <c r="SW15" s="16">
        <f>SUMIFS(Datos!$F:$F,Datos!$A:$A,$B15,Datos!$B:$B,SW$3)</f>
        <v>0</v>
      </c>
      <c r="SX15" s="16">
        <f>SUMIFS(Datos!$F:$F,Datos!$A:$A,$B15,Datos!$B:$B,SX$3)</f>
        <v>0</v>
      </c>
      <c r="SY15" s="16">
        <f>SUMIFS(Datos!$F:$F,Datos!$A:$A,$B15,Datos!$B:$B,SY$3)</f>
        <v>0</v>
      </c>
      <c r="SZ15" s="16">
        <f>SUMIFS(Datos!$F:$F,Datos!$A:$A,$B15,Datos!$B:$B,SZ$3)</f>
        <v>0</v>
      </c>
      <c r="TA15" s="16">
        <f>SUMIFS(Datos!$F:$F,Datos!$A:$A,$B15,Datos!$B:$B,TA$3)</f>
        <v>0</v>
      </c>
      <c r="TB15" s="16">
        <f>SUMIFS(Datos!$F:$F,Datos!$A:$A,$B15,Datos!$B:$B,TB$3)</f>
        <v>0</v>
      </c>
      <c r="TC15" s="16">
        <f>SUMIFS(Datos!$F:$F,Datos!$A:$A,$B15,Datos!$B:$B,TC$3)</f>
        <v>0</v>
      </c>
      <c r="TD15" s="16">
        <f>SUMIFS(Datos!$F:$F,Datos!$A:$A,$B15,Datos!$B:$B,TD$3)</f>
        <v>0</v>
      </c>
      <c r="TE15" s="16">
        <f>SUMIFS(Datos!$F:$F,Datos!$A:$A,$B15,Datos!$B:$B,TE$3)</f>
        <v>0</v>
      </c>
      <c r="TF15" s="16">
        <f>SUMIFS(Datos!$F:$F,Datos!$A:$A,$B15,Datos!$B:$B,TF$3)</f>
        <v>0</v>
      </c>
    </row>
    <row r="16" spans="1:526">
      <c r="A16" s="31" t="s">
        <v>48</v>
      </c>
      <c r="B16" s="4">
        <f>Cartera!B16</f>
        <v>0</v>
      </c>
      <c r="C16" s="4">
        <f>Cartera!C16</f>
        <v>0</v>
      </c>
      <c r="D16" s="16">
        <f>SUMIFS(Datos!$F:$F,Datos!$A:$A,$B16,Datos!$B:$B,D$3)</f>
        <v>0</v>
      </c>
      <c r="E16" s="16">
        <f>SUMIFS(Datos!$F:$F,Datos!$A:$A,$B16,Datos!$B:$B,E$3)</f>
        <v>0</v>
      </c>
      <c r="F16" s="16">
        <f>SUMIFS(Datos!$F:$F,Datos!$A:$A,$B16,Datos!$B:$B,F$3)</f>
        <v>0</v>
      </c>
      <c r="G16" s="16">
        <f>SUMIFS(Datos!$F:$F,Datos!$A:$A,$B16,Datos!$B:$B,G$3)</f>
        <v>0</v>
      </c>
      <c r="H16" s="16">
        <f>SUMIFS(Datos!$F:$F,Datos!$A:$A,$B16,Datos!$B:$B,H$3)</f>
        <v>0</v>
      </c>
      <c r="I16" s="16">
        <f>SUMIFS(Datos!$F:$F,Datos!$A:$A,$B16,Datos!$B:$B,I$3)</f>
        <v>0</v>
      </c>
      <c r="J16" s="16">
        <f>SUMIFS(Datos!$F:$F,Datos!$A:$A,$B16,Datos!$B:$B,J$3)</f>
        <v>0</v>
      </c>
      <c r="K16" s="16">
        <f>SUMIFS(Datos!$F:$F,Datos!$A:$A,$B16,Datos!$B:$B,K$3)</f>
        <v>0</v>
      </c>
      <c r="L16" s="16">
        <f>SUMIFS(Datos!$F:$F,Datos!$A:$A,$B16,Datos!$B:$B,L$3)</f>
        <v>0</v>
      </c>
      <c r="M16" s="16">
        <f>SUMIFS(Datos!$F:$F,Datos!$A:$A,$B16,Datos!$B:$B,M$3)</f>
        <v>0</v>
      </c>
      <c r="N16" s="16">
        <f>SUMIFS(Datos!$F:$F,Datos!$A:$A,$B16,Datos!$B:$B,N$3)</f>
        <v>0</v>
      </c>
      <c r="O16" s="16">
        <f>SUMIFS(Datos!$F:$F,Datos!$A:$A,$B16,Datos!$B:$B,O$3)</f>
        <v>0</v>
      </c>
      <c r="P16" s="16">
        <f>SUMIFS(Datos!$F:$F,Datos!$A:$A,$B16,Datos!$B:$B,P$3)</f>
        <v>0</v>
      </c>
      <c r="Q16" s="16">
        <f>SUMIFS(Datos!$F:$F,Datos!$A:$A,$B16,Datos!$B:$B,Q$3)</f>
        <v>0</v>
      </c>
      <c r="R16" s="16">
        <f>SUMIFS(Datos!$F:$F,Datos!$A:$A,$B16,Datos!$B:$B,R$3)</f>
        <v>0</v>
      </c>
      <c r="S16" s="16">
        <f>SUMIFS(Datos!$F:$F,Datos!$A:$A,$B16,Datos!$B:$B,S$3)</f>
        <v>0</v>
      </c>
      <c r="T16" s="16">
        <f>SUMIFS(Datos!$F:$F,Datos!$A:$A,$B16,Datos!$B:$B,T$3)</f>
        <v>0</v>
      </c>
      <c r="U16" s="16">
        <f>SUMIFS(Datos!$F:$F,Datos!$A:$A,$B16,Datos!$B:$B,U$3)</f>
        <v>0</v>
      </c>
      <c r="V16" s="16">
        <f>SUMIFS(Datos!$F:$F,Datos!$A:$A,$B16,Datos!$B:$B,V$3)</f>
        <v>0</v>
      </c>
      <c r="W16" s="16">
        <f>SUMIFS(Datos!$F:$F,Datos!$A:$A,$B16,Datos!$B:$B,W$3)</f>
        <v>0</v>
      </c>
      <c r="X16" s="16">
        <f>SUMIFS(Datos!$F:$F,Datos!$A:$A,$B16,Datos!$B:$B,X$3)</f>
        <v>0</v>
      </c>
      <c r="Y16" s="16">
        <f>SUMIFS(Datos!$F:$F,Datos!$A:$A,$B16,Datos!$B:$B,Y$3)</f>
        <v>0</v>
      </c>
      <c r="Z16" s="16">
        <f>SUMIFS(Datos!$F:$F,Datos!$A:$A,$B16,Datos!$B:$B,Z$3)</f>
        <v>0</v>
      </c>
      <c r="AA16" s="16">
        <f>SUMIFS(Datos!$F:$F,Datos!$A:$A,$B16,Datos!$B:$B,AA$3)</f>
        <v>0</v>
      </c>
      <c r="AB16" s="16">
        <f>SUMIFS(Datos!$F:$F,Datos!$A:$A,$B16,Datos!$B:$B,AB$3)</f>
        <v>0</v>
      </c>
      <c r="AC16" s="16">
        <f>SUMIFS(Datos!$F:$F,Datos!$A:$A,$B16,Datos!$B:$B,AC$3)</f>
        <v>0</v>
      </c>
      <c r="AD16" s="16">
        <f>SUMIFS(Datos!$F:$F,Datos!$A:$A,$B16,Datos!$B:$B,AD$3)</f>
        <v>0</v>
      </c>
      <c r="AE16" s="16">
        <f>SUMIFS(Datos!$F:$F,Datos!$A:$A,$B16,Datos!$B:$B,AE$3)</f>
        <v>0</v>
      </c>
      <c r="AF16" s="16">
        <f>SUMIFS(Datos!$F:$F,Datos!$A:$A,$B16,Datos!$B:$B,AF$3)</f>
        <v>0</v>
      </c>
      <c r="AG16" s="16">
        <f>SUMIFS(Datos!$F:$F,Datos!$A:$A,$B16,Datos!$B:$B,AG$3)</f>
        <v>0</v>
      </c>
      <c r="AH16" s="16">
        <f>SUMIFS(Datos!$F:$F,Datos!$A:$A,$B16,Datos!$B:$B,AH$3)</f>
        <v>0</v>
      </c>
      <c r="AI16" s="16">
        <f>SUMIFS(Datos!$F:$F,Datos!$A:$A,$B16,Datos!$B:$B,AI$3)</f>
        <v>0</v>
      </c>
      <c r="AJ16" s="16">
        <f>SUMIFS(Datos!$F:$F,Datos!$A:$A,$B16,Datos!$B:$B,AJ$3)</f>
        <v>0</v>
      </c>
      <c r="AK16" s="16">
        <f>SUMIFS(Datos!$F:$F,Datos!$A:$A,$B16,Datos!$B:$B,AK$3)</f>
        <v>0</v>
      </c>
      <c r="AL16" s="16">
        <f>SUMIFS(Datos!$F:$F,Datos!$A:$A,$B16,Datos!$B:$B,AL$3)</f>
        <v>0</v>
      </c>
      <c r="AM16" s="16">
        <f>SUMIFS(Datos!$F:$F,Datos!$A:$A,$B16,Datos!$B:$B,AM$3)</f>
        <v>0</v>
      </c>
      <c r="AN16" s="16">
        <f>SUMIFS(Datos!$F:$F,Datos!$A:$A,$B16,Datos!$B:$B,AN$3)</f>
        <v>0</v>
      </c>
      <c r="AO16" s="16">
        <f>SUMIFS(Datos!$F:$F,Datos!$A:$A,$B16,Datos!$B:$B,AO$3)</f>
        <v>0</v>
      </c>
      <c r="AP16" s="16">
        <f>SUMIFS(Datos!$F:$F,Datos!$A:$A,$B16,Datos!$B:$B,AP$3)</f>
        <v>0</v>
      </c>
      <c r="AQ16" s="16">
        <f>SUMIFS(Datos!$F:$F,Datos!$A:$A,$B16,Datos!$B:$B,AQ$3)</f>
        <v>0</v>
      </c>
      <c r="AR16" s="16">
        <f>SUMIFS(Datos!$F:$F,Datos!$A:$A,$B16,Datos!$B:$B,AR$3)</f>
        <v>0</v>
      </c>
      <c r="AS16" s="16">
        <f>SUMIFS(Datos!$F:$F,Datos!$A:$A,$B16,Datos!$B:$B,AS$3)</f>
        <v>0</v>
      </c>
      <c r="AT16" s="16">
        <f>SUMIFS(Datos!$F:$F,Datos!$A:$A,$B16,Datos!$B:$B,AT$3)</f>
        <v>0</v>
      </c>
      <c r="AU16" s="16">
        <f>SUMIFS(Datos!$F:$F,Datos!$A:$A,$B16,Datos!$B:$B,AU$3)</f>
        <v>0</v>
      </c>
      <c r="AV16" s="16">
        <f>SUMIFS(Datos!$F:$F,Datos!$A:$A,$B16,Datos!$B:$B,AV$3)</f>
        <v>0</v>
      </c>
      <c r="AW16" s="16">
        <f>SUMIFS(Datos!$F:$F,Datos!$A:$A,$B16,Datos!$B:$B,AW$3)</f>
        <v>0</v>
      </c>
      <c r="AX16" s="16">
        <f>SUMIFS(Datos!$F:$F,Datos!$A:$A,$B16,Datos!$B:$B,AX$3)</f>
        <v>0</v>
      </c>
      <c r="AY16" s="16">
        <f>SUMIFS(Datos!$F:$F,Datos!$A:$A,$B16,Datos!$B:$B,AY$3)</f>
        <v>0</v>
      </c>
      <c r="AZ16" s="16">
        <f>SUMIFS(Datos!$F:$F,Datos!$A:$A,$B16,Datos!$B:$B,AZ$3)</f>
        <v>0</v>
      </c>
      <c r="BA16" s="16">
        <f>SUMIFS(Datos!$F:$F,Datos!$A:$A,$B16,Datos!$B:$B,BA$3)</f>
        <v>0</v>
      </c>
      <c r="BB16" s="16">
        <f>SUMIFS(Datos!$F:$F,Datos!$A:$A,$B16,Datos!$B:$B,BB$3)</f>
        <v>0</v>
      </c>
      <c r="BC16" s="16">
        <f>SUMIFS(Datos!$F:$F,Datos!$A:$A,$B16,Datos!$B:$B,BC$3)</f>
        <v>0</v>
      </c>
      <c r="BD16" s="16">
        <f>SUMIFS(Datos!$F:$F,Datos!$A:$A,$B16,Datos!$B:$B,BD$3)</f>
        <v>0</v>
      </c>
      <c r="BE16" s="16">
        <f>SUMIFS(Datos!$F:$F,Datos!$A:$A,$B16,Datos!$B:$B,BE$3)</f>
        <v>0</v>
      </c>
      <c r="BF16" s="16">
        <f>SUMIFS(Datos!$F:$F,Datos!$A:$A,$B16,Datos!$B:$B,BF$3)</f>
        <v>0</v>
      </c>
      <c r="BG16" s="16">
        <f>SUMIFS(Datos!$F:$F,Datos!$A:$A,$B16,Datos!$B:$B,BG$3)</f>
        <v>0</v>
      </c>
      <c r="BH16" s="16">
        <f>SUMIFS(Datos!$F:$F,Datos!$A:$A,$B16,Datos!$B:$B,BH$3)</f>
        <v>0</v>
      </c>
      <c r="BI16" s="16">
        <f>SUMIFS(Datos!$F:$F,Datos!$A:$A,$B16,Datos!$B:$B,BI$3)</f>
        <v>0</v>
      </c>
      <c r="BJ16" s="16">
        <f>SUMIFS(Datos!$F:$F,Datos!$A:$A,$B16,Datos!$B:$B,BJ$3)</f>
        <v>0</v>
      </c>
      <c r="BK16" s="16">
        <f>SUMIFS(Datos!$F:$F,Datos!$A:$A,$B16,Datos!$B:$B,BK$3)</f>
        <v>0</v>
      </c>
      <c r="BL16" s="16">
        <f>SUMIFS(Datos!$F:$F,Datos!$A:$A,$B16,Datos!$B:$B,BL$3)</f>
        <v>0</v>
      </c>
      <c r="BM16" s="16">
        <f>SUMIFS(Datos!$F:$F,Datos!$A:$A,$B16,Datos!$B:$B,BM$3)</f>
        <v>0</v>
      </c>
      <c r="BN16" s="16">
        <f>SUMIFS(Datos!$F:$F,Datos!$A:$A,$B16,Datos!$B:$B,BN$3)</f>
        <v>0</v>
      </c>
      <c r="BO16" s="16">
        <f>SUMIFS(Datos!$F:$F,Datos!$A:$A,$B16,Datos!$B:$B,BO$3)</f>
        <v>0</v>
      </c>
      <c r="BP16" s="16">
        <f>SUMIFS(Datos!$F:$F,Datos!$A:$A,$B16,Datos!$B:$B,BP$3)</f>
        <v>0</v>
      </c>
      <c r="BQ16" s="16">
        <f>SUMIFS(Datos!$F:$F,Datos!$A:$A,$B16,Datos!$B:$B,BQ$3)</f>
        <v>0</v>
      </c>
      <c r="BR16" s="16">
        <f>SUMIFS(Datos!$F:$F,Datos!$A:$A,$B16,Datos!$B:$B,BR$3)</f>
        <v>0</v>
      </c>
      <c r="BS16" s="16">
        <f>SUMIFS(Datos!$F:$F,Datos!$A:$A,$B16,Datos!$B:$B,BS$3)</f>
        <v>0</v>
      </c>
      <c r="BT16" s="16">
        <f>SUMIFS(Datos!$F:$F,Datos!$A:$A,$B16,Datos!$B:$B,BT$3)</f>
        <v>0</v>
      </c>
      <c r="BU16" s="16">
        <f>SUMIFS(Datos!$F:$F,Datos!$A:$A,$B16,Datos!$B:$B,BU$3)</f>
        <v>0</v>
      </c>
      <c r="BV16" s="16">
        <f>SUMIFS(Datos!$F:$F,Datos!$A:$A,$B16,Datos!$B:$B,BV$3)</f>
        <v>0</v>
      </c>
      <c r="BW16" s="16">
        <f>SUMIFS(Datos!$F:$F,Datos!$A:$A,$B16,Datos!$B:$B,BW$3)</f>
        <v>0</v>
      </c>
      <c r="BX16" s="16">
        <f>SUMIFS(Datos!$F:$F,Datos!$A:$A,$B16,Datos!$B:$B,BX$3)</f>
        <v>0</v>
      </c>
      <c r="BY16" s="16">
        <f>SUMIFS(Datos!$F:$F,Datos!$A:$A,$B16,Datos!$B:$B,BY$3)</f>
        <v>0</v>
      </c>
      <c r="BZ16" s="16">
        <f>SUMIFS(Datos!$F:$F,Datos!$A:$A,$B16,Datos!$B:$B,BZ$3)</f>
        <v>0</v>
      </c>
      <c r="CA16" s="16">
        <f>SUMIFS(Datos!$F:$F,Datos!$A:$A,$B16,Datos!$B:$B,CA$3)</f>
        <v>0</v>
      </c>
      <c r="CB16" s="16">
        <f>SUMIFS(Datos!$F:$F,Datos!$A:$A,$B16,Datos!$B:$B,CB$3)</f>
        <v>0</v>
      </c>
      <c r="CC16" s="16">
        <f>SUMIFS(Datos!$F:$F,Datos!$A:$A,$B16,Datos!$B:$B,CC$3)</f>
        <v>0</v>
      </c>
      <c r="CD16" s="16">
        <f>SUMIFS(Datos!$F:$F,Datos!$A:$A,$B16,Datos!$B:$B,CD$3)</f>
        <v>0</v>
      </c>
      <c r="CE16" s="16">
        <f>SUMIFS(Datos!$F:$F,Datos!$A:$A,$B16,Datos!$B:$B,CE$3)</f>
        <v>0</v>
      </c>
      <c r="CF16" s="16">
        <f>SUMIFS(Datos!$F:$F,Datos!$A:$A,$B16,Datos!$B:$B,CF$3)</f>
        <v>0</v>
      </c>
      <c r="CG16" s="16">
        <f>SUMIFS(Datos!$F:$F,Datos!$A:$A,$B16,Datos!$B:$B,CG$3)</f>
        <v>0</v>
      </c>
      <c r="CH16" s="16">
        <f>SUMIFS(Datos!$F:$F,Datos!$A:$A,$B16,Datos!$B:$B,CH$3)</f>
        <v>0</v>
      </c>
      <c r="CI16" s="16">
        <f>SUMIFS(Datos!$F:$F,Datos!$A:$A,$B16,Datos!$B:$B,CI$3)</f>
        <v>0</v>
      </c>
      <c r="CJ16" s="16">
        <f>SUMIFS(Datos!$F:$F,Datos!$A:$A,$B16,Datos!$B:$B,CJ$3)</f>
        <v>0</v>
      </c>
      <c r="CK16" s="16">
        <f>SUMIFS(Datos!$F:$F,Datos!$A:$A,$B16,Datos!$B:$B,CK$3)</f>
        <v>0</v>
      </c>
      <c r="CL16" s="16">
        <f>SUMIFS(Datos!$F:$F,Datos!$A:$A,$B16,Datos!$B:$B,CL$3)</f>
        <v>0</v>
      </c>
      <c r="CM16" s="16">
        <f>SUMIFS(Datos!$F:$F,Datos!$A:$A,$B16,Datos!$B:$B,CM$3)</f>
        <v>0</v>
      </c>
      <c r="CN16" s="16">
        <f>SUMIFS(Datos!$F:$F,Datos!$A:$A,$B16,Datos!$B:$B,CN$3)</f>
        <v>0</v>
      </c>
      <c r="CO16" s="16">
        <f>SUMIFS(Datos!$F:$F,Datos!$A:$A,$B16,Datos!$B:$B,CO$3)</f>
        <v>0</v>
      </c>
      <c r="CP16" s="16">
        <f>SUMIFS(Datos!$F:$F,Datos!$A:$A,$B16,Datos!$B:$B,CP$3)</f>
        <v>0</v>
      </c>
      <c r="CQ16" s="16">
        <f>SUMIFS(Datos!$F:$F,Datos!$A:$A,$B16,Datos!$B:$B,CQ$3)</f>
        <v>0</v>
      </c>
      <c r="CR16" s="16">
        <f>SUMIFS(Datos!$F:$F,Datos!$A:$A,$B16,Datos!$B:$B,CR$3)</f>
        <v>0</v>
      </c>
      <c r="CS16" s="16">
        <f>SUMIFS(Datos!$F:$F,Datos!$A:$A,$B16,Datos!$B:$B,CS$3)</f>
        <v>0</v>
      </c>
      <c r="CT16" s="16">
        <f>SUMIFS(Datos!$F:$F,Datos!$A:$A,$B16,Datos!$B:$B,CT$3)</f>
        <v>0</v>
      </c>
      <c r="CU16" s="16">
        <f>SUMIFS(Datos!$F:$F,Datos!$A:$A,$B16,Datos!$B:$B,CU$3)</f>
        <v>0</v>
      </c>
      <c r="CV16" s="16">
        <f>SUMIFS(Datos!$F:$F,Datos!$A:$A,$B16,Datos!$B:$B,CV$3)</f>
        <v>0</v>
      </c>
      <c r="CW16" s="16">
        <f>SUMIFS(Datos!$F:$F,Datos!$A:$A,$B16,Datos!$B:$B,CW$3)</f>
        <v>0</v>
      </c>
      <c r="CX16" s="16">
        <f>SUMIFS(Datos!$F:$F,Datos!$A:$A,$B16,Datos!$B:$B,CX$3)</f>
        <v>0</v>
      </c>
      <c r="CY16" s="16">
        <f>SUMIFS(Datos!$F:$F,Datos!$A:$A,$B16,Datos!$B:$B,CY$3)</f>
        <v>0</v>
      </c>
      <c r="CZ16" s="16">
        <f>SUMIFS(Datos!$F:$F,Datos!$A:$A,$B16,Datos!$B:$B,CZ$3)</f>
        <v>0</v>
      </c>
      <c r="DA16" s="16">
        <f>SUMIFS(Datos!$F:$F,Datos!$A:$A,$B16,Datos!$B:$B,DA$3)</f>
        <v>0</v>
      </c>
      <c r="DB16" s="16">
        <f>SUMIFS(Datos!$F:$F,Datos!$A:$A,$B16,Datos!$B:$B,DB$3)</f>
        <v>0</v>
      </c>
      <c r="DC16" s="16">
        <f>SUMIFS(Datos!$F:$F,Datos!$A:$A,$B16,Datos!$B:$B,DC$3)</f>
        <v>0</v>
      </c>
      <c r="DD16" s="16">
        <f>SUMIFS(Datos!$F:$F,Datos!$A:$A,$B16,Datos!$B:$B,DD$3)</f>
        <v>0</v>
      </c>
      <c r="DE16" s="16">
        <f>SUMIFS(Datos!$F:$F,Datos!$A:$A,$B16,Datos!$B:$B,DE$3)</f>
        <v>0</v>
      </c>
      <c r="DF16" s="16">
        <f>SUMIFS(Datos!$F:$F,Datos!$A:$A,$B16,Datos!$B:$B,DF$3)</f>
        <v>0</v>
      </c>
      <c r="DG16" s="16">
        <f>SUMIFS(Datos!$F:$F,Datos!$A:$A,$B16,Datos!$B:$B,DG$3)</f>
        <v>0</v>
      </c>
      <c r="DH16" s="16">
        <f>SUMIFS(Datos!$F:$F,Datos!$A:$A,$B16,Datos!$B:$B,DH$3)</f>
        <v>0</v>
      </c>
      <c r="DI16" s="16">
        <f>SUMIFS(Datos!$F:$F,Datos!$A:$A,$B16,Datos!$B:$B,DI$3)</f>
        <v>0</v>
      </c>
      <c r="DJ16" s="16">
        <f>SUMIFS(Datos!$F:$F,Datos!$A:$A,$B16,Datos!$B:$B,DJ$3)</f>
        <v>0</v>
      </c>
      <c r="DK16" s="16">
        <f>SUMIFS(Datos!$F:$F,Datos!$A:$A,$B16,Datos!$B:$B,DK$3)</f>
        <v>0</v>
      </c>
      <c r="DL16" s="16">
        <f>SUMIFS(Datos!$F:$F,Datos!$A:$A,$B16,Datos!$B:$B,DL$3)</f>
        <v>0</v>
      </c>
      <c r="DM16" s="16">
        <f>SUMIFS(Datos!$F:$F,Datos!$A:$A,$B16,Datos!$B:$B,DM$3)</f>
        <v>0</v>
      </c>
      <c r="DN16" s="16">
        <f>SUMIFS(Datos!$F:$F,Datos!$A:$A,$B16,Datos!$B:$B,DN$3)</f>
        <v>0</v>
      </c>
      <c r="DO16" s="16">
        <f>SUMIFS(Datos!$F:$F,Datos!$A:$A,$B16,Datos!$B:$B,DO$3)</f>
        <v>0</v>
      </c>
      <c r="DP16" s="16">
        <f>SUMIFS(Datos!$F:$F,Datos!$A:$A,$B16,Datos!$B:$B,DP$3)</f>
        <v>0</v>
      </c>
      <c r="DQ16" s="16">
        <f>SUMIFS(Datos!$F:$F,Datos!$A:$A,$B16,Datos!$B:$B,DQ$3)</f>
        <v>0</v>
      </c>
      <c r="DR16" s="16">
        <f>SUMIFS(Datos!$F:$F,Datos!$A:$A,$B16,Datos!$B:$B,DR$3)</f>
        <v>0</v>
      </c>
      <c r="DS16" s="16">
        <f>SUMIFS(Datos!$F:$F,Datos!$A:$A,$B16,Datos!$B:$B,DS$3)</f>
        <v>0</v>
      </c>
      <c r="DT16" s="16">
        <f>SUMIFS(Datos!$F:$F,Datos!$A:$A,$B16,Datos!$B:$B,DT$3)</f>
        <v>0</v>
      </c>
      <c r="DU16" s="16">
        <f>SUMIFS(Datos!$F:$F,Datos!$A:$A,$B16,Datos!$B:$B,DU$3)</f>
        <v>0</v>
      </c>
      <c r="DV16" s="16">
        <f>SUMIFS(Datos!$F:$F,Datos!$A:$A,$B16,Datos!$B:$B,DV$3)</f>
        <v>0</v>
      </c>
      <c r="DW16" s="16">
        <f>SUMIFS(Datos!$F:$F,Datos!$A:$A,$B16,Datos!$B:$B,DW$3)</f>
        <v>0</v>
      </c>
      <c r="DX16" s="16">
        <f>SUMIFS(Datos!$F:$F,Datos!$A:$A,$B16,Datos!$B:$B,DX$3)</f>
        <v>0</v>
      </c>
      <c r="DY16" s="16">
        <f>SUMIFS(Datos!$F:$F,Datos!$A:$A,$B16,Datos!$B:$B,DY$3)</f>
        <v>0</v>
      </c>
      <c r="DZ16" s="16">
        <f>SUMIFS(Datos!$F:$F,Datos!$A:$A,$B16,Datos!$B:$B,DZ$3)</f>
        <v>0</v>
      </c>
      <c r="EA16" s="16">
        <f>SUMIFS(Datos!$F:$F,Datos!$A:$A,$B16,Datos!$B:$B,EA$3)</f>
        <v>0</v>
      </c>
      <c r="EB16" s="16">
        <f>SUMIFS(Datos!$F:$F,Datos!$A:$A,$B16,Datos!$B:$B,EB$3)</f>
        <v>0</v>
      </c>
      <c r="EC16" s="16">
        <f>SUMIFS(Datos!$F:$F,Datos!$A:$A,$B16,Datos!$B:$B,EC$3)</f>
        <v>0</v>
      </c>
      <c r="ED16" s="16">
        <f>SUMIFS(Datos!$F:$F,Datos!$A:$A,$B16,Datos!$B:$B,ED$3)</f>
        <v>0</v>
      </c>
      <c r="EE16" s="16">
        <f>SUMIFS(Datos!$F:$F,Datos!$A:$A,$B16,Datos!$B:$B,EE$3)</f>
        <v>0</v>
      </c>
      <c r="EF16" s="16">
        <f>SUMIFS(Datos!$F:$F,Datos!$A:$A,$B16,Datos!$B:$B,EF$3)</f>
        <v>0</v>
      </c>
      <c r="EG16" s="16">
        <f>SUMIFS(Datos!$F:$F,Datos!$A:$A,$B16,Datos!$B:$B,EG$3)</f>
        <v>0</v>
      </c>
      <c r="EH16" s="16">
        <f>SUMIFS(Datos!$F:$F,Datos!$A:$A,$B16,Datos!$B:$B,EH$3)</f>
        <v>0</v>
      </c>
      <c r="EI16" s="16">
        <f>SUMIFS(Datos!$F:$F,Datos!$A:$A,$B16,Datos!$B:$B,EI$3)</f>
        <v>0</v>
      </c>
      <c r="EJ16" s="16">
        <f>SUMIFS(Datos!$F:$F,Datos!$A:$A,$B16,Datos!$B:$B,EJ$3)</f>
        <v>0</v>
      </c>
      <c r="EK16" s="16">
        <f>SUMIFS(Datos!$F:$F,Datos!$A:$A,$B16,Datos!$B:$B,EK$3)</f>
        <v>0</v>
      </c>
      <c r="EL16" s="16">
        <f>SUMIFS(Datos!$F:$F,Datos!$A:$A,$B16,Datos!$B:$B,EL$3)</f>
        <v>0</v>
      </c>
      <c r="EM16" s="16">
        <f>SUMIFS(Datos!$F:$F,Datos!$A:$A,$B16,Datos!$B:$B,EM$3)</f>
        <v>0</v>
      </c>
      <c r="EN16" s="16">
        <f>SUMIFS(Datos!$F:$F,Datos!$A:$A,$B16,Datos!$B:$B,EN$3)</f>
        <v>0</v>
      </c>
      <c r="EO16" s="16">
        <f>SUMIFS(Datos!$F:$F,Datos!$A:$A,$B16,Datos!$B:$B,EO$3)</f>
        <v>0</v>
      </c>
      <c r="EP16" s="16">
        <f>SUMIFS(Datos!$F:$F,Datos!$A:$A,$B16,Datos!$B:$B,EP$3)</f>
        <v>0</v>
      </c>
      <c r="EQ16" s="16">
        <f>SUMIFS(Datos!$F:$F,Datos!$A:$A,$B16,Datos!$B:$B,EQ$3)</f>
        <v>0</v>
      </c>
      <c r="ER16" s="16">
        <f>SUMIFS(Datos!$F:$F,Datos!$A:$A,$B16,Datos!$B:$B,ER$3)</f>
        <v>0</v>
      </c>
      <c r="ES16" s="16">
        <f>SUMIFS(Datos!$F:$F,Datos!$A:$A,$B16,Datos!$B:$B,ES$3)</f>
        <v>0</v>
      </c>
      <c r="ET16" s="16">
        <f>SUMIFS(Datos!$F:$F,Datos!$A:$A,$B16,Datos!$B:$B,ET$3)</f>
        <v>0</v>
      </c>
      <c r="EU16" s="16">
        <f>SUMIFS(Datos!$F:$F,Datos!$A:$A,$B16,Datos!$B:$B,EU$3)</f>
        <v>0</v>
      </c>
      <c r="EV16" s="16">
        <f>SUMIFS(Datos!$F:$F,Datos!$A:$A,$B16,Datos!$B:$B,EV$3)</f>
        <v>0</v>
      </c>
      <c r="EW16" s="16">
        <f>SUMIFS(Datos!$F:$F,Datos!$A:$A,$B16,Datos!$B:$B,EW$3)</f>
        <v>0</v>
      </c>
      <c r="EX16" s="16">
        <f>SUMIFS(Datos!$F:$F,Datos!$A:$A,$B16,Datos!$B:$B,EX$3)</f>
        <v>0</v>
      </c>
      <c r="EY16" s="16">
        <f>SUMIFS(Datos!$F:$F,Datos!$A:$A,$B16,Datos!$B:$B,EY$3)</f>
        <v>0</v>
      </c>
      <c r="EZ16" s="16">
        <f>SUMIFS(Datos!$F:$F,Datos!$A:$A,$B16,Datos!$B:$B,EZ$3)</f>
        <v>0</v>
      </c>
      <c r="FA16" s="16">
        <f>SUMIFS(Datos!$F:$F,Datos!$A:$A,$B16,Datos!$B:$B,FA$3)</f>
        <v>0</v>
      </c>
      <c r="FB16" s="16">
        <f>SUMIFS(Datos!$F:$F,Datos!$A:$A,$B16,Datos!$B:$B,FB$3)</f>
        <v>0</v>
      </c>
      <c r="FC16" s="16">
        <f>SUMIFS(Datos!$F:$F,Datos!$A:$A,$B16,Datos!$B:$B,FC$3)</f>
        <v>0</v>
      </c>
      <c r="FD16" s="16">
        <f>SUMIFS(Datos!$F:$F,Datos!$A:$A,$B16,Datos!$B:$B,FD$3)</f>
        <v>0</v>
      </c>
      <c r="FE16" s="16">
        <f>SUMIFS(Datos!$F:$F,Datos!$A:$A,$B16,Datos!$B:$B,FE$3)</f>
        <v>0</v>
      </c>
      <c r="FF16" s="16">
        <f>SUMIFS(Datos!$F:$F,Datos!$A:$A,$B16,Datos!$B:$B,FF$3)</f>
        <v>0</v>
      </c>
      <c r="FG16" s="16">
        <f>SUMIFS(Datos!$F:$F,Datos!$A:$A,$B16,Datos!$B:$B,FG$3)</f>
        <v>0</v>
      </c>
      <c r="FH16" s="16">
        <f>SUMIFS(Datos!$F:$F,Datos!$A:$A,$B16,Datos!$B:$B,FH$3)</f>
        <v>0</v>
      </c>
      <c r="FI16" s="16">
        <f>SUMIFS(Datos!$F:$F,Datos!$A:$A,$B16,Datos!$B:$B,FI$3)</f>
        <v>0</v>
      </c>
      <c r="FJ16" s="16">
        <f>SUMIFS(Datos!$F:$F,Datos!$A:$A,$B16,Datos!$B:$B,FJ$3)</f>
        <v>0</v>
      </c>
      <c r="FK16" s="16">
        <f>SUMIFS(Datos!$F:$F,Datos!$A:$A,$B16,Datos!$B:$B,FK$3)</f>
        <v>0</v>
      </c>
      <c r="FL16" s="16">
        <f>SUMIFS(Datos!$F:$F,Datos!$A:$A,$B16,Datos!$B:$B,FL$3)</f>
        <v>0</v>
      </c>
      <c r="FM16" s="16">
        <f>SUMIFS(Datos!$F:$F,Datos!$A:$A,$B16,Datos!$B:$B,FM$3)</f>
        <v>0</v>
      </c>
      <c r="FN16" s="16">
        <f>SUMIFS(Datos!$F:$F,Datos!$A:$A,$B16,Datos!$B:$B,FN$3)</f>
        <v>0</v>
      </c>
      <c r="FO16" s="16">
        <f>SUMIFS(Datos!$F:$F,Datos!$A:$A,$B16,Datos!$B:$B,FO$3)</f>
        <v>0</v>
      </c>
      <c r="FP16" s="16">
        <f>SUMIFS(Datos!$F:$F,Datos!$A:$A,$B16,Datos!$B:$B,FP$3)</f>
        <v>0</v>
      </c>
      <c r="FQ16" s="16">
        <f>SUMIFS(Datos!$F:$F,Datos!$A:$A,$B16,Datos!$B:$B,FQ$3)</f>
        <v>0</v>
      </c>
      <c r="FR16" s="16">
        <f>SUMIFS(Datos!$F:$F,Datos!$A:$A,$B16,Datos!$B:$B,FR$3)</f>
        <v>0</v>
      </c>
      <c r="FS16" s="16">
        <f>SUMIFS(Datos!$F:$F,Datos!$A:$A,$B16,Datos!$B:$B,FS$3)</f>
        <v>0</v>
      </c>
      <c r="FT16" s="16">
        <f>SUMIFS(Datos!$F:$F,Datos!$A:$A,$B16,Datos!$B:$B,FT$3)</f>
        <v>0</v>
      </c>
      <c r="FU16" s="16">
        <f>SUMIFS(Datos!$F:$F,Datos!$A:$A,$B16,Datos!$B:$B,FU$3)</f>
        <v>0</v>
      </c>
      <c r="FV16" s="16">
        <f>SUMIFS(Datos!$F:$F,Datos!$A:$A,$B16,Datos!$B:$B,FV$3)</f>
        <v>0</v>
      </c>
      <c r="FW16" s="16">
        <f>SUMIFS(Datos!$F:$F,Datos!$A:$A,$B16,Datos!$B:$B,FW$3)</f>
        <v>0</v>
      </c>
      <c r="FX16" s="16">
        <f>SUMIFS(Datos!$F:$F,Datos!$A:$A,$B16,Datos!$B:$B,FX$3)</f>
        <v>0</v>
      </c>
      <c r="FY16" s="16">
        <f>SUMIFS(Datos!$F:$F,Datos!$A:$A,$B16,Datos!$B:$B,FY$3)</f>
        <v>0</v>
      </c>
      <c r="FZ16" s="16">
        <f>SUMIFS(Datos!$F:$F,Datos!$A:$A,$B16,Datos!$B:$B,FZ$3)</f>
        <v>0</v>
      </c>
      <c r="GA16" s="16">
        <f>SUMIFS(Datos!$F:$F,Datos!$A:$A,$B16,Datos!$B:$B,GA$3)</f>
        <v>0</v>
      </c>
      <c r="GB16" s="16">
        <f>SUMIFS(Datos!$F:$F,Datos!$A:$A,$B16,Datos!$B:$B,GB$3)</f>
        <v>0</v>
      </c>
      <c r="GC16" s="16">
        <f>SUMIFS(Datos!$F:$F,Datos!$A:$A,$B16,Datos!$B:$B,GC$3)</f>
        <v>0</v>
      </c>
      <c r="GD16" s="16">
        <f>SUMIFS(Datos!$F:$F,Datos!$A:$A,$B16,Datos!$B:$B,GD$3)</f>
        <v>0</v>
      </c>
      <c r="GE16" s="16">
        <f>SUMIFS(Datos!$F:$F,Datos!$A:$A,$B16,Datos!$B:$B,GE$3)</f>
        <v>0</v>
      </c>
      <c r="GF16" s="16">
        <f>SUMIFS(Datos!$F:$F,Datos!$A:$A,$B16,Datos!$B:$B,GF$3)</f>
        <v>0</v>
      </c>
      <c r="GG16" s="16">
        <f>SUMIFS(Datos!$F:$F,Datos!$A:$A,$B16,Datos!$B:$B,GG$3)</f>
        <v>0</v>
      </c>
      <c r="GH16" s="16">
        <f>SUMIFS(Datos!$F:$F,Datos!$A:$A,$B16,Datos!$B:$B,GH$3)</f>
        <v>0</v>
      </c>
      <c r="GI16" s="16">
        <f>SUMIFS(Datos!$F:$F,Datos!$A:$A,$B16,Datos!$B:$B,GI$3)</f>
        <v>0</v>
      </c>
      <c r="GJ16" s="16">
        <f>SUMIFS(Datos!$F:$F,Datos!$A:$A,$B16,Datos!$B:$B,GJ$3)</f>
        <v>0</v>
      </c>
      <c r="GK16" s="16">
        <f>SUMIFS(Datos!$F:$F,Datos!$A:$A,$B16,Datos!$B:$B,GK$3)</f>
        <v>0</v>
      </c>
      <c r="GL16" s="16">
        <f>SUMIFS(Datos!$F:$F,Datos!$A:$A,$B16,Datos!$B:$B,GL$3)</f>
        <v>0</v>
      </c>
      <c r="GM16" s="16">
        <f>SUMIFS(Datos!$F:$F,Datos!$A:$A,$B16,Datos!$B:$B,GM$3)</f>
        <v>0</v>
      </c>
      <c r="GN16" s="16">
        <f>SUMIFS(Datos!$F:$F,Datos!$A:$A,$B16,Datos!$B:$B,GN$3)</f>
        <v>0</v>
      </c>
      <c r="GO16" s="16">
        <f>SUMIFS(Datos!$F:$F,Datos!$A:$A,$B16,Datos!$B:$B,GO$3)</f>
        <v>0</v>
      </c>
      <c r="GP16" s="16">
        <f>SUMIFS(Datos!$F:$F,Datos!$A:$A,$B16,Datos!$B:$B,GP$3)</f>
        <v>0</v>
      </c>
      <c r="GQ16" s="16">
        <f>SUMIFS(Datos!$F:$F,Datos!$A:$A,$B16,Datos!$B:$B,GQ$3)</f>
        <v>0</v>
      </c>
      <c r="GR16" s="16">
        <f>SUMIFS(Datos!$F:$F,Datos!$A:$A,$B16,Datos!$B:$B,GR$3)</f>
        <v>0</v>
      </c>
      <c r="GS16" s="16">
        <f>SUMIFS(Datos!$F:$F,Datos!$A:$A,$B16,Datos!$B:$B,GS$3)</f>
        <v>0</v>
      </c>
      <c r="GT16" s="16">
        <f>SUMIFS(Datos!$F:$F,Datos!$A:$A,$B16,Datos!$B:$B,GT$3)</f>
        <v>0</v>
      </c>
      <c r="GU16" s="16">
        <f>SUMIFS(Datos!$F:$F,Datos!$A:$A,$B16,Datos!$B:$B,GU$3)</f>
        <v>0</v>
      </c>
      <c r="GV16" s="16">
        <f>SUMIFS(Datos!$F:$F,Datos!$A:$A,$B16,Datos!$B:$B,GV$3)</f>
        <v>0</v>
      </c>
      <c r="GW16" s="16">
        <f>SUMIFS(Datos!$F:$F,Datos!$A:$A,$B16,Datos!$B:$B,GW$3)</f>
        <v>0</v>
      </c>
      <c r="GX16" s="16">
        <f>SUMIFS(Datos!$F:$F,Datos!$A:$A,$B16,Datos!$B:$B,GX$3)</f>
        <v>0</v>
      </c>
      <c r="GY16" s="16">
        <f>SUMIFS(Datos!$F:$F,Datos!$A:$A,$B16,Datos!$B:$B,GY$3)</f>
        <v>0</v>
      </c>
      <c r="GZ16" s="16">
        <f>SUMIFS(Datos!$F:$F,Datos!$A:$A,$B16,Datos!$B:$B,GZ$3)</f>
        <v>0</v>
      </c>
      <c r="HA16" s="16">
        <f>SUMIFS(Datos!$F:$F,Datos!$A:$A,$B16,Datos!$B:$B,HA$3)</f>
        <v>0</v>
      </c>
      <c r="HB16" s="16">
        <f>SUMIFS(Datos!$F:$F,Datos!$A:$A,$B16,Datos!$B:$B,HB$3)</f>
        <v>0</v>
      </c>
      <c r="HC16" s="16">
        <f>SUMIFS(Datos!$F:$F,Datos!$A:$A,$B16,Datos!$B:$B,HC$3)</f>
        <v>0</v>
      </c>
      <c r="HD16" s="16">
        <f>SUMIFS(Datos!$F:$F,Datos!$A:$A,$B16,Datos!$B:$B,HD$3)</f>
        <v>0</v>
      </c>
      <c r="HE16" s="16">
        <f>SUMIFS(Datos!$F:$F,Datos!$A:$A,$B16,Datos!$B:$B,HE$3)</f>
        <v>0</v>
      </c>
      <c r="HF16" s="16">
        <f>SUMIFS(Datos!$F:$F,Datos!$A:$A,$B16,Datos!$B:$B,HF$3)</f>
        <v>0</v>
      </c>
      <c r="HG16" s="16">
        <f>SUMIFS(Datos!$F:$F,Datos!$A:$A,$B16,Datos!$B:$B,HG$3)</f>
        <v>0</v>
      </c>
      <c r="HH16" s="16">
        <f>SUMIFS(Datos!$F:$F,Datos!$A:$A,$B16,Datos!$B:$B,HH$3)</f>
        <v>0</v>
      </c>
      <c r="HI16" s="16">
        <f>SUMIFS(Datos!$F:$F,Datos!$A:$A,$B16,Datos!$B:$B,HI$3)</f>
        <v>0</v>
      </c>
      <c r="HJ16" s="16">
        <f>SUMIFS(Datos!$F:$F,Datos!$A:$A,$B16,Datos!$B:$B,HJ$3)</f>
        <v>0</v>
      </c>
      <c r="HK16" s="16">
        <f>SUMIFS(Datos!$F:$F,Datos!$A:$A,$B16,Datos!$B:$B,HK$3)</f>
        <v>0</v>
      </c>
      <c r="HL16" s="16">
        <f>SUMIFS(Datos!$F:$F,Datos!$A:$A,$B16,Datos!$B:$B,HL$3)</f>
        <v>0</v>
      </c>
      <c r="HM16" s="16">
        <f>SUMIFS(Datos!$F:$F,Datos!$A:$A,$B16,Datos!$B:$B,HM$3)</f>
        <v>0</v>
      </c>
      <c r="HN16" s="16">
        <f>SUMIFS(Datos!$F:$F,Datos!$A:$A,$B16,Datos!$B:$B,HN$3)</f>
        <v>0</v>
      </c>
      <c r="HO16" s="16">
        <f>SUMIFS(Datos!$F:$F,Datos!$A:$A,$B16,Datos!$B:$B,HO$3)</f>
        <v>0</v>
      </c>
      <c r="HP16" s="16">
        <f>SUMIFS(Datos!$F:$F,Datos!$A:$A,$B16,Datos!$B:$B,HP$3)</f>
        <v>0</v>
      </c>
      <c r="HQ16" s="16">
        <f>SUMIFS(Datos!$F:$F,Datos!$A:$A,$B16,Datos!$B:$B,HQ$3)</f>
        <v>0</v>
      </c>
      <c r="HR16" s="16">
        <f>SUMIFS(Datos!$F:$F,Datos!$A:$A,$B16,Datos!$B:$B,HR$3)</f>
        <v>0</v>
      </c>
      <c r="HS16" s="16">
        <f>SUMIFS(Datos!$F:$F,Datos!$A:$A,$B16,Datos!$B:$B,HS$3)</f>
        <v>0</v>
      </c>
      <c r="HT16" s="16">
        <f>SUMIFS(Datos!$F:$F,Datos!$A:$A,$B16,Datos!$B:$B,HT$3)</f>
        <v>0</v>
      </c>
      <c r="HU16" s="16">
        <f>SUMIFS(Datos!$F:$F,Datos!$A:$A,$B16,Datos!$B:$B,HU$3)</f>
        <v>0</v>
      </c>
      <c r="HV16" s="16">
        <f>SUMIFS(Datos!$F:$F,Datos!$A:$A,$B16,Datos!$B:$B,HV$3)</f>
        <v>0</v>
      </c>
      <c r="HW16" s="16">
        <f>SUMIFS(Datos!$F:$F,Datos!$A:$A,$B16,Datos!$B:$B,HW$3)</f>
        <v>0</v>
      </c>
      <c r="HX16" s="16">
        <f>SUMIFS(Datos!$F:$F,Datos!$A:$A,$B16,Datos!$B:$B,HX$3)</f>
        <v>0</v>
      </c>
      <c r="HY16" s="16">
        <f>SUMIFS(Datos!$F:$F,Datos!$A:$A,$B16,Datos!$B:$B,HY$3)</f>
        <v>0</v>
      </c>
      <c r="HZ16" s="16">
        <f>SUMIFS(Datos!$F:$F,Datos!$A:$A,$B16,Datos!$B:$B,HZ$3)</f>
        <v>0</v>
      </c>
      <c r="IA16" s="16">
        <f>SUMIFS(Datos!$F:$F,Datos!$A:$A,$B16,Datos!$B:$B,IA$3)</f>
        <v>0</v>
      </c>
      <c r="IB16" s="16">
        <f>SUMIFS(Datos!$F:$F,Datos!$A:$A,$B16,Datos!$B:$B,IB$3)</f>
        <v>0</v>
      </c>
      <c r="IC16" s="16">
        <f>SUMIFS(Datos!$F:$F,Datos!$A:$A,$B16,Datos!$B:$B,IC$3)</f>
        <v>0</v>
      </c>
      <c r="ID16" s="16">
        <f>SUMIFS(Datos!$F:$F,Datos!$A:$A,$B16,Datos!$B:$B,ID$3)</f>
        <v>0</v>
      </c>
      <c r="IE16" s="16">
        <f>SUMIFS(Datos!$F:$F,Datos!$A:$A,$B16,Datos!$B:$B,IE$3)</f>
        <v>0</v>
      </c>
      <c r="IF16" s="16">
        <f>SUMIFS(Datos!$F:$F,Datos!$A:$A,$B16,Datos!$B:$B,IF$3)</f>
        <v>0</v>
      </c>
      <c r="IG16" s="16">
        <f>SUMIFS(Datos!$F:$F,Datos!$A:$A,$B16,Datos!$B:$B,IG$3)</f>
        <v>0</v>
      </c>
      <c r="IH16" s="16">
        <f>SUMIFS(Datos!$F:$F,Datos!$A:$A,$B16,Datos!$B:$B,IH$3)</f>
        <v>0</v>
      </c>
      <c r="II16" s="16">
        <f>SUMIFS(Datos!$F:$F,Datos!$A:$A,$B16,Datos!$B:$B,II$3)</f>
        <v>0</v>
      </c>
      <c r="IJ16" s="16">
        <f>SUMIFS(Datos!$F:$F,Datos!$A:$A,$B16,Datos!$B:$B,IJ$3)</f>
        <v>0</v>
      </c>
      <c r="IK16" s="16">
        <f>SUMIFS(Datos!$F:$F,Datos!$A:$A,$B16,Datos!$B:$B,IK$3)</f>
        <v>0</v>
      </c>
      <c r="IL16" s="16">
        <f>SUMIFS(Datos!$F:$F,Datos!$A:$A,$B16,Datos!$B:$B,IL$3)</f>
        <v>0</v>
      </c>
      <c r="IM16" s="16">
        <f>SUMIFS(Datos!$F:$F,Datos!$A:$A,$B16,Datos!$B:$B,IM$3)</f>
        <v>0</v>
      </c>
      <c r="IN16" s="16">
        <f>SUMIFS(Datos!$F:$F,Datos!$A:$A,$B16,Datos!$B:$B,IN$3)</f>
        <v>0</v>
      </c>
      <c r="IO16" s="16">
        <f>SUMIFS(Datos!$F:$F,Datos!$A:$A,$B16,Datos!$B:$B,IO$3)</f>
        <v>0</v>
      </c>
      <c r="IP16" s="16">
        <f>SUMIFS(Datos!$F:$F,Datos!$A:$A,$B16,Datos!$B:$B,IP$3)</f>
        <v>0</v>
      </c>
      <c r="IQ16" s="16">
        <f>SUMIFS(Datos!$F:$F,Datos!$A:$A,$B16,Datos!$B:$B,IQ$3)</f>
        <v>0</v>
      </c>
      <c r="IR16" s="16">
        <f>SUMIFS(Datos!$F:$F,Datos!$A:$A,$B16,Datos!$B:$B,IR$3)</f>
        <v>0</v>
      </c>
      <c r="IS16" s="16">
        <f>SUMIFS(Datos!$F:$F,Datos!$A:$A,$B16,Datos!$B:$B,IS$3)</f>
        <v>0</v>
      </c>
      <c r="IT16" s="16">
        <f>SUMIFS(Datos!$F:$F,Datos!$A:$A,$B16,Datos!$B:$B,IT$3)</f>
        <v>0</v>
      </c>
      <c r="IU16" s="16">
        <f>SUMIFS(Datos!$F:$F,Datos!$A:$A,$B16,Datos!$B:$B,IU$3)</f>
        <v>0</v>
      </c>
      <c r="IV16" s="16">
        <f>SUMIFS(Datos!$F:$F,Datos!$A:$A,$B16,Datos!$B:$B,IV$3)</f>
        <v>0</v>
      </c>
      <c r="IW16" s="16">
        <f>SUMIFS(Datos!$F:$F,Datos!$A:$A,$B16,Datos!$B:$B,IW$3)</f>
        <v>0</v>
      </c>
      <c r="IX16" s="16">
        <f>SUMIFS(Datos!$F:$F,Datos!$A:$A,$B16,Datos!$B:$B,IX$3)</f>
        <v>0</v>
      </c>
      <c r="IY16" s="16">
        <f>SUMIFS(Datos!$F:$F,Datos!$A:$A,$B16,Datos!$B:$B,IY$3)</f>
        <v>0</v>
      </c>
      <c r="IZ16" s="16">
        <f>SUMIFS(Datos!$F:$F,Datos!$A:$A,$B16,Datos!$B:$B,IZ$3)</f>
        <v>0</v>
      </c>
      <c r="JA16" s="16">
        <f>SUMIFS(Datos!$F:$F,Datos!$A:$A,$B16,Datos!$B:$B,JA$3)</f>
        <v>0</v>
      </c>
      <c r="JB16" s="16">
        <f>SUMIFS(Datos!$F:$F,Datos!$A:$A,$B16,Datos!$B:$B,JB$3)</f>
        <v>0</v>
      </c>
      <c r="JC16" s="16">
        <f>SUMIFS(Datos!$F:$F,Datos!$A:$A,$B16,Datos!$B:$B,JC$3)</f>
        <v>0</v>
      </c>
      <c r="JD16" s="16">
        <f>SUMIFS(Datos!$F:$F,Datos!$A:$A,$B16,Datos!$B:$B,JD$3)</f>
        <v>0</v>
      </c>
      <c r="JE16" s="16">
        <f>SUMIFS(Datos!$F:$F,Datos!$A:$A,$B16,Datos!$B:$B,JE$3)</f>
        <v>0</v>
      </c>
      <c r="JF16" s="16">
        <f>SUMIFS(Datos!$F:$F,Datos!$A:$A,$B16,Datos!$B:$B,JF$3)</f>
        <v>0</v>
      </c>
      <c r="JG16" s="16">
        <f>SUMIFS(Datos!$F:$F,Datos!$A:$A,$B16,Datos!$B:$B,JG$3)</f>
        <v>0</v>
      </c>
      <c r="JH16" s="16">
        <f>SUMIFS(Datos!$F:$F,Datos!$A:$A,$B16,Datos!$B:$B,JH$3)</f>
        <v>0</v>
      </c>
      <c r="JI16" s="16">
        <f>SUMIFS(Datos!$F:$F,Datos!$A:$A,$B16,Datos!$B:$B,JI$3)</f>
        <v>0</v>
      </c>
      <c r="JJ16" s="16">
        <f>SUMIFS(Datos!$F:$F,Datos!$A:$A,$B16,Datos!$B:$B,JJ$3)</f>
        <v>0</v>
      </c>
      <c r="JK16" s="16">
        <f>SUMIFS(Datos!$F:$F,Datos!$A:$A,$B16,Datos!$B:$B,JK$3)</f>
        <v>0</v>
      </c>
      <c r="JL16" s="16">
        <f>SUMIFS(Datos!$F:$F,Datos!$A:$A,$B16,Datos!$B:$B,JL$3)</f>
        <v>0</v>
      </c>
      <c r="JM16" s="16">
        <f>SUMIFS(Datos!$F:$F,Datos!$A:$A,$B16,Datos!$B:$B,JM$3)</f>
        <v>0</v>
      </c>
      <c r="JN16" s="16">
        <f>SUMIFS(Datos!$F:$F,Datos!$A:$A,$B16,Datos!$B:$B,JN$3)</f>
        <v>0</v>
      </c>
      <c r="JO16" s="16">
        <f>SUMIFS(Datos!$F:$F,Datos!$A:$A,$B16,Datos!$B:$B,JO$3)</f>
        <v>0</v>
      </c>
      <c r="JP16" s="16">
        <f>SUMIFS(Datos!$F:$F,Datos!$A:$A,$B16,Datos!$B:$B,JP$3)</f>
        <v>0</v>
      </c>
      <c r="JQ16" s="16">
        <f>SUMIFS(Datos!$F:$F,Datos!$A:$A,$B16,Datos!$B:$B,JQ$3)</f>
        <v>0</v>
      </c>
      <c r="JR16" s="16">
        <f>SUMIFS(Datos!$F:$F,Datos!$A:$A,$B16,Datos!$B:$B,JR$3)</f>
        <v>0</v>
      </c>
      <c r="JS16" s="16">
        <f>SUMIFS(Datos!$F:$F,Datos!$A:$A,$B16,Datos!$B:$B,JS$3)</f>
        <v>0</v>
      </c>
      <c r="JT16" s="16">
        <f>SUMIFS(Datos!$F:$F,Datos!$A:$A,$B16,Datos!$B:$B,JT$3)</f>
        <v>0</v>
      </c>
      <c r="JU16" s="16">
        <f>SUMIFS(Datos!$F:$F,Datos!$A:$A,$B16,Datos!$B:$B,JU$3)</f>
        <v>0</v>
      </c>
      <c r="JV16" s="16">
        <f>SUMIFS(Datos!$F:$F,Datos!$A:$A,$B16,Datos!$B:$B,JV$3)</f>
        <v>0</v>
      </c>
      <c r="JW16" s="16">
        <f>SUMIFS(Datos!$F:$F,Datos!$A:$A,$B16,Datos!$B:$B,JW$3)</f>
        <v>0</v>
      </c>
      <c r="JX16" s="16">
        <f>SUMIFS(Datos!$F:$F,Datos!$A:$A,$B16,Datos!$B:$B,JX$3)</f>
        <v>0</v>
      </c>
      <c r="JY16" s="16">
        <f>SUMIFS(Datos!$F:$F,Datos!$A:$A,$B16,Datos!$B:$B,JY$3)</f>
        <v>0</v>
      </c>
      <c r="JZ16" s="16">
        <f>SUMIFS(Datos!$F:$F,Datos!$A:$A,$B16,Datos!$B:$B,JZ$3)</f>
        <v>0</v>
      </c>
      <c r="KA16" s="16">
        <f>SUMIFS(Datos!$F:$F,Datos!$A:$A,$B16,Datos!$B:$B,KA$3)</f>
        <v>0</v>
      </c>
      <c r="KB16" s="16">
        <f>SUMIFS(Datos!$F:$F,Datos!$A:$A,$B16,Datos!$B:$B,KB$3)</f>
        <v>0</v>
      </c>
      <c r="KC16" s="16">
        <f>SUMIFS(Datos!$F:$F,Datos!$A:$A,$B16,Datos!$B:$B,KC$3)</f>
        <v>0</v>
      </c>
      <c r="KD16" s="16">
        <f>SUMIFS(Datos!$F:$F,Datos!$A:$A,$B16,Datos!$B:$B,KD$3)</f>
        <v>0</v>
      </c>
      <c r="KE16" s="16">
        <f>SUMIFS(Datos!$F:$F,Datos!$A:$A,$B16,Datos!$B:$B,KE$3)</f>
        <v>0</v>
      </c>
      <c r="KF16" s="16">
        <f>SUMIFS(Datos!$F:$F,Datos!$A:$A,$B16,Datos!$B:$B,KF$3)</f>
        <v>0</v>
      </c>
      <c r="KG16" s="16">
        <f>SUMIFS(Datos!$F:$F,Datos!$A:$A,$B16,Datos!$B:$B,KG$3)</f>
        <v>0</v>
      </c>
      <c r="KH16" s="16">
        <f>SUMIFS(Datos!$F:$F,Datos!$A:$A,$B16,Datos!$B:$B,KH$3)</f>
        <v>0</v>
      </c>
      <c r="KI16" s="16">
        <f>SUMIFS(Datos!$F:$F,Datos!$A:$A,$B16,Datos!$B:$B,KI$3)</f>
        <v>0</v>
      </c>
      <c r="KJ16" s="16">
        <f>SUMIFS(Datos!$F:$F,Datos!$A:$A,$B16,Datos!$B:$B,KJ$3)</f>
        <v>0</v>
      </c>
      <c r="KK16" s="16">
        <f>SUMIFS(Datos!$F:$F,Datos!$A:$A,$B16,Datos!$B:$B,KK$3)</f>
        <v>0</v>
      </c>
      <c r="KL16" s="16">
        <f>SUMIFS(Datos!$F:$F,Datos!$A:$A,$B16,Datos!$B:$B,KL$3)</f>
        <v>0</v>
      </c>
      <c r="KM16" s="16">
        <f>SUMIFS(Datos!$F:$F,Datos!$A:$A,$B16,Datos!$B:$B,KM$3)</f>
        <v>0</v>
      </c>
      <c r="KN16" s="16">
        <f>SUMIFS(Datos!$F:$F,Datos!$A:$A,$B16,Datos!$B:$B,KN$3)</f>
        <v>0</v>
      </c>
      <c r="KO16" s="16">
        <f>SUMIFS(Datos!$F:$F,Datos!$A:$A,$B16,Datos!$B:$B,KO$3)</f>
        <v>0</v>
      </c>
      <c r="KP16" s="16">
        <f>SUMIFS(Datos!$F:$F,Datos!$A:$A,$B16,Datos!$B:$B,KP$3)</f>
        <v>0</v>
      </c>
      <c r="KQ16" s="16">
        <f>SUMIFS(Datos!$F:$F,Datos!$A:$A,$B16,Datos!$B:$B,KQ$3)</f>
        <v>0</v>
      </c>
      <c r="KR16" s="16">
        <f>SUMIFS(Datos!$F:$F,Datos!$A:$A,$B16,Datos!$B:$B,KR$3)</f>
        <v>0</v>
      </c>
      <c r="KS16" s="16">
        <f>SUMIFS(Datos!$F:$F,Datos!$A:$A,$B16,Datos!$B:$B,KS$3)</f>
        <v>0</v>
      </c>
      <c r="KT16" s="16">
        <f>SUMIFS(Datos!$F:$F,Datos!$A:$A,$B16,Datos!$B:$B,KT$3)</f>
        <v>0</v>
      </c>
      <c r="KU16" s="16">
        <f>SUMIFS(Datos!$F:$F,Datos!$A:$A,$B16,Datos!$B:$B,KU$3)</f>
        <v>0</v>
      </c>
      <c r="KV16" s="16">
        <f>SUMIFS(Datos!$F:$F,Datos!$A:$A,$B16,Datos!$B:$B,KV$3)</f>
        <v>0</v>
      </c>
      <c r="KW16" s="16">
        <f>SUMIFS(Datos!$F:$F,Datos!$A:$A,$B16,Datos!$B:$B,KW$3)</f>
        <v>0</v>
      </c>
      <c r="KX16" s="16">
        <f>SUMIFS(Datos!$F:$F,Datos!$A:$A,$B16,Datos!$B:$B,KX$3)</f>
        <v>0</v>
      </c>
      <c r="KY16" s="16">
        <f>SUMIFS(Datos!$F:$F,Datos!$A:$A,$B16,Datos!$B:$B,KY$3)</f>
        <v>0</v>
      </c>
      <c r="KZ16" s="16">
        <f>SUMIFS(Datos!$F:$F,Datos!$A:$A,$B16,Datos!$B:$B,KZ$3)</f>
        <v>0</v>
      </c>
      <c r="LA16" s="16">
        <f>SUMIFS(Datos!$F:$F,Datos!$A:$A,$B16,Datos!$B:$B,LA$3)</f>
        <v>0</v>
      </c>
      <c r="LB16" s="16">
        <f>SUMIFS(Datos!$F:$F,Datos!$A:$A,$B16,Datos!$B:$B,LB$3)</f>
        <v>0</v>
      </c>
      <c r="LC16" s="16">
        <f>SUMIFS(Datos!$F:$F,Datos!$A:$A,$B16,Datos!$B:$B,LC$3)</f>
        <v>0</v>
      </c>
      <c r="LD16" s="16">
        <f>SUMIFS(Datos!$F:$F,Datos!$A:$A,$B16,Datos!$B:$B,LD$3)</f>
        <v>0</v>
      </c>
      <c r="LE16" s="16">
        <f>SUMIFS(Datos!$F:$F,Datos!$A:$A,$B16,Datos!$B:$B,LE$3)</f>
        <v>0</v>
      </c>
      <c r="LF16" s="16">
        <f>SUMIFS(Datos!$F:$F,Datos!$A:$A,$B16,Datos!$B:$B,LF$3)</f>
        <v>0</v>
      </c>
      <c r="LG16" s="16">
        <f>SUMIFS(Datos!$F:$F,Datos!$A:$A,$B16,Datos!$B:$B,LG$3)</f>
        <v>0</v>
      </c>
      <c r="LH16" s="16">
        <f>SUMIFS(Datos!$F:$F,Datos!$A:$A,$B16,Datos!$B:$B,LH$3)</f>
        <v>0</v>
      </c>
      <c r="LI16" s="16">
        <f>SUMIFS(Datos!$F:$F,Datos!$A:$A,$B16,Datos!$B:$B,LI$3)</f>
        <v>0</v>
      </c>
      <c r="LJ16" s="16">
        <f>SUMIFS(Datos!$F:$F,Datos!$A:$A,$B16,Datos!$B:$B,LJ$3)</f>
        <v>0</v>
      </c>
      <c r="LK16" s="16">
        <f>SUMIFS(Datos!$F:$F,Datos!$A:$A,$B16,Datos!$B:$B,LK$3)</f>
        <v>0</v>
      </c>
      <c r="LL16" s="16">
        <f>SUMIFS(Datos!$F:$F,Datos!$A:$A,$B16,Datos!$B:$B,LL$3)</f>
        <v>0</v>
      </c>
      <c r="LM16" s="16">
        <f>SUMIFS(Datos!$F:$F,Datos!$A:$A,$B16,Datos!$B:$B,LM$3)</f>
        <v>0</v>
      </c>
      <c r="LN16" s="16">
        <f>SUMIFS(Datos!$F:$F,Datos!$A:$A,$B16,Datos!$B:$B,LN$3)</f>
        <v>0</v>
      </c>
      <c r="LO16" s="16">
        <f>SUMIFS(Datos!$F:$F,Datos!$A:$A,$B16,Datos!$B:$B,LO$3)</f>
        <v>0</v>
      </c>
      <c r="LP16" s="16">
        <f>SUMIFS(Datos!$F:$F,Datos!$A:$A,$B16,Datos!$B:$B,LP$3)</f>
        <v>0</v>
      </c>
      <c r="LQ16" s="16">
        <f>SUMIFS(Datos!$F:$F,Datos!$A:$A,$B16,Datos!$B:$B,LQ$3)</f>
        <v>0</v>
      </c>
      <c r="LR16" s="16">
        <f>SUMIFS(Datos!$F:$F,Datos!$A:$A,$B16,Datos!$B:$B,LR$3)</f>
        <v>0</v>
      </c>
      <c r="LS16" s="16">
        <f>SUMIFS(Datos!$F:$F,Datos!$A:$A,$B16,Datos!$B:$B,LS$3)</f>
        <v>0</v>
      </c>
      <c r="LT16" s="16">
        <f>SUMIFS(Datos!$F:$F,Datos!$A:$A,$B16,Datos!$B:$B,LT$3)</f>
        <v>0</v>
      </c>
      <c r="LU16" s="16">
        <f>SUMIFS(Datos!$F:$F,Datos!$A:$A,$B16,Datos!$B:$B,LU$3)</f>
        <v>0</v>
      </c>
      <c r="LV16" s="16">
        <f>SUMIFS(Datos!$F:$F,Datos!$A:$A,$B16,Datos!$B:$B,LV$3)</f>
        <v>0</v>
      </c>
      <c r="LW16" s="16">
        <f>SUMIFS(Datos!$F:$F,Datos!$A:$A,$B16,Datos!$B:$B,LW$3)</f>
        <v>0</v>
      </c>
      <c r="LX16" s="16">
        <f>SUMIFS(Datos!$F:$F,Datos!$A:$A,$B16,Datos!$B:$B,LX$3)</f>
        <v>0</v>
      </c>
      <c r="LY16" s="16">
        <f>SUMIFS(Datos!$F:$F,Datos!$A:$A,$B16,Datos!$B:$B,LY$3)</f>
        <v>0</v>
      </c>
      <c r="LZ16" s="16">
        <f>SUMIFS(Datos!$F:$F,Datos!$A:$A,$B16,Datos!$B:$B,LZ$3)</f>
        <v>0</v>
      </c>
      <c r="MA16" s="16">
        <f>SUMIFS(Datos!$F:$F,Datos!$A:$A,$B16,Datos!$B:$B,MA$3)</f>
        <v>0</v>
      </c>
      <c r="MB16" s="16">
        <f>SUMIFS(Datos!$F:$F,Datos!$A:$A,$B16,Datos!$B:$B,MB$3)</f>
        <v>0</v>
      </c>
      <c r="MC16" s="16">
        <f>SUMIFS(Datos!$F:$F,Datos!$A:$A,$B16,Datos!$B:$B,MC$3)</f>
        <v>0</v>
      </c>
      <c r="MD16" s="16">
        <f>SUMIFS(Datos!$F:$F,Datos!$A:$A,$B16,Datos!$B:$B,MD$3)</f>
        <v>0</v>
      </c>
      <c r="ME16" s="16">
        <f>SUMIFS(Datos!$F:$F,Datos!$A:$A,$B16,Datos!$B:$B,ME$3)</f>
        <v>0</v>
      </c>
      <c r="MF16" s="16">
        <f>SUMIFS(Datos!$F:$F,Datos!$A:$A,$B16,Datos!$B:$B,MF$3)</f>
        <v>0</v>
      </c>
      <c r="MG16" s="16">
        <f>SUMIFS(Datos!$F:$F,Datos!$A:$A,$B16,Datos!$B:$B,MG$3)</f>
        <v>0</v>
      </c>
      <c r="MH16" s="16">
        <f>SUMIFS(Datos!$F:$F,Datos!$A:$A,$B16,Datos!$B:$B,MH$3)</f>
        <v>0</v>
      </c>
      <c r="MI16" s="16">
        <f>SUMIFS(Datos!$F:$F,Datos!$A:$A,$B16,Datos!$B:$B,MI$3)</f>
        <v>0</v>
      </c>
      <c r="MJ16" s="16">
        <f>SUMIFS(Datos!$F:$F,Datos!$A:$A,$B16,Datos!$B:$B,MJ$3)</f>
        <v>0</v>
      </c>
      <c r="MK16" s="16">
        <f>SUMIFS(Datos!$F:$F,Datos!$A:$A,$B16,Datos!$B:$B,MK$3)</f>
        <v>0</v>
      </c>
      <c r="ML16" s="16">
        <f>SUMIFS(Datos!$F:$F,Datos!$A:$A,$B16,Datos!$B:$B,ML$3)</f>
        <v>0</v>
      </c>
      <c r="MM16" s="16">
        <f>SUMIFS(Datos!$F:$F,Datos!$A:$A,$B16,Datos!$B:$B,MM$3)</f>
        <v>0</v>
      </c>
      <c r="MN16" s="16">
        <f>SUMIFS(Datos!$F:$F,Datos!$A:$A,$B16,Datos!$B:$B,MN$3)</f>
        <v>0</v>
      </c>
      <c r="MO16" s="16">
        <f>SUMIFS(Datos!$F:$F,Datos!$A:$A,$B16,Datos!$B:$B,MO$3)</f>
        <v>0</v>
      </c>
      <c r="MP16" s="16">
        <f>SUMIFS(Datos!$F:$F,Datos!$A:$A,$B16,Datos!$B:$B,MP$3)</f>
        <v>0</v>
      </c>
      <c r="MQ16" s="16">
        <f>SUMIFS(Datos!$F:$F,Datos!$A:$A,$B16,Datos!$B:$B,MQ$3)</f>
        <v>0</v>
      </c>
      <c r="MR16" s="16">
        <f>SUMIFS(Datos!$F:$F,Datos!$A:$A,$B16,Datos!$B:$B,MR$3)</f>
        <v>0</v>
      </c>
      <c r="MS16" s="16">
        <f>SUMIFS(Datos!$F:$F,Datos!$A:$A,$B16,Datos!$B:$B,MS$3)</f>
        <v>0</v>
      </c>
      <c r="MT16" s="16">
        <f>SUMIFS(Datos!$F:$F,Datos!$A:$A,$B16,Datos!$B:$B,MT$3)</f>
        <v>0</v>
      </c>
      <c r="MU16" s="16">
        <f>SUMIFS(Datos!$F:$F,Datos!$A:$A,$B16,Datos!$B:$B,MU$3)</f>
        <v>0</v>
      </c>
      <c r="MV16" s="16">
        <f>SUMIFS(Datos!$F:$F,Datos!$A:$A,$B16,Datos!$B:$B,MV$3)</f>
        <v>0</v>
      </c>
      <c r="MW16" s="16">
        <f>SUMIFS(Datos!$F:$F,Datos!$A:$A,$B16,Datos!$B:$B,MW$3)</f>
        <v>0</v>
      </c>
      <c r="MX16" s="16">
        <f>SUMIFS(Datos!$F:$F,Datos!$A:$A,$B16,Datos!$B:$B,MX$3)</f>
        <v>0</v>
      </c>
      <c r="MY16" s="16">
        <f>SUMIFS(Datos!$F:$F,Datos!$A:$A,$B16,Datos!$B:$B,MY$3)</f>
        <v>0</v>
      </c>
      <c r="MZ16" s="16">
        <f>SUMIFS(Datos!$F:$F,Datos!$A:$A,$B16,Datos!$B:$B,MZ$3)</f>
        <v>0</v>
      </c>
      <c r="NA16" s="16">
        <f>SUMIFS(Datos!$F:$F,Datos!$A:$A,$B16,Datos!$B:$B,NA$3)</f>
        <v>0</v>
      </c>
      <c r="NB16" s="16">
        <f>SUMIFS(Datos!$F:$F,Datos!$A:$A,$B16,Datos!$B:$B,NB$3)</f>
        <v>0</v>
      </c>
      <c r="NC16" s="16">
        <f>SUMIFS(Datos!$F:$F,Datos!$A:$A,$B16,Datos!$B:$B,NC$3)</f>
        <v>0</v>
      </c>
      <c r="ND16" s="16">
        <f>SUMIFS(Datos!$F:$F,Datos!$A:$A,$B16,Datos!$B:$B,ND$3)</f>
        <v>0</v>
      </c>
      <c r="NE16" s="16">
        <f>SUMIFS(Datos!$F:$F,Datos!$A:$A,$B16,Datos!$B:$B,NE$3)</f>
        <v>0</v>
      </c>
      <c r="NF16" s="16">
        <f>SUMIFS(Datos!$F:$F,Datos!$A:$A,$B16,Datos!$B:$B,NF$3)</f>
        <v>0</v>
      </c>
      <c r="NG16" s="16">
        <f>SUMIFS(Datos!$F:$F,Datos!$A:$A,$B16,Datos!$B:$B,NG$3)</f>
        <v>0</v>
      </c>
      <c r="NH16" s="16">
        <f>SUMIFS(Datos!$F:$F,Datos!$A:$A,$B16,Datos!$B:$B,NH$3)</f>
        <v>0</v>
      </c>
      <c r="NI16" s="16">
        <f>SUMIFS(Datos!$F:$F,Datos!$A:$A,$B16,Datos!$B:$B,NI$3)</f>
        <v>0</v>
      </c>
      <c r="NJ16" s="16">
        <f>SUMIFS(Datos!$F:$F,Datos!$A:$A,$B16,Datos!$B:$B,NJ$3)</f>
        <v>0</v>
      </c>
      <c r="NK16" s="16">
        <f>SUMIFS(Datos!$F:$F,Datos!$A:$A,$B16,Datos!$B:$B,NK$3)</f>
        <v>0</v>
      </c>
      <c r="NL16" s="16">
        <f>SUMIFS(Datos!$F:$F,Datos!$A:$A,$B16,Datos!$B:$B,NL$3)</f>
        <v>0</v>
      </c>
      <c r="NM16" s="16">
        <f>SUMIFS(Datos!$F:$F,Datos!$A:$A,$B16,Datos!$B:$B,NM$3)</f>
        <v>0</v>
      </c>
      <c r="NN16" s="16">
        <f>SUMIFS(Datos!$F:$F,Datos!$A:$A,$B16,Datos!$B:$B,NN$3)</f>
        <v>0</v>
      </c>
      <c r="NO16" s="16">
        <f>SUMIFS(Datos!$F:$F,Datos!$A:$A,$B16,Datos!$B:$B,NO$3)</f>
        <v>0</v>
      </c>
      <c r="NP16" s="16">
        <f>SUMIFS(Datos!$F:$F,Datos!$A:$A,$B16,Datos!$B:$B,NP$3)</f>
        <v>0</v>
      </c>
      <c r="NQ16" s="16">
        <f>SUMIFS(Datos!$F:$F,Datos!$A:$A,$B16,Datos!$B:$B,NQ$3)</f>
        <v>0</v>
      </c>
      <c r="NR16" s="16">
        <f>SUMIFS(Datos!$F:$F,Datos!$A:$A,$B16,Datos!$B:$B,NR$3)</f>
        <v>0</v>
      </c>
      <c r="NS16" s="16">
        <f>SUMIFS(Datos!$F:$F,Datos!$A:$A,$B16,Datos!$B:$B,NS$3)</f>
        <v>0</v>
      </c>
      <c r="NT16" s="16">
        <f>SUMIFS(Datos!$F:$F,Datos!$A:$A,$B16,Datos!$B:$B,NT$3)</f>
        <v>0</v>
      </c>
      <c r="NU16" s="16">
        <f>SUMIFS(Datos!$F:$F,Datos!$A:$A,$B16,Datos!$B:$B,NU$3)</f>
        <v>0</v>
      </c>
      <c r="NV16" s="16">
        <f>SUMIFS(Datos!$F:$F,Datos!$A:$A,$B16,Datos!$B:$B,NV$3)</f>
        <v>0</v>
      </c>
      <c r="NW16" s="16">
        <f>SUMIFS(Datos!$F:$F,Datos!$A:$A,$B16,Datos!$B:$B,NW$3)</f>
        <v>0</v>
      </c>
      <c r="NX16" s="16">
        <f>SUMIFS(Datos!$F:$F,Datos!$A:$A,$B16,Datos!$B:$B,NX$3)</f>
        <v>0</v>
      </c>
      <c r="NY16" s="16">
        <f>SUMIFS(Datos!$F:$F,Datos!$A:$A,$B16,Datos!$B:$B,NY$3)</f>
        <v>0</v>
      </c>
      <c r="NZ16" s="16">
        <f>SUMIFS(Datos!$F:$F,Datos!$A:$A,$B16,Datos!$B:$B,NZ$3)</f>
        <v>0</v>
      </c>
      <c r="OA16" s="16">
        <f>SUMIFS(Datos!$F:$F,Datos!$A:$A,$B16,Datos!$B:$B,OA$3)</f>
        <v>0</v>
      </c>
      <c r="OB16" s="16">
        <f>SUMIFS(Datos!$F:$F,Datos!$A:$A,$B16,Datos!$B:$B,OB$3)</f>
        <v>0</v>
      </c>
      <c r="OC16" s="16">
        <f>SUMIFS(Datos!$F:$F,Datos!$A:$A,$B16,Datos!$B:$B,OC$3)</f>
        <v>0</v>
      </c>
      <c r="OD16" s="16">
        <f>SUMIFS(Datos!$F:$F,Datos!$A:$A,$B16,Datos!$B:$B,OD$3)</f>
        <v>0</v>
      </c>
      <c r="OE16" s="16">
        <f>SUMIFS(Datos!$F:$F,Datos!$A:$A,$B16,Datos!$B:$B,OE$3)</f>
        <v>0</v>
      </c>
      <c r="OF16" s="16">
        <f>SUMIFS(Datos!$F:$F,Datos!$A:$A,$B16,Datos!$B:$B,OF$3)</f>
        <v>0</v>
      </c>
      <c r="OG16" s="16">
        <f>SUMIFS(Datos!$F:$F,Datos!$A:$A,$B16,Datos!$B:$B,OG$3)</f>
        <v>0</v>
      </c>
      <c r="OH16" s="16">
        <f>SUMIFS(Datos!$F:$F,Datos!$A:$A,$B16,Datos!$B:$B,OH$3)</f>
        <v>0</v>
      </c>
      <c r="OI16" s="16">
        <f>SUMIFS(Datos!$F:$F,Datos!$A:$A,$B16,Datos!$B:$B,OI$3)</f>
        <v>0</v>
      </c>
      <c r="OJ16" s="16">
        <f>SUMIFS(Datos!$F:$F,Datos!$A:$A,$B16,Datos!$B:$B,OJ$3)</f>
        <v>0</v>
      </c>
      <c r="OK16" s="16">
        <f>SUMIFS(Datos!$F:$F,Datos!$A:$A,$B16,Datos!$B:$B,OK$3)</f>
        <v>0</v>
      </c>
      <c r="OL16" s="16">
        <f>SUMIFS(Datos!$F:$F,Datos!$A:$A,$B16,Datos!$B:$B,OL$3)</f>
        <v>0</v>
      </c>
      <c r="OM16" s="16">
        <f>SUMIFS(Datos!$F:$F,Datos!$A:$A,$B16,Datos!$B:$B,OM$3)</f>
        <v>0</v>
      </c>
      <c r="ON16" s="16">
        <f>SUMIFS(Datos!$F:$F,Datos!$A:$A,$B16,Datos!$B:$B,ON$3)</f>
        <v>0</v>
      </c>
      <c r="OO16" s="16">
        <f>SUMIFS(Datos!$F:$F,Datos!$A:$A,$B16,Datos!$B:$B,OO$3)</f>
        <v>0</v>
      </c>
      <c r="OP16" s="16">
        <f>SUMIFS(Datos!$F:$F,Datos!$A:$A,$B16,Datos!$B:$B,OP$3)</f>
        <v>0</v>
      </c>
      <c r="OQ16" s="16">
        <f>SUMIFS(Datos!$F:$F,Datos!$A:$A,$B16,Datos!$B:$B,OQ$3)</f>
        <v>0</v>
      </c>
      <c r="OR16" s="16">
        <f>SUMIFS(Datos!$F:$F,Datos!$A:$A,$B16,Datos!$B:$B,OR$3)</f>
        <v>0</v>
      </c>
      <c r="OS16" s="16">
        <f>SUMIFS(Datos!$F:$F,Datos!$A:$A,$B16,Datos!$B:$B,OS$3)</f>
        <v>0</v>
      </c>
      <c r="OT16" s="16">
        <f>SUMIFS(Datos!$F:$F,Datos!$A:$A,$B16,Datos!$B:$B,OT$3)</f>
        <v>0</v>
      </c>
      <c r="OU16" s="16">
        <f>SUMIFS(Datos!$F:$F,Datos!$A:$A,$B16,Datos!$B:$B,OU$3)</f>
        <v>0</v>
      </c>
      <c r="OV16" s="16">
        <f>SUMIFS(Datos!$F:$F,Datos!$A:$A,$B16,Datos!$B:$B,OV$3)</f>
        <v>0</v>
      </c>
      <c r="OW16" s="16">
        <f>SUMIFS(Datos!$F:$F,Datos!$A:$A,$B16,Datos!$B:$B,OW$3)</f>
        <v>0</v>
      </c>
      <c r="OX16" s="16">
        <f>SUMIFS(Datos!$F:$F,Datos!$A:$A,$B16,Datos!$B:$B,OX$3)</f>
        <v>0</v>
      </c>
      <c r="OY16" s="16">
        <f>SUMIFS(Datos!$F:$F,Datos!$A:$A,$B16,Datos!$B:$B,OY$3)</f>
        <v>0</v>
      </c>
      <c r="OZ16" s="16">
        <f>SUMIFS(Datos!$F:$F,Datos!$A:$A,$B16,Datos!$B:$B,OZ$3)</f>
        <v>0</v>
      </c>
      <c r="PA16" s="16">
        <f>SUMIFS(Datos!$F:$F,Datos!$A:$A,$B16,Datos!$B:$B,PA$3)</f>
        <v>0</v>
      </c>
      <c r="PB16" s="16">
        <f>SUMIFS(Datos!$F:$F,Datos!$A:$A,$B16,Datos!$B:$B,PB$3)</f>
        <v>0</v>
      </c>
      <c r="PC16" s="16">
        <f>SUMIFS(Datos!$F:$F,Datos!$A:$A,$B16,Datos!$B:$B,PC$3)</f>
        <v>0</v>
      </c>
      <c r="PD16" s="16">
        <f>SUMIFS(Datos!$F:$F,Datos!$A:$A,$B16,Datos!$B:$B,PD$3)</f>
        <v>0</v>
      </c>
      <c r="PE16" s="16">
        <f>SUMIFS(Datos!$F:$F,Datos!$A:$A,$B16,Datos!$B:$B,PE$3)</f>
        <v>0</v>
      </c>
      <c r="PF16" s="16">
        <f>SUMIFS(Datos!$F:$F,Datos!$A:$A,$B16,Datos!$B:$B,PF$3)</f>
        <v>0</v>
      </c>
      <c r="PG16" s="16">
        <f>SUMIFS(Datos!$F:$F,Datos!$A:$A,$B16,Datos!$B:$B,PG$3)</f>
        <v>0</v>
      </c>
      <c r="PH16" s="16">
        <f>SUMIFS(Datos!$F:$F,Datos!$A:$A,$B16,Datos!$B:$B,PH$3)</f>
        <v>0</v>
      </c>
      <c r="PI16" s="16">
        <f>SUMIFS(Datos!$F:$F,Datos!$A:$A,$B16,Datos!$B:$B,PI$3)</f>
        <v>0</v>
      </c>
      <c r="PJ16" s="16">
        <f>SUMIFS(Datos!$F:$F,Datos!$A:$A,$B16,Datos!$B:$B,PJ$3)</f>
        <v>0</v>
      </c>
      <c r="PK16" s="16">
        <f>SUMIFS(Datos!$F:$F,Datos!$A:$A,$B16,Datos!$B:$B,PK$3)</f>
        <v>0</v>
      </c>
      <c r="PL16" s="16">
        <f>SUMIFS(Datos!$F:$F,Datos!$A:$A,$B16,Datos!$B:$B,PL$3)</f>
        <v>0</v>
      </c>
      <c r="PM16" s="16">
        <f>SUMIFS(Datos!$F:$F,Datos!$A:$A,$B16,Datos!$B:$B,PM$3)</f>
        <v>0</v>
      </c>
      <c r="PN16" s="16">
        <f>SUMIFS(Datos!$F:$F,Datos!$A:$A,$B16,Datos!$B:$B,PN$3)</f>
        <v>0</v>
      </c>
      <c r="PO16" s="16">
        <f>SUMIFS(Datos!$F:$F,Datos!$A:$A,$B16,Datos!$B:$B,PO$3)</f>
        <v>0</v>
      </c>
      <c r="PP16" s="16">
        <f>SUMIFS(Datos!$F:$F,Datos!$A:$A,$B16,Datos!$B:$B,PP$3)</f>
        <v>0</v>
      </c>
      <c r="PQ16" s="16">
        <f>SUMIFS(Datos!$F:$F,Datos!$A:$A,$B16,Datos!$B:$B,PQ$3)</f>
        <v>0</v>
      </c>
      <c r="PR16" s="16">
        <f>SUMIFS(Datos!$F:$F,Datos!$A:$A,$B16,Datos!$B:$B,PR$3)</f>
        <v>0</v>
      </c>
      <c r="PS16" s="16">
        <f>SUMIFS(Datos!$F:$F,Datos!$A:$A,$B16,Datos!$B:$B,PS$3)</f>
        <v>0</v>
      </c>
      <c r="PT16" s="16">
        <f>SUMIFS(Datos!$F:$F,Datos!$A:$A,$B16,Datos!$B:$B,PT$3)</f>
        <v>0</v>
      </c>
      <c r="PU16" s="16">
        <f>SUMIFS(Datos!$F:$F,Datos!$A:$A,$B16,Datos!$B:$B,PU$3)</f>
        <v>0</v>
      </c>
      <c r="PV16" s="16">
        <f>SUMIFS(Datos!$F:$F,Datos!$A:$A,$B16,Datos!$B:$B,PV$3)</f>
        <v>0</v>
      </c>
      <c r="PW16" s="16">
        <f>SUMIFS(Datos!$F:$F,Datos!$A:$A,$B16,Datos!$B:$B,PW$3)</f>
        <v>0</v>
      </c>
      <c r="PX16" s="16">
        <f>SUMIFS(Datos!$F:$F,Datos!$A:$A,$B16,Datos!$B:$B,PX$3)</f>
        <v>0</v>
      </c>
      <c r="PY16" s="16">
        <f>SUMIFS(Datos!$F:$F,Datos!$A:$A,$B16,Datos!$B:$B,PY$3)</f>
        <v>0</v>
      </c>
      <c r="PZ16" s="16">
        <f>SUMIFS(Datos!$F:$F,Datos!$A:$A,$B16,Datos!$B:$B,PZ$3)</f>
        <v>0</v>
      </c>
      <c r="QA16" s="16">
        <f>SUMIFS(Datos!$F:$F,Datos!$A:$A,$B16,Datos!$B:$B,QA$3)</f>
        <v>0</v>
      </c>
      <c r="QB16" s="16">
        <f>SUMIFS(Datos!$F:$F,Datos!$A:$A,$B16,Datos!$B:$B,QB$3)</f>
        <v>0</v>
      </c>
      <c r="QC16" s="16">
        <f>SUMIFS(Datos!$F:$F,Datos!$A:$A,$B16,Datos!$B:$B,QC$3)</f>
        <v>0</v>
      </c>
      <c r="QD16" s="16">
        <f>SUMIFS(Datos!$F:$F,Datos!$A:$A,$B16,Datos!$B:$B,QD$3)</f>
        <v>0</v>
      </c>
      <c r="QE16" s="16">
        <f>SUMIFS(Datos!$F:$F,Datos!$A:$A,$B16,Datos!$B:$B,QE$3)</f>
        <v>0</v>
      </c>
      <c r="QF16" s="16">
        <f>SUMIFS(Datos!$F:$F,Datos!$A:$A,$B16,Datos!$B:$B,QF$3)</f>
        <v>0</v>
      </c>
      <c r="QG16" s="16">
        <f>SUMIFS(Datos!$F:$F,Datos!$A:$A,$B16,Datos!$B:$B,QG$3)</f>
        <v>0</v>
      </c>
      <c r="QH16" s="16">
        <f>SUMIFS(Datos!$F:$F,Datos!$A:$A,$B16,Datos!$B:$B,QH$3)</f>
        <v>0</v>
      </c>
      <c r="QI16" s="16">
        <f>SUMIFS(Datos!$F:$F,Datos!$A:$A,$B16,Datos!$B:$B,QI$3)</f>
        <v>0</v>
      </c>
      <c r="QJ16" s="16">
        <f>SUMIFS(Datos!$F:$F,Datos!$A:$A,$B16,Datos!$B:$B,QJ$3)</f>
        <v>0</v>
      </c>
      <c r="QK16" s="16">
        <f>SUMIFS(Datos!$F:$F,Datos!$A:$A,$B16,Datos!$B:$B,QK$3)</f>
        <v>0</v>
      </c>
      <c r="QL16" s="16">
        <f>SUMIFS(Datos!$F:$F,Datos!$A:$A,$B16,Datos!$B:$B,QL$3)</f>
        <v>0</v>
      </c>
      <c r="QM16" s="16">
        <f>SUMIFS(Datos!$F:$F,Datos!$A:$A,$B16,Datos!$B:$B,QM$3)</f>
        <v>0</v>
      </c>
      <c r="QN16" s="16">
        <f>SUMIFS(Datos!$F:$F,Datos!$A:$A,$B16,Datos!$B:$B,QN$3)</f>
        <v>0</v>
      </c>
      <c r="QO16" s="16">
        <f>SUMIFS(Datos!$F:$F,Datos!$A:$A,$B16,Datos!$B:$B,QO$3)</f>
        <v>0</v>
      </c>
      <c r="QP16" s="16">
        <f>SUMIFS(Datos!$F:$F,Datos!$A:$A,$B16,Datos!$B:$B,QP$3)</f>
        <v>0</v>
      </c>
      <c r="QQ16" s="16">
        <f>SUMIFS(Datos!$F:$F,Datos!$A:$A,$B16,Datos!$B:$B,QQ$3)</f>
        <v>0</v>
      </c>
      <c r="QR16" s="16">
        <f>SUMIFS(Datos!$F:$F,Datos!$A:$A,$B16,Datos!$B:$B,QR$3)</f>
        <v>0</v>
      </c>
      <c r="QS16" s="16">
        <f>SUMIFS(Datos!$F:$F,Datos!$A:$A,$B16,Datos!$B:$B,QS$3)</f>
        <v>0</v>
      </c>
      <c r="QT16" s="16">
        <f>SUMIFS(Datos!$F:$F,Datos!$A:$A,$B16,Datos!$B:$B,QT$3)</f>
        <v>0</v>
      </c>
      <c r="QU16" s="16">
        <f>SUMIFS(Datos!$F:$F,Datos!$A:$A,$B16,Datos!$B:$B,QU$3)</f>
        <v>0</v>
      </c>
      <c r="QV16" s="16">
        <f>SUMIFS(Datos!$F:$F,Datos!$A:$A,$B16,Datos!$B:$B,QV$3)</f>
        <v>0</v>
      </c>
      <c r="QW16" s="16">
        <f>SUMIFS(Datos!$F:$F,Datos!$A:$A,$B16,Datos!$B:$B,QW$3)</f>
        <v>0</v>
      </c>
      <c r="QX16" s="16">
        <f>SUMIFS(Datos!$F:$F,Datos!$A:$A,$B16,Datos!$B:$B,QX$3)</f>
        <v>0</v>
      </c>
      <c r="QY16" s="16">
        <f>SUMIFS(Datos!$F:$F,Datos!$A:$A,$B16,Datos!$B:$B,QY$3)</f>
        <v>0</v>
      </c>
      <c r="QZ16" s="16">
        <f>SUMIFS(Datos!$F:$F,Datos!$A:$A,$B16,Datos!$B:$B,QZ$3)</f>
        <v>0</v>
      </c>
      <c r="RA16" s="16">
        <f>SUMIFS(Datos!$F:$F,Datos!$A:$A,$B16,Datos!$B:$B,RA$3)</f>
        <v>0</v>
      </c>
      <c r="RB16" s="16">
        <f>SUMIFS(Datos!$F:$F,Datos!$A:$A,$B16,Datos!$B:$B,RB$3)</f>
        <v>0</v>
      </c>
      <c r="RC16" s="16">
        <f>SUMIFS(Datos!$F:$F,Datos!$A:$A,$B16,Datos!$B:$B,RC$3)</f>
        <v>0</v>
      </c>
      <c r="RD16" s="16">
        <f>SUMIFS(Datos!$F:$F,Datos!$A:$A,$B16,Datos!$B:$B,RD$3)</f>
        <v>0</v>
      </c>
      <c r="RE16" s="16">
        <f>SUMIFS(Datos!$F:$F,Datos!$A:$A,$B16,Datos!$B:$B,RE$3)</f>
        <v>0</v>
      </c>
      <c r="RF16" s="16">
        <f>SUMIFS(Datos!$F:$F,Datos!$A:$A,$B16,Datos!$B:$B,RF$3)</f>
        <v>0</v>
      </c>
      <c r="RG16" s="16">
        <f>SUMIFS(Datos!$F:$F,Datos!$A:$A,$B16,Datos!$B:$B,RG$3)</f>
        <v>0</v>
      </c>
      <c r="RH16" s="16">
        <f>SUMIFS(Datos!$F:$F,Datos!$A:$A,$B16,Datos!$B:$B,RH$3)</f>
        <v>0</v>
      </c>
      <c r="RI16" s="16">
        <f>SUMIFS(Datos!$F:$F,Datos!$A:$A,$B16,Datos!$B:$B,RI$3)</f>
        <v>0</v>
      </c>
      <c r="RJ16" s="16">
        <f>SUMIFS(Datos!$F:$F,Datos!$A:$A,$B16,Datos!$B:$B,RJ$3)</f>
        <v>0</v>
      </c>
      <c r="RK16" s="16">
        <f>SUMIFS(Datos!$F:$F,Datos!$A:$A,$B16,Datos!$B:$B,RK$3)</f>
        <v>0</v>
      </c>
      <c r="RL16" s="16">
        <f>SUMIFS(Datos!$F:$F,Datos!$A:$A,$B16,Datos!$B:$B,RL$3)</f>
        <v>0</v>
      </c>
      <c r="RM16" s="16">
        <f>SUMIFS(Datos!$F:$F,Datos!$A:$A,$B16,Datos!$B:$B,RM$3)</f>
        <v>0</v>
      </c>
      <c r="RN16" s="16">
        <f>SUMIFS(Datos!$F:$F,Datos!$A:$A,$B16,Datos!$B:$B,RN$3)</f>
        <v>0</v>
      </c>
      <c r="RO16" s="16">
        <f>SUMIFS(Datos!$F:$F,Datos!$A:$A,$B16,Datos!$B:$B,RO$3)</f>
        <v>0</v>
      </c>
      <c r="RP16" s="16">
        <f>SUMIFS(Datos!$F:$F,Datos!$A:$A,$B16,Datos!$B:$B,RP$3)</f>
        <v>0</v>
      </c>
      <c r="RQ16" s="16">
        <f>SUMIFS(Datos!$F:$F,Datos!$A:$A,$B16,Datos!$B:$B,RQ$3)</f>
        <v>0</v>
      </c>
      <c r="RR16" s="16">
        <f>SUMIFS(Datos!$F:$F,Datos!$A:$A,$B16,Datos!$B:$B,RR$3)</f>
        <v>0</v>
      </c>
      <c r="RS16" s="16">
        <f>SUMIFS(Datos!$F:$F,Datos!$A:$A,$B16,Datos!$B:$B,RS$3)</f>
        <v>0</v>
      </c>
      <c r="RT16" s="16">
        <f>SUMIFS(Datos!$F:$F,Datos!$A:$A,$B16,Datos!$B:$B,RT$3)</f>
        <v>0</v>
      </c>
      <c r="RU16" s="16">
        <f>SUMIFS(Datos!$F:$F,Datos!$A:$A,$B16,Datos!$B:$B,RU$3)</f>
        <v>0</v>
      </c>
      <c r="RV16" s="16">
        <f>SUMIFS(Datos!$F:$F,Datos!$A:$A,$B16,Datos!$B:$B,RV$3)</f>
        <v>0</v>
      </c>
      <c r="RW16" s="16">
        <f>SUMIFS(Datos!$F:$F,Datos!$A:$A,$B16,Datos!$B:$B,RW$3)</f>
        <v>0</v>
      </c>
      <c r="RX16" s="16">
        <f>SUMIFS(Datos!$F:$F,Datos!$A:$A,$B16,Datos!$B:$B,RX$3)</f>
        <v>0</v>
      </c>
      <c r="RY16" s="16">
        <f>SUMIFS(Datos!$F:$F,Datos!$A:$A,$B16,Datos!$B:$B,RY$3)</f>
        <v>0</v>
      </c>
      <c r="RZ16" s="16">
        <f>SUMIFS(Datos!$F:$F,Datos!$A:$A,$B16,Datos!$B:$B,RZ$3)</f>
        <v>0</v>
      </c>
      <c r="SA16" s="16">
        <f>SUMIFS(Datos!$F:$F,Datos!$A:$A,$B16,Datos!$B:$B,SA$3)</f>
        <v>0</v>
      </c>
      <c r="SB16" s="16">
        <f>SUMIFS(Datos!$F:$F,Datos!$A:$A,$B16,Datos!$B:$B,SB$3)</f>
        <v>0</v>
      </c>
      <c r="SC16" s="16">
        <f>SUMIFS(Datos!$F:$F,Datos!$A:$A,$B16,Datos!$B:$B,SC$3)</f>
        <v>0</v>
      </c>
      <c r="SD16" s="16">
        <f>SUMIFS(Datos!$F:$F,Datos!$A:$A,$B16,Datos!$B:$B,SD$3)</f>
        <v>0</v>
      </c>
      <c r="SE16" s="16">
        <f>SUMIFS(Datos!$F:$F,Datos!$A:$A,$B16,Datos!$B:$B,SE$3)</f>
        <v>0</v>
      </c>
      <c r="SF16" s="16">
        <f>SUMIFS(Datos!$F:$F,Datos!$A:$A,$B16,Datos!$B:$B,SF$3)</f>
        <v>0</v>
      </c>
      <c r="SG16" s="16">
        <f>SUMIFS(Datos!$F:$F,Datos!$A:$A,$B16,Datos!$B:$B,SG$3)</f>
        <v>0</v>
      </c>
      <c r="SH16" s="16">
        <f>SUMIFS(Datos!$F:$F,Datos!$A:$A,$B16,Datos!$B:$B,SH$3)</f>
        <v>0</v>
      </c>
      <c r="SI16" s="16">
        <f>SUMIFS(Datos!$F:$F,Datos!$A:$A,$B16,Datos!$B:$B,SI$3)</f>
        <v>0</v>
      </c>
      <c r="SJ16" s="16">
        <f>SUMIFS(Datos!$F:$F,Datos!$A:$A,$B16,Datos!$B:$B,SJ$3)</f>
        <v>0</v>
      </c>
      <c r="SK16" s="16">
        <f>SUMIFS(Datos!$F:$F,Datos!$A:$A,$B16,Datos!$B:$B,SK$3)</f>
        <v>0</v>
      </c>
      <c r="SL16" s="16">
        <f>SUMIFS(Datos!$F:$F,Datos!$A:$A,$B16,Datos!$B:$B,SL$3)</f>
        <v>0</v>
      </c>
      <c r="SM16" s="16">
        <f>SUMIFS(Datos!$F:$F,Datos!$A:$A,$B16,Datos!$B:$B,SM$3)</f>
        <v>0</v>
      </c>
      <c r="SN16" s="16">
        <f>SUMIFS(Datos!$F:$F,Datos!$A:$A,$B16,Datos!$B:$B,SN$3)</f>
        <v>0</v>
      </c>
      <c r="SO16" s="16">
        <f>SUMIFS(Datos!$F:$F,Datos!$A:$A,$B16,Datos!$B:$B,SO$3)</f>
        <v>0</v>
      </c>
      <c r="SP16" s="16">
        <f>SUMIFS(Datos!$F:$F,Datos!$A:$A,$B16,Datos!$B:$B,SP$3)</f>
        <v>0</v>
      </c>
      <c r="SQ16" s="16">
        <f>SUMIFS(Datos!$F:$F,Datos!$A:$A,$B16,Datos!$B:$B,SQ$3)</f>
        <v>0</v>
      </c>
      <c r="SR16" s="16">
        <f>SUMIFS(Datos!$F:$F,Datos!$A:$A,$B16,Datos!$B:$B,SR$3)</f>
        <v>0</v>
      </c>
      <c r="SS16" s="16">
        <f>SUMIFS(Datos!$F:$F,Datos!$A:$A,$B16,Datos!$B:$B,SS$3)</f>
        <v>0</v>
      </c>
      <c r="ST16" s="16">
        <f>SUMIFS(Datos!$F:$F,Datos!$A:$A,$B16,Datos!$B:$B,ST$3)</f>
        <v>0</v>
      </c>
      <c r="SU16" s="16">
        <f>SUMIFS(Datos!$F:$F,Datos!$A:$A,$B16,Datos!$B:$B,SU$3)</f>
        <v>0</v>
      </c>
      <c r="SV16" s="16">
        <f>SUMIFS(Datos!$F:$F,Datos!$A:$A,$B16,Datos!$B:$B,SV$3)</f>
        <v>0</v>
      </c>
      <c r="SW16" s="16">
        <f>SUMIFS(Datos!$F:$F,Datos!$A:$A,$B16,Datos!$B:$B,SW$3)</f>
        <v>0</v>
      </c>
      <c r="SX16" s="16">
        <f>SUMIFS(Datos!$F:$F,Datos!$A:$A,$B16,Datos!$B:$B,SX$3)</f>
        <v>0</v>
      </c>
      <c r="SY16" s="16">
        <f>SUMIFS(Datos!$F:$F,Datos!$A:$A,$B16,Datos!$B:$B,SY$3)</f>
        <v>0</v>
      </c>
      <c r="SZ16" s="16">
        <f>SUMIFS(Datos!$F:$F,Datos!$A:$A,$B16,Datos!$B:$B,SZ$3)</f>
        <v>0</v>
      </c>
      <c r="TA16" s="16">
        <f>SUMIFS(Datos!$F:$F,Datos!$A:$A,$B16,Datos!$B:$B,TA$3)</f>
        <v>0</v>
      </c>
      <c r="TB16" s="16">
        <f>SUMIFS(Datos!$F:$F,Datos!$A:$A,$B16,Datos!$B:$B,TB$3)</f>
        <v>0</v>
      </c>
      <c r="TC16" s="16">
        <f>SUMIFS(Datos!$F:$F,Datos!$A:$A,$B16,Datos!$B:$B,TC$3)</f>
        <v>0</v>
      </c>
      <c r="TD16" s="16">
        <f>SUMIFS(Datos!$F:$F,Datos!$A:$A,$B16,Datos!$B:$B,TD$3)</f>
        <v>0</v>
      </c>
      <c r="TE16" s="16">
        <f>SUMIFS(Datos!$F:$F,Datos!$A:$A,$B16,Datos!$B:$B,TE$3)</f>
        <v>0</v>
      </c>
      <c r="TF16" s="16">
        <f>SUMIFS(Datos!$F:$F,Datos!$A:$A,$B16,Datos!$B:$B,TF$3)</f>
        <v>0</v>
      </c>
    </row>
    <row r="17" spans="1:526">
      <c r="A17" s="31" t="s">
        <v>48</v>
      </c>
      <c r="B17" s="4">
        <f>Cartera!B17</f>
        <v>0</v>
      </c>
      <c r="C17" s="4">
        <f>Cartera!C17</f>
        <v>0</v>
      </c>
      <c r="D17" s="16">
        <f>SUMIFS(Datos!$F:$F,Datos!$A:$A,$B17,Datos!$B:$B,D$3)</f>
        <v>0</v>
      </c>
      <c r="E17" s="16">
        <f>SUMIFS(Datos!$F:$F,Datos!$A:$A,$B17,Datos!$B:$B,E$3)</f>
        <v>0</v>
      </c>
      <c r="F17" s="16">
        <f>SUMIFS(Datos!$F:$F,Datos!$A:$A,$B17,Datos!$B:$B,F$3)</f>
        <v>0</v>
      </c>
      <c r="G17" s="16">
        <f>SUMIFS(Datos!$F:$F,Datos!$A:$A,$B17,Datos!$B:$B,G$3)</f>
        <v>0</v>
      </c>
      <c r="H17" s="16">
        <f>SUMIFS(Datos!$F:$F,Datos!$A:$A,$B17,Datos!$B:$B,H$3)</f>
        <v>0</v>
      </c>
      <c r="I17" s="16">
        <f>SUMIFS(Datos!$F:$F,Datos!$A:$A,$B17,Datos!$B:$B,I$3)</f>
        <v>0</v>
      </c>
      <c r="J17" s="16">
        <f>SUMIFS(Datos!$F:$F,Datos!$A:$A,$B17,Datos!$B:$B,J$3)</f>
        <v>0</v>
      </c>
      <c r="K17" s="16">
        <f>SUMIFS(Datos!$F:$F,Datos!$A:$A,$B17,Datos!$B:$B,K$3)</f>
        <v>0</v>
      </c>
      <c r="L17" s="16">
        <f>SUMIFS(Datos!$F:$F,Datos!$A:$A,$B17,Datos!$B:$B,L$3)</f>
        <v>0</v>
      </c>
      <c r="M17" s="16">
        <f>SUMIFS(Datos!$F:$F,Datos!$A:$A,$B17,Datos!$B:$B,M$3)</f>
        <v>0</v>
      </c>
      <c r="N17" s="16">
        <f>SUMIFS(Datos!$F:$F,Datos!$A:$A,$B17,Datos!$B:$B,N$3)</f>
        <v>0</v>
      </c>
      <c r="O17" s="16">
        <f>SUMIFS(Datos!$F:$F,Datos!$A:$A,$B17,Datos!$B:$B,O$3)</f>
        <v>0</v>
      </c>
      <c r="P17" s="16">
        <f>SUMIFS(Datos!$F:$F,Datos!$A:$A,$B17,Datos!$B:$B,P$3)</f>
        <v>0</v>
      </c>
      <c r="Q17" s="16">
        <f>SUMIFS(Datos!$F:$F,Datos!$A:$A,$B17,Datos!$B:$B,Q$3)</f>
        <v>0</v>
      </c>
      <c r="R17" s="16">
        <f>SUMIFS(Datos!$F:$F,Datos!$A:$A,$B17,Datos!$B:$B,R$3)</f>
        <v>0</v>
      </c>
      <c r="S17" s="16">
        <f>SUMIFS(Datos!$F:$F,Datos!$A:$A,$B17,Datos!$B:$B,S$3)</f>
        <v>0</v>
      </c>
      <c r="T17" s="16">
        <f>SUMIFS(Datos!$F:$F,Datos!$A:$A,$B17,Datos!$B:$B,T$3)</f>
        <v>0</v>
      </c>
      <c r="U17" s="16">
        <f>SUMIFS(Datos!$F:$F,Datos!$A:$A,$B17,Datos!$B:$B,U$3)</f>
        <v>0</v>
      </c>
      <c r="V17" s="16">
        <f>SUMIFS(Datos!$F:$F,Datos!$A:$A,$B17,Datos!$B:$B,V$3)</f>
        <v>0</v>
      </c>
      <c r="W17" s="16">
        <f>SUMIFS(Datos!$F:$F,Datos!$A:$A,$B17,Datos!$B:$B,W$3)</f>
        <v>0</v>
      </c>
      <c r="X17" s="16">
        <f>SUMIFS(Datos!$F:$F,Datos!$A:$A,$B17,Datos!$B:$B,X$3)</f>
        <v>0</v>
      </c>
      <c r="Y17" s="16">
        <f>SUMIFS(Datos!$F:$F,Datos!$A:$A,$B17,Datos!$B:$B,Y$3)</f>
        <v>0</v>
      </c>
      <c r="Z17" s="16">
        <f>SUMIFS(Datos!$F:$F,Datos!$A:$A,$B17,Datos!$B:$B,Z$3)</f>
        <v>0</v>
      </c>
      <c r="AA17" s="16">
        <f>SUMIFS(Datos!$F:$F,Datos!$A:$A,$B17,Datos!$B:$B,AA$3)</f>
        <v>0</v>
      </c>
      <c r="AB17" s="16">
        <f>SUMIFS(Datos!$F:$F,Datos!$A:$A,$B17,Datos!$B:$B,AB$3)</f>
        <v>0</v>
      </c>
      <c r="AC17" s="16">
        <f>SUMIFS(Datos!$F:$F,Datos!$A:$A,$B17,Datos!$B:$B,AC$3)</f>
        <v>0</v>
      </c>
      <c r="AD17" s="16">
        <f>SUMIFS(Datos!$F:$F,Datos!$A:$A,$B17,Datos!$B:$B,AD$3)</f>
        <v>0</v>
      </c>
      <c r="AE17" s="16">
        <f>SUMIFS(Datos!$F:$F,Datos!$A:$A,$B17,Datos!$B:$B,AE$3)</f>
        <v>0</v>
      </c>
      <c r="AF17" s="16">
        <f>SUMIFS(Datos!$F:$F,Datos!$A:$A,$B17,Datos!$B:$B,AF$3)</f>
        <v>0</v>
      </c>
      <c r="AG17" s="16">
        <f>SUMIFS(Datos!$F:$F,Datos!$A:$A,$B17,Datos!$B:$B,AG$3)</f>
        <v>0</v>
      </c>
      <c r="AH17" s="16">
        <f>SUMIFS(Datos!$F:$F,Datos!$A:$A,$B17,Datos!$B:$B,AH$3)</f>
        <v>0</v>
      </c>
      <c r="AI17" s="16">
        <f>SUMIFS(Datos!$F:$F,Datos!$A:$A,$B17,Datos!$B:$B,AI$3)</f>
        <v>0</v>
      </c>
      <c r="AJ17" s="16">
        <f>SUMIFS(Datos!$F:$F,Datos!$A:$A,$B17,Datos!$B:$B,AJ$3)</f>
        <v>0</v>
      </c>
      <c r="AK17" s="16">
        <f>SUMIFS(Datos!$F:$F,Datos!$A:$A,$B17,Datos!$B:$B,AK$3)</f>
        <v>0</v>
      </c>
      <c r="AL17" s="16">
        <f>SUMIFS(Datos!$F:$F,Datos!$A:$A,$B17,Datos!$B:$B,AL$3)</f>
        <v>0</v>
      </c>
      <c r="AM17" s="16">
        <f>SUMIFS(Datos!$F:$F,Datos!$A:$A,$B17,Datos!$B:$B,AM$3)</f>
        <v>0</v>
      </c>
      <c r="AN17" s="16">
        <f>SUMIFS(Datos!$F:$F,Datos!$A:$A,$B17,Datos!$B:$B,AN$3)</f>
        <v>0</v>
      </c>
      <c r="AO17" s="16">
        <f>SUMIFS(Datos!$F:$F,Datos!$A:$A,$B17,Datos!$B:$B,AO$3)</f>
        <v>0</v>
      </c>
      <c r="AP17" s="16">
        <f>SUMIFS(Datos!$F:$F,Datos!$A:$A,$B17,Datos!$B:$B,AP$3)</f>
        <v>0</v>
      </c>
      <c r="AQ17" s="16">
        <f>SUMIFS(Datos!$F:$F,Datos!$A:$A,$B17,Datos!$B:$B,AQ$3)</f>
        <v>0</v>
      </c>
      <c r="AR17" s="16">
        <f>SUMIFS(Datos!$F:$F,Datos!$A:$A,$B17,Datos!$B:$B,AR$3)</f>
        <v>0</v>
      </c>
      <c r="AS17" s="16">
        <f>SUMIFS(Datos!$F:$F,Datos!$A:$A,$B17,Datos!$B:$B,AS$3)</f>
        <v>0</v>
      </c>
      <c r="AT17" s="16">
        <f>SUMIFS(Datos!$F:$F,Datos!$A:$A,$B17,Datos!$B:$B,AT$3)</f>
        <v>0</v>
      </c>
      <c r="AU17" s="16">
        <f>SUMIFS(Datos!$F:$F,Datos!$A:$A,$B17,Datos!$B:$B,AU$3)</f>
        <v>0</v>
      </c>
      <c r="AV17" s="16">
        <f>SUMIFS(Datos!$F:$F,Datos!$A:$A,$B17,Datos!$B:$B,AV$3)</f>
        <v>0</v>
      </c>
      <c r="AW17" s="16">
        <f>SUMIFS(Datos!$F:$F,Datos!$A:$A,$B17,Datos!$B:$B,AW$3)</f>
        <v>0</v>
      </c>
      <c r="AX17" s="16">
        <f>SUMIFS(Datos!$F:$F,Datos!$A:$A,$B17,Datos!$B:$B,AX$3)</f>
        <v>0</v>
      </c>
      <c r="AY17" s="16">
        <f>SUMIFS(Datos!$F:$F,Datos!$A:$A,$B17,Datos!$B:$B,AY$3)</f>
        <v>0</v>
      </c>
      <c r="AZ17" s="16">
        <f>SUMIFS(Datos!$F:$F,Datos!$A:$A,$B17,Datos!$B:$B,AZ$3)</f>
        <v>0</v>
      </c>
      <c r="BA17" s="16">
        <f>SUMIFS(Datos!$F:$F,Datos!$A:$A,$B17,Datos!$B:$B,BA$3)</f>
        <v>0</v>
      </c>
      <c r="BB17" s="16">
        <f>SUMIFS(Datos!$F:$F,Datos!$A:$A,$B17,Datos!$B:$B,BB$3)</f>
        <v>0</v>
      </c>
      <c r="BC17" s="16">
        <f>SUMIFS(Datos!$F:$F,Datos!$A:$A,$B17,Datos!$B:$B,BC$3)</f>
        <v>0</v>
      </c>
      <c r="BD17" s="16">
        <f>SUMIFS(Datos!$F:$F,Datos!$A:$A,$B17,Datos!$B:$B,BD$3)</f>
        <v>0</v>
      </c>
      <c r="BE17" s="16">
        <f>SUMIFS(Datos!$F:$F,Datos!$A:$A,$B17,Datos!$B:$B,BE$3)</f>
        <v>0</v>
      </c>
      <c r="BF17" s="16">
        <f>SUMIFS(Datos!$F:$F,Datos!$A:$A,$B17,Datos!$B:$B,BF$3)</f>
        <v>0</v>
      </c>
      <c r="BG17" s="16">
        <f>SUMIFS(Datos!$F:$F,Datos!$A:$A,$B17,Datos!$B:$B,BG$3)</f>
        <v>0</v>
      </c>
      <c r="BH17" s="16">
        <f>SUMIFS(Datos!$F:$F,Datos!$A:$A,$B17,Datos!$B:$B,BH$3)</f>
        <v>0</v>
      </c>
      <c r="BI17" s="16">
        <f>SUMIFS(Datos!$F:$F,Datos!$A:$A,$B17,Datos!$B:$B,BI$3)</f>
        <v>0</v>
      </c>
      <c r="BJ17" s="16">
        <f>SUMIFS(Datos!$F:$F,Datos!$A:$A,$B17,Datos!$B:$B,BJ$3)</f>
        <v>0</v>
      </c>
      <c r="BK17" s="16">
        <f>SUMIFS(Datos!$F:$F,Datos!$A:$A,$B17,Datos!$B:$B,BK$3)</f>
        <v>0</v>
      </c>
      <c r="BL17" s="16">
        <f>SUMIFS(Datos!$F:$F,Datos!$A:$A,$B17,Datos!$B:$B,BL$3)</f>
        <v>0</v>
      </c>
      <c r="BM17" s="16">
        <f>SUMIFS(Datos!$F:$F,Datos!$A:$A,$B17,Datos!$B:$B,BM$3)</f>
        <v>0</v>
      </c>
      <c r="BN17" s="16">
        <f>SUMIFS(Datos!$F:$F,Datos!$A:$A,$B17,Datos!$B:$B,BN$3)</f>
        <v>0</v>
      </c>
      <c r="BO17" s="16">
        <f>SUMIFS(Datos!$F:$F,Datos!$A:$A,$B17,Datos!$B:$B,BO$3)</f>
        <v>0</v>
      </c>
      <c r="BP17" s="16">
        <f>SUMIFS(Datos!$F:$F,Datos!$A:$A,$B17,Datos!$B:$B,BP$3)</f>
        <v>0</v>
      </c>
      <c r="BQ17" s="16">
        <f>SUMIFS(Datos!$F:$F,Datos!$A:$A,$B17,Datos!$B:$B,BQ$3)</f>
        <v>0</v>
      </c>
      <c r="BR17" s="16">
        <f>SUMIFS(Datos!$F:$F,Datos!$A:$A,$B17,Datos!$B:$B,BR$3)</f>
        <v>0</v>
      </c>
      <c r="BS17" s="16">
        <f>SUMIFS(Datos!$F:$F,Datos!$A:$A,$B17,Datos!$B:$B,BS$3)</f>
        <v>0</v>
      </c>
      <c r="BT17" s="16">
        <f>SUMIFS(Datos!$F:$F,Datos!$A:$A,$B17,Datos!$B:$B,BT$3)</f>
        <v>0</v>
      </c>
      <c r="BU17" s="16">
        <f>SUMIFS(Datos!$F:$F,Datos!$A:$A,$B17,Datos!$B:$B,BU$3)</f>
        <v>0</v>
      </c>
      <c r="BV17" s="16">
        <f>SUMIFS(Datos!$F:$F,Datos!$A:$A,$B17,Datos!$B:$B,BV$3)</f>
        <v>0</v>
      </c>
      <c r="BW17" s="16">
        <f>SUMIFS(Datos!$F:$F,Datos!$A:$A,$B17,Datos!$B:$B,BW$3)</f>
        <v>0</v>
      </c>
      <c r="BX17" s="16">
        <f>SUMIFS(Datos!$F:$F,Datos!$A:$A,$B17,Datos!$B:$B,BX$3)</f>
        <v>0</v>
      </c>
      <c r="BY17" s="16">
        <f>SUMIFS(Datos!$F:$F,Datos!$A:$A,$B17,Datos!$B:$B,BY$3)</f>
        <v>0</v>
      </c>
      <c r="BZ17" s="16">
        <f>SUMIFS(Datos!$F:$F,Datos!$A:$A,$B17,Datos!$B:$B,BZ$3)</f>
        <v>0</v>
      </c>
      <c r="CA17" s="16">
        <f>SUMIFS(Datos!$F:$F,Datos!$A:$A,$B17,Datos!$B:$B,CA$3)</f>
        <v>0</v>
      </c>
      <c r="CB17" s="16">
        <f>SUMIFS(Datos!$F:$F,Datos!$A:$A,$B17,Datos!$B:$B,CB$3)</f>
        <v>0</v>
      </c>
      <c r="CC17" s="16">
        <f>SUMIFS(Datos!$F:$F,Datos!$A:$A,$B17,Datos!$B:$B,CC$3)</f>
        <v>0</v>
      </c>
      <c r="CD17" s="16">
        <f>SUMIFS(Datos!$F:$F,Datos!$A:$A,$B17,Datos!$B:$B,CD$3)</f>
        <v>0</v>
      </c>
      <c r="CE17" s="16">
        <f>SUMIFS(Datos!$F:$F,Datos!$A:$A,$B17,Datos!$B:$B,CE$3)</f>
        <v>0</v>
      </c>
      <c r="CF17" s="16">
        <f>SUMIFS(Datos!$F:$F,Datos!$A:$A,$B17,Datos!$B:$B,CF$3)</f>
        <v>0</v>
      </c>
      <c r="CG17" s="16">
        <f>SUMIFS(Datos!$F:$F,Datos!$A:$A,$B17,Datos!$B:$B,CG$3)</f>
        <v>0</v>
      </c>
      <c r="CH17" s="16">
        <f>SUMIFS(Datos!$F:$F,Datos!$A:$A,$B17,Datos!$B:$B,CH$3)</f>
        <v>0</v>
      </c>
      <c r="CI17" s="16">
        <f>SUMIFS(Datos!$F:$F,Datos!$A:$A,$B17,Datos!$B:$B,CI$3)</f>
        <v>0</v>
      </c>
      <c r="CJ17" s="16">
        <f>SUMIFS(Datos!$F:$F,Datos!$A:$A,$B17,Datos!$B:$B,CJ$3)</f>
        <v>0</v>
      </c>
      <c r="CK17" s="16">
        <f>SUMIFS(Datos!$F:$F,Datos!$A:$A,$B17,Datos!$B:$B,CK$3)</f>
        <v>0</v>
      </c>
      <c r="CL17" s="16">
        <f>SUMIFS(Datos!$F:$F,Datos!$A:$A,$B17,Datos!$B:$B,CL$3)</f>
        <v>0</v>
      </c>
      <c r="CM17" s="16">
        <f>SUMIFS(Datos!$F:$F,Datos!$A:$A,$B17,Datos!$B:$B,CM$3)</f>
        <v>0</v>
      </c>
      <c r="CN17" s="16">
        <f>SUMIFS(Datos!$F:$F,Datos!$A:$A,$B17,Datos!$B:$B,CN$3)</f>
        <v>0</v>
      </c>
      <c r="CO17" s="16">
        <f>SUMIFS(Datos!$F:$F,Datos!$A:$A,$B17,Datos!$B:$B,CO$3)</f>
        <v>0</v>
      </c>
      <c r="CP17" s="16">
        <f>SUMIFS(Datos!$F:$F,Datos!$A:$A,$B17,Datos!$B:$B,CP$3)</f>
        <v>0</v>
      </c>
      <c r="CQ17" s="16">
        <f>SUMIFS(Datos!$F:$F,Datos!$A:$A,$B17,Datos!$B:$B,CQ$3)</f>
        <v>0</v>
      </c>
      <c r="CR17" s="16">
        <f>SUMIFS(Datos!$F:$F,Datos!$A:$A,$B17,Datos!$B:$B,CR$3)</f>
        <v>0</v>
      </c>
      <c r="CS17" s="16">
        <f>SUMIFS(Datos!$F:$F,Datos!$A:$A,$B17,Datos!$B:$B,CS$3)</f>
        <v>0</v>
      </c>
      <c r="CT17" s="16">
        <f>SUMIFS(Datos!$F:$F,Datos!$A:$A,$B17,Datos!$B:$B,CT$3)</f>
        <v>0</v>
      </c>
      <c r="CU17" s="16">
        <f>SUMIFS(Datos!$F:$F,Datos!$A:$A,$B17,Datos!$B:$B,CU$3)</f>
        <v>0</v>
      </c>
      <c r="CV17" s="16">
        <f>SUMIFS(Datos!$F:$F,Datos!$A:$A,$B17,Datos!$B:$B,CV$3)</f>
        <v>0</v>
      </c>
      <c r="CW17" s="16">
        <f>SUMIFS(Datos!$F:$F,Datos!$A:$A,$B17,Datos!$B:$B,CW$3)</f>
        <v>0</v>
      </c>
      <c r="CX17" s="16">
        <f>SUMIFS(Datos!$F:$F,Datos!$A:$A,$B17,Datos!$B:$B,CX$3)</f>
        <v>0</v>
      </c>
      <c r="CY17" s="16">
        <f>SUMIFS(Datos!$F:$F,Datos!$A:$A,$B17,Datos!$B:$B,CY$3)</f>
        <v>0</v>
      </c>
      <c r="CZ17" s="16">
        <f>SUMIFS(Datos!$F:$F,Datos!$A:$A,$B17,Datos!$B:$B,CZ$3)</f>
        <v>0</v>
      </c>
      <c r="DA17" s="16">
        <f>SUMIFS(Datos!$F:$F,Datos!$A:$A,$B17,Datos!$B:$B,DA$3)</f>
        <v>0</v>
      </c>
      <c r="DB17" s="16">
        <f>SUMIFS(Datos!$F:$F,Datos!$A:$A,$B17,Datos!$B:$B,DB$3)</f>
        <v>0</v>
      </c>
      <c r="DC17" s="16">
        <f>SUMIFS(Datos!$F:$F,Datos!$A:$A,$B17,Datos!$B:$B,DC$3)</f>
        <v>0</v>
      </c>
      <c r="DD17" s="16">
        <f>SUMIFS(Datos!$F:$F,Datos!$A:$A,$B17,Datos!$B:$B,DD$3)</f>
        <v>0</v>
      </c>
      <c r="DE17" s="16">
        <f>SUMIFS(Datos!$F:$F,Datos!$A:$A,$B17,Datos!$B:$B,DE$3)</f>
        <v>0</v>
      </c>
      <c r="DF17" s="16">
        <f>SUMIFS(Datos!$F:$F,Datos!$A:$A,$B17,Datos!$B:$B,DF$3)</f>
        <v>0</v>
      </c>
      <c r="DG17" s="16">
        <f>SUMIFS(Datos!$F:$F,Datos!$A:$A,$B17,Datos!$B:$B,DG$3)</f>
        <v>0</v>
      </c>
      <c r="DH17" s="16">
        <f>SUMIFS(Datos!$F:$F,Datos!$A:$A,$B17,Datos!$B:$B,DH$3)</f>
        <v>0</v>
      </c>
      <c r="DI17" s="16">
        <f>SUMIFS(Datos!$F:$F,Datos!$A:$A,$B17,Datos!$B:$B,DI$3)</f>
        <v>0</v>
      </c>
      <c r="DJ17" s="16">
        <f>SUMIFS(Datos!$F:$F,Datos!$A:$A,$B17,Datos!$B:$B,DJ$3)</f>
        <v>0</v>
      </c>
      <c r="DK17" s="16">
        <f>SUMIFS(Datos!$F:$F,Datos!$A:$A,$B17,Datos!$B:$B,DK$3)</f>
        <v>0</v>
      </c>
      <c r="DL17" s="16">
        <f>SUMIFS(Datos!$F:$F,Datos!$A:$A,$B17,Datos!$B:$B,DL$3)</f>
        <v>0</v>
      </c>
      <c r="DM17" s="16">
        <f>SUMIFS(Datos!$F:$F,Datos!$A:$A,$B17,Datos!$B:$B,DM$3)</f>
        <v>0</v>
      </c>
      <c r="DN17" s="16">
        <f>SUMIFS(Datos!$F:$F,Datos!$A:$A,$B17,Datos!$B:$B,DN$3)</f>
        <v>0</v>
      </c>
      <c r="DO17" s="16">
        <f>SUMIFS(Datos!$F:$F,Datos!$A:$A,$B17,Datos!$B:$B,DO$3)</f>
        <v>0</v>
      </c>
      <c r="DP17" s="16">
        <f>SUMIFS(Datos!$F:$F,Datos!$A:$A,$B17,Datos!$B:$B,DP$3)</f>
        <v>0</v>
      </c>
      <c r="DQ17" s="16">
        <f>SUMIFS(Datos!$F:$F,Datos!$A:$A,$B17,Datos!$B:$B,DQ$3)</f>
        <v>0</v>
      </c>
      <c r="DR17" s="16">
        <f>SUMIFS(Datos!$F:$F,Datos!$A:$A,$B17,Datos!$B:$B,DR$3)</f>
        <v>0</v>
      </c>
      <c r="DS17" s="16">
        <f>SUMIFS(Datos!$F:$F,Datos!$A:$A,$B17,Datos!$B:$B,DS$3)</f>
        <v>0</v>
      </c>
      <c r="DT17" s="16">
        <f>SUMIFS(Datos!$F:$F,Datos!$A:$A,$B17,Datos!$B:$B,DT$3)</f>
        <v>0</v>
      </c>
      <c r="DU17" s="16">
        <f>SUMIFS(Datos!$F:$F,Datos!$A:$A,$B17,Datos!$B:$B,DU$3)</f>
        <v>0</v>
      </c>
      <c r="DV17" s="16">
        <f>SUMIFS(Datos!$F:$F,Datos!$A:$A,$B17,Datos!$B:$B,DV$3)</f>
        <v>0</v>
      </c>
      <c r="DW17" s="16">
        <f>SUMIFS(Datos!$F:$F,Datos!$A:$A,$B17,Datos!$B:$B,DW$3)</f>
        <v>0</v>
      </c>
      <c r="DX17" s="16">
        <f>SUMIFS(Datos!$F:$F,Datos!$A:$A,$B17,Datos!$B:$B,DX$3)</f>
        <v>0</v>
      </c>
      <c r="DY17" s="16">
        <f>SUMIFS(Datos!$F:$F,Datos!$A:$A,$B17,Datos!$B:$B,DY$3)</f>
        <v>0</v>
      </c>
      <c r="DZ17" s="16">
        <f>SUMIFS(Datos!$F:$F,Datos!$A:$A,$B17,Datos!$B:$B,DZ$3)</f>
        <v>0</v>
      </c>
      <c r="EA17" s="16">
        <f>SUMIFS(Datos!$F:$F,Datos!$A:$A,$B17,Datos!$B:$B,EA$3)</f>
        <v>0</v>
      </c>
      <c r="EB17" s="16">
        <f>SUMIFS(Datos!$F:$F,Datos!$A:$A,$B17,Datos!$B:$B,EB$3)</f>
        <v>0</v>
      </c>
      <c r="EC17" s="16">
        <f>SUMIFS(Datos!$F:$F,Datos!$A:$A,$B17,Datos!$B:$B,EC$3)</f>
        <v>0</v>
      </c>
      <c r="ED17" s="16">
        <f>SUMIFS(Datos!$F:$F,Datos!$A:$A,$B17,Datos!$B:$B,ED$3)</f>
        <v>0</v>
      </c>
      <c r="EE17" s="16">
        <f>SUMIFS(Datos!$F:$F,Datos!$A:$A,$B17,Datos!$B:$B,EE$3)</f>
        <v>0</v>
      </c>
      <c r="EF17" s="16">
        <f>SUMIFS(Datos!$F:$F,Datos!$A:$A,$B17,Datos!$B:$B,EF$3)</f>
        <v>0</v>
      </c>
      <c r="EG17" s="16">
        <f>SUMIFS(Datos!$F:$F,Datos!$A:$A,$B17,Datos!$B:$B,EG$3)</f>
        <v>0</v>
      </c>
      <c r="EH17" s="16">
        <f>SUMIFS(Datos!$F:$F,Datos!$A:$A,$B17,Datos!$B:$B,EH$3)</f>
        <v>0</v>
      </c>
      <c r="EI17" s="16">
        <f>SUMIFS(Datos!$F:$F,Datos!$A:$A,$B17,Datos!$B:$B,EI$3)</f>
        <v>0</v>
      </c>
      <c r="EJ17" s="16">
        <f>SUMIFS(Datos!$F:$F,Datos!$A:$A,$B17,Datos!$B:$B,EJ$3)</f>
        <v>0</v>
      </c>
      <c r="EK17" s="16">
        <f>SUMIFS(Datos!$F:$F,Datos!$A:$A,$B17,Datos!$B:$B,EK$3)</f>
        <v>0</v>
      </c>
      <c r="EL17" s="16">
        <f>SUMIFS(Datos!$F:$F,Datos!$A:$A,$B17,Datos!$B:$B,EL$3)</f>
        <v>0</v>
      </c>
      <c r="EM17" s="16">
        <f>SUMIFS(Datos!$F:$F,Datos!$A:$A,$B17,Datos!$B:$B,EM$3)</f>
        <v>0</v>
      </c>
      <c r="EN17" s="16">
        <f>SUMIFS(Datos!$F:$F,Datos!$A:$A,$B17,Datos!$B:$B,EN$3)</f>
        <v>0</v>
      </c>
      <c r="EO17" s="16">
        <f>SUMIFS(Datos!$F:$F,Datos!$A:$A,$B17,Datos!$B:$B,EO$3)</f>
        <v>0</v>
      </c>
      <c r="EP17" s="16">
        <f>SUMIFS(Datos!$F:$F,Datos!$A:$A,$B17,Datos!$B:$B,EP$3)</f>
        <v>0</v>
      </c>
      <c r="EQ17" s="16">
        <f>SUMIFS(Datos!$F:$F,Datos!$A:$A,$B17,Datos!$B:$B,EQ$3)</f>
        <v>0</v>
      </c>
      <c r="ER17" s="16">
        <f>SUMIFS(Datos!$F:$F,Datos!$A:$A,$B17,Datos!$B:$B,ER$3)</f>
        <v>0</v>
      </c>
      <c r="ES17" s="16">
        <f>SUMIFS(Datos!$F:$F,Datos!$A:$A,$B17,Datos!$B:$B,ES$3)</f>
        <v>0</v>
      </c>
      <c r="ET17" s="16">
        <f>SUMIFS(Datos!$F:$F,Datos!$A:$A,$B17,Datos!$B:$B,ET$3)</f>
        <v>0</v>
      </c>
      <c r="EU17" s="16">
        <f>SUMIFS(Datos!$F:$F,Datos!$A:$A,$B17,Datos!$B:$B,EU$3)</f>
        <v>0</v>
      </c>
      <c r="EV17" s="16">
        <f>SUMIFS(Datos!$F:$F,Datos!$A:$A,$B17,Datos!$B:$B,EV$3)</f>
        <v>0</v>
      </c>
      <c r="EW17" s="16">
        <f>SUMIFS(Datos!$F:$F,Datos!$A:$A,$B17,Datos!$B:$B,EW$3)</f>
        <v>0</v>
      </c>
      <c r="EX17" s="16">
        <f>SUMIFS(Datos!$F:$F,Datos!$A:$A,$B17,Datos!$B:$B,EX$3)</f>
        <v>0</v>
      </c>
      <c r="EY17" s="16">
        <f>SUMIFS(Datos!$F:$F,Datos!$A:$A,$B17,Datos!$B:$B,EY$3)</f>
        <v>0</v>
      </c>
      <c r="EZ17" s="16">
        <f>SUMIFS(Datos!$F:$F,Datos!$A:$A,$B17,Datos!$B:$B,EZ$3)</f>
        <v>0</v>
      </c>
      <c r="FA17" s="16">
        <f>SUMIFS(Datos!$F:$F,Datos!$A:$A,$B17,Datos!$B:$B,FA$3)</f>
        <v>0</v>
      </c>
      <c r="FB17" s="16">
        <f>SUMIFS(Datos!$F:$F,Datos!$A:$A,$B17,Datos!$B:$B,FB$3)</f>
        <v>0</v>
      </c>
      <c r="FC17" s="16">
        <f>SUMIFS(Datos!$F:$F,Datos!$A:$A,$B17,Datos!$B:$B,FC$3)</f>
        <v>0</v>
      </c>
      <c r="FD17" s="16">
        <f>SUMIFS(Datos!$F:$F,Datos!$A:$A,$B17,Datos!$B:$B,FD$3)</f>
        <v>0</v>
      </c>
      <c r="FE17" s="16">
        <f>SUMIFS(Datos!$F:$F,Datos!$A:$A,$B17,Datos!$B:$B,FE$3)</f>
        <v>0</v>
      </c>
      <c r="FF17" s="16">
        <f>SUMIFS(Datos!$F:$F,Datos!$A:$A,$B17,Datos!$B:$B,FF$3)</f>
        <v>0</v>
      </c>
      <c r="FG17" s="16">
        <f>SUMIFS(Datos!$F:$F,Datos!$A:$A,$B17,Datos!$B:$B,FG$3)</f>
        <v>0</v>
      </c>
      <c r="FH17" s="16">
        <f>SUMIFS(Datos!$F:$F,Datos!$A:$A,$B17,Datos!$B:$B,FH$3)</f>
        <v>0</v>
      </c>
      <c r="FI17" s="16">
        <f>SUMIFS(Datos!$F:$F,Datos!$A:$A,$B17,Datos!$B:$B,FI$3)</f>
        <v>0</v>
      </c>
      <c r="FJ17" s="16">
        <f>SUMIFS(Datos!$F:$F,Datos!$A:$A,$B17,Datos!$B:$B,FJ$3)</f>
        <v>0</v>
      </c>
      <c r="FK17" s="16">
        <f>SUMIFS(Datos!$F:$F,Datos!$A:$A,$B17,Datos!$B:$B,FK$3)</f>
        <v>0</v>
      </c>
      <c r="FL17" s="16">
        <f>SUMIFS(Datos!$F:$F,Datos!$A:$A,$B17,Datos!$B:$B,FL$3)</f>
        <v>0</v>
      </c>
      <c r="FM17" s="16">
        <f>SUMIFS(Datos!$F:$F,Datos!$A:$A,$B17,Datos!$B:$B,FM$3)</f>
        <v>0</v>
      </c>
      <c r="FN17" s="16">
        <f>SUMIFS(Datos!$F:$F,Datos!$A:$A,$B17,Datos!$B:$B,FN$3)</f>
        <v>0</v>
      </c>
      <c r="FO17" s="16">
        <f>SUMIFS(Datos!$F:$F,Datos!$A:$A,$B17,Datos!$B:$B,FO$3)</f>
        <v>0</v>
      </c>
      <c r="FP17" s="16">
        <f>SUMIFS(Datos!$F:$F,Datos!$A:$A,$B17,Datos!$B:$B,FP$3)</f>
        <v>0</v>
      </c>
      <c r="FQ17" s="16">
        <f>SUMIFS(Datos!$F:$F,Datos!$A:$A,$B17,Datos!$B:$B,FQ$3)</f>
        <v>0</v>
      </c>
      <c r="FR17" s="16">
        <f>SUMIFS(Datos!$F:$F,Datos!$A:$A,$B17,Datos!$B:$B,FR$3)</f>
        <v>0</v>
      </c>
      <c r="FS17" s="16">
        <f>SUMIFS(Datos!$F:$F,Datos!$A:$A,$B17,Datos!$B:$B,FS$3)</f>
        <v>0</v>
      </c>
      <c r="FT17" s="16">
        <f>SUMIFS(Datos!$F:$F,Datos!$A:$A,$B17,Datos!$B:$B,FT$3)</f>
        <v>0</v>
      </c>
      <c r="FU17" s="16">
        <f>SUMIFS(Datos!$F:$F,Datos!$A:$A,$B17,Datos!$B:$B,FU$3)</f>
        <v>0</v>
      </c>
      <c r="FV17" s="16">
        <f>SUMIFS(Datos!$F:$F,Datos!$A:$A,$B17,Datos!$B:$B,FV$3)</f>
        <v>0</v>
      </c>
      <c r="FW17" s="16">
        <f>SUMIFS(Datos!$F:$F,Datos!$A:$A,$B17,Datos!$B:$B,FW$3)</f>
        <v>0</v>
      </c>
      <c r="FX17" s="16">
        <f>SUMIFS(Datos!$F:$F,Datos!$A:$A,$B17,Datos!$B:$B,FX$3)</f>
        <v>0</v>
      </c>
      <c r="FY17" s="16">
        <f>SUMIFS(Datos!$F:$F,Datos!$A:$A,$B17,Datos!$B:$B,FY$3)</f>
        <v>0</v>
      </c>
      <c r="FZ17" s="16">
        <f>SUMIFS(Datos!$F:$F,Datos!$A:$A,$B17,Datos!$B:$B,FZ$3)</f>
        <v>0</v>
      </c>
      <c r="GA17" s="16">
        <f>SUMIFS(Datos!$F:$F,Datos!$A:$A,$B17,Datos!$B:$B,GA$3)</f>
        <v>0</v>
      </c>
      <c r="GB17" s="16">
        <f>SUMIFS(Datos!$F:$F,Datos!$A:$A,$B17,Datos!$B:$B,GB$3)</f>
        <v>0</v>
      </c>
      <c r="GC17" s="16">
        <f>SUMIFS(Datos!$F:$F,Datos!$A:$A,$B17,Datos!$B:$B,GC$3)</f>
        <v>0</v>
      </c>
      <c r="GD17" s="16">
        <f>SUMIFS(Datos!$F:$F,Datos!$A:$A,$B17,Datos!$B:$B,GD$3)</f>
        <v>0</v>
      </c>
      <c r="GE17" s="16">
        <f>SUMIFS(Datos!$F:$F,Datos!$A:$A,$B17,Datos!$B:$B,GE$3)</f>
        <v>0</v>
      </c>
      <c r="GF17" s="16">
        <f>SUMIFS(Datos!$F:$F,Datos!$A:$A,$B17,Datos!$B:$B,GF$3)</f>
        <v>0</v>
      </c>
      <c r="GG17" s="16">
        <f>SUMIFS(Datos!$F:$F,Datos!$A:$A,$B17,Datos!$B:$B,GG$3)</f>
        <v>0</v>
      </c>
      <c r="GH17" s="16">
        <f>SUMIFS(Datos!$F:$F,Datos!$A:$A,$B17,Datos!$B:$B,GH$3)</f>
        <v>0</v>
      </c>
      <c r="GI17" s="16">
        <f>SUMIFS(Datos!$F:$F,Datos!$A:$A,$B17,Datos!$B:$B,GI$3)</f>
        <v>0</v>
      </c>
      <c r="GJ17" s="16">
        <f>SUMIFS(Datos!$F:$F,Datos!$A:$A,$B17,Datos!$B:$B,GJ$3)</f>
        <v>0</v>
      </c>
      <c r="GK17" s="16">
        <f>SUMIFS(Datos!$F:$F,Datos!$A:$A,$B17,Datos!$B:$B,GK$3)</f>
        <v>0</v>
      </c>
      <c r="GL17" s="16">
        <f>SUMIFS(Datos!$F:$F,Datos!$A:$A,$B17,Datos!$B:$B,GL$3)</f>
        <v>0</v>
      </c>
      <c r="GM17" s="16">
        <f>SUMIFS(Datos!$F:$F,Datos!$A:$A,$B17,Datos!$B:$B,GM$3)</f>
        <v>0</v>
      </c>
      <c r="GN17" s="16">
        <f>SUMIFS(Datos!$F:$F,Datos!$A:$A,$B17,Datos!$B:$B,GN$3)</f>
        <v>0</v>
      </c>
      <c r="GO17" s="16">
        <f>SUMIFS(Datos!$F:$F,Datos!$A:$A,$B17,Datos!$B:$B,GO$3)</f>
        <v>0</v>
      </c>
      <c r="GP17" s="16">
        <f>SUMIFS(Datos!$F:$F,Datos!$A:$A,$B17,Datos!$B:$B,GP$3)</f>
        <v>0</v>
      </c>
      <c r="GQ17" s="16">
        <f>SUMIFS(Datos!$F:$F,Datos!$A:$A,$B17,Datos!$B:$B,GQ$3)</f>
        <v>0</v>
      </c>
      <c r="GR17" s="16">
        <f>SUMIFS(Datos!$F:$F,Datos!$A:$A,$B17,Datos!$B:$B,GR$3)</f>
        <v>0</v>
      </c>
      <c r="GS17" s="16">
        <f>SUMIFS(Datos!$F:$F,Datos!$A:$A,$B17,Datos!$B:$B,GS$3)</f>
        <v>0</v>
      </c>
      <c r="GT17" s="16">
        <f>SUMIFS(Datos!$F:$F,Datos!$A:$A,$B17,Datos!$B:$B,GT$3)</f>
        <v>0</v>
      </c>
      <c r="GU17" s="16">
        <f>SUMIFS(Datos!$F:$F,Datos!$A:$A,$B17,Datos!$B:$B,GU$3)</f>
        <v>0</v>
      </c>
      <c r="GV17" s="16">
        <f>SUMIFS(Datos!$F:$F,Datos!$A:$A,$B17,Datos!$B:$B,GV$3)</f>
        <v>0</v>
      </c>
      <c r="GW17" s="16">
        <f>SUMIFS(Datos!$F:$F,Datos!$A:$A,$B17,Datos!$B:$B,GW$3)</f>
        <v>0</v>
      </c>
      <c r="GX17" s="16">
        <f>SUMIFS(Datos!$F:$F,Datos!$A:$A,$B17,Datos!$B:$B,GX$3)</f>
        <v>0</v>
      </c>
      <c r="GY17" s="16">
        <f>SUMIFS(Datos!$F:$F,Datos!$A:$A,$B17,Datos!$B:$B,GY$3)</f>
        <v>0</v>
      </c>
      <c r="GZ17" s="16">
        <f>SUMIFS(Datos!$F:$F,Datos!$A:$A,$B17,Datos!$B:$B,GZ$3)</f>
        <v>0</v>
      </c>
      <c r="HA17" s="16">
        <f>SUMIFS(Datos!$F:$F,Datos!$A:$A,$B17,Datos!$B:$B,HA$3)</f>
        <v>0</v>
      </c>
      <c r="HB17" s="16">
        <f>SUMIFS(Datos!$F:$F,Datos!$A:$A,$B17,Datos!$B:$B,HB$3)</f>
        <v>0</v>
      </c>
      <c r="HC17" s="16">
        <f>SUMIFS(Datos!$F:$F,Datos!$A:$A,$B17,Datos!$B:$B,HC$3)</f>
        <v>0</v>
      </c>
      <c r="HD17" s="16">
        <f>SUMIFS(Datos!$F:$F,Datos!$A:$A,$B17,Datos!$B:$B,HD$3)</f>
        <v>0</v>
      </c>
      <c r="HE17" s="16">
        <f>SUMIFS(Datos!$F:$F,Datos!$A:$A,$B17,Datos!$B:$B,HE$3)</f>
        <v>0</v>
      </c>
      <c r="HF17" s="16">
        <f>SUMIFS(Datos!$F:$F,Datos!$A:$A,$B17,Datos!$B:$B,HF$3)</f>
        <v>0</v>
      </c>
      <c r="HG17" s="16">
        <f>SUMIFS(Datos!$F:$F,Datos!$A:$A,$B17,Datos!$B:$B,HG$3)</f>
        <v>0</v>
      </c>
      <c r="HH17" s="16">
        <f>SUMIFS(Datos!$F:$F,Datos!$A:$A,$B17,Datos!$B:$B,HH$3)</f>
        <v>0</v>
      </c>
      <c r="HI17" s="16">
        <f>SUMIFS(Datos!$F:$F,Datos!$A:$A,$B17,Datos!$B:$B,HI$3)</f>
        <v>0</v>
      </c>
      <c r="HJ17" s="16">
        <f>SUMIFS(Datos!$F:$F,Datos!$A:$A,$B17,Datos!$B:$B,HJ$3)</f>
        <v>0</v>
      </c>
      <c r="HK17" s="16">
        <f>SUMIFS(Datos!$F:$F,Datos!$A:$A,$B17,Datos!$B:$B,HK$3)</f>
        <v>0</v>
      </c>
      <c r="HL17" s="16">
        <f>SUMIFS(Datos!$F:$F,Datos!$A:$A,$B17,Datos!$B:$B,HL$3)</f>
        <v>0</v>
      </c>
      <c r="HM17" s="16">
        <f>SUMIFS(Datos!$F:$F,Datos!$A:$A,$B17,Datos!$B:$B,HM$3)</f>
        <v>0</v>
      </c>
      <c r="HN17" s="16">
        <f>SUMIFS(Datos!$F:$F,Datos!$A:$A,$B17,Datos!$B:$B,HN$3)</f>
        <v>0</v>
      </c>
      <c r="HO17" s="16">
        <f>SUMIFS(Datos!$F:$F,Datos!$A:$A,$B17,Datos!$B:$B,HO$3)</f>
        <v>0</v>
      </c>
      <c r="HP17" s="16">
        <f>SUMIFS(Datos!$F:$F,Datos!$A:$A,$B17,Datos!$B:$B,HP$3)</f>
        <v>0</v>
      </c>
      <c r="HQ17" s="16">
        <f>SUMIFS(Datos!$F:$F,Datos!$A:$A,$B17,Datos!$B:$B,HQ$3)</f>
        <v>0</v>
      </c>
      <c r="HR17" s="16">
        <f>SUMIFS(Datos!$F:$F,Datos!$A:$A,$B17,Datos!$B:$B,HR$3)</f>
        <v>0</v>
      </c>
      <c r="HS17" s="16">
        <f>SUMIFS(Datos!$F:$F,Datos!$A:$A,$B17,Datos!$B:$B,HS$3)</f>
        <v>0</v>
      </c>
      <c r="HT17" s="16">
        <f>SUMIFS(Datos!$F:$F,Datos!$A:$A,$B17,Datos!$B:$B,HT$3)</f>
        <v>0</v>
      </c>
      <c r="HU17" s="16">
        <f>SUMIFS(Datos!$F:$F,Datos!$A:$A,$B17,Datos!$B:$B,HU$3)</f>
        <v>0</v>
      </c>
      <c r="HV17" s="16">
        <f>SUMIFS(Datos!$F:$F,Datos!$A:$A,$B17,Datos!$B:$B,HV$3)</f>
        <v>0</v>
      </c>
      <c r="HW17" s="16">
        <f>SUMIFS(Datos!$F:$F,Datos!$A:$A,$B17,Datos!$B:$B,HW$3)</f>
        <v>0</v>
      </c>
      <c r="HX17" s="16">
        <f>SUMIFS(Datos!$F:$F,Datos!$A:$A,$B17,Datos!$B:$B,HX$3)</f>
        <v>0</v>
      </c>
      <c r="HY17" s="16">
        <f>SUMIFS(Datos!$F:$F,Datos!$A:$A,$B17,Datos!$B:$B,HY$3)</f>
        <v>0</v>
      </c>
      <c r="HZ17" s="16">
        <f>SUMIFS(Datos!$F:$F,Datos!$A:$A,$B17,Datos!$B:$B,HZ$3)</f>
        <v>0</v>
      </c>
      <c r="IA17" s="16">
        <f>SUMIFS(Datos!$F:$F,Datos!$A:$A,$B17,Datos!$B:$B,IA$3)</f>
        <v>0</v>
      </c>
      <c r="IB17" s="16">
        <f>SUMIFS(Datos!$F:$F,Datos!$A:$A,$B17,Datos!$B:$B,IB$3)</f>
        <v>0</v>
      </c>
      <c r="IC17" s="16">
        <f>SUMIFS(Datos!$F:$F,Datos!$A:$A,$B17,Datos!$B:$B,IC$3)</f>
        <v>0</v>
      </c>
      <c r="ID17" s="16">
        <f>SUMIFS(Datos!$F:$F,Datos!$A:$A,$B17,Datos!$B:$B,ID$3)</f>
        <v>0</v>
      </c>
      <c r="IE17" s="16">
        <f>SUMIFS(Datos!$F:$F,Datos!$A:$A,$B17,Datos!$B:$B,IE$3)</f>
        <v>0</v>
      </c>
      <c r="IF17" s="16">
        <f>SUMIFS(Datos!$F:$F,Datos!$A:$A,$B17,Datos!$B:$B,IF$3)</f>
        <v>0</v>
      </c>
      <c r="IG17" s="16">
        <f>SUMIFS(Datos!$F:$F,Datos!$A:$A,$B17,Datos!$B:$B,IG$3)</f>
        <v>0</v>
      </c>
      <c r="IH17" s="16">
        <f>SUMIFS(Datos!$F:$F,Datos!$A:$A,$B17,Datos!$B:$B,IH$3)</f>
        <v>0</v>
      </c>
      <c r="II17" s="16">
        <f>SUMIFS(Datos!$F:$F,Datos!$A:$A,$B17,Datos!$B:$B,II$3)</f>
        <v>0</v>
      </c>
      <c r="IJ17" s="16">
        <f>SUMIFS(Datos!$F:$F,Datos!$A:$A,$B17,Datos!$B:$B,IJ$3)</f>
        <v>0</v>
      </c>
      <c r="IK17" s="16">
        <f>SUMIFS(Datos!$F:$F,Datos!$A:$A,$B17,Datos!$B:$B,IK$3)</f>
        <v>0</v>
      </c>
      <c r="IL17" s="16">
        <f>SUMIFS(Datos!$F:$F,Datos!$A:$A,$B17,Datos!$B:$B,IL$3)</f>
        <v>0</v>
      </c>
      <c r="IM17" s="16">
        <f>SUMIFS(Datos!$F:$F,Datos!$A:$A,$B17,Datos!$B:$B,IM$3)</f>
        <v>0</v>
      </c>
      <c r="IN17" s="16">
        <f>SUMIFS(Datos!$F:$F,Datos!$A:$A,$B17,Datos!$B:$B,IN$3)</f>
        <v>0</v>
      </c>
      <c r="IO17" s="16">
        <f>SUMIFS(Datos!$F:$F,Datos!$A:$A,$B17,Datos!$B:$B,IO$3)</f>
        <v>0</v>
      </c>
      <c r="IP17" s="16">
        <f>SUMIFS(Datos!$F:$F,Datos!$A:$A,$B17,Datos!$B:$B,IP$3)</f>
        <v>0</v>
      </c>
      <c r="IQ17" s="16">
        <f>SUMIFS(Datos!$F:$F,Datos!$A:$A,$B17,Datos!$B:$B,IQ$3)</f>
        <v>0</v>
      </c>
      <c r="IR17" s="16">
        <f>SUMIFS(Datos!$F:$F,Datos!$A:$A,$B17,Datos!$B:$B,IR$3)</f>
        <v>0</v>
      </c>
      <c r="IS17" s="16">
        <f>SUMIFS(Datos!$F:$F,Datos!$A:$A,$B17,Datos!$B:$B,IS$3)</f>
        <v>0</v>
      </c>
      <c r="IT17" s="16">
        <f>SUMIFS(Datos!$F:$F,Datos!$A:$A,$B17,Datos!$B:$B,IT$3)</f>
        <v>0</v>
      </c>
      <c r="IU17" s="16">
        <f>SUMIFS(Datos!$F:$F,Datos!$A:$A,$B17,Datos!$B:$B,IU$3)</f>
        <v>0</v>
      </c>
      <c r="IV17" s="16">
        <f>SUMIFS(Datos!$F:$F,Datos!$A:$A,$B17,Datos!$B:$B,IV$3)</f>
        <v>0</v>
      </c>
      <c r="IW17" s="16">
        <f>SUMIFS(Datos!$F:$F,Datos!$A:$A,$B17,Datos!$B:$B,IW$3)</f>
        <v>0</v>
      </c>
      <c r="IX17" s="16">
        <f>SUMIFS(Datos!$F:$F,Datos!$A:$A,$B17,Datos!$B:$B,IX$3)</f>
        <v>0</v>
      </c>
      <c r="IY17" s="16">
        <f>SUMIFS(Datos!$F:$F,Datos!$A:$A,$B17,Datos!$B:$B,IY$3)</f>
        <v>0</v>
      </c>
      <c r="IZ17" s="16">
        <f>SUMIFS(Datos!$F:$F,Datos!$A:$A,$B17,Datos!$B:$B,IZ$3)</f>
        <v>0</v>
      </c>
      <c r="JA17" s="16">
        <f>SUMIFS(Datos!$F:$F,Datos!$A:$A,$B17,Datos!$B:$B,JA$3)</f>
        <v>0</v>
      </c>
      <c r="JB17" s="16">
        <f>SUMIFS(Datos!$F:$F,Datos!$A:$A,$B17,Datos!$B:$B,JB$3)</f>
        <v>0</v>
      </c>
      <c r="JC17" s="16">
        <f>SUMIFS(Datos!$F:$F,Datos!$A:$A,$B17,Datos!$B:$B,JC$3)</f>
        <v>0</v>
      </c>
      <c r="JD17" s="16">
        <f>SUMIFS(Datos!$F:$F,Datos!$A:$A,$B17,Datos!$B:$B,JD$3)</f>
        <v>0</v>
      </c>
      <c r="JE17" s="16">
        <f>SUMIFS(Datos!$F:$F,Datos!$A:$A,$B17,Datos!$B:$B,JE$3)</f>
        <v>0</v>
      </c>
      <c r="JF17" s="16">
        <f>SUMIFS(Datos!$F:$F,Datos!$A:$A,$B17,Datos!$B:$B,JF$3)</f>
        <v>0</v>
      </c>
      <c r="JG17" s="16">
        <f>SUMIFS(Datos!$F:$F,Datos!$A:$A,$B17,Datos!$B:$B,JG$3)</f>
        <v>0</v>
      </c>
      <c r="JH17" s="16">
        <f>SUMIFS(Datos!$F:$F,Datos!$A:$A,$B17,Datos!$B:$B,JH$3)</f>
        <v>0</v>
      </c>
      <c r="JI17" s="16">
        <f>SUMIFS(Datos!$F:$F,Datos!$A:$A,$B17,Datos!$B:$B,JI$3)</f>
        <v>0</v>
      </c>
      <c r="JJ17" s="16">
        <f>SUMIFS(Datos!$F:$F,Datos!$A:$A,$B17,Datos!$B:$B,JJ$3)</f>
        <v>0</v>
      </c>
      <c r="JK17" s="16">
        <f>SUMIFS(Datos!$F:$F,Datos!$A:$A,$B17,Datos!$B:$B,JK$3)</f>
        <v>0</v>
      </c>
      <c r="JL17" s="16">
        <f>SUMIFS(Datos!$F:$F,Datos!$A:$A,$B17,Datos!$B:$B,JL$3)</f>
        <v>0</v>
      </c>
      <c r="JM17" s="16">
        <f>SUMIFS(Datos!$F:$F,Datos!$A:$A,$B17,Datos!$B:$B,JM$3)</f>
        <v>0</v>
      </c>
      <c r="JN17" s="16">
        <f>SUMIFS(Datos!$F:$F,Datos!$A:$A,$B17,Datos!$B:$B,JN$3)</f>
        <v>0</v>
      </c>
      <c r="JO17" s="16">
        <f>SUMIFS(Datos!$F:$F,Datos!$A:$A,$B17,Datos!$B:$B,JO$3)</f>
        <v>0</v>
      </c>
      <c r="JP17" s="16">
        <f>SUMIFS(Datos!$F:$F,Datos!$A:$A,$B17,Datos!$B:$B,JP$3)</f>
        <v>0</v>
      </c>
      <c r="JQ17" s="16">
        <f>SUMIFS(Datos!$F:$F,Datos!$A:$A,$B17,Datos!$B:$B,JQ$3)</f>
        <v>0</v>
      </c>
      <c r="JR17" s="16">
        <f>SUMIFS(Datos!$F:$F,Datos!$A:$A,$B17,Datos!$B:$B,JR$3)</f>
        <v>0</v>
      </c>
      <c r="JS17" s="16">
        <f>SUMIFS(Datos!$F:$F,Datos!$A:$A,$B17,Datos!$B:$B,JS$3)</f>
        <v>0</v>
      </c>
      <c r="JT17" s="16">
        <f>SUMIFS(Datos!$F:$F,Datos!$A:$A,$B17,Datos!$B:$B,JT$3)</f>
        <v>0</v>
      </c>
      <c r="JU17" s="16">
        <f>SUMIFS(Datos!$F:$F,Datos!$A:$A,$B17,Datos!$B:$B,JU$3)</f>
        <v>0</v>
      </c>
      <c r="JV17" s="16">
        <f>SUMIFS(Datos!$F:$F,Datos!$A:$A,$B17,Datos!$B:$B,JV$3)</f>
        <v>0</v>
      </c>
      <c r="JW17" s="16">
        <f>SUMIFS(Datos!$F:$F,Datos!$A:$A,$B17,Datos!$B:$B,JW$3)</f>
        <v>0</v>
      </c>
      <c r="JX17" s="16">
        <f>SUMIFS(Datos!$F:$F,Datos!$A:$A,$B17,Datos!$B:$B,JX$3)</f>
        <v>0</v>
      </c>
      <c r="JY17" s="16">
        <f>SUMIFS(Datos!$F:$F,Datos!$A:$A,$B17,Datos!$B:$B,JY$3)</f>
        <v>0</v>
      </c>
      <c r="JZ17" s="16">
        <f>SUMIFS(Datos!$F:$F,Datos!$A:$A,$B17,Datos!$B:$B,JZ$3)</f>
        <v>0</v>
      </c>
      <c r="KA17" s="16">
        <f>SUMIFS(Datos!$F:$F,Datos!$A:$A,$B17,Datos!$B:$B,KA$3)</f>
        <v>0</v>
      </c>
      <c r="KB17" s="16">
        <f>SUMIFS(Datos!$F:$F,Datos!$A:$A,$B17,Datos!$B:$B,KB$3)</f>
        <v>0</v>
      </c>
      <c r="KC17" s="16">
        <f>SUMIFS(Datos!$F:$F,Datos!$A:$A,$B17,Datos!$B:$B,KC$3)</f>
        <v>0</v>
      </c>
      <c r="KD17" s="16">
        <f>SUMIFS(Datos!$F:$F,Datos!$A:$A,$B17,Datos!$B:$B,KD$3)</f>
        <v>0</v>
      </c>
      <c r="KE17" s="16">
        <f>SUMIFS(Datos!$F:$F,Datos!$A:$A,$B17,Datos!$B:$B,KE$3)</f>
        <v>0</v>
      </c>
      <c r="KF17" s="16">
        <f>SUMIFS(Datos!$F:$F,Datos!$A:$A,$B17,Datos!$B:$B,KF$3)</f>
        <v>0</v>
      </c>
      <c r="KG17" s="16">
        <f>SUMIFS(Datos!$F:$F,Datos!$A:$A,$B17,Datos!$B:$B,KG$3)</f>
        <v>0</v>
      </c>
      <c r="KH17" s="16">
        <f>SUMIFS(Datos!$F:$F,Datos!$A:$A,$B17,Datos!$B:$B,KH$3)</f>
        <v>0</v>
      </c>
      <c r="KI17" s="16">
        <f>SUMIFS(Datos!$F:$F,Datos!$A:$A,$B17,Datos!$B:$B,KI$3)</f>
        <v>0</v>
      </c>
      <c r="KJ17" s="16">
        <f>SUMIFS(Datos!$F:$F,Datos!$A:$A,$B17,Datos!$B:$B,KJ$3)</f>
        <v>0</v>
      </c>
      <c r="KK17" s="16">
        <f>SUMIFS(Datos!$F:$F,Datos!$A:$A,$B17,Datos!$B:$B,KK$3)</f>
        <v>0</v>
      </c>
      <c r="KL17" s="16">
        <f>SUMIFS(Datos!$F:$F,Datos!$A:$A,$B17,Datos!$B:$B,KL$3)</f>
        <v>0</v>
      </c>
      <c r="KM17" s="16">
        <f>SUMIFS(Datos!$F:$F,Datos!$A:$A,$B17,Datos!$B:$B,KM$3)</f>
        <v>0</v>
      </c>
      <c r="KN17" s="16">
        <f>SUMIFS(Datos!$F:$F,Datos!$A:$A,$B17,Datos!$B:$B,KN$3)</f>
        <v>0</v>
      </c>
      <c r="KO17" s="16">
        <f>SUMIFS(Datos!$F:$F,Datos!$A:$A,$B17,Datos!$B:$B,KO$3)</f>
        <v>0</v>
      </c>
      <c r="KP17" s="16">
        <f>SUMIFS(Datos!$F:$F,Datos!$A:$A,$B17,Datos!$B:$B,KP$3)</f>
        <v>0</v>
      </c>
      <c r="KQ17" s="16">
        <f>SUMIFS(Datos!$F:$F,Datos!$A:$A,$B17,Datos!$B:$B,KQ$3)</f>
        <v>0</v>
      </c>
      <c r="KR17" s="16">
        <f>SUMIFS(Datos!$F:$F,Datos!$A:$A,$B17,Datos!$B:$B,KR$3)</f>
        <v>0</v>
      </c>
      <c r="KS17" s="16">
        <f>SUMIFS(Datos!$F:$F,Datos!$A:$A,$B17,Datos!$B:$B,KS$3)</f>
        <v>0</v>
      </c>
      <c r="KT17" s="16">
        <f>SUMIFS(Datos!$F:$F,Datos!$A:$A,$B17,Datos!$B:$B,KT$3)</f>
        <v>0</v>
      </c>
      <c r="KU17" s="16">
        <f>SUMIFS(Datos!$F:$F,Datos!$A:$A,$B17,Datos!$B:$B,KU$3)</f>
        <v>0</v>
      </c>
      <c r="KV17" s="16">
        <f>SUMIFS(Datos!$F:$F,Datos!$A:$A,$B17,Datos!$B:$B,KV$3)</f>
        <v>0</v>
      </c>
      <c r="KW17" s="16">
        <f>SUMIFS(Datos!$F:$F,Datos!$A:$A,$B17,Datos!$B:$B,KW$3)</f>
        <v>0</v>
      </c>
      <c r="KX17" s="16">
        <f>SUMIFS(Datos!$F:$F,Datos!$A:$A,$B17,Datos!$B:$B,KX$3)</f>
        <v>0</v>
      </c>
      <c r="KY17" s="16">
        <f>SUMIFS(Datos!$F:$F,Datos!$A:$A,$B17,Datos!$B:$B,KY$3)</f>
        <v>0</v>
      </c>
      <c r="KZ17" s="16">
        <f>SUMIFS(Datos!$F:$F,Datos!$A:$A,$B17,Datos!$B:$B,KZ$3)</f>
        <v>0</v>
      </c>
      <c r="LA17" s="16">
        <f>SUMIFS(Datos!$F:$F,Datos!$A:$A,$B17,Datos!$B:$B,LA$3)</f>
        <v>0</v>
      </c>
      <c r="LB17" s="16">
        <f>SUMIFS(Datos!$F:$F,Datos!$A:$A,$B17,Datos!$B:$B,LB$3)</f>
        <v>0</v>
      </c>
      <c r="LC17" s="16">
        <f>SUMIFS(Datos!$F:$F,Datos!$A:$A,$B17,Datos!$B:$B,LC$3)</f>
        <v>0</v>
      </c>
      <c r="LD17" s="16">
        <f>SUMIFS(Datos!$F:$F,Datos!$A:$A,$B17,Datos!$B:$B,LD$3)</f>
        <v>0</v>
      </c>
      <c r="LE17" s="16">
        <f>SUMIFS(Datos!$F:$F,Datos!$A:$A,$B17,Datos!$B:$B,LE$3)</f>
        <v>0</v>
      </c>
      <c r="LF17" s="16">
        <f>SUMIFS(Datos!$F:$F,Datos!$A:$A,$B17,Datos!$B:$B,LF$3)</f>
        <v>0</v>
      </c>
      <c r="LG17" s="16">
        <f>SUMIFS(Datos!$F:$F,Datos!$A:$A,$B17,Datos!$B:$B,LG$3)</f>
        <v>0</v>
      </c>
      <c r="LH17" s="16">
        <f>SUMIFS(Datos!$F:$F,Datos!$A:$A,$B17,Datos!$B:$B,LH$3)</f>
        <v>0</v>
      </c>
      <c r="LI17" s="16">
        <f>SUMIFS(Datos!$F:$F,Datos!$A:$A,$B17,Datos!$B:$B,LI$3)</f>
        <v>0</v>
      </c>
      <c r="LJ17" s="16">
        <f>SUMIFS(Datos!$F:$F,Datos!$A:$A,$B17,Datos!$B:$B,LJ$3)</f>
        <v>0</v>
      </c>
      <c r="LK17" s="16">
        <f>SUMIFS(Datos!$F:$F,Datos!$A:$A,$B17,Datos!$B:$B,LK$3)</f>
        <v>0</v>
      </c>
      <c r="LL17" s="16">
        <f>SUMIFS(Datos!$F:$F,Datos!$A:$A,$B17,Datos!$B:$B,LL$3)</f>
        <v>0</v>
      </c>
      <c r="LM17" s="16">
        <f>SUMIFS(Datos!$F:$F,Datos!$A:$A,$B17,Datos!$B:$B,LM$3)</f>
        <v>0</v>
      </c>
      <c r="LN17" s="16">
        <f>SUMIFS(Datos!$F:$F,Datos!$A:$A,$B17,Datos!$B:$B,LN$3)</f>
        <v>0</v>
      </c>
      <c r="LO17" s="16">
        <f>SUMIFS(Datos!$F:$F,Datos!$A:$A,$B17,Datos!$B:$B,LO$3)</f>
        <v>0</v>
      </c>
      <c r="LP17" s="16">
        <f>SUMIFS(Datos!$F:$F,Datos!$A:$A,$B17,Datos!$B:$B,LP$3)</f>
        <v>0</v>
      </c>
      <c r="LQ17" s="16">
        <f>SUMIFS(Datos!$F:$F,Datos!$A:$A,$B17,Datos!$B:$B,LQ$3)</f>
        <v>0</v>
      </c>
      <c r="LR17" s="16">
        <f>SUMIFS(Datos!$F:$F,Datos!$A:$A,$B17,Datos!$B:$B,LR$3)</f>
        <v>0</v>
      </c>
      <c r="LS17" s="16">
        <f>SUMIFS(Datos!$F:$F,Datos!$A:$A,$B17,Datos!$B:$B,LS$3)</f>
        <v>0</v>
      </c>
      <c r="LT17" s="16">
        <f>SUMIFS(Datos!$F:$F,Datos!$A:$A,$B17,Datos!$B:$B,LT$3)</f>
        <v>0</v>
      </c>
      <c r="LU17" s="16">
        <f>SUMIFS(Datos!$F:$F,Datos!$A:$A,$B17,Datos!$B:$B,LU$3)</f>
        <v>0</v>
      </c>
      <c r="LV17" s="16">
        <f>SUMIFS(Datos!$F:$F,Datos!$A:$A,$B17,Datos!$B:$B,LV$3)</f>
        <v>0</v>
      </c>
      <c r="LW17" s="16">
        <f>SUMIFS(Datos!$F:$F,Datos!$A:$A,$B17,Datos!$B:$B,LW$3)</f>
        <v>0</v>
      </c>
      <c r="LX17" s="16">
        <f>SUMIFS(Datos!$F:$F,Datos!$A:$A,$B17,Datos!$B:$B,LX$3)</f>
        <v>0</v>
      </c>
      <c r="LY17" s="16">
        <f>SUMIFS(Datos!$F:$F,Datos!$A:$A,$B17,Datos!$B:$B,LY$3)</f>
        <v>0</v>
      </c>
      <c r="LZ17" s="16">
        <f>SUMIFS(Datos!$F:$F,Datos!$A:$A,$B17,Datos!$B:$B,LZ$3)</f>
        <v>0</v>
      </c>
      <c r="MA17" s="16">
        <f>SUMIFS(Datos!$F:$F,Datos!$A:$A,$B17,Datos!$B:$B,MA$3)</f>
        <v>0</v>
      </c>
      <c r="MB17" s="16">
        <f>SUMIFS(Datos!$F:$F,Datos!$A:$A,$B17,Datos!$B:$B,MB$3)</f>
        <v>0</v>
      </c>
      <c r="MC17" s="16">
        <f>SUMIFS(Datos!$F:$F,Datos!$A:$A,$B17,Datos!$B:$B,MC$3)</f>
        <v>0</v>
      </c>
      <c r="MD17" s="16">
        <f>SUMIFS(Datos!$F:$F,Datos!$A:$A,$B17,Datos!$B:$B,MD$3)</f>
        <v>0</v>
      </c>
      <c r="ME17" s="16">
        <f>SUMIFS(Datos!$F:$F,Datos!$A:$A,$B17,Datos!$B:$B,ME$3)</f>
        <v>0</v>
      </c>
      <c r="MF17" s="16">
        <f>SUMIFS(Datos!$F:$F,Datos!$A:$A,$B17,Datos!$B:$B,MF$3)</f>
        <v>0</v>
      </c>
      <c r="MG17" s="16">
        <f>SUMIFS(Datos!$F:$F,Datos!$A:$A,$B17,Datos!$B:$B,MG$3)</f>
        <v>0</v>
      </c>
      <c r="MH17" s="16">
        <f>SUMIFS(Datos!$F:$F,Datos!$A:$A,$B17,Datos!$B:$B,MH$3)</f>
        <v>0</v>
      </c>
      <c r="MI17" s="16">
        <f>SUMIFS(Datos!$F:$F,Datos!$A:$A,$B17,Datos!$B:$B,MI$3)</f>
        <v>0</v>
      </c>
      <c r="MJ17" s="16">
        <f>SUMIFS(Datos!$F:$F,Datos!$A:$A,$B17,Datos!$B:$B,MJ$3)</f>
        <v>0</v>
      </c>
      <c r="MK17" s="16">
        <f>SUMIFS(Datos!$F:$F,Datos!$A:$A,$B17,Datos!$B:$B,MK$3)</f>
        <v>0</v>
      </c>
      <c r="ML17" s="16">
        <f>SUMIFS(Datos!$F:$F,Datos!$A:$A,$B17,Datos!$B:$B,ML$3)</f>
        <v>0</v>
      </c>
      <c r="MM17" s="16">
        <f>SUMIFS(Datos!$F:$F,Datos!$A:$A,$B17,Datos!$B:$B,MM$3)</f>
        <v>0</v>
      </c>
      <c r="MN17" s="16">
        <f>SUMIFS(Datos!$F:$F,Datos!$A:$A,$B17,Datos!$B:$B,MN$3)</f>
        <v>0</v>
      </c>
      <c r="MO17" s="16">
        <f>SUMIFS(Datos!$F:$F,Datos!$A:$A,$B17,Datos!$B:$B,MO$3)</f>
        <v>0</v>
      </c>
      <c r="MP17" s="16">
        <f>SUMIFS(Datos!$F:$F,Datos!$A:$A,$B17,Datos!$B:$B,MP$3)</f>
        <v>0</v>
      </c>
      <c r="MQ17" s="16">
        <f>SUMIFS(Datos!$F:$F,Datos!$A:$A,$B17,Datos!$B:$B,MQ$3)</f>
        <v>0</v>
      </c>
      <c r="MR17" s="16">
        <f>SUMIFS(Datos!$F:$F,Datos!$A:$A,$B17,Datos!$B:$B,MR$3)</f>
        <v>0</v>
      </c>
      <c r="MS17" s="16">
        <f>SUMIFS(Datos!$F:$F,Datos!$A:$A,$B17,Datos!$B:$B,MS$3)</f>
        <v>0</v>
      </c>
      <c r="MT17" s="16">
        <f>SUMIFS(Datos!$F:$F,Datos!$A:$A,$B17,Datos!$B:$B,MT$3)</f>
        <v>0</v>
      </c>
      <c r="MU17" s="16">
        <f>SUMIFS(Datos!$F:$F,Datos!$A:$A,$B17,Datos!$B:$B,MU$3)</f>
        <v>0</v>
      </c>
      <c r="MV17" s="16">
        <f>SUMIFS(Datos!$F:$F,Datos!$A:$A,$B17,Datos!$B:$B,MV$3)</f>
        <v>0</v>
      </c>
      <c r="MW17" s="16">
        <f>SUMIFS(Datos!$F:$F,Datos!$A:$A,$B17,Datos!$B:$B,MW$3)</f>
        <v>0</v>
      </c>
      <c r="MX17" s="16">
        <f>SUMIFS(Datos!$F:$F,Datos!$A:$A,$B17,Datos!$B:$B,MX$3)</f>
        <v>0</v>
      </c>
      <c r="MY17" s="16">
        <f>SUMIFS(Datos!$F:$F,Datos!$A:$A,$B17,Datos!$B:$B,MY$3)</f>
        <v>0</v>
      </c>
      <c r="MZ17" s="16">
        <f>SUMIFS(Datos!$F:$F,Datos!$A:$A,$B17,Datos!$B:$B,MZ$3)</f>
        <v>0</v>
      </c>
      <c r="NA17" s="16">
        <f>SUMIFS(Datos!$F:$F,Datos!$A:$A,$B17,Datos!$B:$B,NA$3)</f>
        <v>0</v>
      </c>
      <c r="NB17" s="16">
        <f>SUMIFS(Datos!$F:$F,Datos!$A:$A,$B17,Datos!$B:$B,NB$3)</f>
        <v>0</v>
      </c>
      <c r="NC17" s="16">
        <f>SUMIFS(Datos!$F:$F,Datos!$A:$A,$B17,Datos!$B:$B,NC$3)</f>
        <v>0</v>
      </c>
      <c r="ND17" s="16">
        <f>SUMIFS(Datos!$F:$F,Datos!$A:$A,$B17,Datos!$B:$B,ND$3)</f>
        <v>0</v>
      </c>
      <c r="NE17" s="16">
        <f>SUMIFS(Datos!$F:$F,Datos!$A:$A,$B17,Datos!$B:$B,NE$3)</f>
        <v>0</v>
      </c>
      <c r="NF17" s="16">
        <f>SUMIFS(Datos!$F:$F,Datos!$A:$A,$B17,Datos!$B:$B,NF$3)</f>
        <v>0</v>
      </c>
      <c r="NG17" s="16">
        <f>SUMIFS(Datos!$F:$F,Datos!$A:$A,$B17,Datos!$B:$B,NG$3)</f>
        <v>0</v>
      </c>
      <c r="NH17" s="16">
        <f>SUMIFS(Datos!$F:$F,Datos!$A:$A,$B17,Datos!$B:$B,NH$3)</f>
        <v>0</v>
      </c>
      <c r="NI17" s="16">
        <f>SUMIFS(Datos!$F:$F,Datos!$A:$A,$B17,Datos!$B:$B,NI$3)</f>
        <v>0</v>
      </c>
      <c r="NJ17" s="16">
        <f>SUMIFS(Datos!$F:$F,Datos!$A:$A,$B17,Datos!$B:$B,NJ$3)</f>
        <v>0</v>
      </c>
      <c r="NK17" s="16">
        <f>SUMIFS(Datos!$F:$F,Datos!$A:$A,$B17,Datos!$B:$B,NK$3)</f>
        <v>0</v>
      </c>
      <c r="NL17" s="16">
        <f>SUMIFS(Datos!$F:$F,Datos!$A:$A,$B17,Datos!$B:$B,NL$3)</f>
        <v>0</v>
      </c>
      <c r="NM17" s="16">
        <f>SUMIFS(Datos!$F:$F,Datos!$A:$A,$B17,Datos!$B:$B,NM$3)</f>
        <v>0</v>
      </c>
      <c r="NN17" s="16">
        <f>SUMIFS(Datos!$F:$F,Datos!$A:$A,$B17,Datos!$B:$B,NN$3)</f>
        <v>0</v>
      </c>
      <c r="NO17" s="16">
        <f>SUMIFS(Datos!$F:$F,Datos!$A:$A,$B17,Datos!$B:$B,NO$3)</f>
        <v>0</v>
      </c>
      <c r="NP17" s="16">
        <f>SUMIFS(Datos!$F:$F,Datos!$A:$A,$B17,Datos!$B:$B,NP$3)</f>
        <v>0</v>
      </c>
      <c r="NQ17" s="16">
        <f>SUMIFS(Datos!$F:$F,Datos!$A:$A,$B17,Datos!$B:$B,NQ$3)</f>
        <v>0</v>
      </c>
      <c r="NR17" s="16">
        <f>SUMIFS(Datos!$F:$F,Datos!$A:$A,$B17,Datos!$B:$B,NR$3)</f>
        <v>0</v>
      </c>
      <c r="NS17" s="16">
        <f>SUMIFS(Datos!$F:$F,Datos!$A:$A,$B17,Datos!$B:$B,NS$3)</f>
        <v>0</v>
      </c>
      <c r="NT17" s="16">
        <f>SUMIFS(Datos!$F:$F,Datos!$A:$A,$B17,Datos!$B:$B,NT$3)</f>
        <v>0</v>
      </c>
      <c r="NU17" s="16">
        <f>SUMIFS(Datos!$F:$F,Datos!$A:$A,$B17,Datos!$B:$B,NU$3)</f>
        <v>0</v>
      </c>
      <c r="NV17" s="16">
        <f>SUMIFS(Datos!$F:$F,Datos!$A:$A,$B17,Datos!$B:$B,NV$3)</f>
        <v>0</v>
      </c>
      <c r="NW17" s="16">
        <f>SUMIFS(Datos!$F:$F,Datos!$A:$A,$B17,Datos!$B:$B,NW$3)</f>
        <v>0</v>
      </c>
      <c r="NX17" s="16">
        <f>SUMIFS(Datos!$F:$F,Datos!$A:$A,$B17,Datos!$B:$B,NX$3)</f>
        <v>0</v>
      </c>
      <c r="NY17" s="16">
        <f>SUMIFS(Datos!$F:$F,Datos!$A:$A,$B17,Datos!$B:$B,NY$3)</f>
        <v>0</v>
      </c>
      <c r="NZ17" s="16">
        <f>SUMIFS(Datos!$F:$F,Datos!$A:$A,$B17,Datos!$B:$B,NZ$3)</f>
        <v>0</v>
      </c>
      <c r="OA17" s="16">
        <f>SUMIFS(Datos!$F:$F,Datos!$A:$A,$B17,Datos!$B:$B,OA$3)</f>
        <v>0</v>
      </c>
      <c r="OB17" s="16">
        <f>SUMIFS(Datos!$F:$F,Datos!$A:$A,$B17,Datos!$B:$B,OB$3)</f>
        <v>0</v>
      </c>
      <c r="OC17" s="16">
        <f>SUMIFS(Datos!$F:$F,Datos!$A:$A,$B17,Datos!$B:$B,OC$3)</f>
        <v>0</v>
      </c>
      <c r="OD17" s="16">
        <f>SUMIFS(Datos!$F:$F,Datos!$A:$A,$B17,Datos!$B:$B,OD$3)</f>
        <v>0</v>
      </c>
      <c r="OE17" s="16">
        <f>SUMIFS(Datos!$F:$F,Datos!$A:$A,$B17,Datos!$B:$B,OE$3)</f>
        <v>0</v>
      </c>
      <c r="OF17" s="16">
        <f>SUMIFS(Datos!$F:$F,Datos!$A:$A,$B17,Datos!$B:$B,OF$3)</f>
        <v>0</v>
      </c>
      <c r="OG17" s="16">
        <f>SUMIFS(Datos!$F:$F,Datos!$A:$A,$B17,Datos!$B:$B,OG$3)</f>
        <v>0</v>
      </c>
      <c r="OH17" s="16">
        <f>SUMIFS(Datos!$F:$F,Datos!$A:$A,$B17,Datos!$B:$B,OH$3)</f>
        <v>0</v>
      </c>
      <c r="OI17" s="16">
        <f>SUMIFS(Datos!$F:$F,Datos!$A:$A,$B17,Datos!$B:$B,OI$3)</f>
        <v>0</v>
      </c>
      <c r="OJ17" s="16">
        <f>SUMIFS(Datos!$F:$F,Datos!$A:$A,$B17,Datos!$B:$B,OJ$3)</f>
        <v>0</v>
      </c>
      <c r="OK17" s="16">
        <f>SUMIFS(Datos!$F:$F,Datos!$A:$A,$B17,Datos!$B:$B,OK$3)</f>
        <v>0</v>
      </c>
      <c r="OL17" s="16">
        <f>SUMIFS(Datos!$F:$F,Datos!$A:$A,$B17,Datos!$B:$B,OL$3)</f>
        <v>0</v>
      </c>
      <c r="OM17" s="16">
        <f>SUMIFS(Datos!$F:$F,Datos!$A:$A,$B17,Datos!$B:$B,OM$3)</f>
        <v>0</v>
      </c>
      <c r="ON17" s="16">
        <f>SUMIFS(Datos!$F:$F,Datos!$A:$A,$B17,Datos!$B:$B,ON$3)</f>
        <v>0</v>
      </c>
      <c r="OO17" s="16">
        <f>SUMIFS(Datos!$F:$F,Datos!$A:$A,$B17,Datos!$B:$B,OO$3)</f>
        <v>0</v>
      </c>
      <c r="OP17" s="16">
        <f>SUMIFS(Datos!$F:$F,Datos!$A:$A,$B17,Datos!$B:$B,OP$3)</f>
        <v>0</v>
      </c>
      <c r="OQ17" s="16">
        <f>SUMIFS(Datos!$F:$F,Datos!$A:$A,$B17,Datos!$B:$B,OQ$3)</f>
        <v>0</v>
      </c>
      <c r="OR17" s="16">
        <f>SUMIFS(Datos!$F:$F,Datos!$A:$A,$B17,Datos!$B:$B,OR$3)</f>
        <v>0</v>
      </c>
      <c r="OS17" s="16">
        <f>SUMIFS(Datos!$F:$F,Datos!$A:$A,$B17,Datos!$B:$B,OS$3)</f>
        <v>0</v>
      </c>
      <c r="OT17" s="16">
        <f>SUMIFS(Datos!$F:$F,Datos!$A:$A,$B17,Datos!$B:$B,OT$3)</f>
        <v>0</v>
      </c>
      <c r="OU17" s="16">
        <f>SUMIFS(Datos!$F:$F,Datos!$A:$A,$B17,Datos!$B:$B,OU$3)</f>
        <v>0</v>
      </c>
      <c r="OV17" s="16">
        <f>SUMIFS(Datos!$F:$F,Datos!$A:$A,$B17,Datos!$B:$B,OV$3)</f>
        <v>0</v>
      </c>
      <c r="OW17" s="16">
        <f>SUMIFS(Datos!$F:$F,Datos!$A:$A,$B17,Datos!$B:$B,OW$3)</f>
        <v>0</v>
      </c>
      <c r="OX17" s="16">
        <f>SUMIFS(Datos!$F:$F,Datos!$A:$A,$B17,Datos!$B:$B,OX$3)</f>
        <v>0</v>
      </c>
      <c r="OY17" s="16">
        <f>SUMIFS(Datos!$F:$F,Datos!$A:$A,$B17,Datos!$B:$B,OY$3)</f>
        <v>0</v>
      </c>
      <c r="OZ17" s="16">
        <f>SUMIFS(Datos!$F:$F,Datos!$A:$A,$B17,Datos!$B:$B,OZ$3)</f>
        <v>0</v>
      </c>
      <c r="PA17" s="16">
        <f>SUMIFS(Datos!$F:$F,Datos!$A:$A,$B17,Datos!$B:$B,PA$3)</f>
        <v>0</v>
      </c>
      <c r="PB17" s="16">
        <f>SUMIFS(Datos!$F:$F,Datos!$A:$A,$B17,Datos!$B:$B,PB$3)</f>
        <v>0</v>
      </c>
      <c r="PC17" s="16">
        <f>SUMIFS(Datos!$F:$F,Datos!$A:$A,$B17,Datos!$B:$B,PC$3)</f>
        <v>0</v>
      </c>
      <c r="PD17" s="16">
        <f>SUMIFS(Datos!$F:$F,Datos!$A:$A,$B17,Datos!$B:$B,PD$3)</f>
        <v>0</v>
      </c>
      <c r="PE17" s="16">
        <f>SUMIFS(Datos!$F:$F,Datos!$A:$A,$B17,Datos!$B:$B,PE$3)</f>
        <v>0</v>
      </c>
      <c r="PF17" s="16">
        <f>SUMIFS(Datos!$F:$F,Datos!$A:$A,$B17,Datos!$B:$B,PF$3)</f>
        <v>0</v>
      </c>
      <c r="PG17" s="16">
        <f>SUMIFS(Datos!$F:$F,Datos!$A:$A,$B17,Datos!$B:$B,PG$3)</f>
        <v>0</v>
      </c>
      <c r="PH17" s="16">
        <f>SUMIFS(Datos!$F:$F,Datos!$A:$A,$B17,Datos!$B:$B,PH$3)</f>
        <v>0</v>
      </c>
      <c r="PI17" s="16">
        <f>SUMIFS(Datos!$F:$F,Datos!$A:$A,$B17,Datos!$B:$B,PI$3)</f>
        <v>0</v>
      </c>
      <c r="PJ17" s="16">
        <f>SUMIFS(Datos!$F:$F,Datos!$A:$A,$B17,Datos!$B:$B,PJ$3)</f>
        <v>0</v>
      </c>
      <c r="PK17" s="16">
        <f>SUMIFS(Datos!$F:$F,Datos!$A:$A,$B17,Datos!$B:$B,PK$3)</f>
        <v>0</v>
      </c>
      <c r="PL17" s="16">
        <f>SUMIFS(Datos!$F:$F,Datos!$A:$A,$B17,Datos!$B:$B,PL$3)</f>
        <v>0</v>
      </c>
      <c r="PM17" s="16">
        <f>SUMIFS(Datos!$F:$F,Datos!$A:$A,$B17,Datos!$B:$B,PM$3)</f>
        <v>0</v>
      </c>
      <c r="PN17" s="16">
        <f>SUMIFS(Datos!$F:$F,Datos!$A:$A,$B17,Datos!$B:$B,PN$3)</f>
        <v>0</v>
      </c>
      <c r="PO17" s="16">
        <f>SUMIFS(Datos!$F:$F,Datos!$A:$A,$B17,Datos!$B:$B,PO$3)</f>
        <v>0</v>
      </c>
      <c r="PP17" s="16">
        <f>SUMIFS(Datos!$F:$F,Datos!$A:$A,$B17,Datos!$B:$B,PP$3)</f>
        <v>0</v>
      </c>
      <c r="PQ17" s="16">
        <f>SUMIFS(Datos!$F:$F,Datos!$A:$A,$B17,Datos!$B:$B,PQ$3)</f>
        <v>0</v>
      </c>
      <c r="PR17" s="16">
        <f>SUMIFS(Datos!$F:$F,Datos!$A:$A,$B17,Datos!$B:$B,PR$3)</f>
        <v>0</v>
      </c>
      <c r="PS17" s="16">
        <f>SUMIFS(Datos!$F:$F,Datos!$A:$A,$B17,Datos!$B:$B,PS$3)</f>
        <v>0</v>
      </c>
      <c r="PT17" s="16">
        <f>SUMIFS(Datos!$F:$F,Datos!$A:$A,$B17,Datos!$B:$B,PT$3)</f>
        <v>0</v>
      </c>
      <c r="PU17" s="16">
        <f>SUMIFS(Datos!$F:$F,Datos!$A:$A,$B17,Datos!$B:$B,PU$3)</f>
        <v>0</v>
      </c>
      <c r="PV17" s="16">
        <f>SUMIFS(Datos!$F:$F,Datos!$A:$A,$B17,Datos!$B:$B,PV$3)</f>
        <v>0</v>
      </c>
      <c r="PW17" s="16">
        <f>SUMIFS(Datos!$F:$F,Datos!$A:$A,$B17,Datos!$B:$B,PW$3)</f>
        <v>0</v>
      </c>
      <c r="PX17" s="16">
        <f>SUMIFS(Datos!$F:$F,Datos!$A:$A,$B17,Datos!$B:$B,PX$3)</f>
        <v>0</v>
      </c>
      <c r="PY17" s="16">
        <f>SUMIFS(Datos!$F:$F,Datos!$A:$A,$B17,Datos!$B:$B,PY$3)</f>
        <v>0</v>
      </c>
      <c r="PZ17" s="16">
        <f>SUMIFS(Datos!$F:$F,Datos!$A:$A,$B17,Datos!$B:$B,PZ$3)</f>
        <v>0</v>
      </c>
      <c r="QA17" s="16">
        <f>SUMIFS(Datos!$F:$F,Datos!$A:$A,$B17,Datos!$B:$B,QA$3)</f>
        <v>0</v>
      </c>
      <c r="QB17" s="16">
        <f>SUMIFS(Datos!$F:$F,Datos!$A:$A,$B17,Datos!$B:$B,QB$3)</f>
        <v>0</v>
      </c>
      <c r="QC17" s="16">
        <f>SUMIFS(Datos!$F:$F,Datos!$A:$A,$B17,Datos!$B:$B,QC$3)</f>
        <v>0</v>
      </c>
      <c r="QD17" s="16">
        <f>SUMIFS(Datos!$F:$F,Datos!$A:$A,$B17,Datos!$B:$B,QD$3)</f>
        <v>0</v>
      </c>
      <c r="QE17" s="16">
        <f>SUMIFS(Datos!$F:$F,Datos!$A:$A,$B17,Datos!$B:$B,QE$3)</f>
        <v>0</v>
      </c>
      <c r="QF17" s="16">
        <f>SUMIFS(Datos!$F:$F,Datos!$A:$A,$B17,Datos!$B:$B,QF$3)</f>
        <v>0</v>
      </c>
      <c r="QG17" s="16">
        <f>SUMIFS(Datos!$F:$F,Datos!$A:$A,$B17,Datos!$B:$B,QG$3)</f>
        <v>0</v>
      </c>
      <c r="QH17" s="16">
        <f>SUMIFS(Datos!$F:$F,Datos!$A:$A,$B17,Datos!$B:$B,QH$3)</f>
        <v>0</v>
      </c>
      <c r="QI17" s="16">
        <f>SUMIFS(Datos!$F:$F,Datos!$A:$A,$B17,Datos!$B:$B,QI$3)</f>
        <v>0</v>
      </c>
      <c r="QJ17" s="16">
        <f>SUMIFS(Datos!$F:$F,Datos!$A:$A,$B17,Datos!$B:$B,QJ$3)</f>
        <v>0</v>
      </c>
      <c r="QK17" s="16">
        <f>SUMIFS(Datos!$F:$F,Datos!$A:$A,$B17,Datos!$B:$B,QK$3)</f>
        <v>0</v>
      </c>
      <c r="QL17" s="16">
        <f>SUMIFS(Datos!$F:$F,Datos!$A:$A,$B17,Datos!$B:$B,QL$3)</f>
        <v>0</v>
      </c>
      <c r="QM17" s="16">
        <f>SUMIFS(Datos!$F:$F,Datos!$A:$A,$B17,Datos!$B:$B,QM$3)</f>
        <v>0</v>
      </c>
      <c r="QN17" s="16">
        <f>SUMIFS(Datos!$F:$F,Datos!$A:$A,$B17,Datos!$B:$B,QN$3)</f>
        <v>0</v>
      </c>
      <c r="QO17" s="16">
        <f>SUMIFS(Datos!$F:$F,Datos!$A:$A,$B17,Datos!$B:$B,QO$3)</f>
        <v>0</v>
      </c>
      <c r="QP17" s="16">
        <f>SUMIFS(Datos!$F:$F,Datos!$A:$A,$B17,Datos!$B:$B,QP$3)</f>
        <v>0</v>
      </c>
      <c r="QQ17" s="16">
        <f>SUMIFS(Datos!$F:$F,Datos!$A:$A,$B17,Datos!$B:$B,QQ$3)</f>
        <v>0</v>
      </c>
      <c r="QR17" s="16">
        <f>SUMIFS(Datos!$F:$F,Datos!$A:$A,$B17,Datos!$B:$B,QR$3)</f>
        <v>0</v>
      </c>
      <c r="QS17" s="16">
        <f>SUMIFS(Datos!$F:$F,Datos!$A:$A,$B17,Datos!$B:$B,QS$3)</f>
        <v>0</v>
      </c>
      <c r="QT17" s="16">
        <f>SUMIFS(Datos!$F:$F,Datos!$A:$A,$B17,Datos!$B:$B,QT$3)</f>
        <v>0</v>
      </c>
      <c r="QU17" s="16">
        <f>SUMIFS(Datos!$F:$F,Datos!$A:$A,$B17,Datos!$B:$B,QU$3)</f>
        <v>0</v>
      </c>
      <c r="QV17" s="16">
        <f>SUMIFS(Datos!$F:$F,Datos!$A:$A,$B17,Datos!$B:$B,QV$3)</f>
        <v>0</v>
      </c>
      <c r="QW17" s="16">
        <f>SUMIFS(Datos!$F:$F,Datos!$A:$A,$B17,Datos!$B:$B,QW$3)</f>
        <v>0</v>
      </c>
      <c r="QX17" s="16">
        <f>SUMIFS(Datos!$F:$F,Datos!$A:$A,$B17,Datos!$B:$B,QX$3)</f>
        <v>0</v>
      </c>
      <c r="QY17" s="16">
        <f>SUMIFS(Datos!$F:$F,Datos!$A:$A,$B17,Datos!$B:$B,QY$3)</f>
        <v>0</v>
      </c>
      <c r="QZ17" s="16">
        <f>SUMIFS(Datos!$F:$F,Datos!$A:$A,$B17,Datos!$B:$B,QZ$3)</f>
        <v>0</v>
      </c>
      <c r="RA17" s="16">
        <f>SUMIFS(Datos!$F:$F,Datos!$A:$A,$B17,Datos!$B:$B,RA$3)</f>
        <v>0</v>
      </c>
      <c r="RB17" s="16">
        <f>SUMIFS(Datos!$F:$F,Datos!$A:$A,$B17,Datos!$B:$B,RB$3)</f>
        <v>0</v>
      </c>
      <c r="RC17" s="16">
        <f>SUMIFS(Datos!$F:$F,Datos!$A:$A,$B17,Datos!$B:$B,RC$3)</f>
        <v>0</v>
      </c>
      <c r="RD17" s="16">
        <f>SUMIFS(Datos!$F:$F,Datos!$A:$A,$B17,Datos!$B:$B,RD$3)</f>
        <v>0</v>
      </c>
      <c r="RE17" s="16">
        <f>SUMIFS(Datos!$F:$F,Datos!$A:$A,$B17,Datos!$B:$B,RE$3)</f>
        <v>0</v>
      </c>
      <c r="RF17" s="16">
        <f>SUMIFS(Datos!$F:$F,Datos!$A:$A,$B17,Datos!$B:$B,RF$3)</f>
        <v>0</v>
      </c>
      <c r="RG17" s="16">
        <f>SUMIFS(Datos!$F:$F,Datos!$A:$A,$B17,Datos!$B:$B,RG$3)</f>
        <v>0</v>
      </c>
      <c r="RH17" s="16">
        <f>SUMIFS(Datos!$F:$F,Datos!$A:$A,$B17,Datos!$B:$B,RH$3)</f>
        <v>0</v>
      </c>
      <c r="RI17" s="16">
        <f>SUMIFS(Datos!$F:$F,Datos!$A:$A,$B17,Datos!$B:$B,RI$3)</f>
        <v>0</v>
      </c>
      <c r="RJ17" s="16">
        <f>SUMIFS(Datos!$F:$F,Datos!$A:$A,$B17,Datos!$B:$B,RJ$3)</f>
        <v>0</v>
      </c>
      <c r="RK17" s="16">
        <f>SUMIFS(Datos!$F:$F,Datos!$A:$A,$B17,Datos!$B:$B,RK$3)</f>
        <v>0</v>
      </c>
      <c r="RL17" s="16">
        <f>SUMIFS(Datos!$F:$F,Datos!$A:$A,$B17,Datos!$B:$B,RL$3)</f>
        <v>0</v>
      </c>
      <c r="RM17" s="16">
        <f>SUMIFS(Datos!$F:$F,Datos!$A:$A,$B17,Datos!$B:$B,RM$3)</f>
        <v>0</v>
      </c>
      <c r="RN17" s="16">
        <f>SUMIFS(Datos!$F:$F,Datos!$A:$A,$B17,Datos!$B:$B,RN$3)</f>
        <v>0</v>
      </c>
      <c r="RO17" s="16">
        <f>SUMIFS(Datos!$F:$F,Datos!$A:$A,$B17,Datos!$B:$B,RO$3)</f>
        <v>0</v>
      </c>
      <c r="RP17" s="16">
        <f>SUMIFS(Datos!$F:$F,Datos!$A:$A,$B17,Datos!$B:$B,RP$3)</f>
        <v>0</v>
      </c>
      <c r="RQ17" s="16">
        <f>SUMIFS(Datos!$F:$F,Datos!$A:$A,$B17,Datos!$B:$B,RQ$3)</f>
        <v>0</v>
      </c>
      <c r="RR17" s="16">
        <f>SUMIFS(Datos!$F:$F,Datos!$A:$A,$B17,Datos!$B:$B,RR$3)</f>
        <v>0</v>
      </c>
      <c r="RS17" s="16">
        <f>SUMIFS(Datos!$F:$F,Datos!$A:$A,$B17,Datos!$B:$B,RS$3)</f>
        <v>0</v>
      </c>
      <c r="RT17" s="16">
        <f>SUMIFS(Datos!$F:$F,Datos!$A:$A,$B17,Datos!$B:$B,RT$3)</f>
        <v>0</v>
      </c>
      <c r="RU17" s="16">
        <f>SUMIFS(Datos!$F:$F,Datos!$A:$A,$B17,Datos!$B:$B,RU$3)</f>
        <v>0</v>
      </c>
      <c r="RV17" s="16">
        <f>SUMIFS(Datos!$F:$F,Datos!$A:$A,$B17,Datos!$B:$B,RV$3)</f>
        <v>0</v>
      </c>
      <c r="RW17" s="16">
        <f>SUMIFS(Datos!$F:$F,Datos!$A:$A,$B17,Datos!$B:$B,RW$3)</f>
        <v>0</v>
      </c>
      <c r="RX17" s="16">
        <f>SUMIFS(Datos!$F:$F,Datos!$A:$A,$B17,Datos!$B:$B,RX$3)</f>
        <v>0</v>
      </c>
      <c r="RY17" s="16">
        <f>SUMIFS(Datos!$F:$F,Datos!$A:$A,$B17,Datos!$B:$B,RY$3)</f>
        <v>0</v>
      </c>
      <c r="RZ17" s="16">
        <f>SUMIFS(Datos!$F:$F,Datos!$A:$A,$B17,Datos!$B:$B,RZ$3)</f>
        <v>0</v>
      </c>
      <c r="SA17" s="16">
        <f>SUMIFS(Datos!$F:$F,Datos!$A:$A,$B17,Datos!$B:$B,SA$3)</f>
        <v>0</v>
      </c>
      <c r="SB17" s="16">
        <f>SUMIFS(Datos!$F:$F,Datos!$A:$A,$B17,Datos!$B:$B,SB$3)</f>
        <v>0</v>
      </c>
      <c r="SC17" s="16">
        <f>SUMIFS(Datos!$F:$F,Datos!$A:$A,$B17,Datos!$B:$B,SC$3)</f>
        <v>0</v>
      </c>
      <c r="SD17" s="16">
        <f>SUMIFS(Datos!$F:$F,Datos!$A:$A,$B17,Datos!$B:$B,SD$3)</f>
        <v>0</v>
      </c>
      <c r="SE17" s="16">
        <f>SUMIFS(Datos!$F:$F,Datos!$A:$A,$B17,Datos!$B:$B,SE$3)</f>
        <v>0</v>
      </c>
      <c r="SF17" s="16">
        <f>SUMIFS(Datos!$F:$F,Datos!$A:$A,$B17,Datos!$B:$B,SF$3)</f>
        <v>0</v>
      </c>
      <c r="SG17" s="16">
        <f>SUMIFS(Datos!$F:$F,Datos!$A:$A,$B17,Datos!$B:$B,SG$3)</f>
        <v>0</v>
      </c>
      <c r="SH17" s="16">
        <f>SUMIFS(Datos!$F:$F,Datos!$A:$A,$B17,Datos!$B:$B,SH$3)</f>
        <v>0</v>
      </c>
      <c r="SI17" s="16">
        <f>SUMIFS(Datos!$F:$F,Datos!$A:$A,$B17,Datos!$B:$B,SI$3)</f>
        <v>0</v>
      </c>
      <c r="SJ17" s="16">
        <f>SUMIFS(Datos!$F:$F,Datos!$A:$A,$B17,Datos!$B:$B,SJ$3)</f>
        <v>0</v>
      </c>
      <c r="SK17" s="16">
        <f>SUMIFS(Datos!$F:$F,Datos!$A:$A,$B17,Datos!$B:$B,SK$3)</f>
        <v>0</v>
      </c>
      <c r="SL17" s="16">
        <f>SUMIFS(Datos!$F:$F,Datos!$A:$A,$B17,Datos!$B:$B,SL$3)</f>
        <v>0</v>
      </c>
      <c r="SM17" s="16">
        <f>SUMIFS(Datos!$F:$F,Datos!$A:$A,$B17,Datos!$B:$B,SM$3)</f>
        <v>0</v>
      </c>
      <c r="SN17" s="16">
        <f>SUMIFS(Datos!$F:$F,Datos!$A:$A,$B17,Datos!$B:$B,SN$3)</f>
        <v>0</v>
      </c>
      <c r="SO17" s="16">
        <f>SUMIFS(Datos!$F:$F,Datos!$A:$A,$B17,Datos!$B:$B,SO$3)</f>
        <v>0</v>
      </c>
      <c r="SP17" s="16">
        <f>SUMIFS(Datos!$F:$F,Datos!$A:$A,$B17,Datos!$B:$B,SP$3)</f>
        <v>0</v>
      </c>
      <c r="SQ17" s="16">
        <f>SUMIFS(Datos!$F:$F,Datos!$A:$A,$B17,Datos!$B:$B,SQ$3)</f>
        <v>0</v>
      </c>
      <c r="SR17" s="16">
        <f>SUMIFS(Datos!$F:$F,Datos!$A:$A,$B17,Datos!$B:$B,SR$3)</f>
        <v>0</v>
      </c>
      <c r="SS17" s="16">
        <f>SUMIFS(Datos!$F:$F,Datos!$A:$A,$B17,Datos!$B:$B,SS$3)</f>
        <v>0</v>
      </c>
      <c r="ST17" s="16">
        <f>SUMIFS(Datos!$F:$F,Datos!$A:$A,$B17,Datos!$B:$B,ST$3)</f>
        <v>0</v>
      </c>
      <c r="SU17" s="16">
        <f>SUMIFS(Datos!$F:$F,Datos!$A:$A,$B17,Datos!$B:$B,SU$3)</f>
        <v>0</v>
      </c>
      <c r="SV17" s="16">
        <f>SUMIFS(Datos!$F:$F,Datos!$A:$A,$B17,Datos!$B:$B,SV$3)</f>
        <v>0</v>
      </c>
      <c r="SW17" s="16">
        <f>SUMIFS(Datos!$F:$F,Datos!$A:$A,$B17,Datos!$B:$B,SW$3)</f>
        <v>0</v>
      </c>
      <c r="SX17" s="16">
        <f>SUMIFS(Datos!$F:$F,Datos!$A:$A,$B17,Datos!$B:$B,SX$3)</f>
        <v>0</v>
      </c>
      <c r="SY17" s="16">
        <f>SUMIFS(Datos!$F:$F,Datos!$A:$A,$B17,Datos!$B:$B,SY$3)</f>
        <v>0</v>
      </c>
      <c r="SZ17" s="16">
        <f>SUMIFS(Datos!$F:$F,Datos!$A:$A,$B17,Datos!$B:$B,SZ$3)</f>
        <v>0</v>
      </c>
      <c r="TA17" s="16">
        <f>SUMIFS(Datos!$F:$F,Datos!$A:$A,$B17,Datos!$B:$B,TA$3)</f>
        <v>0</v>
      </c>
      <c r="TB17" s="16">
        <f>SUMIFS(Datos!$F:$F,Datos!$A:$A,$B17,Datos!$B:$B,TB$3)</f>
        <v>0</v>
      </c>
      <c r="TC17" s="16">
        <f>SUMIFS(Datos!$F:$F,Datos!$A:$A,$B17,Datos!$B:$B,TC$3)</f>
        <v>0</v>
      </c>
      <c r="TD17" s="16">
        <f>SUMIFS(Datos!$F:$F,Datos!$A:$A,$B17,Datos!$B:$B,TD$3)</f>
        <v>0</v>
      </c>
      <c r="TE17" s="16">
        <f>SUMIFS(Datos!$F:$F,Datos!$A:$A,$B17,Datos!$B:$B,TE$3)</f>
        <v>0</v>
      </c>
      <c r="TF17" s="16">
        <f>SUMIFS(Datos!$F:$F,Datos!$A:$A,$B17,Datos!$B:$B,TF$3)</f>
        <v>0</v>
      </c>
    </row>
    <row r="18" spans="1:526">
      <c r="A18" s="31" t="s">
        <v>48</v>
      </c>
      <c r="B18" s="4">
        <f>Cartera!B18</f>
        <v>0</v>
      </c>
      <c r="C18" s="4">
        <f>Cartera!C18</f>
        <v>0</v>
      </c>
      <c r="D18" s="16">
        <f>SUMIFS(Datos!$F:$F,Datos!$A:$A,$B18,Datos!$B:$B,D$3)</f>
        <v>0</v>
      </c>
      <c r="E18" s="16">
        <f>SUMIFS(Datos!$F:$F,Datos!$A:$A,$B18,Datos!$B:$B,E$3)</f>
        <v>0</v>
      </c>
      <c r="F18" s="16">
        <f>SUMIFS(Datos!$F:$F,Datos!$A:$A,$B18,Datos!$B:$B,F$3)</f>
        <v>0</v>
      </c>
      <c r="G18" s="16">
        <f>SUMIFS(Datos!$F:$F,Datos!$A:$A,$B18,Datos!$B:$B,G$3)</f>
        <v>0</v>
      </c>
      <c r="H18" s="16">
        <f>SUMIFS(Datos!$F:$F,Datos!$A:$A,$B18,Datos!$B:$B,H$3)</f>
        <v>0</v>
      </c>
      <c r="I18" s="16">
        <f>SUMIFS(Datos!$F:$F,Datos!$A:$A,$B18,Datos!$B:$B,I$3)</f>
        <v>0</v>
      </c>
      <c r="J18" s="16">
        <f>SUMIFS(Datos!$F:$F,Datos!$A:$A,$B18,Datos!$B:$B,J$3)</f>
        <v>0</v>
      </c>
      <c r="K18" s="16">
        <f>SUMIFS(Datos!$F:$F,Datos!$A:$A,$B18,Datos!$B:$B,K$3)</f>
        <v>0</v>
      </c>
      <c r="L18" s="16">
        <f>SUMIFS(Datos!$F:$F,Datos!$A:$A,$B18,Datos!$B:$B,L$3)</f>
        <v>0</v>
      </c>
      <c r="M18" s="16">
        <f>SUMIFS(Datos!$F:$F,Datos!$A:$A,$B18,Datos!$B:$B,M$3)</f>
        <v>0</v>
      </c>
      <c r="N18" s="16">
        <f>SUMIFS(Datos!$F:$F,Datos!$A:$A,$B18,Datos!$B:$B,N$3)</f>
        <v>0</v>
      </c>
      <c r="O18" s="16">
        <f>SUMIFS(Datos!$F:$F,Datos!$A:$A,$B18,Datos!$B:$B,O$3)</f>
        <v>0</v>
      </c>
      <c r="P18" s="16">
        <f>SUMIFS(Datos!$F:$F,Datos!$A:$A,$B18,Datos!$B:$B,P$3)</f>
        <v>0</v>
      </c>
      <c r="Q18" s="16">
        <f>SUMIFS(Datos!$F:$F,Datos!$A:$A,$B18,Datos!$B:$B,Q$3)</f>
        <v>0</v>
      </c>
      <c r="R18" s="16">
        <f>SUMIFS(Datos!$F:$F,Datos!$A:$A,$B18,Datos!$B:$B,R$3)</f>
        <v>0</v>
      </c>
      <c r="S18" s="16">
        <f>SUMIFS(Datos!$F:$F,Datos!$A:$A,$B18,Datos!$B:$B,S$3)</f>
        <v>0</v>
      </c>
      <c r="T18" s="16">
        <f>SUMIFS(Datos!$F:$F,Datos!$A:$A,$B18,Datos!$B:$B,T$3)</f>
        <v>0</v>
      </c>
      <c r="U18" s="16">
        <f>SUMIFS(Datos!$F:$F,Datos!$A:$A,$B18,Datos!$B:$B,U$3)</f>
        <v>0</v>
      </c>
      <c r="V18" s="16">
        <f>SUMIFS(Datos!$F:$F,Datos!$A:$A,$B18,Datos!$B:$B,V$3)</f>
        <v>0</v>
      </c>
      <c r="W18" s="16">
        <f>SUMIFS(Datos!$F:$F,Datos!$A:$A,$B18,Datos!$B:$B,W$3)</f>
        <v>0</v>
      </c>
      <c r="X18" s="16">
        <f>SUMIFS(Datos!$F:$F,Datos!$A:$A,$B18,Datos!$B:$B,X$3)</f>
        <v>0</v>
      </c>
      <c r="Y18" s="16">
        <f>SUMIFS(Datos!$F:$F,Datos!$A:$A,$B18,Datos!$B:$B,Y$3)</f>
        <v>0</v>
      </c>
      <c r="Z18" s="16">
        <f>SUMIFS(Datos!$F:$F,Datos!$A:$A,$B18,Datos!$B:$B,Z$3)</f>
        <v>0</v>
      </c>
      <c r="AA18" s="16">
        <f>SUMIFS(Datos!$F:$F,Datos!$A:$A,$B18,Datos!$B:$B,AA$3)</f>
        <v>0</v>
      </c>
      <c r="AB18" s="16">
        <f>SUMIFS(Datos!$F:$F,Datos!$A:$A,$B18,Datos!$B:$B,AB$3)</f>
        <v>0</v>
      </c>
      <c r="AC18" s="16">
        <f>SUMIFS(Datos!$F:$F,Datos!$A:$A,$B18,Datos!$B:$B,AC$3)</f>
        <v>0</v>
      </c>
      <c r="AD18" s="16">
        <f>SUMIFS(Datos!$F:$F,Datos!$A:$A,$B18,Datos!$B:$B,AD$3)</f>
        <v>0</v>
      </c>
      <c r="AE18" s="16">
        <f>SUMIFS(Datos!$F:$F,Datos!$A:$A,$B18,Datos!$B:$B,AE$3)</f>
        <v>0</v>
      </c>
      <c r="AF18" s="16">
        <f>SUMIFS(Datos!$F:$F,Datos!$A:$A,$B18,Datos!$B:$B,AF$3)</f>
        <v>0</v>
      </c>
      <c r="AG18" s="16">
        <f>SUMIFS(Datos!$F:$F,Datos!$A:$A,$B18,Datos!$B:$B,AG$3)</f>
        <v>0</v>
      </c>
      <c r="AH18" s="16">
        <f>SUMIFS(Datos!$F:$F,Datos!$A:$A,$B18,Datos!$B:$B,AH$3)</f>
        <v>0</v>
      </c>
      <c r="AI18" s="16">
        <f>SUMIFS(Datos!$F:$F,Datos!$A:$A,$B18,Datos!$B:$B,AI$3)</f>
        <v>0</v>
      </c>
      <c r="AJ18" s="16">
        <f>SUMIFS(Datos!$F:$F,Datos!$A:$A,$B18,Datos!$B:$B,AJ$3)</f>
        <v>0</v>
      </c>
      <c r="AK18" s="16">
        <f>SUMIFS(Datos!$F:$F,Datos!$A:$A,$B18,Datos!$B:$B,AK$3)</f>
        <v>0</v>
      </c>
      <c r="AL18" s="16">
        <f>SUMIFS(Datos!$F:$F,Datos!$A:$A,$B18,Datos!$B:$B,AL$3)</f>
        <v>0</v>
      </c>
      <c r="AM18" s="16">
        <f>SUMIFS(Datos!$F:$F,Datos!$A:$A,$B18,Datos!$B:$B,AM$3)</f>
        <v>0</v>
      </c>
      <c r="AN18" s="16">
        <f>SUMIFS(Datos!$F:$F,Datos!$A:$A,$B18,Datos!$B:$B,AN$3)</f>
        <v>0</v>
      </c>
      <c r="AO18" s="16">
        <f>SUMIFS(Datos!$F:$F,Datos!$A:$A,$B18,Datos!$B:$B,AO$3)</f>
        <v>0</v>
      </c>
      <c r="AP18" s="16">
        <f>SUMIFS(Datos!$F:$F,Datos!$A:$A,$B18,Datos!$B:$B,AP$3)</f>
        <v>0</v>
      </c>
      <c r="AQ18" s="16">
        <f>SUMIFS(Datos!$F:$F,Datos!$A:$A,$B18,Datos!$B:$B,AQ$3)</f>
        <v>0</v>
      </c>
      <c r="AR18" s="16">
        <f>SUMIFS(Datos!$F:$F,Datos!$A:$A,$B18,Datos!$B:$B,AR$3)</f>
        <v>0</v>
      </c>
      <c r="AS18" s="16">
        <f>SUMIFS(Datos!$F:$F,Datos!$A:$A,$B18,Datos!$B:$B,AS$3)</f>
        <v>0</v>
      </c>
      <c r="AT18" s="16">
        <f>SUMIFS(Datos!$F:$F,Datos!$A:$A,$B18,Datos!$B:$B,AT$3)</f>
        <v>0</v>
      </c>
      <c r="AU18" s="16">
        <f>SUMIFS(Datos!$F:$F,Datos!$A:$A,$B18,Datos!$B:$B,AU$3)</f>
        <v>0</v>
      </c>
      <c r="AV18" s="16">
        <f>SUMIFS(Datos!$F:$F,Datos!$A:$A,$B18,Datos!$B:$B,AV$3)</f>
        <v>0</v>
      </c>
      <c r="AW18" s="16">
        <f>SUMIFS(Datos!$F:$F,Datos!$A:$A,$B18,Datos!$B:$B,AW$3)</f>
        <v>0</v>
      </c>
      <c r="AX18" s="16">
        <f>SUMIFS(Datos!$F:$F,Datos!$A:$A,$B18,Datos!$B:$B,AX$3)</f>
        <v>0</v>
      </c>
      <c r="AY18" s="16">
        <f>SUMIFS(Datos!$F:$F,Datos!$A:$A,$B18,Datos!$B:$B,AY$3)</f>
        <v>0</v>
      </c>
      <c r="AZ18" s="16">
        <f>SUMIFS(Datos!$F:$F,Datos!$A:$A,$B18,Datos!$B:$B,AZ$3)</f>
        <v>0</v>
      </c>
      <c r="BA18" s="16">
        <f>SUMIFS(Datos!$F:$F,Datos!$A:$A,$B18,Datos!$B:$B,BA$3)</f>
        <v>0</v>
      </c>
      <c r="BB18" s="16">
        <f>SUMIFS(Datos!$F:$F,Datos!$A:$A,$B18,Datos!$B:$B,BB$3)</f>
        <v>0</v>
      </c>
      <c r="BC18" s="16">
        <f>SUMIFS(Datos!$F:$F,Datos!$A:$A,$B18,Datos!$B:$B,BC$3)</f>
        <v>0</v>
      </c>
      <c r="BD18" s="16">
        <f>SUMIFS(Datos!$F:$F,Datos!$A:$A,$B18,Datos!$B:$B,BD$3)</f>
        <v>0</v>
      </c>
      <c r="BE18" s="16">
        <f>SUMIFS(Datos!$F:$F,Datos!$A:$A,$B18,Datos!$B:$B,BE$3)</f>
        <v>0</v>
      </c>
      <c r="BF18" s="16">
        <f>SUMIFS(Datos!$F:$F,Datos!$A:$A,$B18,Datos!$B:$B,BF$3)</f>
        <v>0</v>
      </c>
      <c r="BG18" s="16">
        <f>SUMIFS(Datos!$F:$F,Datos!$A:$A,$B18,Datos!$B:$B,BG$3)</f>
        <v>0</v>
      </c>
      <c r="BH18" s="16">
        <f>SUMIFS(Datos!$F:$F,Datos!$A:$A,$B18,Datos!$B:$B,BH$3)</f>
        <v>0</v>
      </c>
      <c r="BI18" s="16">
        <f>SUMIFS(Datos!$F:$F,Datos!$A:$A,$B18,Datos!$B:$B,BI$3)</f>
        <v>0</v>
      </c>
      <c r="BJ18" s="16">
        <f>SUMIFS(Datos!$F:$F,Datos!$A:$A,$B18,Datos!$B:$B,BJ$3)</f>
        <v>0</v>
      </c>
      <c r="BK18" s="16">
        <f>SUMIFS(Datos!$F:$F,Datos!$A:$A,$B18,Datos!$B:$B,BK$3)</f>
        <v>0</v>
      </c>
      <c r="BL18" s="16">
        <f>SUMIFS(Datos!$F:$F,Datos!$A:$A,$B18,Datos!$B:$B,BL$3)</f>
        <v>0</v>
      </c>
      <c r="BM18" s="16">
        <f>SUMIFS(Datos!$F:$F,Datos!$A:$A,$B18,Datos!$B:$B,BM$3)</f>
        <v>0</v>
      </c>
      <c r="BN18" s="16">
        <f>SUMIFS(Datos!$F:$F,Datos!$A:$A,$B18,Datos!$B:$B,BN$3)</f>
        <v>0</v>
      </c>
      <c r="BO18" s="16">
        <f>SUMIFS(Datos!$F:$F,Datos!$A:$A,$B18,Datos!$B:$B,BO$3)</f>
        <v>0</v>
      </c>
      <c r="BP18" s="16">
        <f>SUMIFS(Datos!$F:$F,Datos!$A:$A,$B18,Datos!$B:$B,BP$3)</f>
        <v>0</v>
      </c>
      <c r="BQ18" s="16">
        <f>SUMIFS(Datos!$F:$F,Datos!$A:$A,$B18,Datos!$B:$B,BQ$3)</f>
        <v>0</v>
      </c>
      <c r="BR18" s="16">
        <f>SUMIFS(Datos!$F:$F,Datos!$A:$A,$B18,Datos!$B:$B,BR$3)</f>
        <v>0</v>
      </c>
      <c r="BS18" s="16">
        <f>SUMIFS(Datos!$F:$F,Datos!$A:$A,$B18,Datos!$B:$B,BS$3)</f>
        <v>0</v>
      </c>
      <c r="BT18" s="16">
        <f>SUMIFS(Datos!$F:$F,Datos!$A:$A,$B18,Datos!$B:$B,BT$3)</f>
        <v>0</v>
      </c>
      <c r="BU18" s="16">
        <f>SUMIFS(Datos!$F:$F,Datos!$A:$A,$B18,Datos!$B:$B,BU$3)</f>
        <v>0</v>
      </c>
      <c r="BV18" s="16">
        <f>SUMIFS(Datos!$F:$F,Datos!$A:$A,$B18,Datos!$B:$B,BV$3)</f>
        <v>0</v>
      </c>
      <c r="BW18" s="16">
        <f>SUMIFS(Datos!$F:$F,Datos!$A:$A,$B18,Datos!$B:$B,BW$3)</f>
        <v>0</v>
      </c>
      <c r="BX18" s="16">
        <f>SUMIFS(Datos!$F:$F,Datos!$A:$A,$B18,Datos!$B:$B,BX$3)</f>
        <v>0</v>
      </c>
      <c r="BY18" s="16">
        <f>SUMIFS(Datos!$F:$F,Datos!$A:$A,$B18,Datos!$B:$B,BY$3)</f>
        <v>0</v>
      </c>
      <c r="BZ18" s="16">
        <f>SUMIFS(Datos!$F:$F,Datos!$A:$A,$B18,Datos!$B:$B,BZ$3)</f>
        <v>0</v>
      </c>
      <c r="CA18" s="16">
        <f>SUMIFS(Datos!$F:$F,Datos!$A:$A,$B18,Datos!$B:$B,CA$3)</f>
        <v>0</v>
      </c>
      <c r="CB18" s="16">
        <f>SUMIFS(Datos!$F:$F,Datos!$A:$A,$B18,Datos!$B:$B,CB$3)</f>
        <v>0</v>
      </c>
      <c r="CC18" s="16">
        <f>SUMIFS(Datos!$F:$F,Datos!$A:$A,$B18,Datos!$B:$B,CC$3)</f>
        <v>0</v>
      </c>
      <c r="CD18" s="16">
        <f>SUMIFS(Datos!$F:$F,Datos!$A:$A,$B18,Datos!$B:$B,CD$3)</f>
        <v>0</v>
      </c>
      <c r="CE18" s="16">
        <f>SUMIFS(Datos!$F:$F,Datos!$A:$A,$B18,Datos!$B:$B,CE$3)</f>
        <v>0</v>
      </c>
      <c r="CF18" s="16">
        <f>SUMIFS(Datos!$F:$F,Datos!$A:$A,$B18,Datos!$B:$B,CF$3)</f>
        <v>0</v>
      </c>
      <c r="CG18" s="16">
        <f>SUMIFS(Datos!$F:$F,Datos!$A:$A,$B18,Datos!$B:$B,CG$3)</f>
        <v>0</v>
      </c>
      <c r="CH18" s="16">
        <f>SUMIFS(Datos!$F:$F,Datos!$A:$A,$B18,Datos!$B:$B,CH$3)</f>
        <v>0</v>
      </c>
      <c r="CI18" s="16">
        <f>SUMIFS(Datos!$F:$F,Datos!$A:$A,$B18,Datos!$B:$B,CI$3)</f>
        <v>0</v>
      </c>
      <c r="CJ18" s="16">
        <f>SUMIFS(Datos!$F:$F,Datos!$A:$A,$B18,Datos!$B:$B,CJ$3)</f>
        <v>0</v>
      </c>
      <c r="CK18" s="16">
        <f>SUMIFS(Datos!$F:$F,Datos!$A:$A,$B18,Datos!$B:$B,CK$3)</f>
        <v>0</v>
      </c>
      <c r="CL18" s="16">
        <f>SUMIFS(Datos!$F:$F,Datos!$A:$A,$B18,Datos!$B:$B,CL$3)</f>
        <v>0</v>
      </c>
      <c r="CM18" s="16">
        <f>SUMIFS(Datos!$F:$F,Datos!$A:$A,$B18,Datos!$B:$B,CM$3)</f>
        <v>0</v>
      </c>
      <c r="CN18" s="16">
        <f>SUMIFS(Datos!$F:$F,Datos!$A:$A,$B18,Datos!$B:$B,CN$3)</f>
        <v>0</v>
      </c>
      <c r="CO18" s="16">
        <f>SUMIFS(Datos!$F:$F,Datos!$A:$A,$B18,Datos!$B:$B,CO$3)</f>
        <v>0</v>
      </c>
      <c r="CP18" s="16">
        <f>SUMIFS(Datos!$F:$F,Datos!$A:$A,$B18,Datos!$B:$B,CP$3)</f>
        <v>0</v>
      </c>
      <c r="CQ18" s="16">
        <f>SUMIFS(Datos!$F:$F,Datos!$A:$A,$B18,Datos!$B:$B,CQ$3)</f>
        <v>0</v>
      </c>
      <c r="CR18" s="16">
        <f>SUMIFS(Datos!$F:$F,Datos!$A:$A,$B18,Datos!$B:$B,CR$3)</f>
        <v>0</v>
      </c>
      <c r="CS18" s="16">
        <f>SUMIFS(Datos!$F:$F,Datos!$A:$A,$B18,Datos!$B:$B,CS$3)</f>
        <v>0</v>
      </c>
      <c r="CT18" s="16">
        <f>SUMIFS(Datos!$F:$F,Datos!$A:$A,$B18,Datos!$B:$B,CT$3)</f>
        <v>0</v>
      </c>
      <c r="CU18" s="16">
        <f>SUMIFS(Datos!$F:$F,Datos!$A:$A,$B18,Datos!$B:$B,CU$3)</f>
        <v>0</v>
      </c>
      <c r="CV18" s="16">
        <f>SUMIFS(Datos!$F:$F,Datos!$A:$A,$B18,Datos!$B:$B,CV$3)</f>
        <v>0</v>
      </c>
      <c r="CW18" s="16">
        <f>SUMIFS(Datos!$F:$F,Datos!$A:$A,$B18,Datos!$B:$B,CW$3)</f>
        <v>0</v>
      </c>
      <c r="CX18" s="16">
        <f>SUMIFS(Datos!$F:$F,Datos!$A:$A,$B18,Datos!$B:$B,CX$3)</f>
        <v>0</v>
      </c>
      <c r="CY18" s="16">
        <f>SUMIFS(Datos!$F:$F,Datos!$A:$A,$B18,Datos!$B:$B,CY$3)</f>
        <v>0</v>
      </c>
      <c r="CZ18" s="16">
        <f>SUMIFS(Datos!$F:$F,Datos!$A:$A,$B18,Datos!$B:$B,CZ$3)</f>
        <v>0</v>
      </c>
      <c r="DA18" s="16">
        <f>SUMIFS(Datos!$F:$F,Datos!$A:$A,$B18,Datos!$B:$B,DA$3)</f>
        <v>0</v>
      </c>
      <c r="DB18" s="16">
        <f>SUMIFS(Datos!$F:$F,Datos!$A:$A,$B18,Datos!$B:$B,DB$3)</f>
        <v>0</v>
      </c>
      <c r="DC18" s="16">
        <f>SUMIFS(Datos!$F:$F,Datos!$A:$A,$B18,Datos!$B:$B,DC$3)</f>
        <v>0</v>
      </c>
      <c r="DD18" s="16">
        <f>SUMIFS(Datos!$F:$F,Datos!$A:$A,$B18,Datos!$B:$B,DD$3)</f>
        <v>0</v>
      </c>
      <c r="DE18" s="16">
        <f>SUMIFS(Datos!$F:$F,Datos!$A:$A,$B18,Datos!$B:$B,DE$3)</f>
        <v>0</v>
      </c>
      <c r="DF18" s="16">
        <f>SUMIFS(Datos!$F:$F,Datos!$A:$A,$B18,Datos!$B:$B,DF$3)</f>
        <v>0</v>
      </c>
      <c r="DG18" s="16">
        <f>SUMIFS(Datos!$F:$F,Datos!$A:$A,$B18,Datos!$B:$B,DG$3)</f>
        <v>0</v>
      </c>
      <c r="DH18" s="16">
        <f>SUMIFS(Datos!$F:$F,Datos!$A:$A,$B18,Datos!$B:$B,DH$3)</f>
        <v>0</v>
      </c>
      <c r="DI18" s="16">
        <f>SUMIFS(Datos!$F:$F,Datos!$A:$A,$B18,Datos!$B:$B,DI$3)</f>
        <v>0</v>
      </c>
      <c r="DJ18" s="16">
        <f>SUMIFS(Datos!$F:$F,Datos!$A:$A,$B18,Datos!$B:$B,DJ$3)</f>
        <v>0</v>
      </c>
      <c r="DK18" s="16">
        <f>SUMIFS(Datos!$F:$F,Datos!$A:$A,$B18,Datos!$B:$B,DK$3)</f>
        <v>0</v>
      </c>
      <c r="DL18" s="16">
        <f>SUMIFS(Datos!$F:$F,Datos!$A:$A,$B18,Datos!$B:$B,DL$3)</f>
        <v>0</v>
      </c>
      <c r="DM18" s="16">
        <f>SUMIFS(Datos!$F:$F,Datos!$A:$A,$B18,Datos!$B:$B,DM$3)</f>
        <v>0</v>
      </c>
      <c r="DN18" s="16">
        <f>SUMIFS(Datos!$F:$F,Datos!$A:$A,$B18,Datos!$B:$B,DN$3)</f>
        <v>0</v>
      </c>
      <c r="DO18" s="16">
        <f>SUMIFS(Datos!$F:$F,Datos!$A:$A,$B18,Datos!$B:$B,DO$3)</f>
        <v>0</v>
      </c>
      <c r="DP18" s="16">
        <f>SUMIFS(Datos!$F:$F,Datos!$A:$A,$B18,Datos!$B:$B,DP$3)</f>
        <v>0</v>
      </c>
      <c r="DQ18" s="16">
        <f>SUMIFS(Datos!$F:$F,Datos!$A:$A,$B18,Datos!$B:$B,DQ$3)</f>
        <v>0</v>
      </c>
      <c r="DR18" s="16">
        <f>SUMIFS(Datos!$F:$F,Datos!$A:$A,$B18,Datos!$B:$B,DR$3)</f>
        <v>0</v>
      </c>
      <c r="DS18" s="16">
        <f>SUMIFS(Datos!$F:$F,Datos!$A:$A,$B18,Datos!$B:$B,DS$3)</f>
        <v>0</v>
      </c>
      <c r="DT18" s="16">
        <f>SUMIFS(Datos!$F:$F,Datos!$A:$A,$B18,Datos!$B:$B,DT$3)</f>
        <v>0</v>
      </c>
      <c r="DU18" s="16">
        <f>SUMIFS(Datos!$F:$F,Datos!$A:$A,$B18,Datos!$B:$B,DU$3)</f>
        <v>0</v>
      </c>
      <c r="DV18" s="16">
        <f>SUMIFS(Datos!$F:$F,Datos!$A:$A,$B18,Datos!$B:$B,DV$3)</f>
        <v>0</v>
      </c>
      <c r="DW18" s="16">
        <f>SUMIFS(Datos!$F:$F,Datos!$A:$A,$B18,Datos!$B:$B,DW$3)</f>
        <v>0</v>
      </c>
      <c r="DX18" s="16">
        <f>SUMIFS(Datos!$F:$F,Datos!$A:$A,$B18,Datos!$B:$B,DX$3)</f>
        <v>0</v>
      </c>
      <c r="DY18" s="16">
        <f>SUMIFS(Datos!$F:$F,Datos!$A:$A,$B18,Datos!$B:$B,DY$3)</f>
        <v>0</v>
      </c>
      <c r="DZ18" s="16">
        <f>SUMIFS(Datos!$F:$F,Datos!$A:$A,$B18,Datos!$B:$B,DZ$3)</f>
        <v>0</v>
      </c>
      <c r="EA18" s="16">
        <f>SUMIFS(Datos!$F:$F,Datos!$A:$A,$B18,Datos!$B:$B,EA$3)</f>
        <v>0</v>
      </c>
      <c r="EB18" s="16">
        <f>SUMIFS(Datos!$F:$F,Datos!$A:$A,$B18,Datos!$B:$B,EB$3)</f>
        <v>0</v>
      </c>
      <c r="EC18" s="16">
        <f>SUMIFS(Datos!$F:$F,Datos!$A:$A,$B18,Datos!$B:$B,EC$3)</f>
        <v>0</v>
      </c>
      <c r="ED18" s="16">
        <f>SUMIFS(Datos!$F:$F,Datos!$A:$A,$B18,Datos!$B:$B,ED$3)</f>
        <v>0</v>
      </c>
      <c r="EE18" s="16">
        <f>SUMIFS(Datos!$F:$F,Datos!$A:$A,$B18,Datos!$B:$B,EE$3)</f>
        <v>0</v>
      </c>
      <c r="EF18" s="16">
        <f>SUMIFS(Datos!$F:$F,Datos!$A:$A,$B18,Datos!$B:$B,EF$3)</f>
        <v>0</v>
      </c>
      <c r="EG18" s="16">
        <f>SUMIFS(Datos!$F:$F,Datos!$A:$A,$B18,Datos!$B:$B,EG$3)</f>
        <v>0</v>
      </c>
      <c r="EH18" s="16">
        <f>SUMIFS(Datos!$F:$F,Datos!$A:$A,$B18,Datos!$B:$B,EH$3)</f>
        <v>0</v>
      </c>
      <c r="EI18" s="16">
        <f>SUMIFS(Datos!$F:$F,Datos!$A:$A,$B18,Datos!$B:$B,EI$3)</f>
        <v>0</v>
      </c>
      <c r="EJ18" s="16">
        <f>SUMIFS(Datos!$F:$F,Datos!$A:$A,$B18,Datos!$B:$B,EJ$3)</f>
        <v>0</v>
      </c>
      <c r="EK18" s="16">
        <f>SUMIFS(Datos!$F:$F,Datos!$A:$A,$B18,Datos!$B:$B,EK$3)</f>
        <v>0</v>
      </c>
      <c r="EL18" s="16">
        <f>SUMIFS(Datos!$F:$F,Datos!$A:$A,$B18,Datos!$B:$B,EL$3)</f>
        <v>0</v>
      </c>
      <c r="EM18" s="16">
        <f>SUMIFS(Datos!$F:$F,Datos!$A:$A,$B18,Datos!$B:$B,EM$3)</f>
        <v>0</v>
      </c>
      <c r="EN18" s="16">
        <f>SUMIFS(Datos!$F:$F,Datos!$A:$A,$B18,Datos!$B:$B,EN$3)</f>
        <v>0</v>
      </c>
      <c r="EO18" s="16">
        <f>SUMIFS(Datos!$F:$F,Datos!$A:$A,$B18,Datos!$B:$B,EO$3)</f>
        <v>0</v>
      </c>
      <c r="EP18" s="16">
        <f>SUMIFS(Datos!$F:$F,Datos!$A:$A,$B18,Datos!$B:$B,EP$3)</f>
        <v>0</v>
      </c>
      <c r="EQ18" s="16">
        <f>SUMIFS(Datos!$F:$F,Datos!$A:$A,$B18,Datos!$B:$B,EQ$3)</f>
        <v>0</v>
      </c>
      <c r="ER18" s="16">
        <f>SUMIFS(Datos!$F:$F,Datos!$A:$A,$B18,Datos!$B:$B,ER$3)</f>
        <v>0</v>
      </c>
      <c r="ES18" s="16">
        <f>SUMIFS(Datos!$F:$F,Datos!$A:$A,$B18,Datos!$B:$B,ES$3)</f>
        <v>0</v>
      </c>
      <c r="ET18" s="16">
        <f>SUMIFS(Datos!$F:$F,Datos!$A:$A,$B18,Datos!$B:$B,ET$3)</f>
        <v>0</v>
      </c>
      <c r="EU18" s="16">
        <f>SUMIFS(Datos!$F:$F,Datos!$A:$A,$B18,Datos!$B:$B,EU$3)</f>
        <v>0</v>
      </c>
      <c r="EV18" s="16">
        <f>SUMIFS(Datos!$F:$F,Datos!$A:$A,$B18,Datos!$B:$B,EV$3)</f>
        <v>0</v>
      </c>
      <c r="EW18" s="16">
        <f>SUMIFS(Datos!$F:$F,Datos!$A:$A,$B18,Datos!$B:$B,EW$3)</f>
        <v>0</v>
      </c>
      <c r="EX18" s="16">
        <f>SUMIFS(Datos!$F:$F,Datos!$A:$A,$B18,Datos!$B:$B,EX$3)</f>
        <v>0</v>
      </c>
      <c r="EY18" s="16">
        <f>SUMIFS(Datos!$F:$F,Datos!$A:$A,$B18,Datos!$B:$B,EY$3)</f>
        <v>0</v>
      </c>
      <c r="EZ18" s="16">
        <f>SUMIFS(Datos!$F:$F,Datos!$A:$A,$B18,Datos!$B:$B,EZ$3)</f>
        <v>0</v>
      </c>
      <c r="FA18" s="16">
        <f>SUMIFS(Datos!$F:$F,Datos!$A:$A,$B18,Datos!$B:$B,FA$3)</f>
        <v>0</v>
      </c>
      <c r="FB18" s="16">
        <f>SUMIFS(Datos!$F:$F,Datos!$A:$A,$B18,Datos!$B:$B,FB$3)</f>
        <v>0</v>
      </c>
      <c r="FC18" s="16">
        <f>SUMIFS(Datos!$F:$F,Datos!$A:$A,$B18,Datos!$B:$B,FC$3)</f>
        <v>0</v>
      </c>
      <c r="FD18" s="16">
        <f>SUMIFS(Datos!$F:$F,Datos!$A:$A,$B18,Datos!$B:$B,FD$3)</f>
        <v>0</v>
      </c>
      <c r="FE18" s="16">
        <f>SUMIFS(Datos!$F:$F,Datos!$A:$A,$B18,Datos!$B:$B,FE$3)</f>
        <v>0</v>
      </c>
      <c r="FF18" s="16">
        <f>SUMIFS(Datos!$F:$F,Datos!$A:$A,$B18,Datos!$B:$B,FF$3)</f>
        <v>0</v>
      </c>
      <c r="FG18" s="16">
        <f>SUMIFS(Datos!$F:$F,Datos!$A:$A,$B18,Datos!$B:$B,FG$3)</f>
        <v>0</v>
      </c>
      <c r="FH18" s="16">
        <f>SUMIFS(Datos!$F:$F,Datos!$A:$A,$B18,Datos!$B:$B,FH$3)</f>
        <v>0</v>
      </c>
      <c r="FI18" s="16">
        <f>SUMIFS(Datos!$F:$F,Datos!$A:$A,$B18,Datos!$B:$B,FI$3)</f>
        <v>0</v>
      </c>
      <c r="FJ18" s="16">
        <f>SUMIFS(Datos!$F:$F,Datos!$A:$A,$B18,Datos!$B:$B,FJ$3)</f>
        <v>0</v>
      </c>
      <c r="FK18" s="16">
        <f>SUMIFS(Datos!$F:$F,Datos!$A:$A,$B18,Datos!$B:$B,FK$3)</f>
        <v>0</v>
      </c>
      <c r="FL18" s="16">
        <f>SUMIFS(Datos!$F:$F,Datos!$A:$A,$B18,Datos!$B:$B,FL$3)</f>
        <v>0</v>
      </c>
      <c r="FM18" s="16">
        <f>SUMIFS(Datos!$F:$F,Datos!$A:$A,$B18,Datos!$B:$B,FM$3)</f>
        <v>0</v>
      </c>
      <c r="FN18" s="16">
        <f>SUMIFS(Datos!$F:$F,Datos!$A:$A,$B18,Datos!$B:$B,FN$3)</f>
        <v>0</v>
      </c>
      <c r="FO18" s="16">
        <f>SUMIFS(Datos!$F:$F,Datos!$A:$A,$B18,Datos!$B:$B,FO$3)</f>
        <v>0</v>
      </c>
      <c r="FP18" s="16">
        <f>SUMIFS(Datos!$F:$F,Datos!$A:$A,$B18,Datos!$B:$B,FP$3)</f>
        <v>0</v>
      </c>
      <c r="FQ18" s="16">
        <f>SUMIFS(Datos!$F:$F,Datos!$A:$A,$B18,Datos!$B:$B,FQ$3)</f>
        <v>0</v>
      </c>
      <c r="FR18" s="16">
        <f>SUMIFS(Datos!$F:$F,Datos!$A:$A,$B18,Datos!$B:$B,FR$3)</f>
        <v>0</v>
      </c>
      <c r="FS18" s="16">
        <f>SUMIFS(Datos!$F:$F,Datos!$A:$A,$B18,Datos!$B:$B,FS$3)</f>
        <v>0</v>
      </c>
      <c r="FT18" s="16">
        <f>SUMIFS(Datos!$F:$F,Datos!$A:$A,$B18,Datos!$B:$B,FT$3)</f>
        <v>0</v>
      </c>
      <c r="FU18" s="16">
        <f>SUMIFS(Datos!$F:$F,Datos!$A:$A,$B18,Datos!$B:$B,FU$3)</f>
        <v>0</v>
      </c>
      <c r="FV18" s="16">
        <f>SUMIFS(Datos!$F:$F,Datos!$A:$A,$B18,Datos!$B:$B,FV$3)</f>
        <v>0</v>
      </c>
      <c r="FW18" s="16">
        <f>SUMIFS(Datos!$F:$F,Datos!$A:$A,$B18,Datos!$B:$B,FW$3)</f>
        <v>0</v>
      </c>
      <c r="FX18" s="16">
        <f>SUMIFS(Datos!$F:$F,Datos!$A:$A,$B18,Datos!$B:$B,FX$3)</f>
        <v>0</v>
      </c>
      <c r="FY18" s="16">
        <f>SUMIFS(Datos!$F:$F,Datos!$A:$A,$B18,Datos!$B:$B,FY$3)</f>
        <v>0</v>
      </c>
      <c r="FZ18" s="16">
        <f>SUMIFS(Datos!$F:$F,Datos!$A:$A,$B18,Datos!$B:$B,FZ$3)</f>
        <v>0</v>
      </c>
      <c r="GA18" s="16">
        <f>SUMIFS(Datos!$F:$F,Datos!$A:$A,$B18,Datos!$B:$B,GA$3)</f>
        <v>0</v>
      </c>
      <c r="GB18" s="16">
        <f>SUMIFS(Datos!$F:$F,Datos!$A:$A,$B18,Datos!$B:$B,GB$3)</f>
        <v>0</v>
      </c>
      <c r="GC18" s="16">
        <f>SUMIFS(Datos!$F:$F,Datos!$A:$A,$B18,Datos!$B:$B,GC$3)</f>
        <v>0</v>
      </c>
      <c r="GD18" s="16">
        <f>SUMIFS(Datos!$F:$F,Datos!$A:$A,$B18,Datos!$B:$B,GD$3)</f>
        <v>0</v>
      </c>
      <c r="GE18" s="16">
        <f>SUMIFS(Datos!$F:$F,Datos!$A:$A,$B18,Datos!$B:$B,GE$3)</f>
        <v>0</v>
      </c>
      <c r="GF18" s="16">
        <f>SUMIFS(Datos!$F:$F,Datos!$A:$A,$B18,Datos!$B:$B,GF$3)</f>
        <v>0</v>
      </c>
      <c r="GG18" s="16">
        <f>SUMIFS(Datos!$F:$F,Datos!$A:$A,$B18,Datos!$B:$B,GG$3)</f>
        <v>0</v>
      </c>
      <c r="GH18" s="16">
        <f>SUMIFS(Datos!$F:$F,Datos!$A:$A,$B18,Datos!$B:$B,GH$3)</f>
        <v>0</v>
      </c>
      <c r="GI18" s="16">
        <f>SUMIFS(Datos!$F:$F,Datos!$A:$A,$B18,Datos!$B:$B,GI$3)</f>
        <v>0</v>
      </c>
      <c r="GJ18" s="16">
        <f>SUMIFS(Datos!$F:$F,Datos!$A:$A,$B18,Datos!$B:$B,GJ$3)</f>
        <v>0</v>
      </c>
      <c r="GK18" s="16">
        <f>SUMIFS(Datos!$F:$F,Datos!$A:$A,$B18,Datos!$B:$B,GK$3)</f>
        <v>0</v>
      </c>
      <c r="GL18" s="16">
        <f>SUMIFS(Datos!$F:$F,Datos!$A:$A,$B18,Datos!$B:$B,GL$3)</f>
        <v>0</v>
      </c>
      <c r="GM18" s="16">
        <f>SUMIFS(Datos!$F:$F,Datos!$A:$A,$B18,Datos!$B:$B,GM$3)</f>
        <v>0</v>
      </c>
      <c r="GN18" s="16">
        <f>SUMIFS(Datos!$F:$F,Datos!$A:$A,$B18,Datos!$B:$B,GN$3)</f>
        <v>0</v>
      </c>
      <c r="GO18" s="16">
        <f>SUMIFS(Datos!$F:$F,Datos!$A:$A,$B18,Datos!$B:$B,GO$3)</f>
        <v>0</v>
      </c>
      <c r="GP18" s="16">
        <f>SUMIFS(Datos!$F:$F,Datos!$A:$A,$B18,Datos!$B:$B,GP$3)</f>
        <v>0</v>
      </c>
      <c r="GQ18" s="16">
        <f>SUMIFS(Datos!$F:$F,Datos!$A:$A,$B18,Datos!$B:$B,GQ$3)</f>
        <v>0</v>
      </c>
      <c r="GR18" s="16">
        <f>SUMIFS(Datos!$F:$F,Datos!$A:$A,$B18,Datos!$B:$B,GR$3)</f>
        <v>0</v>
      </c>
      <c r="GS18" s="16">
        <f>SUMIFS(Datos!$F:$F,Datos!$A:$A,$B18,Datos!$B:$B,GS$3)</f>
        <v>0</v>
      </c>
      <c r="GT18" s="16">
        <f>SUMIFS(Datos!$F:$F,Datos!$A:$A,$B18,Datos!$B:$B,GT$3)</f>
        <v>0</v>
      </c>
      <c r="GU18" s="16">
        <f>SUMIFS(Datos!$F:$F,Datos!$A:$A,$B18,Datos!$B:$B,GU$3)</f>
        <v>0</v>
      </c>
      <c r="GV18" s="16">
        <f>SUMIFS(Datos!$F:$F,Datos!$A:$A,$B18,Datos!$B:$B,GV$3)</f>
        <v>0</v>
      </c>
      <c r="GW18" s="16">
        <f>SUMIFS(Datos!$F:$F,Datos!$A:$A,$B18,Datos!$B:$B,GW$3)</f>
        <v>0</v>
      </c>
      <c r="GX18" s="16">
        <f>SUMIFS(Datos!$F:$F,Datos!$A:$A,$B18,Datos!$B:$B,GX$3)</f>
        <v>0</v>
      </c>
      <c r="GY18" s="16">
        <f>SUMIFS(Datos!$F:$F,Datos!$A:$A,$B18,Datos!$B:$B,GY$3)</f>
        <v>0</v>
      </c>
      <c r="GZ18" s="16">
        <f>SUMIFS(Datos!$F:$F,Datos!$A:$A,$B18,Datos!$B:$B,GZ$3)</f>
        <v>0</v>
      </c>
      <c r="HA18" s="16">
        <f>SUMIFS(Datos!$F:$F,Datos!$A:$A,$B18,Datos!$B:$B,HA$3)</f>
        <v>0</v>
      </c>
      <c r="HB18" s="16">
        <f>SUMIFS(Datos!$F:$F,Datos!$A:$A,$B18,Datos!$B:$B,HB$3)</f>
        <v>0</v>
      </c>
      <c r="HC18" s="16">
        <f>SUMIFS(Datos!$F:$F,Datos!$A:$A,$B18,Datos!$B:$B,HC$3)</f>
        <v>0</v>
      </c>
      <c r="HD18" s="16">
        <f>SUMIFS(Datos!$F:$F,Datos!$A:$A,$B18,Datos!$B:$B,HD$3)</f>
        <v>0</v>
      </c>
      <c r="HE18" s="16">
        <f>SUMIFS(Datos!$F:$F,Datos!$A:$A,$B18,Datos!$B:$B,HE$3)</f>
        <v>0</v>
      </c>
      <c r="HF18" s="16">
        <f>SUMIFS(Datos!$F:$F,Datos!$A:$A,$B18,Datos!$B:$B,HF$3)</f>
        <v>0</v>
      </c>
      <c r="HG18" s="16">
        <f>SUMIFS(Datos!$F:$F,Datos!$A:$A,$B18,Datos!$B:$B,HG$3)</f>
        <v>0</v>
      </c>
      <c r="HH18" s="16">
        <f>SUMIFS(Datos!$F:$F,Datos!$A:$A,$B18,Datos!$B:$B,HH$3)</f>
        <v>0</v>
      </c>
      <c r="HI18" s="16">
        <f>SUMIFS(Datos!$F:$F,Datos!$A:$A,$B18,Datos!$B:$B,HI$3)</f>
        <v>0</v>
      </c>
      <c r="HJ18" s="16">
        <f>SUMIFS(Datos!$F:$F,Datos!$A:$A,$B18,Datos!$B:$B,HJ$3)</f>
        <v>0</v>
      </c>
      <c r="HK18" s="16">
        <f>SUMIFS(Datos!$F:$F,Datos!$A:$A,$B18,Datos!$B:$B,HK$3)</f>
        <v>0</v>
      </c>
      <c r="HL18" s="16">
        <f>SUMIFS(Datos!$F:$F,Datos!$A:$A,$B18,Datos!$B:$B,HL$3)</f>
        <v>0</v>
      </c>
      <c r="HM18" s="16">
        <f>SUMIFS(Datos!$F:$F,Datos!$A:$A,$B18,Datos!$B:$B,HM$3)</f>
        <v>0</v>
      </c>
      <c r="HN18" s="16">
        <f>SUMIFS(Datos!$F:$F,Datos!$A:$A,$B18,Datos!$B:$B,HN$3)</f>
        <v>0</v>
      </c>
      <c r="HO18" s="16">
        <f>SUMIFS(Datos!$F:$F,Datos!$A:$A,$B18,Datos!$B:$B,HO$3)</f>
        <v>0</v>
      </c>
      <c r="HP18" s="16">
        <f>SUMIFS(Datos!$F:$F,Datos!$A:$A,$B18,Datos!$B:$B,HP$3)</f>
        <v>0</v>
      </c>
      <c r="HQ18" s="16">
        <f>SUMIFS(Datos!$F:$F,Datos!$A:$A,$B18,Datos!$B:$B,HQ$3)</f>
        <v>0</v>
      </c>
      <c r="HR18" s="16">
        <f>SUMIFS(Datos!$F:$F,Datos!$A:$A,$B18,Datos!$B:$B,HR$3)</f>
        <v>0</v>
      </c>
      <c r="HS18" s="16">
        <f>SUMIFS(Datos!$F:$F,Datos!$A:$A,$B18,Datos!$B:$B,HS$3)</f>
        <v>0</v>
      </c>
      <c r="HT18" s="16">
        <f>SUMIFS(Datos!$F:$F,Datos!$A:$A,$B18,Datos!$B:$B,HT$3)</f>
        <v>0</v>
      </c>
      <c r="HU18" s="16">
        <f>SUMIFS(Datos!$F:$F,Datos!$A:$A,$B18,Datos!$B:$B,HU$3)</f>
        <v>0</v>
      </c>
      <c r="HV18" s="16">
        <f>SUMIFS(Datos!$F:$F,Datos!$A:$A,$B18,Datos!$B:$B,HV$3)</f>
        <v>0</v>
      </c>
      <c r="HW18" s="16">
        <f>SUMIFS(Datos!$F:$F,Datos!$A:$A,$B18,Datos!$B:$B,HW$3)</f>
        <v>0</v>
      </c>
      <c r="HX18" s="16">
        <f>SUMIFS(Datos!$F:$F,Datos!$A:$A,$B18,Datos!$B:$B,HX$3)</f>
        <v>0</v>
      </c>
      <c r="HY18" s="16">
        <f>SUMIFS(Datos!$F:$F,Datos!$A:$A,$B18,Datos!$B:$B,HY$3)</f>
        <v>0</v>
      </c>
      <c r="HZ18" s="16">
        <f>SUMIFS(Datos!$F:$F,Datos!$A:$A,$B18,Datos!$B:$B,HZ$3)</f>
        <v>0</v>
      </c>
      <c r="IA18" s="16">
        <f>SUMIFS(Datos!$F:$F,Datos!$A:$A,$B18,Datos!$B:$B,IA$3)</f>
        <v>0</v>
      </c>
      <c r="IB18" s="16">
        <f>SUMIFS(Datos!$F:$F,Datos!$A:$A,$B18,Datos!$B:$B,IB$3)</f>
        <v>0</v>
      </c>
      <c r="IC18" s="16">
        <f>SUMIFS(Datos!$F:$F,Datos!$A:$A,$B18,Datos!$B:$B,IC$3)</f>
        <v>0</v>
      </c>
      <c r="ID18" s="16">
        <f>SUMIFS(Datos!$F:$F,Datos!$A:$A,$B18,Datos!$B:$B,ID$3)</f>
        <v>0</v>
      </c>
      <c r="IE18" s="16">
        <f>SUMIFS(Datos!$F:$F,Datos!$A:$A,$B18,Datos!$B:$B,IE$3)</f>
        <v>0</v>
      </c>
      <c r="IF18" s="16">
        <f>SUMIFS(Datos!$F:$F,Datos!$A:$A,$B18,Datos!$B:$B,IF$3)</f>
        <v>0</v>
      </c>
      <c r="IG18" s="16">
        <f>SUMIFS(Datos!$F:$F,Datos!$A:$A,$B18,Datos!$B:$B,IG$3)</f>
        <v>0</v>
      </c>
      <c r="IH18" s="16">
        <f>SUMIFS(Datos!$F:$F,Datos!$A:$A,$B18,Datos!$B:$B,IH$3)</f>
        <v>0</v>
      </c>
      <c r="II18" s="16">
        <f>SUMIFS(Datos!$F:$F,Datos!$A:$A,$B18,Datos!$B:$B,II$3)</f>
        <v>0</v>
      </c>
      <c r="IJ18" s="16">
        <f>SUMIFS(Datos!$F:$F,Datos!$A:$A,$B18,Datos!$B:$B,IJ$3)</f>
        <v>0</v>
      </c>
      <c r="IK18" s="16">
        <f>SUMIFS(Datos!$F:$F,Datos!$A:$A,$B18,Datos!$B:$B,IK$3)</f>
        <v>0</v>
      </c>
      <c r="IL18" s="16">
        <f>SUMIFS(Datos!$F:$F,Datos!$A:$A,$B18,Datos!$B:$B,IL$3)</f>
        <v>0</v>
      </c>
      <c r="IM18" s="16">
        <f>SUMIFS(Datos!$F:$F,Datos!$A:$A,$B18,Datos!$B:$B,IM$3)</f>
        <v>0</v>
      </c>
      <c r="IN18" s="16">
        <f>SUMIFS(Datos!$F:$F,Datos!$A:$A,$B18,Datos!$B:$B,IN$3)</f>
        <v>0</v>
      </c>
      <c r="IO18" s="16">
        <f>SUMIFS(Datos!$F:$F,Datos!$A:$A,$B18,Datos!$B:$B,IO$3)</f>
        <v>0</v>
      </c>
      <c r="IP18" s="16">
        <f>SUMIFS(Datos!$F:$F,Datos!$A:$A,$B18,Datos!$B:$B,IP$3)</f>
        <v>0</v>
      </c>
      <c r="IQ18" s="16">
        <f>SUMIFS(Datos!$F:$F,Datos!$A:$A,$B18,Datos!$B:$B,IQ$3)</f>
        <v>0</v>
      </c>
      <c r="IR18" s="16">
        <f>SUMIFS(Datos!$F:$F,Datos!$A:$A,$B18,Datos!$B:$B,IR$3)</f>
        <v>0</v>
      </c>
      <c r="IS18" s="16">
        <f>SUMIFS(Datos!$F:$F,Datos!$A:$A,$B18,Datos!$B:$B,IS$3)</f>
        <v>0</v>
      </c>
      <c r="IT18" s="16">
        <f>SUMIFS(Datos!$F:$F,Datos!$A:$A,$B18,Datos!$B:$B,IT$3)</f>
        <v>0</v>
      </c>
      <c r="IU18" s="16">
        <f>SUMIFS(Datos!$F:$F,Datos!$A:$A,$B18,Datos!$B:$B,IU$3)</f>
        <v>0</v>
      </c>
      <c r="IV18" s="16">
        <f>SUMIFS(Datos!$F:$F,Datos!$A:$A,$B18,Datos!$B:$B,IV$3)</f>
        <v>0</v>
      </c>
      <c r="IW18" s="16">
        <f>SUMIFS(Datos!$F:$F,Datos!$A:$A,$B18,Datos!$B:$B,IW$3)</f>
        <v>0</v>
      </c>
      <c r="IX18" s="16">
        <f>SUMIFS(Datos!$F:$F,Datos!$A:$A,$B18,Datos!$B:$B,IX$3)</f>
        <v>0</v>
      </c>
      <c r="IY18" s="16">
        <f>SUMIFS(Datos!$F:$F,Datos!$A:$A,$B18,Datos!$B:$B,IY$3)</f>
        <v>0</v>
      </c>
      <c r="IZ18" s="16">
        <f>SUMIFS(Datos!$F:$F,Datos!$A:$A,$B18,Datos!$B:$B,IZ$3)</f>
        <v>0</v>
      </c>
      <c r="JA18" s="16">
        <f>SUMIFS(Datos!$F:$F,Datos!$A:$A,$B18,Datos!$B:$B,JA$3)</f>
        <v>0</v>
      </c>
      <c r="JB18" s="16">
        <f>SUMIFS(Datos!$F:$F,Datos!$A:$A,$B18,Datos!$B:$B,JB$3)</f>
        <v>0</v>
      </c>
      <c r="JC18" s="16">
        <f>SUMIFS(Datos!$F:$F,Datos!$A:$A,$B18,Datos!$B:$B,JC$3)</f>
        <v>0</v>
      </c>
      <c r="JD18" s="16">
        <f>SUMIFS(Datos!$F:$F,Datos!$A:$A,$B18,Datos!$B:$B,JD$3)</f>
        <v>0</v>
      </c>
      <c r="JE18" s="16">
        <f>SUMIFS(Datos!$F:$F,Datos!$A:$A,$B18,Datos!$B:$B,JE$3)</f>
        <v>0</v>
      </c>
      <c r="JF18" s="16">
        <f>SUMIFS(Datos!$F:$F,Datos!$A:$A,$B18,Datos!$B:$B,JF$3)</f>
        <v>0</v>
      </c>
      <c r="JG18" s="16">
        <f>SUMIFS(Datos!$F:$F,Datos!$A:$A,$B18,Datos!$B:$B,JG$3)</f>
        <v>0</v>
      </c>
      <c r="JH18" s="16">
        <f>SUMIFS(Datos!$F:$F,Datos!$A:$A,$B18,Datos!$B:$B,JH$3)</f>
        <v>0</v>
      </c>
      <c r="JI18" s="16">
        <f>SUMIFS(Datos!$F:$F,Datos!$A:$A,$B18,Datos!$B:$B,JI$3)</f>
        <v>0</v>
      </c>
      <c r="JJ18" s="16">
        <f>SUMIFS(Datos!$F:$F,Datos!$A:$A,$B18,Datos!$B:$B,JJ$3)</f>
        <v>0</v>
      </c>
      <c r="JK18" s="16">
        <f>SUMIFS(Datos!$F:$F,Datos!$A:$A,$B18,Datos!$B:$B,JK$3)</f>
        <v>0</v>
      </c>
      <c r="JL18" s="16">
        <f>SUMIFS(Datos!$F:$F,Datos!$A:$A,$B18,Datos!$B:$B,JL$3)</f>
        <v>0</v>
      </c>
      <c r="JM18" s="16">
        <f>SUMIFS(Datos!$F:$F,Datos!$A:$A,$B18,Datos!$B:$B,JM$3)</f>
        <v>0</v>
      </c>
      <c r="JN18" s="16">
        <f>SUMIFS(Datos!$F:$F,Datos!$A:$A,$B18,Datos!$B:$B,JN$3)</f>
        <v>0</v>
      </c>
      <c r="JO18" s="16">
        <f>SUMIFS(Datos!$F:$F,Datos!$A:$A,$B18,Datos!$B:$B,JO$3)</f>
        <v>0</v>
      </c>
      <c r="JP18" s="16">
        <f>SUMIFS(Datos!$F:$F,Datos!$A:$A,$B18,Datos!$B:$B,JP$3)</f>
        <v>0</v>
      </c>
      <c r="JQ18" s="16">
        <f>SUMIFS(Datos!$F:$F,Datos!$A:$A,$B18,Datos!$B:$B,JQ$3)</f>
        <v>0</v>
      </c>
      <c r="JR18" s="16">
        <f>SUMIFS(Datos!$F:$F,Datos!$A:$A,$B18,Datos!$B:$B,JR$3)</f>
        <v>0</v>
      </c>
      <c r="JS18" s="16">
        <f>SUMIFS(Datos!$F:$F,Datos!$A:$A,$B18,Datos!$B:$B,JS$3)</f>
        <v>0</v>
      </c>
      <c r="JT18" s="16">
        <f>SUMIFS(Datos!$F:$F,Datos!$A:$A,$B18,Datos!$B:$B,JT$3)</f>
        <v>0</v>
      </c>
      <c r="JU18" s="16">
        <f>SUMIFS(Datos!$F:$F,Datos!$A:$A,$B18,Datos!$B:$B,JU$3)</f>
        <v>0</v>
      </c>
      <c r="JV18" s="16">
        <f>SUMIFS(Datos!$F:$F,Datos!$A:$A,$B18,Datos!$B:$B,JV$3)</f>
        <v>0</v>
      </c>
      <c r="JW18" s="16">
        <f>SUMIFS(Datos!$F:$F,Datos!$A:$A,$B18,Datos!$B:$B,JW$3)</f>
        <v>0</v>
      </c>
      <c r="JX18" s="16">
        <f>SUMIFS(Datos!$F:$F,Datos!$A:$A,$B18,Datos!$B:$B,JX$3)</f>
        <v>0</v>
      </c>
      <c r="JY18" s="16">
        <f>SUMIFS(Datos!$F:$F,Datos!$A:$A,$B18,Datos!$B:$B,JY$3)</f>
        <v>0</v>
      </c>
      <c r="JZ18" s="16">
        <f>SUMIFS(Datos!$F:$F,Datos!$A:$A,$B18,Datos!$B:$B,JZ$3)</f>
        <v>0</v>
      </c>
      <c r="KA18" s="16">
        <f>SUMIFS(Datos!$F:$F,Datos!$A:$A,$B18,Datos!$B:$B,KA$3)</f>
        <v>0</v>
      </c>
      <c r="KB18" s="16">
        <f>SUMIFS(Datos!$F:$F,Datos!$A:$A,$B18,Datos!$B:$B,KB$3)</f>
        <v>0</v>
      </c>
      <c r="KC18" s="16">
        <f>SUMIFS(Datos!$F:$F,Datos!$A:$A,$B18,Datos!$B:$B,KC$3)</f>
        <v>0</v>
      </c>
      <c r="KD18" s="16">
        <f>SUMIFS(Datos!$F:$F,Datos!$A:$A,$B18,Datos!$B:$B,KD$3)</f>
        <v>0</v>
      </c>
      <c r="KE18" s="16">
        <f>SUMIFS(Datos!$F:$F,Datos!$A:$A,$B18,Datos!$B:$B,KE$3)</f>
        <v>0</v>
      </c>
      <c r="KF18" s="16">
        <f>SUMIFS(Datos!$F:$F,Datos!$A:$A,$B18,Datos!$B:$B,KF$3)</f>
        <v>0</v>
      </c>
      <c r="KG18" s="16">
        <f>SUMIFS(Datos!$F:$F,Datos!$A:$A,$B18,Datos!$B:$B,KG$3)</f>
        <v>0</v>
      </c>
      <c r="KH18" s="16">
        <f>SUMIFS(Datos!$F:$F,Datos!$A:$A,$B18,Datos!$B:$B,KH$3)</f>
        <v>0</v>
      </c>
      <c r="KI18" s="16">
        <f>SUMIFS(Datos!$F:$F,Datos!$A:$A,$B18,Datos!$B:$B,KI$3)</f>
        <v>0</v>
      </c>
      <c r="KJ18" s="16">
        <f>SUMIFS(Datos!$F:$F,Datos!$A:$A,$B18,Datos!$B:$B,KJ$3)</f>
        <v>0</v>
      </c>
      <c r="KK18" s="16">
        <f>SUMIFS(Datos!$F:$F,Datos!$A:$A,$B18,Datos!$B:$B,KK$3)</f>
        <v>0</v>
      </c>
      <c r="KL18" s="16">
        <f>SUMIFS(Datos!$F:$F,Datos!$A:$A,$B18,Datos!$B:$B,KL$3)</f>
        <v>0</v>
      </c>
      <c r="KM18" s="16">
        <f>SUMIFS(Datos!$F:$F,Datos!$A:$A,$B18,Datos!$B:$B,KM$3)</f>
        <v>0</v>
      </c>
      <c r="KN18" s="16">
        <f>SUMIFS(Datos!$F:$F,Datos!$A:$A,$B18,Datos!$B:$B,KN$3)</f>
        <v>0</v>
      </c>
      <c r="KO18" s="16">
        <f>SUMIFS(Datos!$F:$F,Datos!$A:$A,$B18,Datos!$B:$B,KO$3)</f>
        <v>0</v>
      </c>
      <c r="KP18" s="16">
        <f>SUMIFS(Datos!$F:$F,Datos!$A:$A,$B18,Datos!$B:$B,KP$3)</f>
        <v>0</v>
      </c>
      <c r="KQ18" s="16">
        <f>SUMIFS(Datos!$F:$F,Datos!$A:$A,$B18,Datos!$B:$B,KQ$3)</f>
        <v>0</v>
      </c>
      <c r="KR18" s="16">
        <f>SUMIFS(Datos!$F:$F,Datos!$A:$A,$B18,Datos!$B:$B,KR$3)</f>
        <v>0</v>
      </c>
      <c r="KS18" s="16">
        <f>SUMIFS(Datos!$F:$F,Datos!$A:$A,$B18,Datos!$B:$B,KS$3)</f>
        <v>0</v>
      </c>
      <c r="KT18" s="16">
        <f>SUMIFS(Datos!$F:$F,Datos!$A:$A,$B18,Datos!$B:$B,KT$3)</f>
        <v>0</v>
      </c>
      <c r="KU18" s="16">
        <f>SUMIFS(Datos!$F:$F,Datos!$A:$A,$B18,Datos!$B:$B,KU$3)</f>
        <v>0</v>
      </c>
      <c r="KV18" s="16">
        <f>SUMIFS(Datos!$F:$F,Datos!$A:$A,$B18,Datos!$B:$B,KV$3)</f>
        <v>0</v>
      </c>
      <c r="KW18" s="16">
        <f>SUMIFS(Datos!$F:$F,Datos!$A:$A,$B18,Datos!$B:$B,KW$3)</f>
        <v>0</v>
      </c>
      <c r="KX18" s="16">
        <f>SUMIFS(Datos!$F:$F,Datos!$A:$A,$B18,Datos!$B:$B,KX$3)</f>
        <v>0</v>
      </c>
      <c r="KY18" s="16">
        <f>SUMIFS(Datos!$F:$F,Datos!$A:$A,$B18,Datos!$B:$B,KY$3)</f>
        <v>0</v>
      </c>
      <c r="KZ18" s="16">
        <f>SUMIFS(Datos!$F:$F,Datos!$A:$A,$B18,Datos!$B:$B,KZ$3)</f>
        <v>0</v>
      </c>
      <c r="LA18" s="16">
        <f>SUMIFS(Datos!$F:$F,Datos!$A:$A,$B18,Datos!$B:$B,LA$3)</f>
        <v>0</v>
      </c>
      <c r="LB18" s="16">
        <f>SUMIFS(Datos!$F:$F,Datos!$A:$A,$B18,Datos!$B:$B,LB$3)</f>
        <v>0</v>
      </c>
      <c r="LC18" s="16">
        <f>SUMIFS(Datos!$F:$F,Datos!$A:$A,$B18,Datos!$B:$B,LC$3)</f>
        <v>0</v>
      </c>
      <c r="LD18" s="16">
        <f>SUMIFS(Datos!$F:$F,Datos!$A:$A,$B18,Datos!$B:$B,LD$3)</f>
        <v>0</v>
      </c>
      <c r="LE18" s="16">
        <f>SUMIFS(Datos!$F:$F,Datos!$A:$A,$B18,Datos!$B:$B,LE$3)</f>
        <v>0</v>
      </c>
      <c r="LF18" s="16">
        <f>SUMIFS(Datos!$F:$F,Datos!$A:$A,$B18,Datos!$B:$B,LF$3)</f>
        <v>0</v>
      </c>
      <c r="LG18" s="16">
        <f>SUMIFS(Datos!$F:$F,Datos!$A:$A,$B18,Datos!$B:$B,LG$3)</f>
        <v>0</v>
      </c>
      <c r="LH18" s="16">
        <f>SUMIFS(Datos!$F:$F,Datos!$A:$A,$B18,Datos!$B:$B,LH$3)</f>
        <v>0</v>
      </c>
      <c r="LI18" s="16">
        <f>SUMIFS(Datos!$F:$F,Datos!$A:$A,$B18,Datos!$B:$B,LI$3)</f>
        <v>0</v>
      </c>
      <c r="LJ18" s="16">
        <f>SUMIFS(Datos!$F:$F,Datos!$A:$A,$B18,Datos!$B:$B,LJ$3)</f>
        <v>0</v>
      </c>
      <c r="LK18" s="16">
        <f>SUMIFS(Datos!$F:$F,Datos!$A:$A,$B18,Datos!$B:$B,LK$3)</f>
        <v>0</v>
      </c>
      <c r="LL18" s="16">
        <f>SUMIFS(Datos!$F:$F,Datos!$A:$A,$B18,Datos!$B:$B,LL$3)</f>
        <v>0</v>
      </c>
      <c r="LM18" s="16">
        <f>SUMIFS(Datos!$F:$F,Datos!$A:$A,$B18,Datos!$B:$B,LM$3)</f>
        <v>0</v>
      </c>
      <c r="LN18" s="16">
        <f>SUMIFS(Datos!$F:$F,Datos!$A:$A,$B18,Datos!$B:$B,LN$3)</f>
        <v>0</v>
      </c>
      <c r="LO18" s="16">
        <f>SUMIFS(Datos!$F:$F,Datos!$A:$A,$B18,Datos!$B:$B,LO$3)</f>
        <v>0</v>
      </c>
      <c r="LP18" s="16">
        <f>SUMIFS(Datos!$F:$F,Datos!$A:$A,$B18,Datos!$B:$B,LP$3)</f>
        <v>0</v>
      </c>
      <c r="LQ18" s="16">
        <f>SUMIFS(Datos!$F:$F,Datos!$A:$A,$B18,Datos!$B:$B,LQ$3)</f>
        <v>0</v>
      </c>
      <c r="LR18" s="16">
        <f>SUMIFS(Datos!$F:$F,Datos!$A:$A,$B18,Datos!$B:$B,LR$3)</f>
        <v>0</v>
      </c>
      <c r="LS18" s="16">
        <f>SUMIFS(Datos!$F:$F,Datos!$A:$A,$B18,Datos!$B:$B,LS$3)</f>
        <v>0</v>
      </c>
      <c r="LT18" s="16">
        <f>SUMIFS(Datos!$F:$F,Datos!$A:$A,$B18,Datos!$B:$B,LT$3)</f>
        <v>0</v>
      </c>
      <c r="LU18" s="16">
        <f>SUMIFS(Datos!$F:$F,Datos!$A:$A,$B18,Datos!$B:$B,LU$3)</f>
        <v>0</v>
      </c>
      <c r="LV18" s="16">
        <f>SUMIFS(Datos!$F:$F,Datos!$A:$A,$B18,Datos!$B:$B,LV$3)</f>
        <v>0</v>
      </c>
      <c r="LW18" s="16">
        <f>SUMIFS(Datos!$F:$F,Datos!$A:$A,$B18,Datos!$B:$B,LW$3)</f>
        <v>0</v>
      </c>
      <c r="LX18" s="16">
        <f>SUMIFS(Datos!$F:$F,Datos!$A:$A,$B18,Datos!$B:$B,LX$3)</f>
        <v>0</v>
      </c>
      <c r="LY18" s="16">
        <f>SUMIFS(Datos!$F:$F,Datos!$A:$A,$B18,Datos!$B:$B,LY$3)</f>
        <v>0</v>
      </c>
      <c r="LZ18" s="16">
        <f>SUMIFS(Datos!$F:$F,Datos!$A:$A,$B18,Datos!$B:$B,LZ$3)</f>
        <v>0</v>
      </c>
      <c r="MA18" s="16">
        <f>SUMIFS(Datos!$F:$F,Datos!$A:$A,$B18,Datos!$B:$B,MA$3)</f>
        <v>0</v>
      </c>
      <c r="MB18" s="16">
        <f>SUMIFS(Datos!$F:$F,Datos!$A:$A,$B18,Datos!$B:$B,MB$3)</f>
        <v>0</v>
      </c>
      <c r="MC18" s="16">
        <f>SUMIFS(Datos!$F:$F,Datos!$A:$A,$B18,Datos!$B:$B,MC$3)</f>
        <v>0</v>
      </c>
      <c r="MD18" s="16">
        <f>SUMIFS(Datos!$F:$F,Datos!$A:$A,$B18,Datos!$B:$B,MD$3)</f>
        <v>0</v>
      </c>
      <c r="ME18" s="16">
        <f>SUMIFS(Datos!$F:$F,Datos!$A:$A,$B18,Datos!$B:$B,ME$3)</f>
        <v>0</v>
      </c>
      <c r="MF18" s="16">
        <f>SUMIFS(Datos!$F:$F,Datos!$A:$A,$B18,Datos!$B:$B,MF$3)</f>
        <v>0</v>
      </c>
      <c r="MG18" s="16">
        <f>SUMIFS(Datos!$F:$F,Datos!$A:$A,$B18,Datos!$B:$B,MG$3)</f>
        <v>0</v>
      </c>
      <c r="MH18" s="16">
        <f>SUMIFS(Datos!$F:$F,Datos!$A:$A,$B18,Datos!$B:$B,MH$3)</f>
        <v>0</v>
      </c>
      <c r="MI18" s="16">
        <f>SUMIFS(Datos!$F:$F,Datos!$A:$A,$B18,Datos!$B:$B,MI$3)</f>
        <v>0</v>
      </c>
      <c r="MJ18" s="16">
        <f>SUMIFS(Datos!$F:$F,Datos!$A:$A,$B18,Datos!$B:$B,MJ$3)</f>
        <v>0</v>
      </c>
      <c r="MK18" s="16">
        <f>SUMIFS(Datos!$F:$F,Datos!$A:$A,$B18,Datos!$B:$B,MK$3)</f>
        <v>0</v>
      </c>
      <c r="ML18" s="16">
        <f>SUMIFS(Datos!$F:$F,Datos!$A:$A,$B18,Datos!$B:$B,ML$3)</f>
        <v>0</v>
      </c>
      <c r="MM18" s="16">
        <f>SUMIFS(Datos!$F:$F,Datos!$A:$A,$B18,Datos!$B:$B,MM$3)</f>
        <v>0</v>
      </c>
      <c r="MN18" s="16">
        <f>SUMIFS(Datos!$F:$F,Datos!$A:$A,$B18,Datos!$B:$B,MN$3)</f>
        <v>0</v>
      </c>
      <c r="MO18" s="16">
        <f>SUMIFS(Datos!$F:$F,Datos!$A:$A,$B18,Datos!$B:$B,MO$3)</f>
        <v>0</v>
      </c>
      <c r="MP18" s="16">
        <f>SUMIFS(Datos!$F:$F,Datos!$A:$A,$B18,Datos!$B:$B,MP$3)</f>
        <v>0</v>
      </c>
      <c r="MQ18" s="16">
        <f>SUMIFS(Datos!$F:$F,Datos!$A:$A,$B18,Datos!$B:$B,MQ$3)</f>
        <v>0</v>
      </c>
      <c r="MR18" s="16">
        <f>SUMIFS(Datos!$F:$F,Datos!$A:$A,$B18,Datos!$B:$B,MR$3)</f>
        <v>0</v>
      </c>
      <c r="MS18" s="16">
        <f>SUMIFS(Datos!$F:$F,Datos!$A:$A,$B18,Datos!$B:$B,MS$3)</f>
        <v>0</v>
      </c>
      <c r="MT18" s="16">
        <f>SUMIFS(Datos!$F:$F,Datos!$A:$A,$B18,Datos!$B:$B,MT$3)</f>
        <v>0</v>
      </c>
      <c r="MU18" s="16">
        <f>SUMIFS(Datos!$F:$F,Datos!$A:$A,$B18,Datos!$B:$B,MU$3)</f>
        <v>0</v>
      </c>
      <c r="MV18" s="16">
        <f>SUMIFS(Datos!$F:$F,Datos!$A:$A,$B18,Datos!$B:$B,MV$3)</f>
        <v>0</v>
      </c>
      <c r="MW18" s="16">
        <f>SUMIFS(Datos!$F:$F,Datos!$A:$A,$B18,Datos!$B:$B,MW$3)</f>
        <v>0</v>
      </c>
      <c r="MX18" s="16">
        <f>SUMIFS(Datos!$F:$F,Datos!$A:$A,$B18,Datos!$B:$B,MX$3)</f>
        <v>0</v>
      </c>
      <c r="MY18" s="16">
        <f>SUMIFS(Datos!$F:$F,Datos!$A:$A,$B18,Datos!$B:$B,MY$3)</f>
        <v>0</v>
      </c>
      <c r="MZ18" s="16">
        <f>SUMIFS(Datos!$F:$F,Datos!$A:$A,$B18,Datos!$B:$B,MZ$3)</f>
        <v>0</v>
      </c>
      <c r="NA18" s="16">
        <f>SUMIFS(Datos!$F:$F,Datos!$A:$A,$B18,Datos!$B:$B,NA$3)</f>
        <v>0</v>
      </c>
      <c r="NB18" s="16">
        <f>SUMIFS(Datos!$F:$F,Datos!$A:$A,$B18,Datos!$B:$B,NB$3)</f>
        <v>0</v>
      </c>
      <c r="NC18" s="16">
        <f>SUMIFS(Datos!$F:$F,Datos!$A:$A,$B18,Datos!$B:$B,NC$3)</f>
        <v>0</v>
      </c>
      <c r="ND18" s="16">
        <f>SUMIFS(Datos!$F:$F,Datos!$A:$A,$B18,Datos!$B:$B,ND$3)</f>
        <v>0</v>
      </c>
      <c r="NE18" s="16">
        <f>SUMIFS(Datos!$F:$F,Datos!$A:$A,$B18,Datos!$B:$B,NE$3)</f>
        <v>0</v>
      </c>
      <c r="NF18" s="16">
        <f>SUMIFS(Datos!$F:$F,Datos!$A:$A,$B18,Datos!$B:$B,NF$3)</f>
        <v>0</v>
      </c>
      <c r="NG18" s="16">
        <f>SUMIFS(Datos!$F:$F,Datos!$A:$A,$B18,Datos!$B:$B,NG$3)</f>
        <v>0</v>
      </c>
      <c r="NH18" s="16">
        <f>SUMIFS(Datos!$F:$F,Datos!$A:$A,$B18,Datos!$B:$B,NH$3)</f>
        <v>0</v>
      </c>
      <c r="NI18" s="16">
        <f>SUMIFS(Datos!$F:$F,Datos!$A:$A,$B18,Datos!$B:$B,NI$3)</f>
        <v>0</v>
      </c>
      <c r="NJ18" s="16">
        <f>SUMIFS(Datos!$F:$F,Datos!$A:$A,$B18,Datos!$B:$B,NJ$3)</f>
        <v>0</v>
      </c>
      <c r="NK18" s="16">
        <f>SUMIFS(Datos!$F:$F,Datos!$A:$A,$B18,Datos!$B:$B,NK$3)</f>
        <v>0</v>
      </c>
      <c r="NL18" s="16">
        <f>SUMIFS(Datos!$F:$F,Datos!$A:$A,$B18,Datos!$B:$B,NL$3)</f>
        <v>0</v>
      </c>
      <c r="NM18" s="16">
        <f>SUMIFS(Datos!$F:$F,Datos!$A:$A,$B18,Datos!$B:$B,NM$3)</f>
        <v>0</v>
      </c>
      <c r="NN18" s="16">
        <f>SUMIFS(Datos!$F:$F,Datos!$A:$A,$B18,Datos!$B:$B,NN$3)</f>
        <v>0</v>
      </c>
      <c r="NO18" s="16">
        <f>SUMIFS(Datos!$F:$F,Datos!$A:$A,$B18,Datos!$B:$B,NO$3)</f>
        <v>0</v>
      </c>
      <c r="NP18" s="16">
        <f>SUMIFS(Datos!$F:$F,Datos!$A:$A,$B18,Datos!$B:$B,NP$3)</f>
        <v>0</v>
      </c>
      <c r="NQ18" s="16">
        <f>SUMIFS(Datos!$F:$F,Datos!$A:$A,$B18,Datos!$B:$B,NQ$3)</f>
        <v>0</v>
      </c>
      <c r="NR18" s="16">
        <f>SUMIFS(Datos!$F:$F,Datos!$A:$A,$B18,Datos!$B:$B,NR$3)</f>
        <v>0</v>
      </c>
      <c r="NS18" s="16">
        <f>SUMIFS(Datos!$F:$F,Datos!$A:$A,$B18,Datos!$B:$B,NS$3)</f>
        <v>0</v>
      </c>
      <c r="NT18" s="16">
        <f>SUMIFS(Datos!$F:$F,Datos!$A:$A,$B18,Datos!$B:$B,NT$3)</f>
        <v>0</v>
      </c>
      <c r="NU18" s="16">
        <f>SUMIFS(Datos!$F:$F,Datos!$A:$A,$B18,Datos!$B:$B,NU$3)</f>
        <v>0</v>
      </c>
      <c r="NV18" s="16">
        <f>SUMIFS(Datos!$F:$F,Datos!$A:$A,$B18,Datos!$B:$B,NV$3)</f>
        <v>0</v>
      </c>
      <c r="NW18" s="16">
        <f>SUMIFS(Datos!$F:$F,Datos!$A:$A,$B18,Datos!$B:$B,NW$3)</f>
        <v>0</v>
      </c>
      <c r="NX18" s="16">
        <f>SUMIFS(Datos!$F:$F,Datos!$A:$A,$B18,Datos!$B:$B,NX$3)</f>
        <v>0</v>
      </c>
      <c r="NY18" s="16">
        <f>SUMIFS(Datos!$F:$F,Datos!$A:$A,$B18,Datos!$B:$B,NY$3)</f>
        <v>0</v>
      </c>
      <c r="NZ18" s="16">
        <f>SUMIFS(Datos!$F:$F,Datos!$A:$A,$B18,Datos!$B:$B,NZ$3)</f>
        <v>0</v>
      </c>
      <c r="OA18" s="16">
        <f>SUMIFS(Datos!$F:$F,Datos!$A:$A,$B18,Datos!$B:$B,OA$3)</f>
        <v>0</v>
      </c>
      <c r="OB18" s="16">
        <f>SUMIFS(Datos!$F:$F,Datos!$A:$A,$B18,Datos!$B:$B,OB$3)</f>
        <v>0</v>
      </c>
      <c r="OC18" s="16">
        <f>SUMIFS(Datos!$F:$F,Datos!$A:$A,$B18,Datos!$B:$B,OC$3)</f>
        <v>0</v>
      </c>
      <c r="OD18" s="16">
        <f>SUMIFS(Datos!$F:$F,Datos!$A:$A,$B18,Datos!$B:$B,OD$3)</f>
        <v>0</v>
      </c>
      <c r="OE18" s="16">
        <f>SUMIFS(Datos!$F:$F,Datos!$A:$A,$B18,Datos!$B:$B,OE$3)</f>
        <v>0</v>
      </c>
      <c r="OF18" s="16">
        <f>SUMIFS(Datos!$F:$F,Datos!$A:$A,$B18,Datos!$B:$B,OF$3)</f>
        <v>0</v>
      </c>
      <c r="OG18" s="16">
        <f>SUMIFS(Datos!$F:$F,Datos!$A:$A,$B18,Datos!$B:$B,OG$3)</f>
        <v>0</v>
      </c>
      <c r="OH18" s="16">
        <f>SUMIFS(Datos!$F:$F,Datos!$A:$A,$B18,Datos!$B:$B,OH$3)</f>
        <v>0</v>
      </c>
      <c r="OI18" s="16">
        <f>SUMIFS(Datos!$F:$F,Datos!$A:$A,$B18,Datos!$B:$B,OI$3)</f>
        <v>0</v>
      </c>
      <c r="OJ18" s="16">
        <f>SUMIFS(Datos!$F:$F,Datos!$A:$A,$B18,Datos!$B:$B,OJ$3)</f>
        <v>0</v>
      </c>
      <c r="OK18" s="16">
        <f>SUMIFS(Datos!$F:$F,Datos!$A:$A,$B18,Datos!$B:$B,OK$3)</f>
        <v>0</v>
      </c>
      <c r="OL18" s="16">
        <f>SUMIFS(Datos!$F:$F,Datos!$A:$A,$B18,Datos!$B:$B,OL$3)</f>
        <v>0</v>
      </c>
      <c r="OM18" s="16">
        <f>SUMIFS(Datos!$F:$F,Datos!$A:$A,$B18,Datos!$B:$B,OM$3)</f>
        <v>0</v>
      </c>
      <c r="ON18" s="16">
        <f>SUMIFS(Datos!$F:$F,Datos!$A:$A,$B18,Datos!$B:$B,ON$3)</f>
        <v>0</v>
      </c>
      <c r="OO18" s="16">
        <f>SUMIFS(Datos!$F:$F,Datos!$A:$A,$B18,Datos!$B:$B,OO$3)</f>
        <v>0</v>
      </c>
      <c r="OP18" s="16">
        <f>SUMIFS(Datos!$F:$F,Datos!$A:$A,$B18,Datos!$B:$B,OP$3)</f>
        <v>0</v>
      </c>
      <c r="OQ18" s="16">
        <f>SUMIFS(Datos!$F:$F,Datos!$A:$A,$B18,Datos!$B:$B,OQ$3)</f>
        <v>0</v>
      </c>
      <c r="OR18" s="16">
        <f>SUMIFS(Datos!$F:$F,Datos!$A:$A,$B18,Datos!$B:$B,OR$3)</f>
        <v>0</v>
      </c>
      <c r="OS18" s="16">
        <f>SUMIFS(Datos!$F:$F,Datos!$A:$A,$B18,Datos!$B:$B,OS$3)</f>
        <v>0</v>
      </c>
      <c r="OT18" s="16">
        <f>SUMIFS(Datos!$F:$F,Datos!$A:$A,$B18,Datos!$B:$B,OT$3)</f>
        <v>0</v>
      </c>
      <c r="OU18" s="16">
        <f>SUMIFS(Datos!$F:$F,Datos!$A:$A,$B18,Datos!$B:$B,OU$3)</f>
        <v>0</v>
      </c>
      <c r="OV18" s="16">
        <f>SUMIFS(Datos!$F:$F,Datos!$A:$A,$B18,Datos!$B:$B,OV$3)</f>
        <v>0</v>
      </c>
      <c r="OW18" s="16">
        <f>SUMIFS(Datos!$F:$F,Datos!$A:$A,$B18,Datos!$B:$B,OW$3)</f>
        <v>0</v>
      </c>
      <c r="OX18" s="16">
        <f>SUMIFS(Datos!$F:$F,Datos!$A:$A,$B18,Datos!$B:$B,OX$3)</f>
        <v>0</v>
      </c>
      <c r="OY18" s="16">
        <f>SUMIFS(Datos!$F:$F,Datos!$A:$A,$B18,Datos!$B:$B,OY$3)</f>
        <v>0</v>
      </c>
      <c r="OZ18" s="16">
        <f>SUMIFS(Datos!$F:$F,Datos!$A:$A,$B18,Datos!$B:$B,OZ$3)</f>
        <v>0</v>
      </c>
      <c r="PA18" s="16">
        <f>SUMIFS(Datos!$F:$F,Datos!$A:$A,$B18,Datos!$B:$B,PA$3)</f>
        <v>0</v>
      </c>
      <c r="PB18" s="16">
        <f>SUMIFS(Datos!$F:$F,Datos!$A:$A,$B18,Datos!$B:$B,PB$3)</f>
        <v>0</v>
      </c>
      <c r="PC18" s="16">
        <f>SUMIFS(Datos!$F:$F,Datos!$A:$A,$B18,Datos!$B:$B,PC$3)</f>
        <v>0</v>
      </c>
      <c r="PD18" s="16">
        <f>SUMIFS(Datos!$F:$F,Datos!$A:$A,$B18,Datos!$B:$B,PD$3)</f>
        <v>0</v>
      </c>
      <c r="PE18" s="16">
        <f>SUMIFS(Datos!$F:$F,Datos!$A:$A,$B18,Datos!$B:$B,PE$3)</f>
        <v>0</v>
      </c>
      <c r="PF18" s="16">
        <f>SUMIFS(Datos!$F:$F,Datos!$A:$A,$B18,Datos!$B:$B,PF$3)</f>
        <v>0</v>
      </c>
      <c r="PG18" s="16">
        <f>SUMIFS(Datos!$F:$F,Datos!$A:$A,$B18,Datos!$B:$B,PG$3)</f>
        <v>0</v>
      </c>
      <c r="PH18" s="16">
        <f>SUMIFS(Datos!$F:$F,Datos!$A:$A,$B18,Datos!$B:$B,PH$3)</f>
        <v>0</v>
      </c>
      <c r="PI18" s="16">
        <f>SUMIFS(Datos!$F:$F,Datos!$A:$A,$B18,Datos!$B:$B,PI$3)</f>
        <v>0</v>
      </c>
      <c r="PJ18" s="16">
        <f>SUMIFS(Datos!$F:$F,Datos!$A:$A,$B18,Datos!$B:$B,PJ$3)</f>
        <v>0</v>
      </c>
      <c r="PK18" s="16">
        <f>SUMIFS(Datos!$F:$F,Datos!$A:$A,$B18,Datos!$B:$B,PK$3)</f>
        <v>0</v>
      </c>
      <c r="PL18" s="16">
        <f>SUMIFS(Datos!$F:$F,Datos!$A:$A,$B18,Datos!$B:$B,PL$3)</f>
        <v>0</v>
      </c>
      <c r="PM18" s="16">
        <f>SUMIFS(Datos!$F:$F,Datos!$A:$A,$B18,Datos!$B:$B,PM$3)</f>
        <v>0</v>
      </c>
      <c r="PN18" s="16">
        <f>SUMIFS(Datos!$F:$F,Datos!$A:$A,$B18,Datos!$B:$B,PN$3)</f>
        <v>0</v>
      </c>
      <c r="PO18" s="16">
        <f>SUMIFS(Datos!$F:$F,Datos!$A:$A,$B18,Datos!$B:$B,PO$3)</f>
        <v>0</v>
      </c>
      <c r="PP18" s="16">
        <f>SUMIFS(Datos!$F:$F,Datos!$A:$A,$B18,Datos!$B:$B,PP$3)</f>
        <v>0</v>
      </c>
      <c r="PQ18" s="16">
        <f>SUMIFS(Datos!$F:$F,Datos!$A:$A,$B18,Datos!$B:$B,PQ$3)</f>
        <v>0</v>
      </c>
      <c r="PR18" s="16">
        <f>SUMIFS(Datos!$F:$F,Datos!$A:$A,$B18,Datos!$B:$B,PR$3)</f>
        <v>0</v>
      </c>
      <c r="PS18" s="16">
        <f>SUMIFS(Datos!$F:$F,Datos!$A:$A,$B18,Datos!$B:$B,PS$3)</f>
        <v>0</v>
      </c>
      <c r="PT18" s="16">
        <f>SUMIFS(Datos!$F:$F,Datos!$A:$A,$B18,Datos!$B:$B,PT$3)</f>
        <v>0</v>
      </c>
      <c r="PU18" s="16">
        <f>SUMIFS(Datos!$F:$F,Datos!$A:$A,$B18,Datos!$B:$B,PU$3)</f>
        <v>0</v>
      </c>
      <c r="PV18" s="16">
        <f>SUMIFS(Datos!$F:$F,Datos!$A:$A,$B18,Datos!$B:$B,PV$3)</f>
        <v>0</v>
      </c>
      <c r="PW18" s="16">
        <f>SUMIFS(Datos!$F:$F,Datos!$A:$A,$B18,Datos!$B:$B,PW$3)</f>
        <v>0</v>
      </c>
      <c r="PX18" s="16">
        <f>SUMIFS(Datos!$F:$F,Datos!$A:$A,$B18,Datos!$B:$B,PX$3)</f>
        <v>0</v>
      </c>
      <c r="PY18" s="16">
        <f>SUMIFS(Datos!$F:$F,Datos!$A:$A,$B18,Datos!$B:$B,PY$3)</f>
        <v>0</v>
      </c>
      <c r="PZ18" s="16">
        <f>SUMIFS(Datos!$F:$F,Datos!$A:$A,$B18,Datos!$B:$B,PZ$3)</f>
        <v>0</v>
      </c>
      <c r="QA18" s="16">
        <f>SUMIFS(Datos!$F:$F,Datos!$A:$A,$B18,Datos!$B:$B,QA$3)</f>
        <v>0</v>
      </c>
      <c r="QB18" s="16">
        <f>SUMIFS(Datos!$F:$F,Datos!$A:$A,$B18,Datos!$B:$B,QB$3)</f>
        <v>0</v>
      </c>
      <c r="QC18" s="16">
        <f>SUMIFS(Datos!$F:$F,Datos!$A:$A,$B18,Datos!$B:$B,QC$3)</f>
        <v>0</v>
      </c>
      <c r="QD18" s="16">
        <f>SUMIFS(Datos!$F:$F,Datos!$A:$A,$B18,Datos!$B:$B,QD$3)</f>
        <v>0</v>
      </c>
      <c r="QE18" s="16">
        <f>SUMIFS(Datos!$F:$F,Datos!$A:$A,$B18,Datos!$B:$B,QE$3)</f>
        <v>0</v>
      </c>
      <c r="QF18" s="16">
        <f>SUMIFS(Datos!$F:$F,Datos!$A:$A,$B18,Datos!$B:$B,QF$3)</f>
        <v>0</v>
      </c>
      <c r="QG18" s="16">
        <f>SUMIFS(Datos!$F:$F,Datos!$A:$A,$B18,Datos!$B:$B,QG$3)</f>
        <v>0</v>
      </c>
      <c r="QH18" s="16">
        <f>SUMIFS(Datos!$F:$F,Datos!$A:$A,$B18,Datos!$B:$B,QH$3)</f>
        <v>0</v>
      </c>
      <c r="QI18" s="16">
        <f>SUMIFS(Datos!$F:$F,Datos!$A:$A,$B18,Datos!$B:$B,QI$3)</f>
        <v>0</v>
      </c>
      <c r="QJ18" s="16">
        <f>SUMIFS(Datos!$F:$F,Datos!$A:$A,$B18,Datos!$B:$B,QJ$3)</f>
        <v>0</v>
      </c>
      <c r="QK18" s="16">
        <f>SUMIFS(Datos!$F:$F,Datos!$A:$A,$B18,Datos!$B:$B,QK$3)</f>
        <v>0</v>
      </c>
      <c r="QL18" s="16">
        <f>SUMIFS(Datos!$F:$F,Datos!$A:$A,$B18,Datos!$B:$B,QL$3)</f>
        <v>0</v>
      </c>
      <c r="QM18" s="16">
        <f>SUMIFS(Datos!$F:$F,Datos!$A:$A,$B18,Datos!$B:$B,QM$3)</f>
        <v>0</v>
      </c>
      <c r="QN18" s="16">
        <f>SUMIFS(Datos!$F:$F,Datos!$A:$A,$B18,Datos!$B:$B,QN$3)</f>
        <v>0</v>
      </c>
      <c r="QO18" s="16">
        <f>SUMIFS(Datos!$F:$F,Datos!$A:$A,$B18,Datos!$B:$B,QO$3)</f>
        <v>0</v>
      </c>
      <c r="QP18" s="16">
        <f>SUMIFS(Datos!$F:$F,Datos!$A:$A,$B18,Datos!$B:$B,QP$3)</f>
        <v>0</v>
      </c>
      <c r="QQ18" s="16">
        <f>SUMIFS(Datos!$F:$F,Datos!$A:$A,$B18,Datos!$B:$B,QQ$3)</f>
        <v>0</v>
      </c>
      <c r="QR18" s="16">
        <f>SUMIFS(Datos!$F:$F,Datos!$A:$A,$B18,Datos!$B:$B,QR$3)</f>
        <v>0</v>
      </c>
      <c r="QS18" s="16">
        <f>SUMIFS(Datos!$F:$F,Datos!$A:$A,$B18,Datos!$B:$B,QS$3)</f>
        <v>0</v>
      </c>
      <c r="QT18" s="16">
        <f>SUMIFS(Datos!$F:$F,Datos!$A:$A,$B18,Datos!$B:$B,QT$3)</f>
        <v>0</v>
      </c>
      <c r="QU18" s="16">
        <f>SUMIFS(Datos!$F:$F,Datos!$A:$A,$B18,Datos!$B:$B,QU$3)</f>
        <v>0</v>
      </c>
      <c r="QV18" s="16">
        <f>SUMIFS(Datos!$F:$F,Datos!$A:$A,$B18,Datos!$B:$B,QV$3)</f>
        <v>0</v>
      </c>
      <c r="QW18" s="16">
        <f>SUMIFS(Datos!$F:$F,Datos!$A:$A,$B18,Datos!$B:$B,QW$3)</f>
        <v>0</v>
      </c>
      <c r="QX18" s="16">
        <f>SUMIFS(Datos!$F:$F,Datos!$A:$A,$B18,Datos!$B:$B,QX$3)</f>
        <v>0</v>
      </c>
      <c r="QY18" s="16">
        <f>SUMIFS(Datos!$F:$F,Datos!$A:$A,$B18,Datos!$B:$B,QY$3)</f>
        <v>0</v>
      </c>
      <c r="QZ18" s="16">
        <f>SUMIFS(Datos!$F:$F,Datos!$A:$A,$B18,Datos!$B:$B,QZ$3)</f>
        <v>0</v>
      </c>
      <c r="RA18" s="16">
        <f>SUMIFS(Datos!$F:$F,Datos!$A:$A,$B18,Datos!$B:$B,RA$3)</f>
        <v>0</v>
      </c>
      <c r="RB18" s="16">
        <f>SUMIFS(Datos!$F:$F,Datos!$A:$A,$B18,Datos!$B:$B,RB$3)</f>
        <v>0</v>
      </c>
      <c r="RC18" s="16">
        <f>SUMIFS(Datos!$F:$F,Datos!$A:$A,$B18,Datos!$B:$B,RC$3)</f>
        <v>0</v>
      </c>
      <c r="RD18" s="16">
        <f>SUMIFS(Datos!$F:$F,Datos!$A:$A,$B18,Datos!$B:$B,RD$3)</f>
        <v>0</v>
      </c>
      <c r="RE18" s="16">
        <f>SUMIFS(Datos!$F:$F,Datos!$A:$A,$B18,Datos!$B:$B,RE$3)</f>
        <v>0</v>
      </c>
      <c r="RF18" s="16">
        <f>SUMIFS(Datos!$F:$F,Datos!$A:$A,$B18,Datos!$B:$B,RF$3)</f>
        <v>0</v>
      </c>
      <c r="RG18" s="16">
        <f>SUMIFS(Datos!$F:$F,Datos!$A:$A,$B18,Datos!$B:$B,RG$3)</f>
        <v>0</v>
      </c>
      <c r="RH18" s="16">
        <f>SUMIFS(Datos!$F:$F,Datos!$A:$A,$B18,Datos!$B:$B,RH$3)</f>
        <v>0</v>
      </c>
      <c r="RI18" s="16">
        <f>SUMIFS(Datos!$F:$F,Datos!$A:$A,$B18,Datos!$B:$B,RI$3)</f>
        <v>0</v>
      </c>
      <c r="RJ18" s="16">
        <f>SUMIFS(Datos!$F:$F,Datos!$A:$A,$B18,Datos!$B:$B,RJ$3)</f>
        <v>0</v>
      </c>
      <c r="RK18" s="16">
        <f>SUMIFS(Datos!$F:$F,Datos!$A:$A,$B18,Datos!$B:$B,RK$3)</f>
        <v>0</v>
      </c>
      <c r="RL18" s="16">
        <f>SUMIFS(Datos!$F:$F,Datos!$A:$A,$B18,Datos!$B:$B,RL$3)</f>
        <v>0</v>
      </c>
      <c r="RM18" s="16">
        <f>SUMIFS(Datos!$F:$F,Datos!$A:$A,$B18,Datos!$B:$B,RM$3)</f>
        <v>0</v>
      </c>
      <c r="RN18" s="16">
        <f>SUMIFS(Datos!$F:$F,Datos!$A:$A,$B18,Datos!$B:$B,RN$3)</f>
        <v>0</v>
      </c>
      <c r="RO18" s="16">
        <f>SUMIFS(Datos!$F:$F,Datos!$A:$A,$B18,Datos!$B:$B,RO$3)</f>
        <v>0</v>
      </c>
      <c r="RP18" s="16">
        <f>SUMIFS(Datos!$F:$F,Datos!$A:$A,$B18,Datos!$B:$B,RP$3)</f>
        <v>0</v>
      </c>
      <c r="RQ18" s="16">
        <f>SUMIFS(Datos!$F:$F,Datos!$A:$A,$B18,Datos!$B:$B,RQ$3)</f>
        <v>0</v>
      </c>
      <c r="RR18" s="16">
        <f>SUMIFS(Datos!$F:$F,Datos!$A:$A,$B18,Datos!$B:$B,RR$3)</f>
        <v>0</v>
      </c>
      <c r="RS18" s="16">
        <f>SUMIFS(Datos!$F:$F,Datos!$A:$A,$B18,Datos!$B:$B,RS$3)</f>
        <v>0</v>
      </c>
      <c r="RT18" s="16">
        <f>SUMIFS(Datos!$F:$F,Datos!$A:$A,$B18,Datos!$B:$B,RT$3)</f>
        <v>0</v>
      </c>
      <c r="RU18" s="16">
        <f>SUMIFS(Datos!$F:$F,Datos!$A:$A,$B18,Datos!$B:$B,RU$3)</f>
        <v>0</v>
      </c>
      <c r="RV18" s="16">
        <f>SUMIFS(Datos!$F:$F,Datos!$A:$A,$B18,Datos!$B:$B,RV$3)</f>
        <v>0</v>
      </c>
      <c r="RW18" s="16">
        <f>SUMIFS(Datos!$F:$F,Datos!$A:$A,$B18,Datos!$B:$B,RW$3)</f>
        <v>0</v>
      </c>
      <c r="RX18" s="16">
        <f>SUMIFS(Datos!$F:$F,Datos!$A:$A,$B18,Datos!$B:$B,RX$3)</f>
        <v>0</v>
      </c>
      <c r="RY18" s="16">
        <f>SUMIFS(Datos!$F:$F,Datos!$A:$A,$B18,Datos!$B:$B,RY$3)</f>
        <v>0</v>
      </c>
      <c r="RZ18" s="16">
        <f>SUMIFS(Datos!$F:$F,Datos!$A:$A,$B18,Datos!$B:$B,RZ$3)</f>
        <v>0</v>
      </c>
      <c r="SA18" s="16">
        <f>SUMIFS(Datos!$F:$F,Datos!$A:$A,$B18,Datos!$B:$B,SA$3)</f>
        <v>0</v>
      </c>
      <c r="SB18" s="16">
        <f>SUMIFS(Datos!$F:$F,Datos!$A:$A,$B18,Datos!$B:$B,SB$3)</f>
        <v>0</v>
      </c>
      <c r="SC18" s="16">
        <f>SUMIFS(Datos!$F:$F,Datos!$A:$A,$B18,Datos!$B:$B,SC$3)</f>
        <v>0</v>
      </c>
      <c r="SD18" s="16">
        <f>SUMIFS(Datos!$F:$F,Datos!$A:$A,$B18,Datos!$B:$B,SD$3)</f>
        <v>0</v>
      </c>
      <c r="SE18" s="16">
        <f>SUMIFS(Datos!$F:$F,Datos!$A:$A,$B18,Datos!$B:$B,SE$3)</f>
        <v>0</v>
      </c>
      <c r="SF18" s="16">
        <f>SUMIFS(Datos!$F:$F,Datos!$A:$A,$B18,Datos!$B:$B,SF$3)</f>
        <v>0</v>
      </c>
      <c r="SG18" s="16">
        <f>SUMIFS(Datos!$F:$F,Datos!$A:$A,$B18,Datos!$B:$B,SG$3)</f>
        <v>0</v>
      </c>
      <c r="SH18" s="16">
        <f>SUMIFS(Datos!$F:$F,Datos!$A:$A,$B18,Datos!$B:$B,SH$3)</f>
        <v>0</v>
      </c>
      <c r="SI18" s="16">
        <f>SUMIFS(Datos!$F:$F,Datos!$A:$A,$B18,Datos!$B:$B,SI$3)</f>
        <v>0</v>
      </c>
      <c r="SJ18" s="16">
        <f>SUMIFS(Datos!$F:$F,Datos!$A:$A,$B18,Datos!$B:$B,SJ$3)</f>
        <v>0</v>
      </c>
      <c r="SK18" s="16">
        <f>SUMIFS(Datos!$F:$F,Datos!$A:$A,$B18,Datos!$B:$B,SK$3)</f>
        <v>0</v>
      </c>
      <c r="SL18" s="16">
        <f>SUMIFS(Datos!$F:$F,Datos!$A:$A,$B18,Datos!$B:$B,SL$3)</f>
        <v>0</v>
      </c>
      <c r="SM18" s="16">
        <f>SUMIFS(Datos!$F:$F,Datos!$A:$A,$B18,Datos!$B:$B,SM$3)</f>
        <v>0</v>
      </c>
      <c r="SN18" s="16">
        <f>SUMIFS(Datos!$F:$F,Datos!$A:$A,$B18,Datos!$B:$B,SN$3)</f>
        <v>0</v>
      </c>
      <c r="SO18" s="16">
        <f>SUMIFS(Datos!$F:$F,Datos!$A:$A,$B18,Datos!$B:$B,SO$3)</f>
        <v>0</v>
      </c>
      <c r="SP18" s="16">
        <f>SUMIFS(Datos!$F:$F,Datos!$A:$A,$B18,Datos!$B:$B,SP$3)</f>
        <v>0</v>
      </c>
      <c r="SQ18" s="16">
        <f>SUMIFS(Datos!$F:$F,Datos!$A:$A,$B18,Datos!$B:$B,SQ$3)</f>
        <v>0</v>
      </c>
      <c r="SR18" s="16">
        <f>SUMIFS(Datos!$F:$F,Datos!$A:$A,$B18,Datos!$B:$B,SR$3)</f>
        <v>0</v>
      </c>
      <c r="SS18" s="16">
        <f>SUMIFS(Datos!$F:$F,Datos!$A:$A,$B18,Datos!$B:$B,SS$3)</f>
        <v>0</v>
      </c>
      <c r="ST18" s="16">
        <f>SUMIFS(Datos!$F:$F,Datos!$A:$A,$B18,Datos!$B:$B,ST$3)</f>
        <v>0</v>
      </c>
      <c r="SU18" s="16">
        <f>SUMIFS(Datos!$F:$F,Datos!$A:$A,$B18,Datos!$B:$B,SU$3)</f>
        <v>0</v>
      </c>
      <c r="SV18" s="16">
        <f>SUMIFS(Datos!$F:$F,Datos!$A:$A,$B18,Datos!$B:$B,SV$3)</f>
        <v>0</v>
      </c>
      <c r="SW18" s="16">
        <f>SUMIFS(Datos!$F:$F,Datos!$A:$A,$B18,Datos!$B:$B,SW$3)</f>
        <v>0</v>
      </c>
      <c r="SX18" s="16">
        <f>SUMIFS(Datos!$F:$F,Datos!$A:$A,$B18,Datos!$B:$B,SX$3)</f>
        <v>0</v>
      </c>
      <c r="SY18" s="16">
        <f>SUMIFS(Datos!$F:$F,Datos!$A:$A,$B18,Datos!$B:$B,SY$3)</f>
        <v>0</v>
      </c>
      <c r="SZ18" s="16">
        <f>SUMIFS(Datos!$F:$F,Datos!$A:$A,$B18,Datos!$B:$B,SZ$3)</f>
        <v>0</v>
      </c>
      <c r="TA18" s="16">
        <f>SUMIFS(Datos!$F:$F,Datos!$A:$A,$B18,Datos!$B:$B,TA$3)</f>
        <v>0</v>
      </c>
      <c r="TB18" s="16">
        <f>SUMIFS(Datos!$F:$F,Datos!$A:$A,$B18,Datos!$B:$B,TB$3)</f>
        <v>0</v>
      </c>
      <c r="TC18" s="16">
        <f>SUMIFS(Datos!$F:$F,Datos!$A:$A,$B18,Datos!$B:$B,TC$3)</f>
        <v>0</v>
      </c>
      <c r="TD18" s="16">
        <f>SUMIFS(Datos!$F:$F,Datos!$A:$A,$B18,Datos!$B:$B,TD$3)</f>
        <v>0</v>
      </c>
      <c r="TE18" s="16">
        <f>SUMIFS(Datos!$F:$F,Datos!$A:$A,$B18,Datos!$B:$B,TE$3)</f>
        <v>0</v>
      </c>
      <c r="TF18" s="16">
        <f>SUMIFS(Datos!$F:$F,Datos!$A:$A,$B18,Datos!$B:$B,TF$3)</f>
        <v>0</v>
      </c>
    </row>
    <row r="19" spans="1:526">
      <c r="A19" s="31" t="s">
        <v>48</v>
      </c>
      <c r="B19" s="4">
        <f>Cartera!B19</f>
        <v>0</v>
      </c>
      <c r="C19" s="4">
        <f>Cartera!C19</f>
        <v>0</v>
      </c>
      <c r="D19" s="16">
        <f>SUMIFS(Datos!$F:$F,Datos!$A:$A,$B19,Datos!$B:$B,D$3)</f>
        <v>0</v>
      </c>
      <c r="E19" s="16">
        <f>SUMIFS(Datos!$F:$F,Datos!$A:$A,$B19,Datos!$B:$B,E$3)</f>
        <v>0</v>
      </c>
      <c r="F19" s="16">
        <f>SUMIFS(Datos!$F:$F,Datos!$A:$A,$B19,Datos!$B:$B,F$3)</f>
        <v>0</v>
      </c>
      <c r="G19" s="16">
        <f>SUMIFS(Datos!$F:$F,Datos!$A:$A,$B19,Datos!$B:$B,G$3)</f>
        <v>0</v>
      </c>
      <c r="H19" s="16">
        <f>SUMIFS(Datos!$F:$F,Datos!$A:$A,$B19,Datos!$B:$B,H$3)</f>
        <v>0</v>
      </c>
      <c r="I19" s="16">
        <f>SUMIFS(Datos!$F:$F,Datos!$A:$A,$B19,Datos!$B:$B,I$3)</f>
        <v>0</v>
      </c>
      <c r="J19" s="16">
        <f>SUMIFS(Datos!$F:$F,Datos!$A:$A,$B19,Datos!$B:$B,J$3)</f>
        <v>0</v>
      </c>
      <c r="K19" s="16">
        <f>SUMIFS(Datos!$F:$F,Datos!$A:$A,$B19,Datos!$B:$B,K$3)</f>
        <v>0</v>
      </c>
      <c r="L19" s="16">
        <f>SUMIFS(Datos!$F:$F,Datos!$A:$A,$B19,Datos!$B:$B,L$3)</f>
        <v>0</v>
      </c>
      <c r="M19" s="16">
        <f>SUMIFS(Datos!$F:$F,Datos!$A:$A,$B19,Datos!$B:$B,M$3)</f>
        <v>0</v>
      </c>
      <c r="N19" s="16">
        <f>SUMIFS(Datos!$F:$F,Datos!$A:$A,$B19,Datos!$B:$B,N$3)</f>
        <v>0</v>
      </c>
      <c r="O19" s="16">
        <f>SUMIFS(Datos!$F:$F,Datos!$A:$A,$B19,Datos!$B:$B,O$3)</f>
        <v>0</v>
      </c>
      <c r="P19" s="16">
        <f>SUMIFS(Datos!$F:$F,Datos!$A:$A,$B19,Datos!$B:$B,P$3)</f>
        <v>0</v>
      </c>
      <c r="Q19" s="16">
        <f>SUMIFS(Datos!$F:$F,Datos!$A:$A,$B19,Datos!$B:$B,Q$3)</f>
        <v>0</v>
      </c>
      <c r="R19" s="16">
        <f>SUMIFS(Datos!$F:$F,Datos!$A:$A,$B19,Datos!$B:$B,R$3)</f>
        <v>0</v>
      </c>
      <c r="S19" s="16">
        <f>SUMIFS(Datos!$F:$F,Datos!$A:$A,$B19,Datos!$B:$B,S$3)</f>
        <v>0</v>
      </c>
      <c r="T19" s="16">
        <f>SUMIFS(Datos!$F:$F,Datos!$A:$A,$B19,Datos!$B:$B,T$3)</f>
        <v>0</v>
      </c>
      <c r="U19" s="16">
        <f>SUMIFS(Datos!$F:$F,Datos!$A:$A,$B19,Datos!$B:$B,U$3)</f>
        <v>0</v>
      </c>
      <c r="V19" s="16">
        <f>SUMIFS(Datos!$F:$F,Datos!$A:$A,$B19,Datos!$B:$B,V$3)</f>
        <v>0</v>
      </c>
      <c r="W19" s="16">
        <f>SUMIFS(Datos!$F:$F,Datos!$A:$A,$B19,Datos!$B:$B,W$3)</f>
        <v>0</v>
      </c>
      <c r="X19" s="16">
        <f>SUMIFS(Datos!$F:$F,Datos!$A:$A,$B19,Datos!$B:$B,X$3)</f>
        <v>0</v>
      </c>
      <c r="Y19" s="16">
        <f>SUMIFS(Datos!$F:$F,Datos!$A:$A,$B19,Datos!$B:$B,Y$3)</f>
        <v>0</v>
      </c>
      <c r="Z19" s="16">
        <f>SUMIFS(Datos!$F:$F,Datos!$A:$A,$B19,Datos!$B:$B,Z$3)</f>
        <v>0</v>
      </c>
      <c r="AA19" s="16">
        <f>SUMIFS(Datos!$F:$F,Datos!$A:$A,$B19,Datos!$B:$B,AA$3)</f>
        <v>0</v>
      </c>
      <c r="AB19" s="16">
        <f>SUMIFS(Datos!$F:$F,Datos!$A:$A,$B19,Datos!$B:$B,AB$3)</f>
        <v>0</v>
      </c>
      <c r="AC19" s="16">
        <f>SUMIFS(Datos!$F:$F,Datos!$A:$A,$B19,Datos!$B:$B,AC$3)</f>
        <v>0</v>
      </c>
      <c r="AD19" s="16">
        <f>SUMIFS(Datos!$F:$F,Datos!$A:$A,$B19,Datos!$B:$B,AD$3)</f>
        <v>0</v>
      </c>
      <c r="AE19" s="16">
        <f>SUMIFS(Datos!$F:$F,Datos!$A:$A,$B19,Datos!$B:$B,AE$3)</f>
        <v>0</v>
      </c>
      <c r="AF19" s="16">
        <f>SUMIFS(Datos!$F:$F,Datos!$A:$A,$B19,Datos!$B:$B,AF$3)</f>
        <v>0</v>
      </c>
      <c r="AG19" s="16">
        <f>SUMIFS(Datos!$F:$F,Datos!$A:$A,$B19,Datos!$B:$B,AG$3)</f>
        <v>0</v>
      </c>
      <c r="AH19" s="16">
        <f>SUMIFS(Datos!$F:$F,Datos!$A:$A,$B19,Datos!$B:$B,AH$3)</f>
        <v>0</v>
      </c>
      <c r="AI19" s="16">
        <f>SUMIFS(Datos!$F:$F,Datos!$A:$A,$B19,Datos!$B:$B,AI$3)</f>
        <v>0</v>
      </c>
      <c r="AJ19" s="16">
        <f>SUMIFS(Datos!$F:$F,Datos!$A:$A,$B19,Datos!$B:$B,AJ$3)</f>
        <v>0</v>
      </c>
      <c r="AK19" s="16">
        <f>SUMIFS(Datos!$F:$F,Datos!$A:$A,$B19,Datos!$B:$B,AK$3)</f>
        <v>0</v>
      </c>
      <c r="AL19" s="16">
        <f>SUMIFS(Datos!$F:$F,Datos!$A:$A,$B19,Datos!$B:$B,AL$3)</f>
        <v>0</v>
      </c>
      <c r="AM19" s="16">
        <f>SUMIFS(Datos!$F:$F,Datos!$A:$A,$B19,Datos!$B:$B,AM$3)</f>
        <v>0</v>
      </c>
      <c r="AN19" s="16">
        <f>SUMIFS(Datos!$F:$F,Datos!$A:$A,$B19,Datos!$B:$B,AN$3)</f>
        <v>0</v>
      </c>
      <c r="AO19" s="16">
        <f>SUMIFS(Datos!$F:$F,Datos!$A:$A,$B19,Datos!$B:$B,AO$3)</f>
        <v>0</v>
      </c>
      <c r="AP19" s="16">
        <f>SUMIFS(Datos!$F:$F,Datos!$A:$A,$B19,Datos!$B:$B,AP$3)</f>
        <v>0</v>
      </c>
      <c r="AQ19" s="16">
        <f>SUMIFS(Datos!$F:$F,Datos!$A:$A,$B19,Datos!$B:$B,AQ$3)</f>
        <v>0</v>
      </c>
      <c r="AR19" s="16">
        <f>SUMIFS(Datos!$F:$F,Datos!$A:$A,$B19,Datos!$B:$B,AR$3)</f>
        <v>0</v>
      </c>
      <c r="AS19" s="16">
        <f>SUMIFS(Datos!$F:$F,Datos!$A:$A,$B19,Datos!$B:$B,AS$3)</f>
        <v>0</v>
      </c>
      <c r="AT19" s="16">
        <f>SUMIFS(Datos!$F:$F,Datos!$A:$A,$B19,Datos!$B:$B,AT$3)</f>
        <v>0</v>
      </c>
      <c r="AU19" s="16">
        <f>SUMIFS(Datos!$F:$F,Datos!$A:$A,$B19,Datos!$B:$B,AU$3)</f>
        <v>0</v>
      </c>
      <c r="AV19" s="16">
        <f>SUMIFS(Datos!$F:$F,Datos!$A:$A,$B19,Datos!$B:$B,AV$3)</f>
        <v>0</v>
      </c>
      <c r="AW19" s="16">
        <f>SUMIFS(Datos!$F:$F,Datos!$A:$A,$B19,Datos!$B:$B,AW$3)</f>
        <v>0</v>
      </c>
      <c r="AX19" s="16">
        <f>SUMIFS(Datos!$F:$F,Datos!$A:$A,$B19,Datos!$B:$B,AX$3)</f>
        <v>0</v>
      </c>
      <c r="AY19" s="16">
        <f>SUMIFS(Datos!$F:$F,Datos!$A:$A,$B19,Datos!$B:$B,AY$3)</f>
        <v>0</v>
      </c>
      <c r="AZ19" s="16">
        <f>SUMIFS(Datos!$F:$F,Datos!$A:$A,$B19,Datos!$B:$B,AZ$3)</f>
        <v>0</v>
      </c>
      <c r="BA19" s="16">
        <f>SUMIFS(Datos!$F:$F,Datos!$A:$A,$B19,Datos!$B:$B,BA$3)</f>
        <v>0</v>
      </c>
      <c r="BB19" s="16">
        <f>SUMIFS(Datos!$F:$F,Datos!$A:$A,$B19,Datos!$B:$B,BB$3)</f>
        <v>0</v>
      </c>
      <c r="BC19" s="16">
        <f>SUMIFS(Datos!$F:$F,Datos!$A:$A,$B19,Datos!$B:$B,BC$3)</f>
        <v>0</v>
      </c>
      <c r="BD19" s="16">
        <f>SUMIFS(Datos!$F:$F,Datos!$A:$A,$B19,Datos!$B:$B,BD$3)</f>
        <v>0</v>
      </c>
      <c r="BE19" s="16">
        <f>SUMIFS(Datos!$F:$F,Datos!$A:$A,$B19,Datos!$B:$B,BE$3)</f>
        <v>0</v>
      </c>
      <c r="BF19" s="16">
        <f>SUMIFS(Datos!$F:$F,Datos!$A:$A,$B19,Datos!$B:$B,BF$3)</f>
        <v>0</v>
      </c>
      <c r="BG19" s="16">
        <f>SUMIFS(Datos!$F:$F,Datos!$A:$A,$B19,Datos!$B:$B,BG$3)</f>
        <v>0</v>
      </c>
      <c r="BH19" s="16">
        <f>SUMIFS(Datos!$F:$F,Datos!$A:$A,$B19,Datos!$B:$B,BH$3)</f>
        <v>0</v>
      </c>
      <c r="BI19" s="16">
        <f>SUMIFS(Datos!$F:$F,Datos!$A:$A,$B19,Datos!$B:$B,BI$3)</f>
        <v>0</v>
      </c>
      <c r="BJ19" s="16">
        <f>SUMIFS(Datos!$F:$F,Datos!$A:$A,$B19,Datos!$B:$B,BJ$3)</f>
        <v>0</v>
      </c>
      <c r="BK19" s="16">
        <f>SUMIFS(Datos!$F:$F,Datos!$A:$A,$B19,Datos!$B:$B,BK$3)</f>
        <v>0</v>
      </c>
      <c r="BL19" s="16">
        <f>SUMIFS(Datos!$F:$F,Datos!$A:$A,$B19,Datos!$B:$B,BL$3)</f>
        <v>0</v>
      </c>
      <c r="BM19" s="16">
        <f>SUMIFS(Datos!$F:$F,Datos!$A:$A,$B19,Datos!$B:$B,BM$3)</f>
        <v>0</v>
      </c>
      <c r="BN19" s="16">
        <f>SUMIFS(Datos!$F:$F,Datos!$A:$A,$B19,Datos!$B:$B,BN$3)</f>
        <v>0</v>
      </c>
      <c r="BO19" s="16">
        <f>SUMIFS(Datos!$F:$F,Datos!$A:$A,$B19,Datos!$B:$B,BO$3)</f>
        <v>0</v>
      </c>
      <c r="BP19" s="16">
        <f>SUMIFS(Datos!$F:$F,Datos!$A:$A,$B19,Datos!$B:$B,BP$3)</f>
        <v>0</v>
      </c>
      <c r="BQ19" s="16">
        <f>SUMIFS(Datos!$F:$F,Datos!$A:$A,$B19,Datos!$B:$B,BQ$3)</f>
        <v>0</v>
      </c>
      <c r="BR19" s="16">
        <f>SUMIFS(Datos!$F:$F,Datos!$A:$A,$B19,Datos!$B:$B,BR$3)</f>
        <v>0</v>
      </c>
      <c r="BS19" s="16">
        <f>SUMIFS(Datos!$F:$F,Datos!$A:$A,$B19,Datos!$B:$B,BS$3)</f>
        <v>0</v>
      </c>
      <c r="BT19" s="16">
        <f>SUMIFS(Datos!$F:$F,Datos!$A:$A,$B19,Datos!$B:$B,BT$3)</f>
        <v>0</v>
      </c>
      <c r="BU19" s="16">
        <f>SUMIFS(Datos!$F:$F,Datos!$A:$A,$B19,Datos!$B:$B,BU$3)</f>
        <v>0</v>
      </c>
      <c r="BV19" s="16">
        <f>SUMIFS(Datos!$F:$F,Datos!$A:$A,$B19,Datos!$B:$B,BV$3)</f>
        <v>0</v>
      </c>
      <c r="BW19" s="16">
        <f>SUMIFS(Datos!$F:$F,Datos!$A:$A,$B19,Datos!$B:$B,BW$3)</f>
        <v>0</v>
      </c>
      <c r="BX19" s="16">
        <f>SUMIFS(Datos!$F:$F,Datos!$A:$A,$B19,Datos!$B:$B,BX$3)</f>
        <v>0</v>
      </c>
      <c r="BY19" s="16">
        <f>SUMIFS(Datos!$F:$F,Datos!$A:$A,$B19,Datos!$B:$B,BY$3)</f>
        <v>0</v>
      </c>
      <c r="BZ19" s="16">
        <f>SUMIFS(Datos!$F:$F,Datos!$A:$A,$B19,Datos!$B:$B,BZ$3)</f>
        <v>0</v>
      </c>
      <c r="CA19" s="16">
        <f>SUMIFS(Datos!$F:$F,Datos!$A:$A,$B19,Datos!$B:$B,CA$3)</f>
        <v>0</v>
      </c>
      <c r="CB19" s="16">
        <f>SUMIFS(Datos!$F:$F,Datos!$A:$A,$B19,Datos!$B:$B,CB$3)</f>
        <v>0</v>
      </c>
      <c r="CC19" s="16">
        <f>SUMIFS(Datos!$F:$F,Datos!$A:$A,$B19,Datos!$B:$B,CC$3)</f>
        <v>0</v>
      </c>
      <c r="CD19" s="16">
        <f>SUMIFS(Datos!$F:$F,Datos!$A:$A,$B19,Datos!$B:$B,CD$3)</f>
        <v>0</v>
      </c>
      <c r="CE19" s="16">
        <f>SUMIFS(Datos!$F:$F,Datos!$A:$A,$B19,Datos!$B:$B,CE$3)</f>
        <v>0</v>
      </c>
      <c r="CF19" s="16">
        <f>SUMIFS(Datos!$F:$F,Datos!$A:$A,$B19,Datos!$B:$B,CF$3)</f>
        <v>0</v>
      </c>
      <c r="CG19" s="16">
        <f>SUMIFS(Datos!$F:$F,Datos!$A:$A,$B19,Datos!$B:$B,CG$3)</f>
        <v>0</v>
      </c>
      <c r="CH19" s="16">
        <f>SUMIFS(Datos!$F:$F,Datos!$A:$A,$B19,Datos!$B:$B,CH$3)</f>
        <v>0</v>
      </c>
      <c r="CI19" s="16">
        <f>SUMIFS(Datos!$F:$F,Datos!$A:$A,$B19,Datos!$B:$B,CI$3)</f>
        <v>0</v>
      </c>
      <c r="CJ19" s="16">
        <f>SUMIFS(Datos!$F:$F,Datos!$A:$A,$B19,Datos!$B:$B,CJ$3)</f>
        <v>0</v>
      </c>
      <c r="CK19" s="16">
        <f>SUMIFS(Datos!$F:$F,Datos!$A:$A,$B19,Datos!$B:$B,CK$3)</f>
        <v>0</v>
      </c>
      <c r="CL19" s="16">
        <f>SUMIFS(Datos!$F:$F,Datos!$A:$A,$B19,Datos!$B:$B,CL$3)</f>
        <v>0</v>
      </c>
      <c r="CM19" s="16">
        <f>SUMIFS(Datos!$F:$F,Datos!$A:$A,$B19,Datos!$B:$B,CM$3)</f>
        <v>0</v>
      </c>
      <c r="CN19" s="16">
        <f>SUMIFS(Datos!$F:$F,Datos!$A:$A,$B19,Datos!$B:$B,CN$3)</f>
        <v>0</v>
      </c>
      <c r="CO19" s="16">
        <f>SUMIFS(Datos!$F:$F,Datos!$A:$A,$B19,Datos!$B:$B,CO$3)</f>
        <v>0</v>
      </c>
      <c r="CP19" s="16">
        <f>SUMIFS(Datos!$F:$F,Datos!$A:$A,$B19,Datos!$B:$B,CP$3)</f>
        <v>0</v>
      </c>
      <c r="CQ19" s="16">
        <f>SUMIFS(Datos!$F:$F,Datos!$A:$A,$B19,Datos!$B:$B,CQ$3)</f>
        <v>0</v>
      </c>
      <c r="CR19" s="16">
        <f>SUMIFS(Datos!$F:$F,Datos!$A:$A,$B19,Datos!$B:$B,CR$3)</f>
        <v>0</v>
      </c>
      <c r="CS19" s="16">
        <f>SUMIFS(Datos!$F:$F,Datos!$A:$A,$B19,Datos!$B:$B,CS$3)</f>
        <v>0</v>
      </c>
      <c r="CT19" s="16">
        <f>SUMIFS(Datos!$F:$F,Datos!$A:$A,$B19,Datos!$B:$B,CT$3)</f>
        <v>0</v>
      </c>
      <c r="CU19" s="16">
        <f>SUMIFS(Datos!$F:$F,Datos!$A:$A,$B19,Datos!$B:$B,CU$3)</f>
        <v>0</v>
      </c>
      <c r="CV19" s="16">
        <f>SUMIFS(Datos!$F:$F,Datos!$A:$A,$B19,Datos!$B:$B,CV$3)</f>
        <v>0</v>
      </c>
      <c r="CW19" s="16">
        <f>SUMIFS(Datos!$F:$F,Datos!$A:$A,$B19,Datos!$B:$B,CW$3)</f>
        <v>0</v>
      </c>
      <c r="CX19" s="16">
        <f>SUMIFS(Datos!$F:$F,Datos!$A:$A,$B19,Datos!$B:$B,CX$3)</f>
        <v>0</v>
      </c>
      <c r="CY19" s="16">
        <f>SUMIFS(Datos!$F:$F,Datos!$A:$A,$B19,Datos!$B:$B,CY$3)</f>
        <v>0</v>
      </c>
      <c r="CZ19" s="16">
        <f>SUMIFS(Datos!$F:$F,Datos!$A:$A,$B19,Datos!$B:$B,CZ$3)</f>
        <v>0</v>
      </c>
      <c r="DA19" s="16">
        <f>SUMIFS(Datos!$F:$F,Datos!$A:$A,$B19,Datos!$B:$B,DA$3)</f>
        <v>0</v>
      </c>
      <c r="DB19" s="16">
        <f>SUMIFS(Datos!$F:$F,Datos!$A:$A,$B19,Datos!$B:$B,DB$3)</f>
        <v>0</v>
      </c>
      <c r="DC19" s="16">
        <f>SUMIFS(Datos!$F:$F,Datos!$A:$A,$B19,Datos!$B:$B,DC$3)</f>
        <v>0</v>
      </c>
      <c r="DD19" s="16">
        <f>SUMIFS(Datos!$F:$F,Datos!$A:$A,$B19,Datos!$B:$B,DD$3)</f>
        <v>0</v>
      </c>
      <c r="DE19" s="16">
        <f>SUMIFS(Datos!$F:$F,Datos!$A:$A,$B19,Datos!$B:$B,DE$3)</f>
        <v>0</v>
      </c>
      <c r="DF19" s="16">
        <f>SUMIFS(Datos!$F:$F,Datos!$A:$A,$B19,Datos!$B:$B,DF$3)</f>
        <v>0</v>
      </c>
      <c r="DG19" s="16">
        <f>SUMIFS(Datos!$F:$F,Datos!$A:$A,$B19,Datos!$B:$B,DG$3)</f>
        <v>0</v>
      </c>
      <c r="DH19" s="16">
        <f>SUMIFS(Datos!$F:$F,Datos!$A:$A,$B19,Datos!$B:$B,DH$3)</f>
        <v>0</v>
      </c>
      <c r="DI19" s="16">
        <f>SUMIFS(Datos!$F:$F,Datos!$A:$A,$B19,Datos!$B:$B,DI$3)</f>
        <v>0</v>
      </c>
      <c r="DJ19" s="16">
        <f>SUMIFS(Datos!$F:$F,Datos!$A:$A,$B19,Datos!$B:$B,DJ$3)</f>
        <v>0</v>
      </c>
      <c r="DK19" s="16">
        <f>SUMIFS(Datos!$F:$F,Datos!$A:$A,$B19,Datos!$B:$B,DK$3)</f>
        <v>0</v>
      </c>
      <c r="DL19" s="16">
        <f>SUMIFS(Datos!$F:$F,Datos!$A:$A,$B19,Datos!$B:$B,DL$3)</f>
        <v>0</v>
      </c>
      <c r="DM19" s="16">
        <f>SUMIFS(Datos!$F:$F,Datos!$A:$A,$B19,Datos!$B:$B,DM$3)</f>
        <v>0</v>
      </c>
      <c r="DN19" s="16">
        <f>SUMIFS(Datos!$F:$F,Datos!$A:$A,$B19,Datos!$B:$B,DN$3)</f>
        <v>0</v>
      </c>
      <c r="DO19" s="16">
        <f>SUMIFS(Datos!$F:$F,Datos!$A:$A,$B19,Datos!$B:$B,DO$3)</f>
        <v>0</v>
      </c>
      <c r="DP19" s="16">
        <f>SUMIFS(Datos!$F:$F,Datos!$A:$A,$B19,Datos!$B:$B,DP$3)</f>
        <v>0</v>
      </c>
      <c r="DQ19" s="16">
        <f>SUMIFS(Datos!$F:$F,Datos!$A:$A,$B19,Datos!$B:$B,DQ$3)</f>
        <v>0</v>
      </c>
      <c r="DR19" s="16">
        <f>SUMIFS(Datos!$F:$F,Datos!$A:$A,$B19,Datos!$B:$B,DR$3)</f>
        <v>0</v>
      </c>
      <c r="DS19" s="16">
        <f>SUMIFS(Datos!$F:$F,Datos!$A:$A,$B19,Datos!$B:$B,DS$3)</f>
        <v>0</v>
      </c>
      <c r="DT19" s="16">
        <f>SUMIFS(Datos!$F:$F,Datos!$A:$A,$B19,Datos!$B:$B,DT$3)</f>
        <v>0</v>
      </c>
      <c r="DU19" s="16">
        <f>SUMIFS(Datos!$F:$F,Datos!$A:$A,$B19,Datos!$B:$B,DU$3)</f>
        <v>0</v>
      </c>
      <c r="DV19" s="16">
        <f>SUMIFS(Datos!$F:$F,Datos!$A:$A,$B19,Datos!$B:$B,DV$3)</f>
        <v>0</v>
      </c>
      <c r="DW19" s="16">
        <f>SUMIFS(Datos!$F:$F,Datos!$A:$A,$B19,Datos!$B:$B,DW$3)</f>
        <v>0</v>
      </c>
      <c r="DX19" s="16">
        <f>SUMIFS(Datos!$F:$F,Datos!$A:$A,$B19,Datos!$B:$B,DX$3)</f>
        <v>0</v>
      </c>
      <c r="DY19" s="16">
        <f>SUMIFS(Datos!$F:$F,Datos!$A:$A,$B19,Datos!$B:$B,DY$3)</f>
        <v>0</v>
      </c>
      <c r="DZ19" s="16">
        <f>SUMIFS(Datos!$F:$F,Datos!$A:$A,$B19,Datos!$B:$B,DZ$3)</f>
        <v>0</v>
      </c>
      <c r="EA19" s="16">
        <f>SUMIFS(Datos!$F:$F,Datos!$A:$A,$B19,Datos!$B:$B,EA$3)</f>
        <v>0</v>
      </c>
      <c r="EB19" s="16">
        <f>SUMIFS(Datos!$F:$F,Datos!$A:$A,$B19,Datos!$B:$B,EB$3)</f>
        <v>0</v>
      </c>
      <c r="EC19" s="16">
        <f>SUMIFS(Datos!$F:$F,Datos!$A:$A,$B19,Datos!$B:$B,EC$3)</f>
        <v>0</v>
      </c>
      <c r="ED19" s="16">
        <f>SUMIFS(Datos!$F:$F,Datos!$A:$A,$B19,Datos!$B:$B,ED$3)</f>
        <v>0</v>
      </c>
      <c r="EE19" s="16">
        <f>SUMIFS(Datos!$F:$F,Datos!$A:$A,$B19,Datos!$B:$B,EE$3)</f>
        <v>0</v>
      </c>
      <c r="EF19" s="16">
        <f>SUMIFS(Datos!$F:$F,Datos!$A:$A,$B19,Datos!$B:$B,EF$3)</f>
        <v>0</v>
      </c>
      <c r="EG19" s="16">
        <f>SUMIFS(Datos!$F:$F,Datos!$A:$A,$B19,Datos!$B:$B,EG$3)</f>
        <v>0</v>
      </c>
      <c r="EH19" s="16">
        <f>SUMIFS(Datos!$F:$F,Datos!$A:$A,$B19,Datos!$B:$B,EH$3)</f>
        <v>0</v>
      </c>
      <c r="EI19" s="16">
        <f>SUMIFS(Datos!$F:$F,Datos!$A:$A,$B19,Datos!$B:$B,EI$3)</f>
        <v>0</v>
      </c>
      <c r="EJ19" s="16">
        <f>SUMIFS(Datos!$F:$F,Datos!$A:$A,$B19,Datos!$B:$B,EJ$3)</f>
        <v>0</v>
      </c>
      <c r="EK19" s="16">
        <f>SUMIFS(Datos!$F:$F,Datos!$A:$A,$B19,Datos!$B:$B,EK$3)</f>
        <v>0</v>
      </c>
      <c r="EL19" s="16">
        <f>SUMIFS(Datos!$F:$F,Datos!$A:$A,$B19,Datos!$B:$B,EL$3)</f>
        <v>0</v>
      </c>
      <c r="EM19" s="16">
        <f>SUMIFS(Datos!$F:$F,Datos!$A:$A,$B19,Datos!$B:$B,EM$3)</f>
        <v>0</v>
      </c>
      <c r="EN19" s="16">
        <f>SUMIFS(Datos!$F:$F,Datos!$A:$A,$B19,Datos!$B:$B,EN$3)</f>
        <v>0</v>
      </c>
      <c r="EO19" s="16">
        <f>SUMIFS(Datos!$F:$F,Datos!$A:$A,$B19,Datos!$B:$B,EO$3)</f>
        <v>0</v>
      </c>
      <c r="EP19" s="16">
        <f>SUMIFS(Datos!$F:$F,Datos!$A:$A,$B19,Datos!$B:$B,EP$3)</f>
        <v>0</v>
      </c>
      <c r="EQ19" s="16">
        <f>SUMIFS(Datos!$F:$F,Datos!$A:$A,$B19,Datos!$B:$B,EQ$3)</f>
        <v>0</v>
      </c>
      <c r="ER19" s="16">
        <f>SUMIFS(Datos!$F:$F,Datos!$A:$A,$B19,Datos!$B:$B,ER$3)</f>
        <v>0</v>
      </c>
      <c r="ES19" s="16">
        <f>SUMIFS(Datos!$F:$F,Datos!$A:$A,$B19,Datos!$B:$B,ES$3)</f>
        <v>0</v>
      </c>
      <c r="ET19" s="16">
        <f>SUMIFS(Datos!$F:$F,Datos!$A:$A,$B19,Datos!$B:$B,ET$3)</f>
        <v>0</v>
      </c>
      <c r="EU19" s="16">
        <f>SUMIFS(Datos!$F:$F,Datos!$A:$A,$B19,Datos!$B:$B,EU$3)</f>
        <v>0</v>
      </c>
      <c r="EV19" s="16">
        <f>SUMIFS(Datos!$F:$F,Datos!$A:$A,$B19,Datos!$B:$B,EV$3)</f>
        <v>0</v>
      </c>
      <c r="EW19" s="16">
        <f>SUMIFS(Datos!$F:$F,Datos!$A:$A,$B19,Datos!$B:$B,EW$3)</f>
        <v>0</v>
      </c>
      <c r="EX19" s="16">
        <f>SUMIFS(Datos!$F:$F,Datos!$A:$A,$B19,Datos!$B:$B,EX$3)</f>
        <v>0</v>
      </c>
      <c r="EY19" s="16">
        <f>SUMIFS(Datos!$F:$F,Datos!$A:$A,$B19,Datos!$B:$B,EY$3)</f>
        <v>0</v>
      </c>
      <c r="EZ19" s="16">
        <f>SUMIFS(Datos!$F:$F,Datos!$A:$A,$B19,Datos!$B:$B,EZ$3)</f>
        <v>0</v>
      </c>
      <c r="FA19" s="16">
        <f>SUMIFS(Datos!$F:$F,Datos!$A:$A,$B19,Datos!$B:$B,FA$3)</f>
        <v>0</v>
      </c>
      <c r="FB19" s="16">
        <f>SUMIFS(Datos!$F:$F,Datos!$A:$A,$B19,Datos!$B:$B,FB$3)</f>
        <v>0</v>
      </c>
      <c r="FC19" s="16">
        <f>SUMIFS(Datos!$F:$F,Datos!$A:$A,$B19,Datos!$B:$B,FC$3)</f>
        <v>0</v>
      </c>
      <c r="FD19" s="16">
        <f>SUMIFS(Datos!$F:$F,Datos!$A:$A,$B19,Datos!$B:$B,FD$3)</f>
        <v>0</v>
      </c>
      <c r="FE19" s="16">
        <f>SUMIFS(Datos!$F:$F,Datos!$A:$A,$B19,Datos!$B:$B,FE$3)</f>
        <v>0</v>
      </c>
      <c r="FF19" s="16">
        <f>SUMIFS(Datos!$F:$F,Datos!$A:$A,$B19,Datos!$B:$B,FF$3)</f>
        <v>0</v>
      </c>
      <c r="FG19" s="16">
        <f>SUMIFS(Datos!$F:$F,Datos!$A:$A,$B19,Datos!$B:$B,FG$3)</f>
        <v>0</v>
      </c>
      <c r="FH19" s="16">
        <f>SUMIFS(Datos!$F:$F,Datos!$A:$A,$B19,Datos!$B:$B,FH$3)</f>
        <v>0</v>
      </c>
      <c r="FI19" s="16">
        <f>SUMIFS(Datos!$F:$F,Datos!$A:$A,$B19,Datos!$B:$B,FI$3)</f>
        <v>0</v>
      </c>
      <c r="FJ19" s="16">
        <f>SUMIFS(Datos!$F:$F,Datos!$A:$A,$B19,Datos!$B:$B,FJ$3)</f>
        <v>0</v>
      </c>
      <c r="FK19" s="16">
        <f>SUMIFS(Datos!$F:$F,Datos!$A:$A,$B19,Datos!$B:$B,FK$3)</f>
        <v>0</v>
      </c>
      <c r="FL19" s="16">
        <f>SUMIFS(Datos!$F:$F,Datos!$A:$A,$B19,Datos!$B:$B,FL$3)</f>
        <v>0</v>
      </c>
      <c r="FM19" s="16">
        <f>SUMIFS(Datos!$F:$F,Datos!$A:$A,$B19,Datos!$B:$B,FM$3)</f>
        <v>0</v>
      </c>
      <c r="FN19" s="16">
        <f>SUMIFS(Datos!$F:$F,Datos!$A:$A,$B19,Datos!$B:$B,FN$3)</f>
        <v>0</v>
      </c>
      <c r="FO19" s="16">
        <f>SUMIFS(Datos!$F:$F,Datos!$A:$A,$B19,Datos!$B:$B,FO$3)</f>
        <v>0</v>
      </c>
      <c r="FP19" s="16">
        <f>SUMIFS(Datos!$F:$F,Datos!$A:$A,$B19,Datos!$B:$B,FP$3)</f>
        <v>0</v>
      </c>
      <c r="FQ19" s="16">
        <f>SUMIFS(Datos!$F:$F,Datos!$A:$A,$B19,Datos!$B:$B,FQ$3)</f>
        <v>0</v>
      </c>
      <c r="FR19" s="16">
        <f>SUMIFS(Datos!$F:$F,Datos!$A:$A,$B19,Datos!$B:$B,FR$3)</f>
        <v>0</v>
      </c>
      <c r="FS19" s="16">
        <f>SUMIFS(Datos!$F:$F,Datos!$A:$A,$B19,Datos!$B:$B,FS$3)</f>
        <v>0</v>
      </c>
      <c r="FT19" s="16">
        <f>SUMIFS(Datos!$F:$F,Datos!$A:$A,$B19,Datos!$B:$B,FT$3)</f>
        <v>0</v>
      </c>
      <c r="FU19" s="16">
        <f>SUMIFS(Datos!$F:$F,Datos!$A:$A,$B19,Datos!$B:$B,FU$3)</f>
        <v>0</v>
      </c>
      <c r="FV19" s="16">
        <f>SUMIFS(Datos!$F:$F,Datos!$A:$A,$B19,Datos!$B:$B,FV$3)</f>
        <v>0</v>
      </c>
      <c r="FW19" s="16">
        <f>SUMIFS(Datos!$F:$F,Datos!$A:$A,$B19,Datos!$B:$B,FW$3)</f>
        <v>0</v>
      </c>
      <c r="FX19" s="16">
        <f>SUMIFS(Datos!$F:$F,Datos!$A:$A,$B19,Datos!$B:$B,FX$3)</f>
        <v>0</v>
      </c>
      <c r="FY19" s="16">
        <f>SUMIFS(Datos!$F:$F,Datos!$A:$A,$B19,Datos!$B:$B,FY$3)</f>
        <v>0</v>
      </c>
      <c r="FZ19" s="16">
        <f>SUMIFS(Datos!$F:$F,Datos!$A:$A,$B19,Datos!$B:$B,FZ$3)</f>
        <v>0</v>
      </c>
      <c r="GA19" s="16">
        <f>SUMIFS(Datos!$F:$F,Datos!$A:$A,$B19,Datos!$B:$B,GA$3)</f>
        <v>0</v>
      </c>
      <c r="GB19" s="16">
        <f>SUMIFS(Datos!$F:$F,Datos!$A:$A,$B19,Datos!$B:$B,GB$3)</f>
        <v>0</v>
      </c>
      <c r="GC19" s="16">
        <f>SUMIFS(Datos!$F:$F,Datos!$A:$A,$B19,Datos!$B:$B,GC$3)</f>
        <v>0</v>
      </c>
      <c r="GD19" s="16">
        <f>SUMIFS(Datos!$F:$F,Datos!$A:$A,$B19,Datos!$B:$B,GD$3)</f>
        <v>0</v>
      </c>
      <c r="GE19" s="16">
        <f>SUMIFS(Datos!$F:$F,Datos!$A:$A,$B19,Datos!$B:$B,GE$3)</f>
        <v>0</v>
      </c>
      <c r="GF19" s="16">
        <f>SUMIFS(Datos!$F:$F,Datos!$A:$A,$B19,Datos!$B:$B,GF$3)</f>
        <v>0</v>
      </c>
      <c r="GG19" s="16">
        <f>SUMIFS(Datos!$F:$F,Datos!$A:$A,$B19,Datos!$B:$B,GG$3)</f>
        <v>0</v>
      </c>
      <c r="GH19" s="16">
        <f>SUMIFS(Datos!$F:$F,Datos!$A:$A,$B19,Datos!$B:$B,GH$3)</f>
        <v>0</v>
      </c>
      <c r="GI19" s="16">
        <f>SUMIFS(Datos!$F:$F,Datos!$A:$A,$B19,Datos!$B:$B,GI$3)</f>
        <v>0</v>
      </c>
      <c r="GJ19" s="16">
        <f>SUMIFS(Datos!$F:$F,Datos!$A:$A,$B19,Datos!$B:$B,GJ$3)</f>
        <v>0</v>
      </c>
      <c r="GK19" s="16">
        <f>SUMIFS(Datos!$F:$F,Datos!$A:$A,$B19,Datos!$B:$B,GK$3)</f>
        <v>0</v>
      </c>
      <c r="GL19" s="16">
        <f>SUMIFS(Datos!$F:$F,Datos!$A:$A,$B19,Datos!$B:$B,GL$3)</f>
        <v>0</v>
      </c>
      <c r="GM19" s="16">
        <f>SUMIFS(Datos!$F:$F,Datos!$A:$A,$B19,Datos!$B:$B,GM$3)</f>
        <v>0</v>
      </c>
      <c r="GN19" s="16">
        <f>SUMIFS(Datos!$F:$F,Datos!$A:$A,$B19,Datos!$B:$B,GN$3)</f>
        <v>0</v>
      </c>
      <c r="GO19" s="16">
        <f>SUMIFS(Datos!$F:$F,Datos!$A:$A,$B19,Datos!$B:$B,GO$3)</f>
        <v>0</v>
      </c>
      <c r="GP19" s="16">
        <f>SUMIFS(Datos!$F:$F,Datos!$A:$A,$B19,Datos!$B:$B,GP$3)</f>
        <v>0</v>
      </c>
      <c r="GQ19" s="16">
        <f>SUMIFS(Datos!$F:$F,Datos!$A:$A,$B19,Datos!$B:$B,GQ$3)</f>
        <v>0</v>
      </c>
      <c r="GR19" s="16">
        <f>SUMIFS(Datos!$F:$F,Datos!$A:$A,$B19,Datos!$B:$B,GR$3)</f>
        <v>0</v>
      </c>
      <c r="GS19" s="16">
        <f>SUMIFS(Datos!$F:$F,Datos!$A:$A,$B19,Datos!$B:$B,GS$3)</f>
        <v>0</v>
      </c>
      <c r="GT19" s="16">
        <f>SUMIFS(Datos!$F:$F,Datos!$A:$A,$B19,Datos!$B:$B,GT$3)</f>
        <v>0</v>
      </c>
      <c r="GU19" s="16">
        <f>SUMIFS(Datos!$F:$F,Datos!$A:$A,$B19,Datos!$B:$B,GU$3)</f>
        <v>0</v>
      </c>
      <c r="GV19" s="16">
        <f>SUMIFS(Datos!$F:$F,Datos!$A:$A,$B19,Datos!$B:$B,GV$3)</f>
        <v>0</v>
      </c>
      <c r="GW19" s="16">
        <f>SUMIFS(Datos!$F:$F,Datos!$A:$A,$B19,Datos!$B:$B,GW$3)</f>
        <v>0</v>
      </c>
      <c r="GX19" s="16">
        <f>SUMIFS(Datos!$F:$F,Datos!$A:$A,$B19,Datos!$B:$B,GX$3)</f>
        <v>0</v>
      </c>
      <c r="GY19" s="16">
        <f>SUMIFS(Datos!$F:$F,Datos!$A:$A,$B19,Datos!$B:$B,GY$3)</f>
        <v>0</v>
      </c>
      <c r="GZ19" s="16">
        <f>SUMIFS(Datos!$F:$F,Datos!$A:$A,$B19,Datos!$B:$B,GZ$3)</f>
        <v>0</v>
      </c>
      <c r="HA19" s="16">
        <f>SUMIFS(Datos!$F:$F,Datos!$A:$A,$B19,Datos!$B:$B,HA$3)</f>
        <v>0</v>
      </c>
      <c r="HB19" s="16">
        <f>SUMIFS(Datos!$F:$F,Datos!$A:$A,$B19,Datos!$B:$B,HB$3)</f>
        <v>0</v>
      </c>
      <c r="HC19" s="16">
        <f>SUMIFS(Datos!$F:$F,Datos!$A:$A,$B19,Datos!$B:$B,HC$3)</f>
        <v>0</v>
      </c>
      <c r="HD19" s="16">
        <f>SUMIFS(Datos!$F:$F,Datos!$A:$A,$B19,Datos!$B:$B,HD$3)</f>
        <v>0</v>
      </c>
      <c r="HE19" s="16">
        <f>SUMIFS(Datos!$F:$F,Datos!$A:$A,$B19,Datos!$B:$B,HE$3)</f>
        <v>0</v>
      </c>
      <c r="HF19" s="16">
        <f>SUMIFS(Datos!$F:$F,Datos!$A:$A,$B19,Datos!$B:$B,HF$3)</f>
        <v>0</v>
      </c>
      <c r="HG19" s="16">
        <f>SUMIFS(Datos!$F:$F,Datos!$A:$A,$B19,Datos!$B:$B,HG$3)</f>
        <v>0</v>
      </c>
      <c r="HH19" s="16">
        <f>SUMIFS(Datos!$F:$F,Datos!$A:$A,$B19,Datos!$B:$B,HH$3)</f>
        <v>0</v>
      </c>
      <c r="HI19" s="16">
        <f>SUMIFS(Datos!$F:$F,Datos!$A:$A,$B19,Datos!$B:$B,HI$3)</f>
        <v>0</v>
      </c>
      <c r="HJ19" s="16">
        <f>SUMIFS(Datos!$F:$F,Datos!$A:$A,$B19,Datos!$B:$B,HJ$3)</f>
        <v>0</v>
      </c>
      <c r="HK19" s="16">
        <f>SUMIFS(Datos!$F:$F,Datos!$A:$A,$B19,Datos!$B:$B,HK$3)</f>
        <v>0</v>
      </c>
      <c r="HL19" s="16">
        <f>SUMIFS(Datos!$F:$F,Datos!$A:$A,$B19,Datos!$B:$B,HL$3)</f>
        <v>0</v>
      </c>
      <c r="HM19" s="16">
        <f>SUMIFS(Datos!$F:$F,Datos!$A:$A,$B19,Datos!$B:$B,HM$3)</f>
        <v>0</v>
      </c>
      <c r="HN19" s="16">
        <f>SUMIFS(Datos!$F:$F,Datos!$A:$A,$B19,Datos!$B:$B,HN$3)</f>
        <v>0</v>
      </c>
      <c r="HO19" s="16">
        <f>SUMIFS(Datos!$F:$F,Datos!$A:$A,$B19,Datos!$B:$B,HO$3)</f>
        <v>0</v>
      </c>
      <c r="HP19" s="16">
        <f>SUMIFS(Datos!$F:$F,Datos!$A:$A,$B19,Datos!$B:$B,HP$3)</f>
        <v>0</v>
      </c>
      <c r="HQ19" s="16">
        <f>SUMIFS(Datos!$F:$F,Datos!$A:$A,$B19,Datos!$B:$B,HQ$3)</f>
        <v>0</v>
      </c>
      <c r="HR19" s="16">
        <f>SUMIFS(Datos!$F:$F,Datos!$A:$A,$B19,Datos!$B:$B,HR$3)</f>
        <v>0</v>
      </c>
      <c r="HS19" s="16">
        <f>SUMIFS(Datos!$F:$F,Datos!$A:$A,$B19,Datos!$B:$B,HS$3)</f>
        <v>0</v>
      </c>
      <c r="HT19" s="16">
        <f>SUMIFS(Datos!$F:$F,Datos!$A:$A,$B19,Datos!$B:$B,HT$3)</f>
        <v>0</v>
      </c>
      <c r="HU19" s="16">
        <f>SUMIFS(Datos!$F:$F,Datos!$A:$A,$B19,Datos!$B:$B,HU$3)</f>
        <v>0</v>
      </c>
      <c r="HV19" s="16">
        <f>SUMIFS(Datos!$F:$F,Datos!$A:$A,$B19,Datos!$B:$B,HV$3)</f>
        <v>0</v>
      </c>
      <c r="HW19" s="16">
        <f>SUMIFS(Datos!$F:$F,Datos!$A:$A,$B19,Datos!$B:$B,HW$3)</f>
        <v>0</v>
      </c>
      <c r="HX19" s="16">
        <f>SUMIFS(Datos!$F:$F,Datos!$A:$A,$B19,Datos!$B:$B,HX$3)</f>
        <v>0</v>
      </c>
      <c r="HY19" s="16">
        <f>SUMIFS(Datos!$F:$F,Datos!$A:$A,$B19,Datos!$B:$B,HY$3)</f>
        <v>0</v>
      </c>
      <c r="HZ19" s="16">
        <f>SUMIFS(Datos!$F:$F,Datos!$A:$A,$B19,Datos!$B:$B,HZ$3)</f>
        <v>0</v>
      </c>
      <c r="IA19" s="16">
        <f>SUMIFS(Datos!$F:$F,Datos!$A:$A,$B19,Datos!$B:$B,IA$3)</f>
        <v>0</v>
      </c>
      <c r="IB19" s="16">
        <f>SUMIFS(Datos!$F:$F,Datos!$A:$A,$B19,Datos!$B:$B,IB$3)</f>
        <v>0</v>
      </c>
      <c r="IC19" s="16">
        <f>SUMIFS(Datos!$F:$F,Datos!$A:$A,$B19,Datos!$B:$B,IC$3)</f>
        <v>0</v>
      </c>
      <c r="ID19" s="16">
        <f>SUMIFS(Datos!$F:$F,Datos!$A:$A,$B19,Datos!$B:$B,ID$3)</f>
        <v>0</v>
      </c>
      <c r="IE19" s="16">
        <f>SUMIFS(Datos!$F:$F,Datos!$A:$A,$B19,Datos!$B:$B,IE$3)</f>
        <v>0</v>
      </c>
      <c r="IF19" s="16">
        <f>SUMIFS(Datos!$F:$F,Datos!$A:$A,$B19,Datos!$B:$B,IF$3)</f>
        <v>0</v>
      </c>
      <c r="IG19" s="16">
        <f>SUMIFS(Datos!$F:$F,Datos!$A:$A,$B19,Datos!$B:$B,IG$3)</f>
        <v>0</v>
      </c>
      <c r="IH19" s="16">
        <f>SUMIFS(Datos!$F:$F,Datos!$A:$A,$B19,Datos!$B:$B,IH$3)</f>
        <v>0</v>
      </c>
      <c r="II19" s="16">
        <f>SUMIFS(Datos!$F:$F,Datos!$A:$A,$B19,Datos!$B:$B,II$3)</f>
        <v>0</v>
      </c>
      <c r="IJ19" s="16">
        <f>SUMIFS(Datos!$F:$F,Datos!$A:$A,$B19,Datos!$B:$B,IJ$3)</f>
        <v>0</v>
      </c>
      <c r="IK19" s="16">
        <f>SUMIFS(Datos!$F:$F,Datos!$A:$A,$B19,Datos!$B:$B,IK$3)</f>
        <v>0</v>
      </c>
      <c r="IL19" s="16">
        <f>SUMIFS(Datos!$F:$F,Datos!$A:$A,$B19,Datos!$B:$B,IL$3)</f>
        <v>0</v>
      </c>
      <c r="IM19" s="16">
        <f>SUMIFS(Datos!$F:$F,Datos!$A:$A,$B19,Datos!$B:$B,IM$3)</f>
        <v>0</v>
      </c>
      <c r="IN19" s="16">
        <f>SUMIFS(Datos!$F:$F,Datos!$A:$A,$B19,Datos!$B:$B,IN$3)</f>
        <v>0</v>
      </c>
      <c r="IO19" s="16">
        <f>SUMIFS(Datos!$F:$F,Datos!$A:$A,$B19,Datos!$B:$B,IO$3)</f>
        <v>0</v>
      </c>
      <c r="IP19" s="16">
        <f>SUMIFS(Datos!$F:$F,Datos!$A:$A,$B19,Datos!$B:$B,IP$3)</f>
        <v>0</v>
      </c>
      <c r="IQ19" s="16">
        <f>SUMIFS(Datos!$F:$F,Datos!$A:$A,$B19,Datos!$B:$B,IQ$3)</f>
        <v>0</v>
      </c>
      <c r="IR19" s="16">
        <f>SUMIFS(Datos!$F:$F,Datos!$A:$A,$B19,Datos!$B:$B,IR$3)</f>
        <v>0</v>
      </c>
      <c r="IS19" s="16">
        <f>SUMIFS(Datos!$F:$F,Datos!$A:$A,$B19,Datos!$B:$B,IS$3)</f>
        <v>0</v>
      </c>
      <c r="IT19" s="16">
        <f>SUMIFS(Datos!$F:$F,Datos!$A:$A,$B19,Datos!$B:$B,IT$3)</f>
        <v>0</v>
      </c>
      <c r="IU19" s="16">
        <f>SUMIFS(Datos!$F:$F,Datos!$A:$A,$B19,Datos!$B:$B,IU$3)</f>
        <v>0</v>
      </c>
      <c r="IV19" s="16">
        <f>SUMIFS(Datos!$F:$F,Datos!$A:$A,$B19,Datos!$B:$B,IV$3)</f>
        <v>0</v>
      </c>
      <c r="IW19" s="16">
        <f>SUMIFS(Datos!$F:$F,Datos!$A:$A,$B19,Datos!$B:$B,IW$3)</f>
        <v>0</v>
      </c>
      <c r="IX19" s="16">
        <f>SUMIFS(Datos!$F:$F,Datos!$A:$A,$B19,Datos!$B:$B,IX$3)</f>
        <v>0</v>
      </c>
      <c r="IY19" s="16">
        <f>SUMIFS(Datos!$F:$F,Datos!$A:$A,$B19,Datos!$B:$B,IY$3)</f>
        <v>0</v>
      </c>
      <c r="IZ19" s="16">
        <f>SUMIFS(Datos!$F:$F,Datos!$A:$A,$B19,Datos!$B:$B,IZ$3)</f>
        <v>0</v>
      </c>
      <c r="JA19" s="16">
        <f>SUMIFS(Datos!$F:$F,Datos!$A:$A,$B19,Datos!$B:$B,JA$3)</f>
        <v>0</v>
      </c>
      <c r="JB19" s="16">
        <f>SUMIFS(Datos!$F:$F,Datos!$A:$A,$B19,Datos!$B:$B,JB$3)</f>
        <v>0</v>
      </c>
      <c r="JC19" s="16">
        <f>SUMIFS(Datos!$F:$F,Datos!$A:$A,$B19,Datos!$B:$B,JC$3)</f>
        <v>0</v>
      </c>
      <c r="JD19" s="16">
        <f>SUMIFS(Datos!$F:$F,Datos!$A:$A,$B19,Datos!$B:$B,JD$3)</f>
        <v>0</v>
      </c>
      <c r="JE19" s="16">
        <f>SUMIFS(Datos!$F:$F,Datos!$A:$A,$B19,Datos!$B:$B,JE$3)</f>
        <v>0</v>
      </c>
      <c r="JF19" s="16">
        <f>SUMIFS(Datos!$F:$F,Datos!$A:$A,$B19,Datos!$B:$B,JF$3)</f>
        <v>0</v>
      </c>
      <c r="JG19" s="16">
        <f>SUMIFS(Datos!$F:$F,Datos!$A:$A,$B19,Datos!$B:$B,JG$3)</f>
        <v>0</v>
      </c>
      <c r="JH19" s="16">
        <f>SUMIFS(Datos!$F:$F,Datos!$A:$A,$B19,Datos!$B:$B,JH$3)</f>
        <v>0</v>
      </c>
      <c r="JI19" s="16">
        <f>SUMIFS(Datos!$F:$F,Datos!$A:$A,$B19,Datos!$B:$B,JI$3)</f>
        <v>0</v>
      </c>
      <c r="JJ19" s="16">
        <f>SUMIFS(Datos!$F:$F,Datos!$A:$A,$B19,Datos!$B:$B,JJ$3)</f>
        <v>0</v>
      </c>
      <c r="JK19" s="16">
        <f>SUMIFS(Datos!$F:$F,Datos!$A:$A,$B19,Datos!$B:$B,JK$3)</f>
        <v>0</v>
      </c>
      <c r="JL19" s="16">
        <f>SUMIFS(Datos!$F:$F,Datos!$A:$A,$B19,Datos!$B:$B,JL$3)</f>
        <v>0</v>
      </c>
      <c r="JM19" s="16">
        <f>SUMIFS(Datos!$F:$F,Datos!$A:$A,$B19,Datos!$B:$B,JM$3)</f>
        <v>0</v>
      </c>
      <c r="JN19" s="16">
        <f>SUMIFS(Datos!$F:$F,Datos!$A:$A,$B19,Datos!$B:$B,JN$3)</f>
        <v>0</v>
      </c>
      <c r="JO19" s="16">
        <f>SUMIFS(Datos!$F:$F,Datos!$A:$A,$B19,Datos!$B:$B,JO$3)</f>
        <v>0</v>
      </c>
      <c r="JP19" s="16">
        <f>SUMIFS(Datos!$F:$F,Datos!$A:$A,$B19,Datos!$B:$B,JP$3)</f>
        <v>0</v>
      </c>
      <c r="JQ19" s="16">
        <f>SUMIFS(Datos!$F:$F,Datos!$A:$A,$B19,Datos!$B:$B,JQ$3)</f>
        <v>0</v>
      </c>
      <c r="JR19" s="16">
        <f>SUMIFS(Datos!$F:$F,Datos!$A:$A,$B19,Datos!$B:$B,JR$3)</f>
        <v>0</v>
      </c>
      <c r="JS19" s="16">
        <f>SUMIFS(Datos!$F:$F,Datos!$A:$A,$B19,Datos!$B:$B,JS$3)</f>
        <v>0</v>
      </c>
      <c r="JT19" s="16">
        <f>SUMIFS(Datos!$F:$F,Datos!$A:$A,$B19,Datos!$B:$B,JT$3)</f>
        <v>0</v>
      </c>
      <c r="JU19" s="16">
        <f>SUMIFS(Datos!$F:$F,Datos!$A:$A,$B19,Datos!$B:$B,JU$3)</f>
        <v>0</v>
      </c>
      <c r="JV19" s="16">
        <f>SUMIFS(Datos!$F:$F,Datos!$A:$A,$B19,Datos!$B:$B,JV$3)</f>
        <v>0</v>
      </c>
      <c r="JW19" s="16">
        <f>SUMIFS(Datos!$F:$F,Datos!$A:$A,$B19,Datos!$B:$B,JW$3)</f>
        <v>0</v>
      </c>
      <c r="JX19" s="16">
        <f>SUMIFS(Datos!$F:$F,Datos!$A:$A,$B19,Datos!$B:$B,JX$3)</f>
        <v>0</v>
      </c>
      <c r="JY19" s="16">
        <f>SUMIFS(Datos!$F:$F,Datos!$A:$A,$B19,Datos!$B:$B,JY$3)</f>
        <v>0</v>
      </c>
      <c r="JZ19" s="16">
        <f>SUMIFS(Datos!$F:$F,Datos!$A:$A,$B19,Datos!$B:$B,JZ$3)</f>
        <v>0</v>
      </c>
      <c r="KA19" s="16">
        <f>SUMIFS(Datos!$F:$F,Datos!$A:$A,$B19,Datos!$B:$B,KA$3)</f>
        <v>0</v>
      </c>
      <c r="KB19" s="16">
        <f>SUMIFS(Datos!$F:$F,Datos!$A:$A,$B19,Datos!$B:$B,KB$3)</f>
        <v>0</v>
      </c>
      <c r="KC19" s="16">
        <f>SUMIFS(Datos!$F:$F,Datos!$A:$A,$B19,Datos!$B:$B,KC$3)</f>
        <v>0</v>
      </c>
      <c r="KD19" s="16">
        <f>SUMIFS(Datos!$F:$F,Datos!$A:$A,$B19,Datos!$B:$B,KD$3)</f>
        <v>0</v>
      </c>
      <c r="KE19" s="16">
        <f>SUMIFS(Datos!$F:$F,Datos!$A:$A,$B19,Datos!$B:$B,KE$3)</f>
        <v>0</v>
      </c>
      <c r="KF19" s="16">
        <f>SUMIFS(Datos!$F:$F,Datos!$A:$A,$B19,Datos!$B:$B,KF$3)</f>
        <v>0</v>
      </c>
      <c r="KG19" s="16">
        <f>SUMIFS(Datos!$F:$F,Datos!$A:$A,$B19,Datos!$B:$B,KG$3)</f>
        <v>0</v>
      </c>
      <c r="KH19" s="16">
        <f>SUMIFS(Datos!$F:$F,Datos!$A:$A,$B19,Datos!$B:$B,KH$3)</f>
        <v>0</v>
      </c>
      <c r="KI19" s="16">
        <f>SUMIFS(Datos!$F:$F,Datos!$A:$A,$B19,Datos!$B:$B,KI$3)</f>
        <v>0</v>
      </c>
      <c r="KJ19" s="16">
        <f>SUMIFS(Datos!$F:$F,Datos!$A:$A,$B19,Datos!$B:$B,KJ$3)</f>
        <v>0</v>
      </c>
      <c r="KK19" s="16">
        <f>SUMIFS(Datos!$F:$F,Datos!$A:$A,$B19,Datos!$B:$B,KK$3)</f>
        <v>0</v>
      </c>
      <c r="KL19" s="16">
        <f>SUMIFS(Datos!$F:$F,Datos!$A:$A,$B19,Datos!$B:$B,KL$3)</f>
        <v>0</v>
      </c>
      <c r="KM19" s="16">
        <f>SUMIFS(Datos!$F:$F,Datos!$A:$A,$B19,Datos!$B:$B,KM$3)</f>
        <v>0</v>
      </c>
      <c r="KN19" s="16">
        <f>SUMIFS(Datos!$F:$F,Datos!$A:$A,$B19,Datos!$B:$B,KN$3)</f>
        <v>0</v>
      </c>
      <c r="KO19" s="16">
        <f>SUMIFS(Datos!$F:$F,Datos!$A:$A,$B19,Datos!$B:$B,KO$3)</f>
        <v>0</v>
      </c>
      <c r="KP19" s="16">
        <f>SUMIFS(Datos!$F:$F,Datos!$A:$A,$B19,Datos!$B:$B,KP$3)</f>
        <v>0</v>
      </c>
      <c r="KQ19" s="16">
        <f>SUMIFS(Datos!$F:$F,Datos!$A:$A,$B19,Datos!$B:$B,KQ$3)</f>
        <v>0</v>
      </c>
      <c r="KR19" s="16">
        <f>SUMIFS(Datos!$F:$F,Datos!$A:$A,$B19,Datos!$B:$B,KR$3)</f>
        <v>0</v>
      </c>
      <c r="KS19" s="16">
        <f>SUMIFS(Datos!$F:$F,Datos!$A:$A,$B19,Datos!$B:$B,KS$3)</f>
        <v>0</v>
      </c>
      <c r="KT19" s="16">
        <f>SUMIFS(Datos!$F:$F,Datos!$A:$A,$B19,Datos!$B:$B,KT$3)</f>
        <v>0</v>
      </c>
      <c r="KU19" s="16">
        <f>SUMIFS(Datos!$F:$F,Datos!$A:$A,$B19,Datos!$B:$B,KU$3)</f>
        <v>0</v>
      </c>
      <c r="KV19" s="16">
        <f>SUMIFS(Datos!$F:$F,Datos!$A:$A,$B19,Datos!$B:$B,KV$3)</f>
        <v>0</v>
      </c>
      <c r="KW19" s="16">
        <f>SUMIFS(Datos!$F:$F,Datos!$A:$A,$B19,Datos!$B:$B,KW$3)</f>
        <v>0</v>
      </c>
      <c r="KX19" s="16">
        <f>SUMIFS(Datos!$F:$F,Datos!$A:$A,$B19,Datos!$B:$B,KX$3)</f>
        <v>0</v>
      </c>
      <c r="KY19" s="16">
        <f>SUMIFS(Datos!$F:$F,Datos!$A:$A,$B19,Datos!$B:$B,KY$3)</f>
        <v>0</v>
      </c>
      <c r="KZ19" s="16">
        <f>SUMIFS(Datos!$F:$F,Datos!$A:$A,$B19,Datos!$B:$B,KZ$3)</f>
        <v>0</v>
      </c>
      <c r="LA19" s="16">
        <f>SUMIFS(Datos!$F:$F,Datos!$A:$A,$B19,Datos!$B:$B,LA$3)</f>
        <v>0</v>
      </c>
      <c r="LB19" s="16">
        <f>SUMIFS(Datos!$F:$F,Datos!$A:$A,$B19,Datos!$B:$B,LB$3)</f>
        <v>0</v>
      </c>
      <c r="LC19" s="16">
        <f>SUMIFS(Datos!$F:$F,Datos!$A:$A,$B19,Datos!$B:$B,LC$3)</f>
        <v>0</v>
      </c>
      <c r="LD19" s="16">
        <f>SUMIFS(Datos!$F:$F,Datos!$A:$A,$B19,Datos!$B:$B,LD$3)</f>
        <v>0</v>
      </c>
      <c r="LE19" s="16">
        <f>SUMIFS(Datos!$F:$F,Datos!$A:$A,$B19,Datos!$B:$B,LE$3)</f>
        <v>0</v>
      </c>
      <c r="LF19" s="16">
        <f>SUMIFS(Datos!$F:$F,Datos!$A:$A,$B19,Datos!$B:$B,LF$3)</f>
        <v>0</v>
      </c>
      <c r="LG19" s="16">
        <f>SUMIFS(Datos!$F:$F,Datos!$A:$A,$B19,Datos!$B:$B,LG$3)</f>
        <v>0</v>
      </c>
      <c r="LH19" s="16">
        <f>SUMIFS(Datos!$F:$F,Datos!$A:$A,$B19,Datos!$B:$B,LH$3)</f>
        <v>0</v>
      </c>
      <c r="LI19" s="16">
        <f>SUMIFS(Datos!$F:$F,Datos!$A:$A,$B19,Datos!$B:$B,LI$3)</f>
        <v>0</v>
      </c>
      <c r="LJ19" s="16">
        <f>SUMIFS(Datos!$F:$F,Datos!$A:$A,$B19,Datos!$B:$B,LJ$3)</f>
        <v>0</v>
      </c>
      <c r="LK19" s="16">
        <f>SUMIFS(Datos!$F:$F,Datos!$A:$A,$B19,Datos!$B:$B,LK$3)</f>
        <v>0</v>
      </c>
      <c r="LL19" s="16">
        <f>SUMIFS(Datos!$F:$F,Datos!$A:$A,$B19,Datos!$B:$B,LL$3)</f>
        <v>0</v>
      </c>
      <c r="LM19" s="16">
        <f>SUMIFS(Datos!$F:$F,Datos!$A:$A,$B19,Datos!$B:$B,LM$3)</f>
        <v>0</v>
      </c>
      <c r="LN19" s="16">
        <f>SUMIFS(Datos!$F:$F,Datos!$A:$A,$B19,Datos!$B:$B,LN$3)</f>
        <v>0</v>
      </c>
      <c r="LO19" s="16">
        <f>SUMIFS(Datos!$F:$F,Datos!$A:$A,$B19,Datos!$B:$B,LO$3)</f>
        <v>0</v>
      </c>
      <c r="LP19" s="16">
        <f>SUMIFS(Datos!$F:$F,Datos!$A:$A,$B19,Datos!$B:$B,LP$3)</f>
        <v>0</v>
      </c>
      <c r="LQ19" s="16">
        <f>SUMIFS(Datos!$F:$F,Datos!$A:$A,$B19,Datos!$B:$B,LQ$3)</f>
        <v>0</v>
      </c>
      <c r="LR19" s="16">
        <f>SUMIFS(Datos!$F:$F,Datos!$A:$A,$B19,Datos!$B:$B,LR$3)</f>
        <v>0</v>
      </c>
      <c r="LS19" s="16">
        <f>SUMIFS(Datos!$F:$F,Datos!$A:$A,$B19,Datos!$B:$B,LS$3)</f>
        <v>0</v>
      </c>
      <c r="LT19" s="16">
        <f>SUMIFS(Datos!$F:$F,Datos!$A:$A,$B19,Datos!$B:$B,LT$3)</f>
        <v>0</v>
      </c>
      <c r="LU19" s="16">
        <f>SUMIFS(Datos!$F:$F,Datos!$A:$A,$B19,Datos!$B:$B,LU$3)</f>
        <v>0</v>
      </c>
      <c r="LV19" s="16">
        <f>SUMIFS(Datos!$F:$F,Datos!$A:$A,$B19,Datos!$B:$B,LV$3)</f>
        <v>0</v>
      </c>
      <c r="LW19" s="16">
        <f>SUMIFS(Datos!$F:$F,Datos!$A:$A,$B19,Datos!$B:$B,LW$3)</f>
        <v>0</v>
      </c>
      <c r="LX19" s="16">
        <f>SUMIFS(Datos!$F:$F,Datos!$A:$A,$B19,Datos!$B:$B,LX$3)</f>
        <v>0</v>
      </c>
      <c r="LY19" s="16">
        <f>SUMIFS(Datos!$F:$F,Datos!$A:$A,$B19,Datos!$B:$B,LY$3)</f>
        <v>0</v>
      </c>
      <c r="LZ19" s="16">
        <f>SUMIFS(Datos!$F:$F,Datos!$A:$A,$B19,Datos!$B:$B,LZ$3)</f>
        <v>0</v>
      </c>
      <c r="MA19" s="16">
        <f>SUMIFS(Datos!$F:$F,Datos!$A:$A,$B19,Datos!$B:$B,MA$3)</f>
        <v>0</v>
      </c>
      <c r="MB19" s="16">
        <f>SUMIFS(Datos!$F:$F,Datos!$A:$A,$B19,Datos!$B:$B,MB$3)</f>
        <v>0</v>
      </c>
      <c r="MC19" s="16">
        <f>SUMIFS(Datos!$F:$F,Datos!$A:$A,$B19,Datos!$B:$B,MC$3)</f>
        <v>0</v>
      </c>
      <c r="MD19" s="16">
        <f>SUMIFS(Datos!$F:$F,Datos!$A:$A,$B19,Datos!$B:$B,MD$3)</f>
        <v>0</v>
      </c>
      <c r="ME19" s="16">
        <f>SUMIFS(Datos!$F:$F,Datos!$A:$A,$B19,Datos!$B:$B,ME$3)</f>
        <v>0</v>
      </c>
      <c r="MF19" s="16">
        <f>SUMIFS(Datos!$F:$F,Datos!$A:$A,$B19,Datos!$B:$B,MF$3)</f>
        <v>0</v>
      </c>
      <c r="MG19" s="16">
        <f>SUMIFS(Datos!$F:$F,Datos!$A:$A,$B19,Datos!$B:$B,MG$3)</f>
        <v>0</v>
      </c>
      <c r="MH19" s="16">
        <f>SUMIFS(Datos!$F:$F,Datos!$A:$A,$B19,Datos!$B:$B,MH$3)</f>
        <v>0</v>
      </c>
      <c r="MI19" s="16">
        <f>SUMIFS(Datos!$F:$F,Datos!$A:$A,$B19,Datos!$B:$B,MI$3)</f>
        <v>0</v>
      </c>
      <c r="MJ19" s="16">
        <f>SUMIFS(Datos!$F:$F,Datos!$A:$A,$B19,Datos!$B:$B,MJ$3)</f>
        <v>0</v>
      </c>
      <c r="MK19" s="16">
        <f>SUMIFS(Datos!$F:$F,Datos!$A:$A,$B19,Datos!$B:$B,MK$3)</f>
        <v>0</v>
      </c>
      <c r="ML19" s="16">
        <f>SUMIFS(Datos!$F:$F,Datos!$A:$A,$B19,Datos!$B:$B,ML$3)</f>
        <v>0</v>
      </c>
      <c r="MM19" s="16">
        <f>SUMIFS(Datos!$F:$F,Datos!$A:$A,$B19,Datos!$B:$B,MM$3)</f>
        <v>0</v>
      </c>
      <c r="MN19" s="16">
        <f>SUMIFS(Datos!$F:$F,Datos!$A:$A,$B19,Datos!$B:$B,MN$3)</f>
        <v>0</v>
      </c>
      <c r="MO19" s="16">
        <f>SUMIFS(Datos!$F:$F,Datos!$A:$A,$B19,Datos!$B:$B,MO$3)</f>
        <v>0</v>
      </c>
      <c r="MP19" s="16">
        <f>SUMIFS(Datos!$F:$F,Datos!$A:$A,$B19,Datos!$B:$B,MP$3)</f>
        <v>0</v>
      </c>
      <c r="MQ19" s="16">
        <f>SUMIFS(Datos!$F:$F,Datos!$A:$A,$B19,Datos!$B:$B,MQ$3)</f>
        <v>0</v>
      </c>
      <c r="MR19" s="16">
        <f>SUMIFS(Datos!$F:$F,Datos!$A:$A,$B19,Datos!$B:$B,MR$3)</f>
        <v>0</v>
      </c>
      <c r="MS19" s="16">
        <f>SUMIFS(Datos!$F:$F,Datos!$A:$A,$B19,Datos!$B:$B,MS$3)</f>
        <v>0</v>
      </c>
      <c r="MT19" s="16">
        <f>SUMIFS(Datos!$F:$F,Datos!$A:$A,$B19,Datos!$B:$B,MT$3)</f>
        <v>0</v>
      </c>
      <c r="MU19" s="16">
        <f>SUMIFS(Datos!$F:$F,Datos!$A:$A,$B19,Datos!$B:$B,MU$3)</f>
        <v>0</v>
      </c>
      <c r="MV19" s="16">
        <f>SUMIFS(Datos!$F:$F,Datos!$A:$A,$B19,Datos!$B:$B,MV$3)</f>
        <v>0</v>
      </c>
      <c r="MW19" s="16">
        <f>SUMIFS(Datos!$F:$F,Datos!$A:$A,$B19,Datos!$B:$B,MW$3)</f>
        <v>0</v>
      </c>
      <c r="MX19" s="16">
        <f>SUMIFS(Datos!$F:$F,Datos!$A:$A,$B19,Datos!$B:$B,MX$3)</f>
        <v>0</v>
      </c>
      <c r="MY19" s="16">
        <f>SUMIFS(Datos!$F:$F,Datos!$A:$A,$B19,Datos!$B:$B,MY$3)</f>
        <v>0</v>
      </c>
      <c r="MZ19" s="16">
        <f>SUMIFS(Datos!$F:$F,Datos!$A:$A,$B19,Datos!$B:$B,MZ$3)</f>
        <v>0</v>
      </c>
      <c r="NA19" s="16">
        <f>SUMIFS(Datos!$F:$F,Datos!$A:$A,$B19,Datos!$B:$B,NA$3)</f>
        <v>0</v>
      </c>
      <c r="NB19" s="16">
        <f>SUMIFS(Datos!$F:$F,Datos!$A:$A,$B19,Datos!$B:$B,NB$3)</f>
        <v>0</v>
      </c>
      <c r="NC19" s="16">
        <f>SUMIFS(Datos!$F:$F,Datos!$A:$A,$B19,Datos!$B:$B,NC$3)</f>
        <v>0</v>
      </c>
      <c r="ND19" s="16">
        <f>SUMIFS(Datos!$F:$F,Datos!$A:$A,$B19,Datos!$B:$B,ND$3)</f>
        <v>0</v>
      </c>
      <c r="NE19" s="16">
        <f>SUMIFS(Datos!$F:$F,Datos!$A:$A,$B19,Datos!$B:$B,NE$3)</f>
        <v>0</v>
      </c>
      <c r="NF19" s="16">
        <f>SUMIFS(Datos!$F:$F,Datos!$A:$A,$B19,Datos!$B:$B,NF$3)</f>
        <v>0</v>
      </c>
      <c r="NG19" s="16">
        <f>SUMIFS(Datos!$F:$F,Datos!$A:$A,$B19,Datos!$B:$B,NG$3)</f>
        <v>0</v>
      </c>
      <c r="NH19" s="16">
        <f>SUMIFS(Datos!$F:$F,Datos!$A:$A,$B19,Datos!$B:$B,NH$3)</f>
        <v>0</v>
      </c>
      <c r="NI19" s="16">
        <f>SUMIFS(Datos!$F:$F,Datos!$A:$A,$B19,Datos!$B:$B,NI$3)</f>
        <v>0</v>
      </c>
      <c r="NJ19" s="16">
        <f>SUMIFS(Datos!$F:$F,Datos!$A:$A,$B19,Datos!$B:$B,NJ$3)</f>
        <v>0</v>
      </c>
      <c r="NK19" s="16">
        <f>SUMIFS(Datos!$F:$F,Datos!$A:$A,$B19,Datos!$B:$B,NK$3)</f>
        <v>0</v>
      </c>
      <c r="NL19" s="16">
        <f>SUMIFS(Datos!$F:$F,Datos!$A:$A,$B19,Datos!$B:$B,NL$3)</f>
        <v>0</v>
      </c>
      <c r="NM19" s="16">
        <f>SUMIFS(Datos!$F:$F,Datos!$A:$A,$B19,Datos!$B:$B,NM$3)</f>
        <v>0</v>
      </c>
      <c r="NN19" s="16">
        <f>SUMIFS(Datos!$F:$F,Datos!$A:$A,$B19,Datos!$B:$B,NN$3)</f>
        <v>0</v>
      </c>
      <c r="NO19" s="16">
        <f>SUMIFS(Datos!$F:$F,Datos!$A:$A,$B19,Datos!$B:$B,NO$3)</f>
        <v>0</v>
      </c>
      <c r="NP19" s="16">
        <f>SUMIFS(Datos!$F:$F,Datos!$A:$A,$B19,Datos!$B:$B,NP$3)</f>
        <v>0</v>
      </c>
      <c r="NQ19" s="16">
        <f>SUMIFS(Datos!$F:$F,Datos!$A:$A,$B19,Datos!$B:$B,NQ$3)</f>
        <v>0</v>
      </c>
      <c r="NR19" s="16">
        <f>SUMIFS(Datos!$F:$F,Datos!$A:$A,$B19,Datos!$B:$B,NR$3)</f>
        <v>0</v>
      </c>
      <c r="NS19" s="16">
        <f>SUMIFS(Datos!$F:$F,Datos!$A:$A,$B19,Datos!$B:$B,NS$3)</f>
        <v>0</v>
      </c>
      <c r="NT19" s="16">
        <f>SUMIFS(Datos!$F:$F,Datos!$A:$A,$B19,Datos!$B:$B,NT$3)</f>
        <v>0</v>
      </c>
      <c r="NU19" s="16">
        <f>SUMIFS(Datos!$F:$F,Datos!$A:$A,$B19,Datos!$B:$B,NU$3)</f>
        <v>0</v>
      </c>
      <c r="NV19" s="16">
        <f>SUMIFS(Datos!$F:$F,Datos!$A:$A,$B19,Datos!$B:$B,NV$3)</f>
        <v>0</v>
      </c>
      <c r="NW19" s="16">
        <f>SUMIFS(Datos!$F:$F,Datos!$A:$A,$B19,Datos!$B:$B,NW$3)</f>
        <v>0</v>
      </c>
      <c r="NX19" s="16">
        <f>SUMIFS(Datos!$F:$F,Datos!$A:$A,$B19,Datos!$B:$B,NX$3)</f>
        <v>0</v>
      </c>
      <c r="NY19" s="16">
        <f>SUMIFS(Datos!$F:$F,Datos!$A:$A,$B19,Datos!$B:$B,NY$3)</f>
        <v>0</v>
      </c>
      <c r="NZ19" s="16">
        <f>SUMIFS(Datos!$F:$F,Datos!$A:$A,$B19,Datos!$B:$B,NZ$3)</f>
        <v>0</v>
      </c>
      <c r="OA19" s="16">
        <f>SUMIFS(Datos!$F:$F,Datos!$A:$A,$B19,Datos!$B:$B,OA$3)</f>
        <v>0</v>
      </c>
      <c r="OB19" s="16">
        <f>SUMIFS(Datos!$F:$F,Datos!$A:$A,$B19,Datos!$B:$B,OB$3)</f>
        <v>0</v>
      </c>
      <c r="OC19" s="16">
        <f>SUMIFS(Datos!$F:$F,Datos!$A:$A,$B19,Datos!$B:$B,OC$3)</f>
        <v>0</v>
      </c>
      <c r="OD19" s="16">
        <f>SUMIFS(Datos!$F:$F,Datos!$A:$A,$B19,Datos!$B:$B,OD$3)</f>
        <v>0</v>
      </c>
      <c r="OE19" s="16">
        <f>SUMIFS(Datos!$F:$F,Datos!$A:$A,$B19,Datos!$B:$B,OE$3)</f>
        <v>0</v>
      </c>
      <c r="OF19" s="16">
        <f>SUMIFS(Datos!$F:$F,Datos!$A:$A,$B19,Datos!$B:$B,OF$3)</f>
        <v>0</v>
      </c>
      <c r="OG19" s="16">
        <f>SUMIFS(Datos!$F:$F,Datos!$A:$A,$B19,Datos!$B:$B,OG$3)</f>
        <v>0</v>
      </c>
      <c r="OH19" s="16">
        <f>SUMIFS(Datos!$F:$F,Datos!$A:$A,$B19,Datos!$B:$B,OH$3)</f>
        <v>0</v>
      </c>
      <c r="OI19" s="16">
        <f>SUMIFS(Datos!$F:$F,Datos!$A:$A,$B19,Datos!$B:$B,OI$3)</f>
        <v>0</v>
      </c>
      <c r="OJ19" s="16">
        <f>SUMIFS(Datos!$F:$F,Datos!$A:$A,$B19,Datos!$B:$B,OJ$3)</f>
        <v>0</v>
      </c>
      <c r="OK19" s="16">
        <f>SUMIFS(Datos!$F:$F,Datos!$A:$A,$B19,Datos!$B:$B,OK$3)</f>
        <v>0</v>
      </c>
      <c r="OL19" s="16">
        <f>SUMIFS(Datos!$F:$F,Datos!$A:$A,$B19,Datos!$B:$B,OL$3)</f>
        <v>0</v>
      </c>
      <c r="OM19" s="16">
        <f>SUMIFS(Datos!$F:$F,Datos!$A:$A,$B19,Datos!$B:$B,OM$3)</f>
        <v>0</v>
      </c>
      <c r="ON19" s="16">
        <f>SUMIFS(Datos!$F:$F,Datos!$A:$A,$B19,Datos!$B:$B,ON$3)</f>
        <v>0</v>
      </c>
      <c r="OO19" s="16">
        <f>SUMIFS(Datos!$F:$F,Datos!$A:$A,$B19,Datos!$B:$B,OO$3)</f>
        <v>0</v>
      </c>
      <c r="OP19" s="16">
        <f>SUMIFS(Datos!$F:$F,Datos!$A:$A,$B19,Datos!$B:$B,OP$3)</f>
        <v>0</v>
      </c>
      <c r="OQ19" s="16">
        <f>SUMIFS(Datos!$F:$F,Datos!$A:$A,$B19,Datos!$B:$B,OQ$3)</f>
        <v>0</v>
      </c>
      <c r="OR19" s="16">
        <f>SUMIFS(Datos!$F:$F,Datos!$A:$A,$B19,Datos!$B:$B,OR$3)</f>
        <v>0</v>
      </c>
      <c r="OS19" s="16">
        <f>SUMIFS(Datos!$F:$F,Datos!$A:$A,$B19,Datos!$B:$B,OS$3)</f>
        <v>0</v>
      </c>
      <c r="OT19" s="16">
        <f>SUMIFS(Datos!$F:$F,Datos!$A:$A,$B19,Datos!$B:$B,OT$3)</f>
        <v>0</v>
      </c>
      <c r="OU19" s="16">
        <f>SUMIFS(Datos!$F:$F,Datos!$A:$A,$B19,Datos!$B:$B,OU$3)</f>
        <v>0</v>
      </c>
      <c r="OV19" s="16">
        <f>SUMIFS(Datos!$F:$F,Datos!$A:$A,$B19,Datos!$B:$B,OV$3)</f>
        <v>0</v>
      </c>
      <c r="OW19" s="16">
        <f>SUMIFS(Datos!$F:$F,Datos!$A:$A,$B19,Datos!$B:$B,OW$3)</f>
        <v>0</v>
      </c>
      <c r="OX19" s="16">
        <f>SUMIFS(Datos!$F:$F,Datos!$A:$A,$B19,Datos!$B:$B,OX$3)</f>
        <v>0</v>
      </c>
      <c r="OY19" s="16">
        <f>SUMIFS(Datos!$F:$F,Datos!$A:$A,$B19,Datos!$B:$B,OY$3)</f>
        <v>0</v>
      </c>
      <c r="OZ19" s="16">
        <f>SUMIFS(Datos!$F:$F,Datos!$A:$A,$B19,Datos!$B:$B,OZ$3)</f>
        <v>0</v>
      </c>
      <c r="PA19" s="16">
        <f>SUMIFS(Datos!$F:$F,Datos!$A:$A,$B19,Datos!$B:$B,PA$3)</f>
        <v>0</v>
      </c>
      <c r="PB19" s="16">
        <f>SUMIFS(Datos!$F:$F,Datos!$A:$A,$B19,Datos!$B:$B,PB$3)</f>
        <v>0</v>
      </c>
      <c r="PC19" s="16">
        <f>SUMIFS(Datos!$F:$F,Datos!$A:$A,$B19,Datos!$B:$B,PC$3)</f>
        <v>0</v>
      </c>
      <c r="PD19" s="16">
        <f>SUMIFS(Datos!$F:$F,Datos!$A:$A,$B19,Datos!$B:$B,PD$3)</f>
        <v>0</v>
      </c>
      <c r="PE19" s="16">
        <f>SUMIFS(Datos!$F:$F,Datos!$A:$A,$B19,Datos!$B:$B,PE$3)</f>
        <v>0</v>
      </c>
      <c r="PF19" s="16">
        <f>SUMIFS(Datos!$F:$F,Datos!$A:$A,$B19,Datos!$B:$B,PF$3)</f>
        <v>0</v>
      </c>
      <c r="PG19" s="16">
        <f>SUMIFS(Datos!$F:$F,Datos!$A:$A,$B19,Datos!$B:$B,PG$3)</f>
        <v>0</v>
      </c>
      <c r="PH19" s="16">
        <f>SUMIFS(Datos!$F:$F,Datos!$A:$A,$B19,Datos!$B:$B,PH$3)</f>
        <v>0</v>
      </c>
      <c r="PI19" s="16">
        <f>SUMIFS(Datos!$F:$F,Datos!$A:$A,$B19,Datos!$B:$B,PI$3)</f>
        <v>0</v>
      </c>
      <c r="PJ19" s="16">
        <f>SUMIFS(Datos!$F:$F,Datos!$A:$A,$B19,Datos!$B:$B,PJ$3)</f>
        <v>0</v>
      </c>
      <c r="PK19" s="16">
        <f>SUMIFS(Datos!$F:$F,Datos!$A:$A,$B19,Datos!$B:$B,PK$3)</f>
        <v>0</v>
      </c>
      <c r="PL19" s="16">
        <f>SUMIFS(Datos!$F:$F,Datos!$A:$A,$B19,Datos!$B:$B,PL$3)</f>
        <v>0</v>
      </c>
      <c r="PM19" s="16">
        <f>SUMIFS(Datos!$F:$F,Datos!$A:$A,$B19,Datos!$B:$B,PM$3)</f>
        <v>0</v>
      </c>
      <c r="PN19" s="16">
        <f>SUMIFS(Datos!$F:$F,Datos!$A:$A,$B19,Datos!$B:$B,PN$3)</f>
        <v>0</v>
      </c>
      <c r="PO19" s="16">
        <f>SUMIFS(Datos!$F:$F,Datos!$A:$A,$B19,Datos!$B:$B,PO$3)</f>
        <v>0</v>
      </c>
      <c r="PP19" s="16">
        <f>SUMIFS(Datos!$F:$F,Datos!$A:$A,$B19,Datos!$B:$B,PP$3)</f>
        <v>0</v>
      </c>
      <c r="PQ19" s="16">
        <f>SUMIFS(Datos!$F:$F,Datos!$A:$A,$B19,Datos!$B:$B,PQ$3)</f>
        <v>0</v>
      </c>
      <c r="PR19" s="16">
        <f>SUMIFS(Datos!$F:$F,Datos!$A:$A,$B19,Datos!$B:$B,PR$3)</f>
        <v>0</v>
      </c>
      <c r="PS19" s="16">
        <f>SUMIFS(Datos!$F:$F,Datos!$A:$A,$B19,Datos!$B:$B,PS$3)</f>
        <v>0</v>
      </c>
      <c r="PT19" s="16">
        <f>SUMIFS(Datos!$F:$F,Datos!$A:$A,$B19,Datos!$B:$B,PT$3)</f>
        <v>0</v>
      </c>
      <c r="PU19" s="16">
        <f>SUMIFS(Datos!$F:$F,Datos!$A:$A,$B19,Datos!$B:$B,PU$3)</f>
        <v>0</v>
      </c>
      <c r="PV19" s="16">
        <f>SUMIFS(Datos!$F:$F,Datos!$A:$A,$B19,Datos!$B:$B,PV$3)</f>
        <v>0</v>
      </c>
      <c r="PW19" s="16">
        <f>SUMIFS(Datos!$F:$F,Datos!$A:$A,$B19,Datos!$B:$B,PW$3)</f>
        <v>0</v>
      </c>
      <c r="PX19" s="16">
        <f>SUMIFS(Datos!$F:$F,Datos!$A:$A,$B19,Datos!$B:$B,PX$3)</f>
        <v>0</v>
      </c>
      <c r="PY19" s="16">
        <f>SUMIFS(Datos!$F:$F,Datos!$A:$A,$B19,Datos!$B:$B,PY$3)</f>
        <v>0</v>
      </c>
      <c r="PZ19" s="16">
        <f>SUMIFS(Datos!$F:$F,Datos!$A:$A,$B19,Datos!$B:$B,PZ$3)</f>
        <v>0</v>
      </c>
      <c r="QA19" s="16">
        <f>SUMIFS(Datos!$F:$F,Datos!$A:$A,$B19,Datos!$B:$B,QA$3)</f>
        <v>0</v>
      </c>
      <c r="QB19" s="16">
        <f>SUMIFS(Datos!$F:$F,Datos!$A:$A,$B19,Datos!$B:$B,QB$3)</f>
        <v>0</v>
      </c>
      <c r="QC19" s="16">
        <f>SUMIFS(Datos!$F:$F,Datos!$A:$A,$B19,Datos!$B:$B,QC$3)</f>
        <v>0</v>
      </c>
      <c r="QD19" s="16">
        <f>SUMIFS(Datos!$F:$F,Datos!$A:$A,$B19,Datos!$B:$B,QD$3)</f>
        <v>0</v>
      </c>
      <c r="QE19" s="16">
        <f>SUMIFS(Datos!$F:$F,Datos!$A:$A,$B19,Datos!$B:$B,QE$3)</f>
        <v>0</v>
      </c>
      <c r="QF19" s="16">
        <f>SUMIFS(Datos!$F:$F,Datos!$A:$A,$B19,Datos!$B:$B,QF$3)</f>
        <v>0</v>
      </c>
      <c r="QG19" s="16">
        <f>SUMIFS(Datos!$F:$F,Datos!$A:$A,$B19,Datos!$B:$B,QG$3)</f>
        <v>0</v>
      </c>
      <c r="QH19" s="16">
        <f>SUMIFS(Datos!$F:$F,Datos!$A:$A,$B19,Datos!$B:$B,QH$3)</f>
        <v>0</v>
      </c>
      <c r="QI19" s="16">
        <f>SUMIFS(Datos!$F:$F,Datos!$A:$A,$B19,Datos!$B:$B,QI$3)</f>
        <v>0</v>
      </c>
      <c r="QJ19" s="16">
        <f>SUMIFS(Datos!$F:$F,Datos!$A:$A,$B19,Datos!$B:$B,QJ$3)</f>
        <v>0</v>
      </c>
      <c r="QK19" s="16">
        <f>SUMIFS(Datos!$F:$F,Datos!$A:$A,$B19,Datos!$B:$B,QK$3)</f>
        <v>0</v>
      </c>
      <c r="QL19" s="16">
        <f>SUMIFS(Datos!$F:$F,Datos!$A:$A,$B19,Datos!$B:$B,QL$3)</f>
        <v>0</v>
      </c>
      <c r="QM19" s="16">
        <f>SUMIFS(Datos!$F:$F,Datos!$A:$A,$B19,Datos!$B:$B,QM$3)</f>
        <v>0</v>
      </c>
      <c r="QN19" s="16">
        <f>SUMIFS(Datos!$F:$F,Datos!$A:$A,$B19,Datos!$B:$B,QN$3)</f>
        <v>0</v>
      </c>
      <c r="QO19" s="16">
        <f>SUMIFS(Datos!$F:$F,Datos!$A:$A,$B19,Datos!$B:$B,QO$3)</f>
        <v>0</v>
      </c>
      <c r="QP19" s="16">
        <f>SUMIFS(Datos!$F:$F,Datos!$A:$A,$B19,Datos!$B:$B,QP$3)</f>
        <v>0</v>
      </c>
      <c r="QQ19" s="16">
        <f>SUMIFS(Datos!$F:$F,Datos!$A:$A,$B19,Datos!$B:$B,QQ$3)</f>
        <v>0</v>
      </c>
      <c r="QR19" s="16">
        <f>SUMIFS(Datos!$F:$F,Datos!$A:$A,$B19,Datos!$B:$B,QR$3)</f>
        <v>0</v>
      </c>
      <c r="QS19" s="16">
        <f>SUMIFS(Datos!$F:$F,Datos!$A:$A,$B19,Datos!$B:$B,QS$3)</f>
        <v>0</v>
      </c>
      <c r="QT19" s="16">
        <f>SUMIFS(Datos!$F:$F,Datos!$A:$A,$B19,Datos!$B:$B,QT$3)</f>
        <v>0</v>
      </c>
      <c r="QU19" s="16">
        <f>SUMIFS(Datos!$F:$F,Datos!$A:$A,$B19,Datos!$B:$B,QU$3)</f>
        <v>0</v>
      </c>
      <c r="QV19" s="16">
        <f>SUMIFS(Datos!$F:$F,Datos!$A:$A,$B19,Datos!$B:$B,QV$3)</f>
        <v>0</v>
      </c>
      <c r="QW19" s="16">
        <f>SUMIFS(Datos!$F:$F,Datos!$A:$A,$B19,Datos!$B:$B,QW$3)</f>
        <v>0</v>
      </c>
      <c r="QX19" s="16">
        <f>SUMIFS(Datos!$F:$F,Datos!$A:$A,$B19,Datos!$B:$B,QX$3)</f>
        <v>0</v>
      </c>
      <c r="QY19" s="16">
        <f>SUMIFS(Datos!$F:$F,Datos!$A:$A,$B19,Datos!$B:$B,QY$3)</f>
        <v>0</v>
      </c>
      <c r="QZ19" s="16">
        <f>SUMIFS(Datos!$F:$F,Datos!$A:$A,$B19,Datos!$B:$B,QZ$3)</f>
        <v>0</v>
      </c>
      <c r="RA19" s="16">
        <f>SUMIFS(Datos!$F:$F,Datos!$A:$A,$B19,Datos!$B:$B,RA$3)</f>
        <v>0</v>
      </c>
      <c r="RB19" s="16">
        <f>SUMIFS(Datos!$F:$F,Datos!$A:$A,$B19,Datos!$B:$B,RB$3)</f>
        <v>0</v>
      </c>
      <c r="RC19" s="16">
        <f>SUMIFS(Datos!$F:$F,Datos!$A:$A,$B19,Datos!$B:$B,RC$3)</f>
        <v>0</v>
      </c>
      <c r="RD19" s="16">
        <f>SUMIFS(Datos!$F:$F,Datos!$A:$A,$B19,Datos!$B:$B,RD$3)</f>
        <v>0</v>
      </c>
      <c r="RE19" s="16">
        <f>SUMIFS(Datos!$F:$F,Datos!$A:$A,$B19,Datos!$B:$B,RE$3)</f>
        <v>0</v>
      </c>
      <c r="RF19" s="16">
        <f>SUMIFS(Datos!$F:$F,Datos!$A:$A,$B19,Datos!$B:$B,RF$3)</f>
        <v>0</v>
      </c>
      <c r="RG19" s="16">
        <f>SUMIFS(Datos!$F:$F,Datos!$A:$A,$B19,Datos!$B:$B,RG$3)</f>
        <v>0</v>
      </c>
      <c r="RH19" s="16">
        <f>SUMIFS(Datos!$F:$F,Datos!$A:$A,$B19,Datos!$B:$B,RH$3)</f>
        <v>0</v>
      </c>
      <c r="RI19" s="16">
        <f>SUMIFS(Datos!$F:$F,Datos!$A:$A,$B19,Datos!$B:$B,RI$3)</f>
        <v>0</v>
      </c>
      <c r="RJ19" s="16">
        <f>SUMIFS(Datos!$F:$F,Datos!$A:$A,$B19,Datos!$B:$B,RJ$3)</f>
        <v>0</v>
      </c>
      <c r="RK19" s="16">
        <f>SUMIFS(Datos!$F:$F,Datos!$A:$A,$B19,Datos!$B:$B,RK$3)</f>
        <v>0</v>
      </c>
      <c r="RL19" s="16">
        <f>SUMIFS(Datos!$F:$F,Datos!$A:$A,$B19,Datos!$B:$B,RL$3)</f>
        <v>0</v>
      </c>
      <c r="RM19" s="16">
        <f>SUMIFS(Datos!$F:$F,Datos!$A:$A,$B19,Datos!$B:$B,RM$3)</f>
        <v>0</v>
      </c>
      <c r="RN19" s="16">
        <f>SUMIFS(Datos!$F:$F,Datos!$A:$A,$B19,Datos!$B:$B,RN$3)</f>
        <v>0</v>
      </c>
      <c r="RO19" s="16">
        <f>SUMIFS(Datos!$F:$F,Datos!$A:$A,$B19,Datos!$B:$B,RO$3)</f>
        <v>0</v>
      </c>
      <c r="RP19" s="16">
        <f>SUMIFS(Datos!$F:$F,Datos!$A:$A,$B19,Datos!$B:$B,RP$3)</f>
        <v>0</v>
      </c>
      <c r="RQ19" s="16">
        <f>SUMIFS(Datos!$F:$F,Datos!$A:$A,$B19,Datos!$B:$B,RQ$3)</f>
        <v>0</v>
      </c>
      <c r="RR19" s="16">
        <f>SUMIFS(Datos!$F:$F,Datos!$A:$A,$B19,Datos!$B:$B,RR$3)</f>
        <v>0</v>
      </c>
      <c r="RS19" s="16">
        <f>SUMIFS(Datos!$F:$F,Datos!$A:$A,$B19,Datos!$B:$B,RS$3)</f>
        <v>0</v>
      </c>
      <c r="RT19" s="16">
        <f>SUMIFS(Datos!$F:$F,Datos!$A:$A,$B19,Datos!$B:$B,RT$3)</f>
        <v>0</v>
      </c>
      <c r="RU19" s="16">
        <f>SUMIFS(Datos!$F:$F,Datos!$A:$A,$B19,Datos!$B:$B,RU$3)</f>
        <v>0</v>
      </c>
      <c r="RV19" s="16">
        <f>SUMIFS(Datos!$F:$F,Datos!$A:$A,$B19,Datos!$B:$B,RV$3)</f>
        <v>0</v>
      </c>
      <c r="RW19" s="16">
        <f>SUMIFS(Datos!$F:$F,Datos!$A:$A,$B19,Datos!$B:$B,RW$3)</f>
        <v>0</v>
      </c>
      <c r="RX19" s="16">
        <f>SUMIFS(Datos!$F:$F,Datos!$A:$A,$B19,Datos!$B:$B,RX$3)</f>
        <v>0</v>
      </c>
      <c r="RY19" s="16">
        <f>SUMIFS(Datos!$F:$F,Datos!$A:$A,$B19,Datos!$B:$B,RY$3)</f>
        <v>0</v>
      </c>
      <c r="RZ19" s="16">
        <f>SUMIFS(Datos!$F:$F,Datos!$A:$A,$B19,Datos!$B:$B,RZ$3)</f>
        <v>0</v>
      </c>
      <c r="SA19" s="16">
        <f>SUMIFS(Datos!$F:$F,Datos!$A:$A,$B19,Datos!$B:$B,SA$3)</f>
        <v>0</v>
      </c>
      <c r="SB19" s="16">
        <f>SUMIFS(Datos!$F:$F,Datos!$A:$A,$B19,Datos!$B:$B,SB$3)</f>
        <v>0</v>
      </c>
      <c r="SC19" s="16">
        <f>SUMIFS(Datos!$F:$F,Datos!$A:$A,$B19,Datos!$B:$B,SC$3)</f>
        <v>0</v>
      </c>
      <c r="SD19" s="16">
        <f>SUMIFS(Datos!$F:$F,Datos!$A:$A,$B19,Datos!$B:$B,SD$3)</f>
        <v>0</v>
      </c>
      <c r="SE19" s="16">
        <f>SUMIFS(Datos!$F:$F,Datos!$A:$A,$B19,Datos!$B:$B,SE$3)</f>
        <v>0</v>
      </c>
      <c r="SF19" s="16">
        <f>SUMIFS(Datos!$F:$F,Datos!$A:$A,$B19,Datos!$B:$B,SF$3)</f>
        <v>0</v>
      </c>
      <c r="SG19" s="16">
        <f>SUMIFS(Datos!$F:$F,Datos!$A:$A,$B19,Datos!$B:$B,SG$3)</f>
        <v>0</v>
      </c>
      <c r="SH19" s="16">
        <f>SUMIFS(Datos!$F:$F,Datos!$A:$A,$B19,Datos!$B:$B,SH$3)</f>
        <v>0</v>
      </c>
      <c r="SI19" s="16">
        <f>SUMIFS(Datos!$F:$F,Datos!$A:$A,$B19,Datos!$B:$B,SI$3)</f>
        <v>0</v>
      </c>
      <c r="SJ19" s="16">
        <f>SUMIFS(Datos!$F:$F,Datos!$A:$A,$B19,Datos!$B:$B,SJ$3)</f>
        <v>0</v>
      </c>
      <c r="SK19" s="16">
        <f>SUMIFS(Datos!$F:$F,Datos!$A:$A,$B19,Datos!$B:$B,SK$3)</f>
        <v>0</v>
      </c>
      <c r="SL19" s="16">
        <f>SUMIFS(Datos!$F:$F,Datos!$A:$A,$B19,Datos!$B:$B,SL$3)</f>
        <v>0</v>
      </c>
      <c r="SM19" s="16">
        <f>SUMIFS(Datos!$F:$F,Datos!$A:$A,$B19,Datos!$B:$B,SM$3)</f>
        <v>0</v>
      </c>
      <c r="SN19" s="16">
        <f>SUMIFS(Datos!$F:$F,Datos!$A:$A,$B19,Datos!$B:$B,SN$3)</f>
        <v>0</v>
      </c>
      <c r="SO19" s="16">
        <f>SUMIFS(Datos!$F:$F,Datos!$A:$A,$B19,Datos!$B:$B,SO$3)</f>
        <v>0</v>
      </c>
      <c r="SP19" s="16">
        <f>SUMIFS(Datos!$F:$F,Datos!$A:$A,$B19,Datos!$B:$B,SP$3)</f>
        <v>0</v>
      </c>
      <c r="SQ19" s="16">
        <f>SUMIFS(Datos!$F:$F,Datos!$A:$A,$B19,Datos!$B:$B,SQ$3)</f>
        <v>0</v>
      </c>
      <c r="SR19" s="16">
        <f>SUMIFS(Datos!$F:$F,Datos!$A:$A,$B19,Datos!$B:$B,SR$3)</f>
        <v>0</v>
      </c>
      <c r="SS19" s="16">
        <f>SUMIFS(Datos!$F:$F,Datos!$A:$A,$B19,Datos!$B:$B,SS$3)</f>
        <v>0</v>
      </c>
      <c r="ST19" s="16">
        <f>SUMIFS(Datos!$F:$F,Datos!$A:$A,$B19,Datos!$B:$B,ST$3)</f>
        <v>0</v>
      </c>
      <c r="SU19" s="16">
        <f>SUMIFS(Datos!$F:$F,Datos!$A:$A,$B19,Datos!$B:$B,SU$3)</f>
        <v>0</v>
      </c>
      <c r="SV19" s="16">
        <f>SUMIFS(Datos!$F:$F,Datos!$A:$A,$B19,Datos!$B:$B,SV$3)</f>
        <v>0</v>
      </c>
      <c r="SW19" s="16">
        <f>SUMIFS(Datos!$F:$F,Datos!$A:$A,$B19,Datos!$B:$B,SW$3)</f>
        <v>0</v>
      </c>
      <c r="SX19" s="16">
        <f>SUMIFS(Datos!$F:$F,Datos!$A:$A,$B19,Datos!$B:$B,SX$3)</f>
        <v>0</v>
      </c>
      <c r="SY19" s="16">
        <f>SUMIFS(Datos!$F:$F,Datos!$A:$A,$B19,Datos!$B:$B,SY$3)</f>
        <v>0</v>
      </c>
      <c r="SZ19" s="16">
        <f>SUMIFS(Datos!$F:$F,Datos!$A:$A,$B19,Datos!$B:$B,SZ$3)</f>
        <v>0</v>
      </c>
      <c r="TA19" s="16">
        <f>SUMIFS(Datos!$F:$F,Datos!$A:$A,$B19,Datos!$B:$B,TA$3)</f>
        <v>0</v>
      </c>
      <c r="TB19" s="16">
        <f>SUMIFS(Datos!$F:$F,Datos!$A:$A,$B19,Datos!$B:$B,TB$3)</f>
        <v>0</v>
      </c>
      <c r="TC19" s="16">
        <f>SUMIFS(Datos!$F:$F,Datos!$A:$A,$B19,Datos!$B:$B,TC$3)</f>
        <v>0</v>
      </c>
      <c r="TD19" s="16">
        <f>SUMIFS(Datos!$F:$F,Datos!$A:$A,$B19,Datos!$B:$B,TD$3)</f>
        <v>0</v>
      </c>
      <c r="TE19" s="16">
        <f>SUMIFS(Datos!$F:$F,Datos!$A:$A,$B19,Datos!$B:$B,TE$3)</f>
        <v>0</v>
      </c>
      <c r="TF19" s="16">
        <f>SUMIFS(Datos!$F:$F,Datos!$A:$A,$B19,Datos!$B:$B,TF$3)</f>
        <v>0</v>
      </c>
    </row>
    <row r="20" spans="1:526">
      <c r="A20" s="31" t="s">
        <v>48</v>
      </c>
      <c r="B20" s="4">
        <f>Cartera!B20</f>
        <v>0</v>
      </c>
      <c r="C20" s="4">
        <f>Cartera!C20</f>
        <v>0</v>
      </c>
      <c r="D20" s="16">
        <f>SUMIFS(Datos!$F:$F,Datos!$A:$A,$B20,Datos!$B:$B,D$3)</f>
        <v>0</v>
      </c>
      <c r="E20" s="16">
        <f>SUMIFS(Datos!$F:$F,Datos!$A:$A,$B20,Datos!$B:$B,E$3)</f>
        <v>0</v>
      </c>
      <c r="F20" s="16">
        <f>SUMIFS(Datos!$F:$F,Datos!$A:$A,$B20,Datos!$B:$B,F$3)</f>
        <v>0</v>
      </c>
      <c r="G20" s="16">
        <f>SUMIFS(Datos!$F:$F,Datos!$A:$A,$B20,Datos!$B:$B,G$3)</f>
        <v>0</v>
      </c>
      <c r="H20" s="16">
        <f>SUMIFS(Datos!$F:$F,Datos!$A:$A,$B20,Datos!$B:$B,H$3)</f>
        <v>0</v>
      </c>
      <c r="I20" s="16">
        <f>SUMIFS(Datos!$F:$F,Datos!$A:$A,$B20,Datos!$B:$B,I$3)</f>
        <v>0</v>
      </c>
      <c r="J20" s="16">
        <f>SUMIFS(Datos!$F:$F,Datos!$A:$A,$B20,Datos!$B:$B,J$3)</f>
        <v>0</v>
      </c>
      <c r="K20" s="16">
        <f>SUMIFS(Datos!$F:$F,Datos!$A:$A,$B20,Datos!$B:$B,K$3)</f>
        <v>0</v>
      </c>
      <c r="L20" s="16">
        <f>SUMIFS(Datos!$F:$F,Datos!$A:$A,$B20,Datos!$B:$B,L$3)</f>
        <v>0</v>
      </c>
      <c r="M20" s="16">
        <f>SUMIFS(Datos!$F:$F,Datos!$A:$A,$B20,Datos!$B:$B,M$3)</f>
        <v>0</v>
      </c>
      <c r="N20" s="16">
        <f>SUMIFS(Datos!$F:$F,Datos!$A:$A,$B20,Datos!$B:$B,N$3)</f>
        <v>0</v>
      </c>
      <c r="O20" s="16">
        <f>SUMIFS(Datos!$F:$F,Datos!$A:$A,$B20,Datos!$B:$B,O$3)</f>
        <v>0</v>
      </c>
      <c r="P20" s="16">
        <f>SUMIFS(Datos!$F:$F,Datos!$A:$A,$B20,Datos!$B:$B,P$3)</f>
        <v>0</v>
      </c>
      <c r="Q20" s="16">
        <f>SUMIFS(Datos!$F:$F,Datos!$A:$A,$B20,Datos!$B:$B,Q$3)</f>
        <v>0</v>
      </c>
      <c r="R20" s="16">
        <f>SUMIFS(Datos!$F:$F,Datos!$A:$A,$B20,Datos!$B:$B,R$3)</f>
        <v>0</v>
      </c>
      <c r="S20" s="16">
        <f>SUMIFS(Datos!$F:$F,Datos!$A:$A,$B20,Datos!$B:$B,S$3)</f>
        <v>0</v>
      </c>
      <c r="T20" s="16">
        <f>SUMIFS(Datos!$F:$F,Datos!$A:$A,$B20,Datos!$B:$B,T$3)</f>
        <v>0</v>
      </c>
      <c r="U20" s="16">
        <f>SUMIFS(Datos!$F:$F,Datos!$A:$A,$B20,Datos!$B:$B,U$3)</f>
        <v>0</v>
      </c>
      <c r="V20" s="16">
        <f>SUMIFS(Datos!$F:$F,Datos!$A:$A,$B20,Datos!$B:$B,V$3)</f>
        <v>0</v>
      </c>
      <c r="W20" s="16">
        <f>SUMIFS(Datos!$F:$F,Datos!$A:$A,$B20,Datos!$B:$B,W$3)</f>
        <v>0</v>
      </c>
      <c r="X20" s="16">
        <f>SUMIFS(Datos!$F:$F,Datos!$A:$A,$B20,Datos!$B:$B,X$3)</f>
        <v>0</v>
      </c>
      <c r="Y20" s="16">
        <f>SUMIFS(Datos!$F:$F,Datos!$A:$A,$B20,Datos!$B:$B,Y$3)</f>
        <v>0</v>
      </c>
      <c r="Z20" s="16">
        <f>SUMIFS(Datos!$F:$F,Datos!$A:$A,$B20,Datos!$B:$B,Z$3)</f>
        <v>0</v>
      </c>
      <c r="AA20" s="16">
        <f>SUMIFS(Datos!$F:$F,Datos!$A:$A,$B20,Datos!$B:$B,AA$3)</f>
        <v>0</v>
      </c>
      <c r="AB20" s="16">
        <f>SUMIFS(Datos!$F:$F,Datos!$A:$A,$B20,Datos!$B:$B,AB$3)</f>
        <v>0</v>
      </c>
      <c r="AC20" s="16">
        <f>SUMIFS(Datos!$F:$F,Datos!$A:$A,$B20,Datos!$B:$B,AC$3)</f>
        <v>0</v>
      </c>
      <c r="AD20" s="16">
        <f>SUMIFS(Datos!$F:$F,Datos!$A:$A,$B20,Datos!$B:$B,AD$3)</f>
        <v>0</v>
      </c>
      <c r="AE20" s="16">
        <f>SUMIFS(Datos!$F:$F,Datos!$A:$A,$B20,Datos!$B:$B,AE$3)</f>
        <v>0</v>
      </c>
      <c r="AF20" s="16">
        <f>SUMIFS(Datos!$F:$F,Datos!$A:$A,$B20,Datos!$B:$B,AF$3)</f>
        <v>0</v>
      </c>
      <c r="AG20" s="16">
        <f>SUMIFS(Datos!$F:$F,Datos!$A:$A,$B20,Datos!$B:$B,AG$3)</f>
        <v>0</v>
      </c>
      <c r="AH20" s="16">
        <f>SUMIFS(Datos!$F:$F,Datos!$A:$A,$B20,Datos!$B:$B,AH$3)</f>
        <v>0</v>
      </c>
      <c r="AI20" s="16">
        <f>SUMIFS(Datos!$F:$F,Datos!$A:$A,$B20,Datos!$B:$B,AI$3)</f>
        <v>0</v>
      </c>
      <c r="AJ20" s="16">
        <f>SUMIFS(Datos!$F:$F,Datos!$A:$A,$B20,Datos!$B:$B,AJ$3)</f>
        <v>0</v>
      </c>
      <c r="AK20" s="16">
        <f>SUMIFS(Datos!$F:$F,Datos!$A:$A,$B20,Datos!$B:$B,AK$3)</f>
        <v>0</v>
      </c>
      <c r="AL20" s="16">
        <f>SUMIFS(Datos!$F:$F,Datos!$A:$A,$B20,Datos!$B:$B,AL$3)</f>
        <v>0</v>
      </c>
      <c r="AM20" s="16">
        <f>SUMIFS(Datos!$F:$F,Datos!$A:$A,$B20,Datos!$B:$B,AM$3)</f>
        <v>0</v>
      </c>
      <c r="AN20" s="16">
        <f>SUMIFS(Datos!$F:$F,Datos!$A:$A,$B20,Datos!$B:$B,AN$3)</f>
        <v>0</v>
      </c>
      <c r="AO20" s="16">
        <f>SUMIFS(Datos!$F:$F,Datos!$A:$A,$B20,Datos!$B:$B,AO$3)</f>
        <v>0</v>
      </c>
      <c r="AP20" s="16">
        <f>SUMIFS(Datos!$F:$F,Datos!$A:$A,$B20,Datos!$B:$B,AP$3)</f>
        <v>0</v>
      </c>
      <c r="AQ20" s="16">
        <f>SUMIFS(Datos!$F:$F,Datos!$A:$A,$B20,Datos!$B:$B,AQ$3)</f>
        <v>0</v>
      </c>
      <c r="AR20" s="16">
        <f>SUMIFS(Datos!$F:$F,Datos!$A:$A,$B20,Datos!$B:$B,AR$3)</f>
        <v>0</v>
      </c>
      <c r="AS20" s="16">
        <f>SUMIFS(Datos!$F:$F,Datos!$A:$A,$B20,Datos!$B:$B,AS$3)</f>
        <v>0</v>
      </c>
      <c r="AT20" s="16">
        <f>SUMIFS(Datos!$F:$F,Datos!$A:$A,$B20,Datos!$B:$B,AT$3)</f>
        <v>0</v>
      </c>
      <c r="AU20" s="16">
        <f>SUMIFS(Datos!$F:$F,Datos!$A:$A,$B20,Datos!$B:$B,AU$3)</f>
        <v>0</v>
      </c>
      <c r="AV20" s="16">
        <f>SUMIFS(Datos!$F:$F,Datos!$A:$A,$B20,Datos!$B:$B,AV$3)</f>
        <v>0</v>
      </c>
      <c r="AW20" s="16">
        <f>SUMIFS(Datos!$F:$F,Datos!$A:$A,$B20,Datos!$B:$B,AW$3)</f>
        <v>0</v>
      </c>
      <c r="AX20" s="16">
        <f>SUMIFS(Datos!$F:$F,Datos!$A:$A,$B20,Datos!$B:$B,AX$3)</f>
        <v>0</v>
      </c>
      <c r="AY20" s="16">
        <f>SUMIFS(Datos!$F:$F,Datos!$A:$A,$B20,Datos!$B:$B,AY$3)</f>
        <v>0</v>
      </c>
      <c r="AZ20" s="16">
        <f>SUMIFS(Datos!$F:$F,Datos!$A:$A,$B20,Datos!$B:$B,AZ$3)</f>
        <v>0</v>
      </c>
      <c r="BA20" s="16">
        <f>SUMIFS(Datos!$F:$F,Datos!$A:$A,$B20,Datos!$B:$B,BA$3)</f>
        <v>0</v>
      </c>
      <c r="BB20" s="16">
        <f>SUMIFS(Datos!$F:$F,Datos!$A:$A,$B20,Datos!$B:$B,BB$3)</f>
        <v>0</v>
      </c>
      <c r="BC20" s="16">
        <f>SUMIFS(Datos!$F:$F,Datos!$A:$A,$B20,Datos!$B:$B,BC$3)</f>
        <v>0</v>
      </c>
      <c r="BD20" s="16">
        <f>SUMIFS(Datos!$F:$F,Datos!$A:$A,$B20,Datos!$B:$B,BD$3)</f>
        <v>0</v>
      </c>
      <c r="BE20" s="16">
        <f>SUMIFS(Datos!$F:$F,Datos!$A:$A,$B20,Datos!$B:$B,BE$3)</f>
        <v>0</v>
      </c>
      <c r="BF20" s="16">
        <f>SUMIFS(Datos!$F:$F,Datos!$A:$A,$B20,Datos!$B:$B,BF$3)</f>
        <v>0</v>
      </c>
      <c r="BG20" s="16">
        <f>SUMIFS(Datos!$F:$F,Datos!$A:$A,$B20,Datos!$B:$B,BG$3)</f>
        <v>0</v>
      </c>
      <c r="BH20" s="16">
        <f>SUMIFS(Datos!$F:$F,Datos!$A:$A,$B20,Datos!$B:$B,BH$3)</f>
        <v>0</v>
      </c>
      <c r="BI20" s="16">
        <f>SUMIFS(Datos!$F:$F,Datos!$A:$A,$B20,Datos!$B:$B,BI$3)</f>
        <v>0</v>
      </c>
      <c r="BJ20" s="16">
        <f>SUMIFS(Datos!$F:$F,Datos!$A:$A,$B20,Datos!$B:$B,BJ$3)</f>
        <v>0</v>
      </c>
      <c r="BK20" s="16">
        <f>SUMIFS(Datos!$F:$F,Datos!$A:$A,$B20,Datos!$B:$B,BK$3)</f>
        <v>0</v>
      </c>
      <c r="BL20" s="16">
        <f>SUMIFS(Datos!$F:$F,Datos!$A:$A,$B20,Datos!$B:$B,BL$3)</f>
        <v>0</v>
      </c>
      <c r="BM20" s="16">
        <f>SUMIFS(Datos!$F:$F,Datos!$A:$A,$B20,Datos!$B:$B,BM$3)</f>
        <v>0</v>
      </c>
      <c r="BN20" s="16">
        <f>SUMIFS(Datos!$F:$F,Datos!$A:$A,$B20,Datos!$B:$B,BN$3)</f>
        <v>0</v>
      </c>
      <c r="BO20" s="16">
        <f>SUMIFS(Datos!$F:$F,Datos!$A:$A,$B20,Datos!$B:$B,BO$3)</f>
        <v>0</v>
      </c>
      <c r="BP20" s="16">
        <f>SUMIFS(Datos!$F:$F,Datos!$A:$A,$B20,Datos!$B:$B,BP$3)</f>
        <v>0</v>
      </c>
      <c r="BQ20" s="16">
        <f>SUMIFS(Datos!$F:$F,Datos!$A:$A,$B20,Datos!$B:$B,BQ$3)</f>
        <v>0</v>
      </c>
      <c r="BR20" s="16">
        <f>SUMIFS(Datos!$F:$F,Datos!$A:$A,$B20,Datos!$B:$B,BR$3)</f>
        <v>0</v>
      </c>
      <c r="BS20" s="16">
        <f>SUMIFS(Datos!$F:$F,Datos!$A:$A,$B20,Datos!$B:$B,BS$3)</f>
        <v>0</v>
      </c>
      <c r="BT20" s="16">
        <f>SUMIFS(Datos!$F:$F,Datos!$A:$A,$B20,Datos!$B:$B,BT$3)</f>
        <v>0</v>
      </c>
      <c r="BU20" s="16">
        <f>SUMIFS(Datos!$F:$F,Datos!$A:$A,$B20,Datos!$B:$B,BU$3)</f>
        <v>0</v>
      </c>
      <c r="BV20" s="16">
        <f>SUMIFS(Datos!$F:$F,Datos!$A:$A,$B20,Datos!$B:$B,BV$3)</f>
        <v>0</v>
      </c>
      <c r="BW20" s="16">
        <f>SUMIFS(Datos!$F:$F,Datos!$A:$A,$B20,Datos!$B:$B,BW$3)</f>
        <v>0</v>
      </c>
      <c r="BX20" s="16">
        <f>SUMIFS(Datos!$F:$F,Datos!$A:$A,$B20,Datos!$B:$B,BX$3)</f>
        <v>0</v>
      </c>
      <c r="BY20" s="16">
        <f>SUMIFS(Datos!$F:$F,Datos!$A:$A,$B20,Datos!$B:$B,BY$3)</f>
        <v>0</v>
      </c>
      <c r="BZ20" s="16">
        <f>SUMIFS(Datos!$F:$F,Datos!$A:$A,$B20,Datos!$B:$B,BZ$3)</f>
        <v>0</v>
      </c>
      <c r="CA20" s="16">
        <f>SUMIFS(Datos!$F:$F,Datos!$A:$A,$B20,Datos!$B:$B,CA$3)</f>
        <v>0</v>
      </c>
      <c r="CB20" s="16">
        <f>SUMIFS(Datos!$F:$F,Datos!$A:$A,$B20,Datos!$B:$B,CB$3)</f>
        <v>0</v>
      </c>
      <c r="CC20" s="16">
        <f>SUMIFS(Datos!$F:$F,Datos!$A:$A,$B20,Datos!$B:$B,CC$3)</f>
        <v>0</v>
      </c>
      <c r="CD20" s="16">
        <f>SUMIFS(Datos!$F:$F,Datos!$A:$A,$B20,Datos!$B:$B,CD$3)</f>
        <v>0</v>
      </c>
      <c r="CE20" s="16">
        <f>SUMIFS(Datos!$F:$F,Datos!$A:$A,$B20,Datos!$B:$B,CE$3)</f>
        <v>0</v>
      </c>
      <c r="CF20" s="16">
        <f>SUMIFS(Datos!$F:$F,Datos!$A:$A,$B20,Datos!$B:$B,CF$3)</f>
        <v>0</v>
      </c>
      <c r="CG20" s="16">
        <f>SUMIFS(Datos!$F:$F,Datos!$A:$A,$B20,Datos!$B:$B,CG$3)</f>
        <v>0</v>
      </c>
      <c r="CH20" s="16">
        <f>SUMIFS(Datos!$F:$F,Datos!$A:$A,$B20,Datos!$B:$B,CH$3)</f>
        <v>0</v>
      </c>
      <c r="CI20" s="16">
        <f>SUMIFS(Datos!$F:$F,Datos!$A:$A,$B20,Datos!$B:$B,CI$3)</f>
        <v>0</v>
      </c>
      <c r="CJ20" s="16">
        <f>SUMIFS(Datos!$F:$F,Datos!$A:$A,$B20,Datos!$B:$B,CJ$3)</f>
        <v>0</v>
      </c>
      <c r="CK20" s="16">
        <f>SUMIFS(Datos!$F:$F,Datos!$A:$A,$B20,Datos!$B:$B,CK$3)</f>
        <v>0</v>
      </c>
      <c r="CL20" s="16">
        <f>SUMIFS(Datos!$F:$F,Datos!$A:$A,$B20,Datos!$B:$B,CL$3)</f>
        <v>0</v>
      </c>
      <c r="CM20" s="16">
        <f>SUMIFS(Datos!$F:$F,Datos!$A:$A,$B20,Datos!$B:$B,CM$3)</f>
        <v>0</v>
      </c>
      <c r="CN20" s="16">
        <f>SUMIFS(Datos!$F:$F,Datos!$A:$A,$B20,Datos!$B:$B,CN$3)</f>
        <v>0</v>
      </c>
      <c r="CO20" s="16">
        <f>SUMIFS(Datos!$F:$F,Datos!$A:$A,$B20,Datos!$B:$B,CO$3)</f>
        <v>0</v>
      </c>
      <c r="CP20" s="16">
        <f>SUMIFS(Datos!$F:$F,Datos!$A:$A,$B20,Datos!$B:$B,CP$3)</f>
        <v>0</v>
      </c>
      <c r="CQ20" s="16">
        <f>SUMIFS(Datos!$F:$F,Datos!$A:$A,$B20,Datos!$B:$B,CQ$3)</f>
        <v>0</v>
      </c>
      <c r="CR20" s="16">
        <f>SUMIFS(Datos!$F:$F,Datos!$A:$A,$B20,Datos!$B:$B,CR$3)</f>
        <v>0</v>
      </c>
      <c r="CS20" s="16">
        <f>SUMIFS(Datos!$F:$F,Datos!$A:$A,$B20,Datos!$B:$B,CS$3)</f>
        <v>0</v>
      </c>
      <c r="CT20" s="16">
        <f>SUMIFS(Datos!$F:$F,Datos!$A:$A,$B20,Datos!$B:$B,CT$3)</f>
        <v>0</v>
      </c>
      <c r="CU20" s="16">
        <f>SUMIFS(Datos!$F:$F,Datos!$A:$A,$B20,Datos!$B:$B,CU$3)</f>
        <v>0</v>
      </c>
      <c r="CV20" s="16">
        <f>SUMIFS(Datos!$F:$F,Datos!$A:$A,$B20,Datos!$B:$B,CV$3)</f>
        <v>0</v>
      </c>
      <c r="CW20" s="16">
        <f>SUMIFS(Datos!$F:$F,Datos!$A:$A,$B20,Datos!$B:$B,CW$3)</f>
        <v>0</v>
      </c>
      <c r="CX20" s="16">
        <f>SUMIFS(Datos!$F:$F,Datos!$A:$A,$B20,Datos!$B:$B,CX$3)</f>
        <v>0</v>
      </c>
      <c r="CY20" s="16">
        <f>SUMIFS(Datos!$F:$F,Datos!$A:$A,$B20,Datos!$B:$B,CY$3)</f>
        <v>0</v>
      </c>
      <c r="CZ20" s="16">
        <f>SUMIFS(Datos!$F:$F,Datos!$A:$A,$B20,Datos!$B:$B,CZ$3)</f>
        <v>0</v>
      </c>
      <c r="DA20" s="16">
        <f>SUMIFS(Datos!$F:$F,Datos!$A:$A,$B20,Datos!$B:$B,DA$3)</f>
        <v>0</v>
      </c>
      <c r="DB20" s="16">
        <f>SUMIFS(Datos!$F:$F,Datos!$A:$A,$B20,Datos!$B:$B,DB$3)</f>
        <v>0</v>
      </c>
      <c r="DC20" s="16">
        <f>SUMIFS(Datos!$F:$F,Datos!$A:$A,$B20,Datos!$B:$B,DC$3)</f>
        <v>0</v>
      </c>
      <c r="DD20" s="16">
        <f>SUMIFS(Datos!$F:$F,Datos!$A:$A,$B20,Datos!$B:$B,DD$3)</f>
        <v>0</v>
      </c>
      <c r="DE20" s="16">
        <f>SUMIFS(Datos!$F:$F,Datos!$A:$A,$B20,Datos!$B:$B,DE$3)</f>
        <v>0</v>
      </c>
      <c r="DF20" s="16">
        <f>SUMIFS(Datos!$F:$F,Datos!$A:$A,$B20,Datos!$B:$B,DF$3)</f>
        <v>0</v>
      </c>
      <c r="DG20" s="16">
        <f>SUMIFS(Datos!$F:$F,Datos!$A:$A,$B20,Datos!$B:$B,DG$3)</f>
        <v>0</v>
      </c>
      <c r="DH20" s="16">
        <f>SUMIFS(Datos!$F:$F,Datos!$A:$A,$B20,Datos!$B:$B,DH$3)</f>
        <v>0</v>
      </c>
      <c r="DI20" s="16">
        <f>SUMIFS(Datos!$F:$F,Datos!$A:$A,$B20,Datos!$B:$B,DI$3)</f>
        <v>0</v>
      </c>
      <c r="DJ20" s="16">
        <f>SUMIFS(Datos!$F:$F,Datos!$A:$A,$B20,Datos!$B:$B,DJ$3)</f>
        <v>0</v>
      </c>
      <c r="DK20" s="16">
        <f>SUMIFS(Datos!$F:$F,Datos!$A:$A,$B20,Datos!$B:$B,DK$3)</f>
        <v>0</v>
      </c>
      <c r="DL20" s="16">
        <f>SUMIFS(Datos!$F:$F,Datos!$A:$A,$B20,Datos!$B:$B,DL$3)</f>
        <v>0</v>
      </c>
      <c r="DM20" s="16">
        <f>SUMIFS(Datos!$F:$F,Datos!$A:$A,$B20,Datos!$B:$B,DM$3)</f>
        <v>0</v>
      </c>
      <c r="DN20" s="16">
        <f>SUMIFS(Datos!$F:$F,Datos!$A:$A,$B20,Datos!$B:$B,DN$3)</f>
        <v>0</v>
      </c>
      <c r="DO20" s="16">
        <f>SUMIFS(Datos!$F:$F,Datos!$A:$A,$B20,Datos!$B:$B,DO$3)</f>
        <v>0</v>
      </c>
      <c r="DP20" s="16">
        <f>SUMIFS(Datos!$F:$F,Datos!$A:$A,$B20,Datos!$B:$B,DP$3)</f>
        <v>0</v>
      </c>
      <c r="DQ20" s="16">
        <f>SUMIFS(Datos!$F:$F,Datos!$A:$A,$B20,Datos!$B:$B,DQ$3)</f>
        <v>0</v>
      </c>
      <c r="DR20" s="16">
        <f>SUMIFS(Datos!$F:$F,Datos!$A:$A,$B20,Datos!$B:$B,DR$3)</f>
        <v>0</v>
      </c>
      <c r="DS20" s="16">
        <f>SUMIFS(Datos!$F:$F,Datos!$A:$A,$B20,Datos!$B:$B,DS$3)</f>
        <v>0</v>
      </c>
      <c r="DT20" s="16">
        <f>SUMIFS(Datos!$F:$F,Datos!$A:$A,$B20,Datos!$B:$B,DT$3)</f>
        <v>0</v>
      </c>
      <c r="DU20" s="16">
        <f>SUMIFS(Datos!$F:$F,Datos!$A:$A,$B20,Datos!$B:$B,DU$3)</f>
        <v>0</v>
      </c>
      <c r="DV20" s="16">
        <f>SUMIFS(Datos!$F:$F,Datos!$A:$A,$B20,Datos!$B:$B,DV$3)</f>
        <v>0</v>
      </c>
      <c r="DW20" s="16">
        <f>SUMIFS(Datos!$F:$F,Datos!$A:$A,$B20,Datos!$B:$B,DW$3)</f>
        <v>0</v>
      </c>
      <c r="DX20" s="16">
        <f>SUMIFS(Datos!$F:$F,Datos!$A:$A,$B20,Datos!$B:$B,DX$3)</f>
        <v>0</v>
      </c>
      <c r="DY20" s="16">
        <f>SUMIFS(Datos!$F:$F,Datos!$A:$A,$B20,Datos!$B:$B,DY$3)</f>
        <v>0</v>
      </c>
      <c r="DZ20" s="16">
        <f>SUMIFS(Datos!$F:$F,Datos!$A:$A,$B20,Datos!$B:$B,DZ$3)</f>
        <v>0</v>
      </c>
      <c r="EA20" s="16">
        <f>SUMIFS(Datos!$F:$F,Datos!$A:$A,$B20,Datos!$B:$B,EA$3)</f>
        <v>0</v>
      </c>
      <c r="EB20" s="16">
        <f>SUMIFS(Datos!$F:$F,Datos!$A:$A,$B20,Datos!$B:$B,EB$3)</f>
        <v>0</v>
      </c>
      <c r="EC20" s="16">
        <f>SUMIFS(Datos!$F:$F,Datos!$A:$A,$B20,Datos!$B:$B,EC$3)</f>
        <v>0</v>
      </c>
      <c r="ED20" s="16">
        <f>SUMIFS(Datos!$F:$F,Datos!$A:$A,$B20,Datos!$B:$B,ED$3)</f>
        <v>0</v>
      </c>
      <c r="EE20" s="16">
        <f>SUMIFS(Datos!$F:$F,Datos!$A:$A,$B20,Datos!$B:$B,EE$3)</f>
        <v>0</v>
      </c>
      <c r="EF20" s="16">
        <f>SUMIFS(Datos!$F:$F,Datos!$A:$A,$B20,Datos!$B:$B,EF$3)</f>
        <v>0</v>
      </c>
      <c r="EG20" s="16">
        <f>SUMIFS(Datos!$F:$F,Datos!$A:$A,$B20,Datos!$B:$B,EG$3)</f>
        <v>0</v>
      </c>
      <c r="EH20" s="16">
        <f>SUMIFS(Datos!$F:$F,Datos!$A:$A,$B20,Datos!$B:$B,EH$3)</f>
        <v>0</v>
      </c>
      <c r="EI20" s="16">
        <f>SUMIFS(Datos!$F:$F,Datos!$A:$A,$B20,Datos!$B:$B,EI$3)</f>
        <v>0</v>
      </c>
      <c r="EJ20" s="16">
        <f>SUMIFS(Datos!$F:$F,Datos!$A:$A,$B20,Datos!$B:$B,EJ$3)</f>
        <v>0</v>
      </c>
      <c r="EK20" s="16">
        <f>SUMIFS(Datos!$F:$F,Datos!$A:$A,$B20,Datos!$B:$B,EK$3)</f>
        <v>0</v>
      </c>
      <c r="EL20" s="16">
        <f>SUMIFS(Datos!$F:$F,Datos!$A:$A,$B20,Datos!$B:$B,EL$3)</f>
        <v>0</v>
      </c>
      <c r="EM20" s="16">
        <f>SUMIFS(Datos!$F:$F,Datos!$A:$A,$B20,Datos!$B:$B,EM$3)</f>
        <v>0</v>
      </c>
      <c r="EN20" s="16">
        <f>SUMIFS(Datos!$F:$F,Datos!$A:$A,$B20,Datos!$B:$B,EN$3)</f>
        <v>0</v>
      </c>
      <c r="EO20" s="16">
        <f>SUMIFS(Datos!$F:$F,Datos!$A:$A,$B20,Datos!$B:$B,EO$3)</f>
        <v>0</v>
      </c>
      <c r="EP20" s="16">
        <f>SUMIFS(Datos!$F:$F,Datos!$A:$A,$B20,Datos!$B:$B,EP$3)</f>
        <v>0</v>
      </c>
      <c r="EQ20" s="16">
        <f>SUMIFS(Datos!$F:$F,Datos!$A:$A,$B20,Datos!$B:$B,EQ$3)</f>
        <v>0</v>
      </c>
      <c r="ER20" s="16">
        <f>SUMIFS(Datos!$F:$F,Datos!$A:$A,$B20,Datos!$B:$B,ER$3)</f>
        <v>0</v>
      </c>
      <c r="ES20" s="16">
        <f>SUMIFS(Datos!$F:$F,Datos!$A:$A,$B20,Datos!$B:$B,ES$3)</f>
        <v>0</v>
      </c>
      <c r="ET20" s="16">
        <f>SUMIFS(Datos!$F:$F,Datos!$A:$A,$B20,Datos!$B:$B,ET$3)</f>
        <v>0</v>
      </c>
      <c r="EU20" s="16">
        <f>SUMIFS(Datos!$F:$F,Datos!$A:$A,$B20,Datos!$B:$B,EU$3)</f>
        <v>0</v>
      </c>
      <c r="EV20" s="16">
        <f>SUMIFS(Datos!$F:$F,Datos!$A:$A,$B20,Datos!$B:$B,EV$3)</f>
        <v>0</v>
      </c>
      <c r="EW20" s="16">
        <f>SUMIFS(Datos!$F:$F,Datos!$A:$A,$B20,Datos!$B:$B,EW$3)</f>
        <v>0</v>
      </c>
      <c r="EX20" s="16">
        <f>SUMIFS(Datos!$F:$F,Datos!$A:$A,$B20,Datos!$B:$B,EX$3)</f>
        <v>0</v>
      </c>
      <c r="EY20" s="16">
        <f>SUMIFS(Datos!$F:$F,Datos!$A:$A,$B20,Datos!$B:$B,EY$3)</f>
        <v>0</v>
      </c>
      <c r="EZ20" s="16">
        <f>SUMIFS(Datos!$F:$F,Datos!$A:$A,$B20,Datos!$B:$B,EZ$3)</f>
        <v>0</v>
      </c>
      <c r="FA20" s="16">
        <f>SUMIFS(Datos!$F:$F,Datos!$A:$A,$B20,Datos!$B:$B,FA$3)</f>
        <v>0</v>
      </c>
      <c r="FB20" s="16">
        <f>SUMIFS(Datos!$F:$F,Datos!$A:$A,$B20,Datos!$B:$B,FB$3)</f>
        <v>0</v>
      </c>
      <c r="FC20" s="16">
        <f>SUMIFS(Datos!$F:$F,Datos!$A:$A,$B20,Datos!$B:$B,FC$3)</f>
        <v>0</v>
      </c>
      <c r="FD20" s="16">
        <f>SUMIFS(Datos!$F:$F,Datos!$A:$A,$B20,Datos!$B:$B,FD$3)</f>
        <v>0</v>
      </c>
      <c r="FE20" s="16">
        <f>SUMIFS(Datos!$F:$F,Datos!$A:$A,$B20,Datos!$B:$B,FE$3)</f>
        <v>0</v>
      </c>
      <c r="FF20" s="16">
        <f>SUMIFS(Datos!$F:$F,Datos!$A:$A,$B20,Datos!$B:$B,FF$3)</f>
        <v>0</v>
      </c>
      <c r="FG20" s="16">
        <f>SUMIFS(Datos!$F:$F,Datos!$A:$A,$B20,Datos!$B:$B,FG$3)</f>
        <v>0</v>
      </c>
      <c r="FH20" s="16">
        <f>SUMIFS(Datos!$F:$F,Datos!$A:$A,$B20,Datos!$B:$B,FH$3)</f>
        <v>0</v>
      </c>
      <c r="FI20" s="16">
        <f>SUMIFS(Datos!$F:$F,Datos!$A:$A,$B20,Datos!$B:$B,FI$3)</f>
        <v>0</v>
      </c>
      <c r="FJ20" s="16">
        <f>SUMIFS(Datos!$F:$F,Datos!$A:$A,$B20,Datos!$B:$B,FJ$3)</f>
        <v>0</v>
      </c>
      <c r="FK20" s="16">
        <f>SUMIFS(Datos!$F:$F,Datos!$A:$A,$B20,Datos!$B:$B,FK$3)</f>
        <v>0</v>
      </c>
      <c r="FL20" s="16">
        <f>SUMIFS(Datos!$F:$F,Datos!$A:$A,$B20,Datos!$B:$B,FL$3)</f>
        <v>0</v>
      </c>
      <c r="FM20" s="16">
        <f>SUMIFS(Datos!$F:$F,Datos!$A:$A,$B20,Datos!$B:$B,FM$3)</f>
        <v>0</v>
      </c>
      <c r="FN20" s="16">
        <f>SUMIFS(Datos!$F:$F,Datos!$A:$A,$B20,Datos!$B:$B,FN$3)</f>
        <v>0</v>
      </c>
      <c r="FO20" s="16">
        <f>SUMIFS(Datos!$F:$F,Datos!$A:$A,$B20,Datos!$B:$B,FO$3)</f>
        <v>0</v>
      </c>
      <c r="FP20" s="16">
        <f>SUMIFS(Datos!$F:$F,Datos!$A:$A,$B20,Datos!$B:$B,FP$3)</f>
        <v>0</v>
      </c>
      <c r="FQ20" s="16">
        <f>SUMIFS(Datos!$F:$F,Datos!$A:$A,$B20,Datos!$B:$B,FQ$3)</f>
        <v>0</v>
      </c>
      <c r="FR20" s="16">
        <f>SUMIFS(Datos!$F:$F,Datos!$A:$A,$B20,Datos!$B:$B,FR$3)</f>
        <v>0</v>
      </c>
      <c r="FS20" s="16">
        <f>SUMIFS(Datos!$F:$F,Datos!$A:$A,$B20,Datos!$B:$B,FS$3)</f>
        <v>0</v>
      </c>
      <c r="FT20" s="16">
        <f>SUMIFS(Datos!$F:$F,Datos!$A:$A,$B20,Datos!$B:$B,FT$3)</f>
        <v>0</v>
      </c>
      <c r="FU20" s="16">
        <f>SUMIFS(Datos!$F:$F,Datos!$A:$A,$B20,Datos!$B:$B,FU$3)</f>
        <v>0</v>
      </c>
      <c r="FV20" s="16">
        <f>SUMIFS(Datos!$F:$F,Datos!$A:$A,$B20,Datos!$B:$B,FV$3)</f>
        <v>0</v>
      </c>
      <c r="FW20" s="16">
        <f>SUMIFS(Datos!$F:$F,Datos!$A:$A,$B20,Datos!$B:$B,FW$3)</f>
        <v>0</v>
      </c>
      <c r="FX20" s="16">
        <f>SUMIFS(Datos!$F:$F,Datos!$A:$A,$B20,Datos!$B:$B,FX$3)</f>
        <v>0</v>
      </c>
      <c r="FY20" s="16">
        <f>SUMIFS(Datos!$F:$F,Datos!$A:$A,$B20,Datos!$B:$B,FY$3)</f>
        <v>0</v>
      </c>
      <c r="FZ20" s="16">
        <f>SUMIFS(Datos!$F:$F,Datos!$A:$A,$B20,Datos!$B:$B,FZ$3)</f>
        <v>0</v>
      </c>
      <c r="GA20" s="16">
        <f>SUMIFS(Datos!$F:$F,Datos!$A:$A,$B20,Datos!$B:$B,GA$3)</f>
        <v>0</v>
      </c>
      <c r="GB20" s="16">
        <f>SUMIFS(Datos!$F:$F,Datos!$A:$A,$B20,Datos!$B:$B,GB$3)</f>
        <v>0</v>
      </c>
      <c r="GC20" s="16">
        <f>SUMIFS(Datos!$F:$F,Datos!$A:$A,$B20,Datos!$B:$B,GC$3)</f>
        <v>0</v>
      </c>
      <c r="GD20" s="16">
        <f>SUMIFS(Datos!$F:$F,Datos!$A:$A,$B20,Datos!$B:$B,GD$3)</f>
        <v>0</v>
      </c>
      <c r="GE20" s="16">
        <f>SUMIFS(Datos!$F:$F,Datos!$A:$A,$B20,Datos!$B:$B,GE$3)</f>
        <v>0</v>
      </c>
      <c r="GF20" s="16">
        <f>SUMIFS(Datos!$F:$F,Datos!$A:$A,$B20,Datos!$B:$B,GF$3)</f>
        <v>0</v>
      </c>
      <c r="GG20" s="16">
        <f>SUMIFS(Datos!$F:$F,Datos!$A:$A,$B20,Datos!$B:$B,GG$3)</f>
        <v>0</v>
      </c>
      <c r="GH20" s="16">
        <f>SUMIFS(Datos!$F:$F,Datos!$A:$A,$B20,Datos!$B:$B,GH$3)</f>
        <v>0</v>
      </c>
      <c r="GI20" s="16">
        <f>SUMIFS(Datos!$F:$F,Datos!$A:$A,$B20,Datos!$B:$B,GI$3)</f>
        <v>0</v>
      </c>
      <c r="GJ20" s="16">
        <f>SUMIFS(Datos!$F:$F,Datos!$A:$A,$B20,Datos!$B:$B,GJ$3)</f>
        <v>0</v>
      </c>
      <c r="GK20" s="16">
        <f>SUMIFS(Datos!$F:$F,Datos!$A:$A,$B20,Datos!$B:$B,GK$3)</f>
        <v>0</v>
      </c>
      <c r="GL20" s="16">
        <f>SUMIFS(Datos!$F:$F,Datos!$A:$A,$B20,Datos!$B:$B,GL$3)</f>
        <v>0</v>
      </c>
      <c r="GM20" s="16">
        <f>SUMIFS(Datos!$F:$F,Datos!$A:$A,$B20,Datos!$B:$B,GM$3)</f>
        <v>0</v>
      </c>
      <c r="GN20" s="16">
        <f>SUMIFS(Datos!$F:$F,Datos!$A:$A,$B20,Datos!$B:$B,GN$3)</f>
        <v>0</v>
      </c>
      <c r="GO20" s="16">
        <f>SUMIFS(Datos!$F:$F,Datos!$A:$A,$B20,Datos!$B:$B,GO$3)</f>
        <v>0</v>
      </c>
      <c r="GP20" s="16">
        <f>SUMIFS(Datos!$F:$F,Datos!$A:$A,$B20,Datos!$B:$B,GP$3)</f>
        <v>0</v>
      </c>
      <c r="GQ20" s="16">
        <f>SUMIFS(Datos!$F:$F,Datos!$A:$A,$B20,Datos!$B:$B,GQ$3)</f>
        <v>0</v>
      </c>
      <c r="GR20" s="16">
        <f>SUMIFS(Datos!$F:$F,Datos!$A:$A,$B20,Datos!$B:$B,GR$3)</f>
        <v>0</v>
      </c>
      <c r="GS20" s="16">
        <f>SUMIFS(Datos!$F:$F,Datos!$A:$A,$B20,Datos!$B:$B,GS$3)</f>
        <v>0</v>
      </c>
      <c r="GT20" s="16">
        <f>SUMIFS(Datos!$F:$F,Datos!$A:$A,$B20,Datos!$B:$B,GT$3)</f>
        <v>0</v>
      </c>
      <c r="GU20" s="16">
        <f>SUMIFS(Datos!$F:$F,Datos!$A:$A,$B20,Datos!$B:$B,GU$3)</f>
        <v>0</v>
      </c>
      <c r="GV20" s="16">
        <f>SUMIFS(Datos!$F:$F,Datos!$A:$A,$B20,Datos!$B:$B,GV$3)</f>
        <v>0</v>
      </c>
      <c r="GW20" s="16">
        <f>SUMIFS(Datos!$F:$F,Datos!$A:$A,$B20,Datos!$B:$B,GW$3)</f>
        <v>0</v>
      </c>
      <c r="GX20" s="16">
        <f>SUMIFS(Datos!$F:$F,Datos!$A:$A,$B20,Datos!$B:$B,GX$3)</f>
        <v>0</v>
      </c>
      <c r="GY20" s="16">
        <f>SUMIFS(Datos!$F:$F,Datos!$A:$A,$B20,Datos!$B:$B,GY$3)</f>
        <v>0</v>
      </c>
      <c r="GZ20" s="16">
        <f>SUMIFS(Datos!$F:$F,Datos!$A:$A,$B20,Datos!$B:$B,GZ$3)</f>
        <v>0</v>
      </c>
      <c r="HA20" s="16">
        <f>SUMIFS(Datos!$F:$F,Datos!$A:$A,$B20,Datos!$B:$B,HA$3)</f>
        <v>0</v>
      </c>
      <c r="HB20" s="16">
        <f>SUMIFS(Datos!$F:$F,Datos!$A:$A,$B20,Datos!$B:$B,HB$3)</f>
        <v>0</v>
      </c>
      <c r="HC20" s="16">
        <f>SUMIFS(Datos!$F:$F,Datos!$A:$A,$B20,Datos!$B:$B,HC$3)</f>
        <v>0</v>
      </c>
      <c r="HD20" s="16">
        <f>SUMIFS(Datos!$F:$F,Datos!$A:$A,$B20,Datos!$B:$B,HD$3)</f>
        <v>0</v>
      </c>
      <c r="HE20" s="16">
        <f>SUMIFS(Datos!$F:$F,Datos!$A:$A,$B20,Datos!$B:$B,HE$3)</f>
        <v>0</v>
      </c>
      <c r="HF20" s="16">
        <f>SUMIFS(Datos!$F:$F,Datos!$A:$A,$B20,Datos!$B:$B,HF$3)</f>
        <v>0</v>
      </c>
      <c r="HG20" s="16">
        <f>SUMIFS(Datos!$F:$F,Datos!$A:$A,$B20,Datos!$B:$B,HG$3)</f>
        <v>0</v>
      </c>
      <c r="HH20" s="16">
        <f>SUMIFS(Datos!$F:$F,Datos!$A:$A,$B20,Datos!$B:$B,HH$3)</f>
        <v>0</v>
      </c>
      <c r="HI20" s="16">
        <f>SUMIFS(Datos!$F:$F,Datos!$A:$A,$B20,Datos!$B:$B,HI$3)</f>
        <v>0</v>
      </c>
      <c r="HJ20" s="16">
        <f>SUMIFS(Datos!$F:$F,Datos!$A:$A,$B20,Datos!$B:$B,HJ$3)</f>
        <v>0</v>
      </c>
      <c r="HK20" s="16">
        <f>SUMIFS(Datos!$F:$F,Datos!$A:$A,$B20,Datos!$B:$B,HK$3)</f>
        <v>0</v>
      </c>
      <c r="HL20" s="16">
        <f>SUMIFS(Datos!$F:$F,Datos!$A:$A,$B20,Datos!$B:$B,HL$3)</f>
        <v>0</v>
      </c>
      <c r="HM20" s="16">
        <f>SUMIFS(Datos!$F:$F,Datos!$A:$A,$B20,Datos!$B:$B,HM$3)</f>
        <v>0</v>
      </c>
      <c r="HN20" s="16">
        <f>SUMIFS(Datos!$F:$F,Datos!$A:$A,$B20,Datos!$B:$B,HN$3)</f>
        <v>0</v>
      </c>
      <c r="HO20" s="16">
        <f>SUMIFS(Datos!$F:$F,Datos!$A:$A,$B20,Datos!$B:$B,HO$3)</f>
        <v>0</v>
      </c>
      <c r="HP20" s="16">
        <f>SUMIFS(Datos!$F:$F,Datos!$A:$A,$B20,Datos!$B:$B,HP$3)</f>
        <v>0</v>
      </c>
      <c r="HQ20" s="16">
        <f>SUMIFS(Datos!$F:$F,Datos!$A:$A,$B20,Datos!$B:$B,HQ$3)</f>
        <v>0</v>
      </c>
      <c r="HR20" s="16">
        <f>SUMIFS(Datos!$F:$F,Datos!$A:$A,$B20,Datos!$B:$B,HR$3)</f>
        <v>0</v>
      </c>
      <c r="HS20" s="16">
        <f>SUMIFS(Datos!$F:$F,Datos!$A:$A,$B20,Datos!$B:$B,HS$3)</f>
        <v>0</v>
      </c>
      <c r="HT20" s="16">
        <f>SUMIFS(Datos!$F:$F,Datos!$A:$A,$B20,Datos!$B:$B,HT$3)</f>
        <v>0</v>
      </c>
      <c r="HU20" s="16">
        <f>SUMIFS(Datos!$F:$F,Datos!$A:$A,$B20,Datos!$B:$B,HU$3)</f>
        <v>0</v>
      </c>
      <c r="HV20" s="16">
        <f>SUMIFS(Datos!$F:$F,Datos!$A:$A,$B20,Datos!$B:$B,HV$3)</f>
        <v>0</v>
      </c>
      <c r="HW20" s="16">
        <f>SUMIFS(Datos!$F:$F,Datos!$A:$A,$B20,Datos!$B:$B,HW$3)</f>
        <v>0</v>
      </c>
      <c r="HX20" s="16">
        <f>SUMIFS(Datos!$F:$F,Datos!$A:$A,$B20,Datos!$B:$B,HX$3)</f>
        <v>0</v>
      </c>
      <c r="HY20" s="16">
        <f>SUMIFS(Datos!$F:$F,Datos!$A:$A,$B20,Datos!$B:$B,HY$3)</f>
        <v>0</v>
      </c>
      <c r="HZ20" s="16">
        <f>SUMIFS(Datos!$F:$F,Datos!$A:$A,$B20,Datos!$B:$B,HZ$3)</f>
        <v>0</v>
      </c>
      <c r="IA20" s="16">
        <f>SUMIFS(Datos!$F:$F,Datos!$A:$A,$B20,Datos!$B:$B,IA$3)</f>
        <v>0</v>
      </c>
      <c r="IB20" s="16">
        <f>SUMIFS(Datos!$F:$F,Datos!$A:$A,$B20,Datos!$B:$B,IB$3)</f>
        <v>0</v>
      </c>
      <c r="IC20" s="16">
        <f>SUMIFS(Datos!$F:$F,Datos!$A:$A,$B20,Datos!$B:$B,IC$3)</f>
        <v>0</v>
      </c>
      <c r="ID20" s="16">
        <f>SUMIFS(Datos!$F:$F,Datos!$A:$A,$B20,Datos!$B:$B,ID$3)</f>
        <v>0</v>
      </c>
      <c r="IE20" s="16">
        <f>SUMIFS(Datos!$F:$F,Datos!$A:$A,$B20,Datos!$B:$B,IE$3)</f>
        <v>0</v>
      </c>
      <c r="IF20" s="16">
        <f>SUMIFS(Datos!$F:$F,Datos!$A:$A,$B20,Datos!$B:$B,IF$3)</f>
        <v>0</v>
      </c>
      <c r="IG20" s="16">
        <f>SUMIFS(Datos!$F:$F,Datos!$A:$A,$B20,Datos!$B:$B,IG$3)</f>
        <v>0</v>
      </c>
      <c r="IH20" s="16">
        <f>SUMIFS(Datos!$F:$F,Datos!$A:$A,$B20,Datos!$B:$B,IH$3)</f>
        <v>0</v>
      </c>
      <c r="II20" s="16">
        <f>SUMIFS(Datos!$F:$F,Datos!$A:$A,$B20,Datos!$B:$B,II$3)</f>
        <v>0</v>
      </c>
      <c r="IJ20" s="16">
        <f>SUMIFS(Datos!$F:$F,Datos!$A:$A,$B20,Datos!$B:$B,IJ$3)</f>
        <v>0</v>
      </c>
      <c r="IK20" s="16">
        <f>SUMIFS(Datos!$F:$F,Datos!$A:$A,$B20,Datos!$B:$B,IK$3)</f>
        <v>0</v>
      </c>
      <c r="IL20" s="16">
        <f>SUMIFS(Datos!$F:$F,Datos!$A:$A,$B20,Datos!$B:$B,IL$3)</f>
        <v>0</v>
      </c>
      <c r="IM20" s="16">
        <f>SUMIFS(Datos!$F:$F,Datos!$A:$A,$B20,Datos!$B:$B,IM$3)</f>
        <v>0</v>
      </c>
      <c r="IN20" s="16">
        <f>SUMIFS(Datos!$F:$F,Datos!$A:$A,$B20,Datos!$B:$B,IN$3)</f>
        <v>0</v>
      </c>
      <c r="IO20" s="16">
        <f>SUMIFS(Datos!$F:$F,Datos!$A:$A,$B20,Datos!$B:$B,IO$3)</f>
        <v>0</v>
      </c>
      <c r="IP20" s="16">
        <f>SUMIFS(Datos!$F:$F,Datos!$A:$A,$B20,Datos!$B:$B,IP$3)</f>
        <v>0</v>
      </c>
      <c r="IQ20" s="16">
        <f>SUMIFS(Datos!$F:$F,Datos!$A:$A,$B20,Datos!$B:$B,IQ$3)</f>
        <v>0</v>
      </c>
      <c r="IR20" s="16">
        <f>SUMIFS(Datos!$F:$F,Datos!$A:$A,$B20,Datos!$B:$B,IR$3)</f>
        <v>0</v>
      </c>
      <c r="IS20" s="16">
        <f>SUMIFS(Datos!$F:$F,Datos!$A:$A,$B20,Datos!$B:$B,IS$3)</f>
        <v>0</v>
      </c>
      <c r="IT20" s="16">
        <f>SUMIFS(Datos!$F:$F,Datos!$A:$A,$B20,Datos!$B:$B,IT$3)</f>
        <v>0</v>
      </c>
      <c r="IU20" s="16">
        <f>SUMIFS(Datos!$F:$F,Datos!$A:$A,$B20,Datos!$B:$B,IU$3)</f>
        <v>0</v>
      </c>
      <c r="IV20" s="16">
        <f>SUMIFS(Datos!$F:$F,Datos!$A:$A,$B20,Datos!$B:$B,IV$3)</f>
        <v>0</v>
      </c>
      <c r="IW20" s="16">
        <f>SUMIFS(Datos!$F:$F,Datos!$A:$A,$B20,Datos!$B:$B,IW$3)</f>
        <v>0</v>
      </c>
      <c r="IX20" s="16">
        <f>SUMIFS(Datos!$F:$F,Datos!$A:$A,$B20,Datos!$B:$B,IX$3)</f>
        <v>0</v>
      </c>
      <c r="IY20" s="16">
        <f>SUMIFS(Datos!$F:$F,Datos!$A:$A,$B20,Datos!$B:$B,IY$3)</f>
        <v>0</v>
      </c>
      <c r="IZ20" s="16">
        <f>SUMIFS(Datos!$F:$F,Datos!$A:$A,$B20,Datos!$B:$B,IZ$3)</f>
        <v>0</v>
      </c>
      <c r="JA20" s="16">
        <f>SUMIFS(Datos!$F:$F,Datos!$A:$A,$B20,Datos!$B:$B,JA$3)</f>
        <v>0</v>
      </c>
      <c r="JB20" s="16">
        <f>SUMIFS(Datos!$F:$F,Datos!$A:$A,$B20,Datos!$B:$B,JB$3)</f>
        <v>0</v>
      </c>
      <c r="JC20" s="16">
        <f>SUMIFS(Datos!$F:$F,Datos!$A:$A,$B20,Datos!$B:$B,JC$3)</f>
        <v>0</v>
      </c>
      <c r="JD20" s="16">
        <f>SUMIFS(Datos!$F:$F,Datos!$A:$A,$B20,Datos!$B:$B,JD$3)</f>
        <v>0</v>
      </c>
      <c r="JE20" s="16">
        <f>SUMIFS(Datos!$F:$F,Datos!$A:$A,$B20,Datos!$B:$B,JE$3)</f>
        <v>0</v>
      </c>
      <c r="JF20" s="16">
        <f>SUMIFS(Datos!$F:$F,Datos!$A:$A,$B20,Datos!$B:$B,JF$3)</f>
        <v>0</v>
      </c>
      <c r="JG20" s="16">
        <f>SUMIFS(Datos!$F:$F,Datos!$A:$A,$B20,Datos!$B:$B,JG$3)</f>
        <v>0</v>
      </c>
      <c r="JH20" s="16">
        <f>SUMIFS(Datos!$F:$F,Datos!$A:$A,$B20,Datos!$B:$B,JH$3)</f>
        <v>0</v>
      </c>
      <c r="JI20" s="16">
        <f>SUMIFS(Datos!$F:$F,Datos!$A:$A,$B20,Datos!$B:$B,JI$3)</f>
        <v>0</v>
      </c>
      <c r="JJ20" s="16">
        <f>SUMIFS(Datos!$F:$F,Datos!$A:$A,$B20,Datos!$B:$B,JJ$3)</f>
        <v>0</v>
      </c>
      <c r="JK20" s="16">
        <f>SUMIFS(Datos!$F:$F,Datos!$A:$A,$B20,Datos!$B:$B,JK$3)</f>
        <v>0</v>
      </c>
      <c r="JL20" s="16">
        <f>SUMIFS(Datos!$F:$F,Datos!$A:$A,$B20,Datos!$B:$B,JL$3)</f>
        <v>0</v>
      </c>
      <c r="JM20" s="16">
        <f>SUMIFS(Datos!$F:$F,Datos!$A:$A,$B20,Datos!$B:$B,JM$3)</f>
        <v>0</v>
      </c>
      <c r="JN20" s="16">
        <f>SUMIFS(Datos!$F:$F,Datos!$A:$A,$B20,Datos!$B:$B,JN$3)</f>
        <v>0</v>
      </c>
      <c r="JO20" s="16">
        <f>SUMIFS(Datos!$F:$F,Datos!$A:$A,$B20,Datos!$B:$B,JO$3)</f>
        <v>0</v>
      </c>
      <c r="JP20" s="16">
        <f>SUMIFS(Datos!$F:$F,Datos!$A:$A,$B20,Datos!$B:$B,JP$3)</f>
        <v>0</v>
      </c>
      <c r="JQ20" s="16">
        <f>SUMIFS(Datos!$F:$F,Datos!$A:$A,$B20,Datos!$B:$B,JQ$3)</f>
        <v>0</v>
      </c>
      <c r="JR20" s="16">
        <f>SUMIFS(Datos!$F:$F,Datos!$A:$A,$B20,Datos!$B:$B,JR$3)</f>
        <v>0</v>
      </c>
      <c r="JS20" s="16">
        <f>SUMIFS(Datos!$F:$F,Datos!$A:$A,$B20,Datos!$B:$B,JS$3)</f>
        <v>0</v>
      </c>
      <c r="JT20" s="16">
        <f>SUMIFS(Datos!$F:$F,Datos!$A:$A,$B20,Datos!$B:$B,JT$3)</f>
        <v>0</v>
      </c>
      <c r="JU20" s="16">
        <f>SUMIFS(Datos!$F:$F,Datos!$A:$A,$B20,Datos!$B:$B,JU$3)</f>
        <v>0</v>
      </c>
      <c r="JV20" s="16">
        <f>SUMIFS(Datos!$F:$F,Datos!$A:$A,$B20,Datos!$B:$B,JV$3)</f>
        <v>0</v>
      </c>
      <c r="JW20" s="16">
        <f>SUMIFS(Datos!$F:$F,Datos!$A:$A,$B20,Datos!$B:$B,JW$3)</f>
        <v>0</v>
      </c>
      <c r="JX20" s="16">
        <f>SUMIFS(Datos!$F:$F,Datos!$A:$A,$B20,Datos!$B:$B,JX$3)</f>
        <v>0</v>
      </c>
      <c r="JY20" s="16">
        <f>SUMIFS(Datos!$F:$F,Datos!$A:$A,$B20,Datos!$B:$B,JY$3)</f>
        <v>0</v>
      </c>
      <c r="JZ20" s="16">
        <f>SUMIFS(Datos!$F:$F,Datos!$A:$A,$B20,Datos!$B:$B,JZ$3)</f>
        <v>0</v>
      </c>
      <c r="KA20" s="16">
        <f>SUMIFS(Datos!$F:$F,Datos!$A:$A,$B20,Datos!$B:$B,KA$3)</f>
        <v>0</v>
      </c>
      <c r="KB20" s="16">
        <f>SUMIFS(Datos!$F:$F,Datos!$A:$A,$B20,Datos!$B:$B,KB$3)</f>
        <v>0</v>
      </c>
      <c r="KC20" s="16">
        <f>SUMIFS(Datos!$F:$F,Datos!$A:$A,$B20,Datos!$B:$B,KC$3)</f>
        <v>0</v>
      </c>
      <c r="KD20" s="16">
        <f>SUMIFS(Datos!$F:$F,Datos!$A:$A,$B20,Datos!$B:$B,KD$3)</f>
        <v>0</v>
      </c>
      <c r="KE20" s="16">
        <f>SUMIFS(Datos!$F:$F,Datos!$A:$A,$B20,Datos!$B:$B,KE$3)</f>
        <v>0</v>
      </c>
      <c r="KF20" s="16">
        <f>SUMIFS(Datos!$F:$F,Datos!$A:$A,$B20,Datos!$B:$B,KF$3)</f>
        <v>0</v>
      </c>
      <c r="KG20" s="16">
        <f>SUMIFS(Datos!$F:$F,Datos!$A:$A,$B20,Datos!$B:$B,KG$3)</f>
        <v>0</v>
      </c>
      <c r="KH20" s="16">
        <f>SUMIFS(Datos!$F:$F,Datos!$A:$A,$B20,Datos!$B:$B,KH$3)</f>
        <v>0</v>
      </c>
      <c r="KI20" s="16">
        <f>SUMIFS(Datos!$F:$F,Datos!$A:$A,$B20,Datos!$B:$B,KI$3)</f>
        <v>0</v>
      </c>
      <c r="KJ20" s="16">
        <f>SUMIFS(Datos!$F:$F,Datos!$A:$A,$B20,Datos!$B:$B,KJ$3)</f>
        <v>0</v>
      </c>
      <c r="KK20" s="16">
        <f>SUMIFS(Datos!$F:$F,Datos!$A:$A,$B20,Datos!$B:$B,KK$3)</f>
        <v>0</v>
      </c>
      <c r="KL20" s="16">
        <f>SUMIFS(Datos!$F:$F,Datos!$A:$A,$B20,Datos!$B:$B,KL$3)</f>
        <v>0</v>
      </c>
      <c r="KM20" s="16">
        <f>SUMIFS(Datos!$F:$F,Datos!$A:$A,$B20,Datos!$B:$B,KM$3)</f>
        <v>0</v>
      </c>
      <c r="KN20" s="16">
        <f>SUMIFS(Datos!$F:$F,Datos!$A:$A,$B20,Datos!$B:$B,KN$3)</f>
        <v>0</v>
      </c>
      <c r="KO20" s="16">
        <f>SUMIFS(Datos!$F:$F,Datos!$A:$A,$B20,Datos!$B:$B,KO$3)</f>
        <v>0</v>
      </c>
      <c r="KP20" s="16">
        <f>SUMIFS(Datos!$F:$F,Datos!$A:$A,$B20,Datos!$B:$B,KP$3)</f>
        <v>0</v>
      </c>
      <c r="KQ20" s="16">
        <f>SUMIFS(Datos!$F:$F,Datos!$A:$A,$B20,Datos!$B:$B,KQ$3)</f>
        <v>0</v>
      </c>
      <c r="KR20" s="16">
        <f>SUMIFS(Datos!$F:$F,Datos!$A:$A,$B20,Datos!$B:$B,KR$3)</f>
        <v>0</v>
      </c>
      <c r="KS20" s="16">
        <f>SUMIFS(Datos!$F:$F,Datos!$A:$A,$B20,Datos!$B:$B,KS$3)</f>
        <v>0</v>
      </c>
      <c r="KT20" s="16">
        <f>SUMIFS(Datos!$F:$F,Datos!$A:$A,$B20,Datos!$B:$B,KT$3)</f>
        <v>0</v>
      </c>
      <c r="KU20" s="16">
        <f>SUMIFS(Datos!$F:$F,Datos!$A:$A,$B20,Datos!$B:$B,KU$3)</f>
        <v>0</v>
      </c>
      <c r="KV20" s="16">
        <f>SUMIFS(Datos!$F:$F,Datos!$A:$A,$B20,Datos!$B:$B,KV$3)</f>
        <v>0</v>
      </c>
      <c r="KW20" s="16">
        <f>SUMIFS(Datos!$F:$F,Datos!$A:$A,$B20,Datos!$B:$B,KW$3)</f>
        <v>0</v>
      </c>
      <c r="KX20" s="16">
        <f>SUMIFS(Datos!$F:$F,Datos!$A:$A,$B20,Datos!$B:$B,KX$3)</f>
        <v>0</v>
      </c>
      <c r="KY20" s="16">
        <f>SUMIFS(Datos!$F:$F,Datos!$A:$A,$B20,Datos!$B:$B,KY$3)</f>
        <v>0</v>
      </c>
      <c r="KZ20" s="16">
        <f>SUMIFS(Datos!$F:$F,Datos!$A:$A,$B20,Datos!$B:$B,KZ$3)</f>
        <v>0</v>
      </c>
      <c r="LA20" s="16">
        <f>SUMIFS(Datos!$F:$F,Datos!$A:$A,$B20,Datos!$B:$B,LA$3)</f>
        <v>0</v>
      </c>
      <c r="LB20" s="16">
        <f>SUMIFS(Datos!$F:$F,Datos!$A:$A,$B20,Datos!$B:$B,LB$3)</f>
        <v>0</v>
      </c>
      <c r="LC20" s="16">
        <f>SUMIFS(Datos!$F:$F,Datos!$A:$A,$B20,Datos!$B:$B,LC$3)</f>
        <v>0</v>
      </c>
      <c r="LD20" s="16">
        <f>SUMIFS(Datos!$F:$F,Datos!$A:$A,$B20,Datos!$B:$B,LD$3)</f>
        <v>0</v>
      </c>
      <c r="LE20" s="16">
        <f>SUMIFS(Datos!$F:$F,Datos!$A:$A,$B20,Datos!$B:$B,LE$3)</f>
        <v>0</v>
      </c>
      <c r="LF20" s="16">
        <f>SUMIFS(Datos!$F:$F,Datos!$A:$A,$B20,Datos!$B:$B,LF$3)</f>
        <v>0</v>
      </c>
      <c r="LG20" s="16">
        <f>SUMIFS(Datos!$F:$F,Datos!$A:$A,$B20,Datos!$B:$B,LG$3)</f>
        <v>0</v>
      </c>
      <c r="LH20" s="16">
        <f>SUMIFS(Datos!$F:$F,Datos!$A:$A,$B20,Datos!$B:$B,LH$3)</f>
        <v>0</v>
      </c>
      <c r="LI20" s="16">
        <f>SUMIFS(Datos!$F:$F,Datos!$A:$A,$B20,Datos!$B:$B,LI$3)</f>
        <v>0</v>
      </c>
      <c r="LJ20" s="16">
        <f>SUMIFS(Datos!$F:$F,Datos!$A:$A,$B20,Datos!$B:$B,LJ$3)</f>
        <v>0</v>
      </c>
      <c r="LK20" s="16">
        <f>SUMIFS(Datos!$F:$F,Datos!$A:$A,$B20,Datos!$B:$B,LK$3)</f>
        <v>0</v>
      </c>
      <c r="LL20" s="16">
        <f>SUMIFS(Datos!$F:$F,Datos!$A:$A,$B20,Datos!$B:$B,LL$3)</f>
        <v>0</v>
      </c>
      <c r="LM20" s="16">
        <f>SUMIFS(Datos!$F:$F,Datos!$A:$A,$B20,Datos!$B:$B,LM$3)</f>
        <v>0</v>
      </c>
      <c r="LN20" s="16">
        <f>SUMIFS(Datos!$F:$F,Datos!$A:$A,$B20,Datos!$B:$B,LN$3)</f>
        <v>0</v>
      </c>
      <c r="LO20" s="16">
        <f>SUMIFS(Datos!$F:$F,Datos!$A:$A,$B20,Datos!$B:$B,LO$3)</f>
        <v>0</v>
      </c>
      <c r="LP20" s="16">
        <f>SUMIFS(Datos!$F:$F,Datos!$A:$A,$B20,Datos!$B:$B,LP$3)</f>
        <v>0</v>
      </c>
      <c r="LQ20" s="16">
        <f>SUMIFS(Datos!$F:$F,Datos!$A:$A,$B20,Datos!$B:$B,LQ$3)</f>
        <v>0</v>
      </c>
      <c r="LR20" s="16">
        <f>SUMIFS(Datos!$F:$F,Datos!$A:$A,$B20,Datos!$B:$B,LR$3)</f>
        <v>0</v>
      </c>
      <c r="LS20" s="16">
        <f>SUMIFS(Datos!$F:$F,Datos!$A:$A,$B20,Datos!$B:$B,LS$3)</f>
        <v>0</v>
      </c>
      <c r="LT20" s="16">
        <f>SUMIFS(Datos!$F:$F,Datos!$A:$A,$B20,Datos!$B:$B,LT$3)</f>
        <v>0</v>
      </c>
      <c r="LU20" s="16">
        <f>SUMIFS(Datos!$F:$F,Datos!$A:$A,$B20,Datos!$B:$B,LU$3)</f>
        <v>0</v>
      </c>
      <c r="LV20" s="16">
        <f>SUMIFS(Datos!$F:$F,Datos!$A:$A,$B20,Datos!$B:$B,LV$3)</f>
        <v>0</v>
      </c>
      <c r="LW20" s="16">
        <f>SUMIFS(Datos!$F:$F,Datos!$A:$A,$B20,Datos!$B:$B,LW$3)</f>
        <v>0</v>
      </c>
      <c r="LX20" s="16">
        <f>SUMIFS(Datos!$F:$F,Datos!$A:$A,$B20,Datos!$B:$B,LX$3)</f>
        <v>0</v>
      </c>
      <c r="LY20" s="16">
        <f>SUMIFS(Datos!$F:$F,Datos!$A:$A,$B20,Datos!$B:$B,LY$3)</f>
        <v>0</v>
      </c>
      <c r="LZ20" s="16">
        <f>SUMIFS(Datos!$F:$F,Datos!$A:$A,$B20,Datos!$B:$B,LZ$3)</f>
        <v>0</v>
      </c>
      <c r="MA20" s="16">
        <f>SUMIFS(Datos!$F:$F,Datos!$A:$A,$B20,Datos!$B:$B,MA$3)</f>
        <v>0</v>
      </c>
      <c r="MB20" s="16">
        <f>SUMIFS(Datos!$F:$F,Datos!$A:$A,$B20,Datos!$B:$B,MB$3)</f>
        <v>0</v>
      </c>
      <c r="MC20" s="16">
        <f>SUMIFS(Datos!$F:$F,Datos!$A:$A,$B20,Datos!$B:$B,MC$3)</f>
        <v>0</v>
      </c>
      <c r="MD20" s="16">
        <f>SUMIFS(Datos!$F:$F,Datos!$A:$A,$B20,Datos!$B:$B,MD$3)</f>
        <v>0</v>
      </c>
      <c r="ME20" s="16">
        <f>SUMIFS(Datos!$F:$F,Datos!$A:$A,$B20,Datos!$B:$B,ME$3)</f>
        <v>0</v>
      </c>
      <c r="MF20" s="16">
        <f>SUMIFS(Datos!$F:$F,Datos!$A:$A,$B20,Datos!$B:$B,MF$3)</f>
        <v>0</v>
      </c>
      <c r="MG20" s="16">
        <f>SUMIFS(Datos!$F:$F,Datos!$A:$A,$B20,Datos!$B:$B,MG$3)</f>
        <v>0</v>
      </c>
      <c r="MH20" s="16">
        <f>SUMIFS(Datos!$F:$F,Datos!$A:$A,$B20,Datos!$B:$B,MH$3)</f>
        <v>0</v>
      </c>
      <c r="MI20" s="16">
        <f>SUMIFS(Datos!$F:$F,Datos!$A:$A,$B20,Datos!$B:$B,MI$3)</f>
        <v>0</v>
      </c>
      <c r="MJ20" s="16">
        <f>SUMIFS(Datos!$F:$F,Datos!$A:$A,$B20,Datos!$B:$B,MJ$3)</f>
        <v>0</v>
      </c>
      <c r="MK20" s="16">
        <f>SUMIFS(Datos!$F:$F,Datos!$A:$A,$B20,Datos!$B:$B,MK$3)</f>
        <v>0</v>
      </c>
      <c r="ML20" s="16">
        <f>SUMIFS(Datos!$F:$F,Datos!$A:$A,$B20,Datos!$B:$B,ML$3)</f>
        <v>0</v>
      </c>
      <c r="MM20" s="16">
        <f>SUMIFS(Datos!$F:$F,Datos!$A:$A,$B20,Datos!$B:$B,MM$3)</f>
        <v>0</v>
      </c>
      <c r="MN20" s="16">
        <f>SUMIFS(Datos!$F:$F,Datos!$A:$A,$B20,Datos!$B:$B,MN$3)</f>
        <v>0</v>
      </c>
      <c r="MO20" s="16">
        <f>SUMIFS(Datos!$F:$F,Datos!$A:$A,$B20,Datos!$B:$B,MO$3)</f>
        <v>0</v>
      </c>
      <c r="MP20" s="16">
        <f>SUMIFS(Datos!$F:$F,Datos!$A:$A,$B20,Datos!$B:$B,MP$3)</f>
        <v>0</v>
      </c>
      <c r="MQ20" s="16">
        <f>SUMIFS(Datos!$F:$F,Datos!$A:$A,$B20,Datos!$B:$B,MQ$3)</f>
        <v>0</v>
      </c>
      <c r="MR20" s="16">
        <f>SUMIFS(Datos!$F:$F,Datos!$A:$A,$B20,Datos!$B:$B,MR$3)</f>
        <v>0</v>
      </c>
      <c r="MS20" s="16">
        <f>SUMIFS(Datos!$F:$F,Datos!$A:$A,$B20,Datos!$B:$B,MS$3)</f>
        <v>0</v>
      </c>
      <c r="MT20" s="16">
        <f>SUMIFS(Datos!$F:$F,Datos!$A:$A,$B20,Datos!$B:$B,MT$3)</f>
        <v>0</v>
      </c>
      <c r="MU20" s="16">
        <f>SUMIFS(Datos!$F:$F,Datos!$A:$A,$B20,Datos!$B:$B,MU$3)</f>
        <v>0</v>
      </c>
      <c r="MV20" s="16">
        <f>SUMIFS(Datos!$F:$F,Datos!$A:$A,$B20,Datos!$B:$B,MV$3)</f>
        <v>0</v>
      </c>
      <c r="MW20" s="16">
        <f>SUMIFS(Datos!$F:$F,Datos!$A:$A,$B20,Datos!$B:$B,MW$3)</f>
        <v>0</v>
      </c>
      <c r="MX20" s="16">
        <f>SUMIFS(Datos!$F:$F,Datos!$A:$A,$B20,Datos!$B:$B,MX$3)</f>
        <v>0</v>
      </c>
      <c r="MY20" s="16">
        <f>SUMIFS(Datos!$F:$F,Datos!$A:$A,$B20,Datos!$B:$B,MY$3)</f>
        <v>0</v>
      </c>
      <c r="MZ20" s="16">
        <f>SUMIFS(Datos!$F:$F,Datos!$A:$A,$B20,Datos!$B:$B,MZ$3)</f>
        <v>0</v>
      </c>
      <c r="NA20" s="16">
        <f>SUMIFS(Datos!$F:$F,Datos!$A:$A,$B20,Datos!$B:$B,NA$3)</f>
        <v>0</v>
      </c>
      <c r="NB20" s="16">
        <f>SUMIFS(Datos!$F:$F,Datos!$A:$A,$B20,Datos!$B:$B,NB$3)</f>
        <v>0</v>
      </c>
      <c r="NC20" s="16">
        <f>SUMIFS(Datos!$F:$F,Datos!$A:$A,$B20,Datos!$B:$B,NC$3)</f>
        <v>0</v>
      </c>
      <c r="ND20" s="16">
        <f>SUMIFS(Datos!$F:$F,Datos!$A:$A,$B20,Datos!$B:$B,ND$3)</f>
        <v>0</v>
      </c>
      <c r="NE20" s="16">
        <f>SUMIFS(Datos!$F:$F,Datos!$A:$A,$B20,Datos!$B:$B,NE$3)</f>
        <v>0</v>
      </c>
      <c r="NF20" s="16">
        <f>SUMIFS(Datos!$F:$F,Datos!$A:$A,$B20,Datos!$B:$B,NF$3)</f>
        <v>0</v>
      </c>
      <c r="NG20" s="16">
        <f>SUMIFS(Datos!$F:$F,Datos!$A:$A,$B20,Datos!$B:$B,NG$3)</f>
        <v>0</v>
      </c>
      <c r="NH20" s="16">
        <f>SUMIFS(Datos!$F:$F,Datos!$A:$A,$B20,Datos!$B:$B,NH$3)</f>
        <v>0</v>
      </c>
      <c r="NI20" s="16">
        <f>SUMIFS(Datos!$F:$F,Datos!$A:$A,$B20,Datos!$B:$B,NI$3)</f>
        <v>0</v>
      </c>
      <c r="NJ20" s="16">
        <f>SUMIFS(Datos!$F:$F,Datos!$A:$A,$B20,Datos!$B:$B,NJ$3)</f>
        <v>0</v>
      </c>
      <c r="NK20" s="16">
        <f>SUMIFS(Datos!$F:$F,Datos!$A:$A,$B20,Datos!$B:$B,NK$3)</f>
        <v>0</v>
      </c>
      <c r="NL20" s="16">
        <f>SUMIFS(Datos!$F:$F,Datos!$A:$A,$B20,Datos!$B:$B,NL$3)</f>
        <v>0</v>
      </c>
      <c r="NM20" s="16">
        <f>SUMIFS(Datos!$F:$F,Datos!$A:$A,$B20,Datos!$B:$B,NM$3)</f>
        <v>0</v>
      </c>
      <c r="NN20" s="16">
        <f>SUMIFS(Datos!$F:$F,Datos!$A:$A,$B20,Datos!$B:$B,NN$3)</f>
        <v>0</v>
      </c>
      <c r="NO20" s="16">
        <f>SUMIFS(Datos!$F:$F,Datos!$A:$A,$B20,Datos!$B:$B,NO$3)</f>
        <v>0</v>
      </c>
      <c r="NP20" s="16">
        <f>SUMIFS(Datos!$F:$F,Datos!$A:$A,$B20,Datos!$B:$B,NP$3)</f>
        <v>0</v>
      </c>
      <c r="NQ20" s="16">
        <f>SUMIFS(Datos!$F:$F,Datos!$A:$A,$B20,Datos!$B:$B,NQ$3)</f>
        <v>0</v>
      </c>
      <c r="NR20" s="16">
        <f>SUMIFS(Datos!$F:$F,Datos!$A:$A,$B20,Datos!$B:$B,NR$3)</f>
        <v>0</v>
      </c>
      <c r="NS20" s="16">
        <f>SUMIFS(Datos!$F:$F,Datos!$A:$A,$B20,Datos!$B:$B,NS$3)</f>
        <v>0</v>
      </c>
      <c r="NT20" s="16">
        <f>SUMIFS(Datos!$F:$F,Datos!$A:$A,$B20,Datos!$B:$B,NT$3)</f>
        <v>0</v>
      </c>
      <c r="NU20" s="16">
        <f>SUMIFS(Datos!$F:$F,Datos!$A:$A,$B20,Datos!$B:$B,NU$3)</f>
        <v>0</v>
      </c>
      <c r="NV20" s="16">
        <f>SUMIFS(Datos!$F:$F,Datos!$A:$A,$B20,Datos!$B:$B,NV$3)</f>
        <v>0</v>
      </c>
      <c r="NW20" s="16">
        <f>SUMIFS(Datos!$F:$F,Datos!$A:$A,$B20,Datos!$B:$B,NW$3)</f>
        <v>0</v>
      </c>
      <c r="NX20" s="16">
        <f>SUMIFS(Datos!$F:$F,Datos!$A:$A,$B20,Datos!$B:$B,NX$3)</f>
        <v>0</v>
      </c>
      <c r="NY20" s="16">
        <f>SUMIFS(Datos!$F:$F,Datos!$A:$A,$B20,Datos!$B:$B,NY$3)</f>
        <v>0</v>
      </c>
      <c r="NZ20" s="16">
        <f>SUMIFS(Datos!$F:$F,Datos!$A:$A,$B20,Datos!$B:$B,NZ$3)</f>
        <v>0</v>
      </c>
      <c r="OA20" s="16">
        <f>SUMIFS(Datos!$F:$F,Datos!$A:$A,$B20,Datos!$B:$B,OA$3)</f>
        <v>0</v>
      </c>
      <c r="OB20" s="16">
        <f>SUMIFS(Datos!$F:$F,Datos!$A:$A,$B20,Datos!$B:$B,OB$3)</f>
        <v>0</v>
      </c>
      <c r="OC20" s="16">
        <f>SUMIFS(Datos!$F:$F,Datos!$A:$A,$B20,Datos!$B:$B,OC$3)</f>
        <v>0</v>
      </c>
      <c r="OD20" s="16">
        <f>SUMIFS(Datos!$F:$F,Datos!$A:$A,$B20,Datos!$B:$B,OD$3)</f>
        <v>0</v>
      </c>
      <c r="OE20" s="16">
        <f>SUMIFS(Datos!$F:$F,Datos!$A:$A,$B20,Datos!$B:$B,OE$3)</f>
        <v>0</v>
      </c>
      <c r="OF20" s="16">
        <f>SUMIFS(Datos!$F:$F,Datos!$A:$A,$B20,Datos!$B:$B,OF$3)</f>
        <v>0</v>
      </c>
      <c r="OG20" s="16">
        <f>SUMIFS(Datos!$F:$F,Datos!$A:$A,$B20,Datos!$B:$B,OG$3)</f>
        <v>0</v>
      </c>
      <c r="OH20" s="16">
        <f>SUMIFS(Datos!$F:$F,Datos!$A:$A,$B20,Datos!$B:$B,OH$3)</f>
        <v>0</v>
      </c>
      <c r="OI20" s="16">
        <f>SUMIFS(Datos!$F:$F,Datos!$A:$A,$B20,Datos!$B:$B,OI$3)</f>
        <v>0</v>
      </c>
      <c r="OJ20" s="16">
        <f>SUMIFS(Datos!$F:$F,Datos!$A:$A,$B20,Datos!$B:$B,OJ$3)</f>
        <v>0</v>
      </c>
      <c r="OK20" s="16">
        <f>SUMIFS(Datos!$F:$F,Datos!$A:$A,$B20,Datos!$B:$B,OK$3)</f>
        <v>0</v>
      </c>
      <c r="OL20" s="16">
        <f>SUMIFS(Datos!$F:$F,Datos!$A:$A,$B20,Datos!$B:$B,OL$3)</f>
        <v>0</v>
      </c>
      <c r="OM20" s="16">
        <f>SUMIFS(Datos!$F:$F,Datos!$A:$A,$B20,Datos!$B:$B,OM$3)</f>
        <v>0</v>
      </c>
      <c r="ON20" s="16">
        <f>SUMIFS(Datos!$F:$F,Datos!$A:$A,$B20,Datos!$B:$B,ON$3)</f>
        <v>0</v>
      </c>
      <c r="OO20" s="16">
        <f>SUMIFS(Datos!$F:$F,Datos!$A:$A,$B20,Datos!$B:$B,OO$3)</f>
        <v>0</v>
      </c>
      <c r="OP20" s="16">
        <f>SUMIFS(Datos!$F:$F,Datos!$A:$A,$B20,Datos!$B:$B,OP$3)</f>
        <v>0</v>
      </c>
      <c r="OQ20" s="16">
        <f>SUMIFS(Datos!$F:$F,Datos!$A:$A,$B20,Datos!$B:$B,OQ$3)</f>
        <v>0</v>
      </c>
      <c r="OR20" s="16">
        <f>SUMIFS(Datos!$F:$F,Datos!$A:$A,$B20,Datos!$B:$B,OR$3)</f>
        <v>0</v>
      </c>
      <c r="OS20" s="16">
        <f>SUMIFS(Datos!$F:$F,Datos!$A:$A,$B20,Datos!$B:$B,OS$3)</f>
        <v>0</v>
      </c>
      <c r="OT20" s="16">
        <f>SUMIFS(Datos!$F:$F,Datos!$A:$A,$B20,Datos!$B:$B,OT$3)</f>
        <v>0</v>
      </c>
      <c r="OU20" s="16">
        <f>SUMIFS(Datos!$F:$F,Datos!$A:$A,$B20,Datos!$B:$B,OU$3)</f>
        <v>0</v>
      </c>
      <c r="OV20" s="16">
        <f>SUMIFS(Datos!$F:$F,Datos!$A:$A,$B20,Datos!$B:$B,OV$3)</f>
        <v>0</v>
      </c>
      <c r="OW20" s="16">
        <f>SUMIFS(Datos!$F:$F,Datos!$A:$A,$B20,Datos!$B:$B,OW$3)</f>
        <v>0</v>
      </c>
      <c r="OX20" s="16">
        <f>SUMIFS(Datos!$F:$F,Datos!$A:$A,$B20,Datos!$B:$B,OX$3)</f>
        <v>0</v>
      </c>
      <c r="OY20" s="16">
        <f>SUMIFS(Datos!$F:$F,Datos!$A:$A,$B20,Datos!$B:$B,OY$3)</f>
        <v>0</v>
      </c>
      <c r="OZ20" s="16">
        <f>SUMIFS(Datos!$F:$F,Datos!$A:$A,$B20,Datos!$B:$B,OZ$3)</f>
        <v>0</v>
      </c>
      <c r="PA20" s="16">
        <f>SUMIFS(Datos!$F:$F,Datos!$A:$A,$B20,Datos!$B:$B,PA$3)</f>
        <v>0</v>
      </c>
      <c r="PB20" s="16">
        <f>SUMIFS(Datos!$F:$F,Datos!$A:$A,$B20,Datos!$B:$B,PB$3)</f>
        <v>0</v>
      </c>
      <c r="PC20" s="16">
        <f>SUMIFS(Datos!$F:$F,Datos!$A:$A,$B20,Datos!$B:$B,PC$3)</f>
        <v>0</v>
      </c>
      <c r="PD20" s="16">
        <f>SUMIFS(Datos!$F:$F,Datos!$A:$A,$B20,Datos!$B:$B,PD$3)</f>
        <v>0</v>
      </c>
      <c r="PE20" s="16">
        <f>SUMIFS(Datos!$F:$F,Datos!$A:$A,$B20,Datos!$B:$B,PE$3)</f>
        <v>0</v>
      </c>
      <c r="PF20" s="16">
        <f>SUMIFS(Datos!$F:$F,Datos!$A:$A,$B20,Datos!$B:$B,PF$3)</f>
        <v>0</v>
      </c>
      <c r="PG20" s="16">
        <f>SUMIFS(Datos!$F:$F,Datos!$A:$A,$B20,Datos!$B:$B,PG$3)</f>
        <v>0</v>
      </c>
      <c r="PH20" s="16">
        <f>SUMIFS(Datos!$F:$F,Datos!$A:$A,$B20,Datos!$B:$B,PH$3)</f>
        <v>0</v>
      </c>
      <c r="PI20" s="16">
        <f>SUMIFS(Datos!$F:$F,Datos!$A:$A,$B20,Datos!$B:$B,PI$3)</f>
        <v>0</v>
      </c>
      <c r="PJ20" s="16">
        <f>SUMIFS(Datos!$F:$F,Datos!$A:$A,$B20,Datos!$B:$B,PJ$3)</f>
        <v>0</v>
      </c>
      <c r="PK20" s="16">
        <f>SUMIFS(Datos!$F:$F,Datos!$A:$A,$B20,Datos!$B:$B,PK$3)</f>
        <v>0</v>
      </c>
      <c r="PL20" s="16">
        <f>SUMIFS(Datos!$F:$F,Datos!$A:$A,$B20,Datos!$B:$B,PL$3)</f>
        <v>0</v>
      </c>
      <c r="PM20" s="16">
        <f>SUMIFS(Datos!$F:$F,Datos!$A:$A,$B20,Datos!$B:$B,PM$3)</f>
        <v>0</v>
      </c>
      <c r="PN20" s="16">
        <f>SUMIFS(Datos!$F:$F,Datos!$A:$A,$B20,Datos!$B:$B,PN$3)</f>
        <v>0</v>
      </c>
      <c r="PO20" s="16">
        <f>SUMIFS(Datos!$F:$F,Datos!$A:$A,$B20,Datos!$B:$B,PO$3)</f>
        <v>0</v>
      </c>
      <c r="PP20" s="16">
        <f>SUMIFS(Datos!$F:$F,Datos!$A:$A,$B20,Datos!$B:$B,PP$3)</f>
        <v>0</v>
      </c>
      <c r="PQ20" s="16">
        <f>SUMIFS(Datos!$F:$F,Datos!$A:$A,$B20,Datos!$B:$B,PQ$3)</f>
        <v>0</v>
      </c>
      <c r="PR20" s="16">
        <f>SUMIFS(Datos!$F:$F,Datos!$A:$A,$B20,Datos!$B:$B,PR$3)</f>
        <v>0</v>
      </c>
      <c r="PS20" s="16">
        <f>SUMIFS(Datos!$F:$F,Datos!$A:$A,$B20,Datos!$B:$B,PS$3)</f>
        <v>0</v>
      </c>
      <c r="PT20" s="16">
        <f>SUMIFS(Datos!$F:$F,Datos!$A:$A,$B20,Datos!$B:$B,PT$3)</f>
        <v>0</v>
      </c>
      <c r="PU20" s="16">
        <f>SUMIFS(Datos!$F:$F,Datos!$A:$A,$B20,Datos!$B:$B,PU$3)</f>
        <v>0</v>
      </c>
      <c r="PV20" s="16">
        <f>SUMIFS(Datos!$F:$F,Datos!$A:$A,$B20,Datos!$B:$B,PV$3)</f>
        <v>0</v>
      </c>
      <c r="PW20" s="16">
        <f>SUMIFS(Datos!$F:$F,Datos!$A:$A,$B20,Datos!$B:$B,PW$3)</f>
        <v>0</v>
      </c>
      <c r="PX20" s="16">
        <f>SUMIFS(Datos!$F:$F,Datos!$A:$A,$B20,Datos!$B:$B,PX$3)</f>
        <v>0</v>
      </c>
      <c r="PY20" s="16">
        <f>SUMIFS(Datos!$F:$F,Datos!$A:$A,$B20,Datos!$B:$B,PY$3)</f>
        <v>0</v>
      </c>
      <c r="PZ20" s="16">
        <f>SUMIFS(Datos!$F:$F,Datos!$A:$A,$B20,Datos!$B:$B,PZ$3)</f>
        <v>0</v>
      </c>
      <c r="QA20" s="16">
        <f>SUMIFS(Datos!$F:$F,Datos!$A:$A,$B20,Datos!$B:$B,QA$3)</f>
        <v>0</v>
      </c>
      <c r="QB20" s="16">
        <f>SUMIFS(Datos!$F:$F,Datos!$A:$A,$B20,Datos!$B:$B,QB$3)</f>
        <v>0</v>
      </c>
      <c r="QC20" s="16">
        <f>SUMIFS(Datos!$F:$F,Datos!$A:$A,$B20,Datos!$B:$B,QC$3)</f>
        <v>0</v>
      </c>
      <c r="QD20" s="16">
        <f>SUMIFS(Datos!$F:$F,Datos!$A:$A,$B20,Datos!$B:$B,QD$3)</f>
        <v>0</v>
      </c>
      <c r="QE20" s="16">
        <f>SUMIFS(Datos!$F:$F,Datos!$A:$A,$B20,Datos!$B:$B,QE$3)</f>
        <v>0</v>
      </c>
      <c r="QF20" s="16">
        <f>SUMIFS(Datos!$F:$F,Datos!$A:$A,$B20,Datos!$B:$B,QF$3)</f>
        <v>0</v>
      </c>
      <c r="QG20" s="16">
        <f>SUMIFS(Datos!$F:$F,Datos!$A:$A,$B20,Datos!$B:$B,QG$3)</f>
        <v>0</v>
      </c>
      <c r="QH20" s="16">
        <f>SUMIFS(Datos!$F:$F,Datos!$A:$A,$B20,Datos!$B:$B,QH$3)</f>
        <v>0</v>
      </c>
      <c r="QI20" s="16">
        <f>SUMIFS(Datos!$F:$F,Datos!$A:$A,$B20,Datos!$B:$B,QI$3)</f>
        <v>0</v>
      </c>
      <c r="QJ20" s="16">
        <f>SUMIFS(Datos!$F:$F,Datos!$A:$A,$B20,Datos!$B:$B,QJ$3)</f>
        <v>0</v>
      </c>
      <c r="QK20" s="16">
        <f>SUMIFS(Datos!$F:$F,Datos!$A:$A,$B20,Datos!$B:$B,QK$3)</f>
        <v>0</v>
      </c>
      <c r="QL20" s="16">
        <f>SUMIFS(Datos!$F:$F,Datos!$A:$A,$B20,Datos!$B:$B,QL$3)</f>
        <v>0</v>
      </c>
      <c r="QM20" s="16">
        <f>SUMIFS(Datos!$F:$F,Datos!$A:$A,$B20,Datos!$B:$B,QM$3)</f>
        <v>0</v>
      </c>
      <c r="QN20" s="16">
        <f>SUMIFS(Datos!$F:$F,Datos!$A:$A,$B20,Datos!$B:$B,QN$3)</f>
        <v>0</v>
      </c>
      <c r="QO20" s="16">
        <f>SUMIFS(Datos!$F:$F,Datos!$A:$A,$B20,Datos!$B:$B,QO$3)</f>
        <v>0</v>
      </c>
      <c r="QP20" s="16">
        <f>SUMIFS(Datos!$F:$F,Datos!$A:$A,$B20,Datos!$B:$B,QP$3)</f>
        <v>0</v>
      </c>
      <c r="QQ20" s="16">
        <f>SUMIFS(Datos!$F:$F,Datos!$A:$A,$B20,Datos!$B:$B,QQ$3)</f>
        <v>0</v>
      </c>
      <c r="QR20" s="16">
        <f>SUMIFS(Datos!$F:$F,Datos!$A:$A,$B20,Datos!$B:$B,QR$3)</f>
        <v>0</v>
      </c>
      <c r="QS20" s="16">
        <f>SUMIFS(Datos!$F:$F,Datos!$A:$A,$B20,Datos!$B:$B,QS$3)</f>
        <v>0</v>
      </c>
      <c r="QT20" s="16">
        <f>SUMIFS(Datos!$F:$F,Datos!$A:$A,$B20,Datos!$B:$B,QT$3)</f>
        <v>0</v>
      </c>
      <c r="QU20" s="16">
        <f>SUMIFS(Datos!$F:$F,Datos!$A:$A,$B20,Datos!$B:$B,QU$3)</f>
        <v>0</v>
      </c>
      <c r="QV20" s="16">
        <f>SUMIFS(Datos!$F:$F,Datos!$A:$A,$B20,Datos!$B:$B,QV$3)</f>
        <v>0</v>
      </c>
      <c r="QW20" s="16">
        <f>SUMIFS(Datos!$F:$F,Datos!$A:$A,$B20,Datos!$B:$B,QW$3)</f>
        <v>0</v>
      </c>
      <c r="QX20" s="16">
        <f>SUMIFS(Datos!$F:$F,Datos!$A:$A,$B20,Datos!$B:$B,QX$3)</f>
        <v>0</v>
      </c>
      <c r="QY20" s="16">
        <f>SUMIFS(Datos!$F:$F,Datos!$A:$A,$B20,Datos!$B:$B,QY$3)</f>
        <v>0</v>
      </c>
      <c r="QZ20" s="16">
        <f>SUMIFS(Datos!$F:$F,Datos!$A:$A,$B20,Datos!$B:$B,QZ$3)</f>
        <v>0</v>
      </c>
      <c r="RA20" s="16">
        <f>SUMIFS(Datos!$F:$F,Datos!$A:$A,$B20,Datos!$B:$B,RA$3)</f>
        <v>0</v>
      </c>
      <c r="RB20" s="16">
        <f>SUMIFS(Datos!$F:$F,Datos!$A:$A,$B20,Datos!$B:$B,RB$3)</f>
        <v>0</v>
      </c>
      <c r="RC20" s="16">
        <f>SUMIFS(Datos!$F:$F,Datos!$A:$A,$B20,Datos!$B:$B,RC$3)</f>
        <v>0</v>
      </c>
      <c r="RD20" s="16">
        <f>SUMIFS(Datos!$F:$F,Datos!$A:$A,$B20,Datos!$B:$B,RD$3)</f>
        <v>0</v>
      </c>
      <c r="RE20" s="16">
        <f>SUMIFS(Datos!$F:$F,Datos!$A:$A,$B20,Datos!$B:$B,RE$3)</f>
        <v>0</v>
      </c>
      <c r="RF20" s="16">
        <f>SUMIFS(Datos!$F:$F,Datos!$A:$A,$B20,Datos!$B:$B,RF$3)</f>
        <v>0</v>
      </c>
      <c r="RG20" s="16">
        <f>SUMIFS(Datos!$F:$F,Datos!$A:$A,$B20,Datos!$B:$B,RG$3)</f>
        <v>0</v>
      </c>
      <c r="RH20" s="16">
        <f>SUMIFS(Datos!$F:$F,Datos!$A:$A,$B20,Datos!$B:$B,RH$3)</f>
        <v>0</v>
      </c>
      <c r="RI20" s="16">
        <f>SUMIFS(Datos!$F:$F,Datos!$A:$A,$B20,Datos!$B:$B,RI$3)</f>
        <v>0</v>
      </c>
      <c r="RJ20" s="16">
        <f>SUMIFS(Datos!$F:$F,Datos!$A:$A,$B20,Datos!$B:$B,RJ$3)</f>
        <v>0</v>
      </c>
      <c r="RK20" s="16">
        <f>SUMIFS(Datos!$F:$F,Datos!$A:$A,$B20,Datos!$B:$B,RK$3)</f>
        <v>0</v>
      </c>
      <c r="RL20" s="16">
        <f>SUMIFS(Datos!$F:$F,Datos!$A:$A,$B20,Datos!$B:$B,RL$3)</f>
        <v>0</v>
      </c>
      <c r="RM20" s="16">
        <f>SUMIFS(Datos!$F:$F,Datos!$A:$A,$B20,Datos!$B:$B,RM$3)</f>
        <v>0</v>
      </c>
      <c r="RN20" s="16">
        <f>SUMIFS(Datos!$F:$F,Datos!$A:$A,$B20,Datos!$B:$B,RN$3)</f>
        <v>0</v>
      </c>
      <c r="RO20" s="16">
        <f>SUMIFS(Datos!$F:$F,Datos!$A:$A,$B20,Datos!$B:$B,RO$3)</f>
        <v>0</v>
      </c>
      <c r="RP20" s="16">
        <f>SUMIFS(Datos!$F:$F,Datos!$A:$A,$B20,Datos!$B:$B,RP$3)</f>
        <v>0</v>
      </c>
      <c r="RQ20" s="16">
        <f>SUMIFS(Datos!$F:$F,Datos!$A:$A,$B20,Datos!$B:$B,RQ$3)</f>
        <v>0</v>
      </c>
      <c r="RR20" s="16">
        <f>SUMIFS(Datos!$F:$F,Datos!$A:$A,$B20,Datos!$B:$B,RR$3)</f>
        <v>0</v>
      </c>
      <c r="RS20" s="16">
        <f>SUMIFS(Datos!$F:$F,Datos!$A:$A,$B20,Datos!$B:$B,RS$3)</f>
        <v>0</v>
      </c>
      <c r="RT20" s="16">
        <f>SUMIFS(Datos!$F:$F,Datos!$A:$A,$B20,Datos!$B:$B,RT$3)</f>
        <v>0</v>
      </c>
      <c r="RU20" s="16">
        <f>SUMIFS(Datos!$F:$F,Datos!$A:$A,$B20,Datos!$B:$B,RU$3)</f>
        <v>0</v>
      </c>
      <c r="RV20" s="16">
        <f>SUMIFS(Datos!$F:$F,Datos!$A:$A,$B20,Datos!$B:$B,RV$3)</f>
        <v>0</v>
      </c>
      <c r="RW20" s="16">
        <f>SUMIFS(Datos!$F:$F,Datos!$A:$A,$B20,Datos!$B:$B,RW$3)</f>
        <v>0</v>
      </c>
      <c r="RX20" s="16">
        <f>SUMIFS(Datos!$F:$F,Datos!$A:$A,$B20,Datos!$B:$B,RX$3)</f>
        <v>0</v>
      </c>
      <c r="RY20" s="16">
        <f>SUMIFS(Datos!$F:$F,Datos!$A:$A,$B20,Datos!$B:$B,RY$3)</f>
        <v>0</v>
      </c>
      <c r="RZ20" s="16">
        <f>SUMIFS(Datos!$F:$F,Datos!$A:$A,$B20,Datos!$B:$B,RZ$3)</f>
        <v>0</v>
      </c>
      <c r="SA20" s="16">
        <f>SUMIFS(Datos!$F:$F,Datos!$A:$A,$B20,Datos!$B:$B,SA$3)</f>
        <v>0</v>
      </c>
      <c r="SB20" s="16">
        <f>SUMIFS(Datos!$F:$F,Datos!$A:$A,$B20,Datos!$B:$B,SB$3)</f>
        <v>0</v>
      </c>
      <c r="SC20" s="16">
        <f>SUMIFS(Datos!$F:$F,Datos!$A:$A,$B20,Datos!$B:$B,SC$3)</f>
        <v>0</v>
      </c>
      <c r="SD20" s="16">
        <f>SUMIFS(Datos!$F:$F,Datos!$A:$A,$B20,Datos!$B:$B,SD$3)</f>
        <v>0</v>
      </c>
      <c r="SE20" s="16">
        <f>SUMIFS(Datos!$F:$F,Datos!$A:$A,$B20,Datos!$B:$B,SE$3)</f>
        <v>0</v>
      </c>
      <c r="SF20" s="16">
        <f>SUMIFS(Datos!$F:$F,Datos!$A:$A,$B20,Datos!$B:$B,SF$3)</f>
        <v>0</v>
      </c>
      <c r="SG20" s="16">
        <f>SUMIFS(Datos!$F:$F,Datos!$A:$A,$B20,Datos!$B:$B,SG$3)</f>
        <v>0</v>
      </c>
      <c r="SH20" s="16">
        <f>SUMIFS(Datos!$F:$F,Datos!$A:$A,$B20,Datos!$B:$B,SH$3)</f>
        <v>0</v>
      </c>
      <c r="SI20" s="16">
        <f>SUMIFS(Datos!$F:$F,Datos!$A:$A,$B20,Datos!$B:$B,SI$3)</f>
        <v>0</v>
      </c>
      <c r="SJ20" s="16">
        <f>SUMIFS(Datos!$F:$F,Datos!$A:$A,$B20,Datos!$B:$B,SJ$3)</f>
        <v>0</v>
      </c>
      <c r="SK20" s="16">
        <f>SUMIFS(Datos!$F:$F,Datos!$A:$A,$B20,Datos!$B:$B,SK$3)</f>
        <v>0</v>
      </c>
      <c r="SL20" s="16">
        <f>SUMIFS(Datos!$F:$F,Datos!$A:$A,$B20,Datos!$B:$B,SL$3)</f>
        <v>0</v>
      </c>
      <c r="SM20" s="16">
        <f>SUMIFS(Datos!$F:$F,Datos!$A:$A,$B20,Datos!$B:$B,SM$3)</f>
        <v>0</v>
      </c>
      <c r="SN20" s="16">
        <f>SUMIFS(Datos!$F:$F,Datos!$A:$A,$B20,Datos!$B:$B,SN$3)</f>
        <v>0</v>
      </c>
      <c r="SO20" s="16">
        <f>SUMIFS(Datos!$F:$F,Datos!$A:$A,$B20,Datos!$B:$B,SO$3)</f>
        <v>0</v>
      </c>
      <c r="SP20" s="16">
        <f>SUMIFS(Datos!$F:$F,Datos!$A:$A,$B20,Datos!$B:$B,SP$3)</f>
        <v>0</v>
      </c>
      <c r="SQ20" s="16">
        <f>SUMIFS(Datos!$F:$F,Datos!$A:$A,$B20,Datos!$B:$B,SQ$3)</f>
        <v>0</v>
      </c>
      <c r="SR20" s="16">
        <f>SUMIFS(Datos!$F:$F,Datos!$A:$A,$B20,Datos!$B:$B,SR$3)</f>
        <v>0</v>
      </c>
      <c r="SS20" s="16">
        <f>SUMIFS(Datos!$F:$F,Datos!$A:$A,$B20,Datos!$B:$B,SS$3)</f>
        <v>0</v>
      </c>
      <c r="ST20" s="16">
        <f>SUMIFS(Datos!$F:$F,Datos!$A:$A,$B20,Datos!$B:$B,ST$3)</f>
        <v>0</v>
      </c>
      <c r="SU20" s="16">
        <f>SUMIFS(Datos!$F:$F,Datos!$A:$A,$B20,Datos!$B:$B,SU$3)</f>
        <v>0</v>
      </c>
      <c r="SV20" s="16">
        <f>SUMIFS(Datos!$F:$F,Datos!$A:$A,$B20,Datos!$B:$B,SV$3)</f>
        <v>0</v>
      </c>
      <c r="SW20" s="16">
        <f>SUMIFS(Datos!$F:$F,Datos!$A:$A,$B20,Datos!$B:$B,SW$3)</f>
        <v>0</v>
      </c>
      <c r="SX20" s="16">
        <f>SUMIFS(Datos!$F:$F,Datos!$A:$A,$B20,Datos!$B:$B,SX$3)</f>
        <v>0</v>
      </c>
      <c r="SY20" s="16">
        <f>SUMIFS(Datos!$F:$F,Datos!$A:$A,$B20,Datos!$B:$B,SY$3)</f>
        <v>0</v>
      </c>
      <c r="SZ20" s="16">
        <f>SUMIFS(Datos!$F:$F,Datos!$A:$A,$B20,Datos!$B:$B,SZ$3)</f>
        <v>0</v>
      </c>
      <c r="TA20" s="16">
        <f>SUMIFS(Datos!$F:$F,Datos!$A:$A,$B20,Datos!$B:$B,TA$3)</f>
        <v>0</v>
      </c>
      <c r="TB20" s="16">
        <f>SUMIFS(Datos!$F:$F,Datos!$A:$A,$B20,Datos!$B:$B,TB$3)</f>
        <v>0</v>
      </c>
      <c r="TC20" s="16">
        <f>SUMIFS(Datos!$F:$F,Datos!$A:$A,$B20,Datos!$B:$B,TC$3)</f>
        <v>0</v>
      </c>
      <c r="TD20" s="16">
        <f>SUMIFS(Datos!$F:$F,Datos!$A:$A,$B20,Datos!$B:$B,TD$3)</f>
        <v>0</v>
      </c>
      <c r="TE20" s="16">
        <f>SUMIFS(Datos!$F:$F,Datos!$A:$A,$B20,Datos!$B:$B,TE$3)</f>
        <v>0</v>
      </c>
      <c r="TF20" s="16">
        <f>SUMIFS(Datos!$F:$F,Datos!$A:$A,$B20,Datos!$B:$B,TF$3)</f>
        <v>0</v>
      </c>
    </row>
    <row r="21" spans="1:526">
      <c r="A21" s="31" t="s">
        <v>48</v>
      </c>
      <c r="B21" s="4">
        <f>Cartera!B21</f>
        <v>0</v>
      </c>
      <c r="C21" s="4">
        <f>Cartera!C21</f>
        <v>0</v>
      </c>
      <c r="D21" s="16">
        <f>SUMIFS(Datos!$F:$F,Datos!$A:$A,$B21,Datos!$B:$B,D$3)</f>
        <v>0</v>
      </c>
      <c r="E21" s="16">
        <f>SUMIFS(Datos!$F:$F,Datos!$A:$A,$B21,Datos!$B:$B,E$3)</f>
        <v>0</v>
      </c>
      <c r="F21" s="16">
        <f>SUMIFS(Datos!$F:$F,Datos!$A:$A,$B21,Datos!$B:$B,F$3)</f>
        <v>0</v>
      </c>
      <c r="G21" s="16">
        <f>SUMIFS(Datos!$F:$F,Datos!$A:$A,$B21,Datos!$B:$B,G$3)</f>
        <v>0</v>
      </c>
      <c r="H21" s="16">
        <f>SUMIFS(Datos!$F:$F,Datos!$A:$A,$B21,Datos!$B:$B,H$3)</f>
        <v>0</v>
      </c>
      <c r="I21" s="16">
        <f>SUMIFS(Datos!$F:$F,Datos!$A:$A,$B21,Datos!$B:$B,I$3)</f>
        <v>0</v>
      </c>
      <c r="J21" s="16">
        <f>SUMIFS(Datos!$F:$F,Datos!$A:$A,$B21,Datos!$B:$B,J$3)</f>
        <v>0</v>
      </c>
      <c r="K21" s="16">
        <f>SUMIFS(Datos!$F:$F,Datos!$A:$A,$B21,Datos!$B:$B,K$3)</f>
        <v>0</v>
      </c>
      <c r="L21" s="16">
        <f>SUMIFS(Datos!$F:$F,Datos!$A:$A,$B21,Datos!$B:$B,L$3)</f>
        <v>0</v>
      </c>
      <c r="M21" s="16">
        <f>SUMIFS(Datos!$F:$F,Datos!$A:$A,$B21,Datos!$B:$B,M$3)</f>
        <v>0</v>
      </c>
      <c r="N21" s="16">
        <f>SUMIFS(Datos!$F:$F,Datos!$A:$A,$B21,Datos!$B:$B,N$3)</f>
        <v>0</v>
      </c>
      <c r="O21" s="16">
        <f>SUMIFS(Datos!$F:$F,Datos!$A:$A,$B21,Datos!$B:$B,O$3)</f>
        <v>0</v>
      </c>
      <c r="P21" s="16">
        <f>SUMIFS(Datos!$F:$F,Datos!$A:$A,$B21,Datos!$B:$B,P$3)</f>
        <v>0</v>
      </c>
      <c r="Q21" s="16">
        <f>SUMIFS(Datos!$F:$F,Datos!$A:$A,$B21,Datos!$B:$B,Q$3)</f>
        <v>0</v>
      </c>
      <c r="R21" s="16">
        <f>SUMIFS(Datos!$F:$F,Datos!$A:$A,$B21,Datos!$B:$B,R$3)</f>
        <v>0</v>
      </c>
      <c r="S21" s="16">
        <f>SUMIFS(Datos!$F:$F,Datos!$A:$A,$B21,Datos!$B:$B,S$3)</f>
        <v>0</v>
      </c>
      <c r="T21" s="16">
        <f>SUMIFS(Datos!$F:$F,Datos!$A:$A,$B21,Datos!$B:$B,T$3)</f>
        <v>0</v>
      </c>
      <c r="U21" s="16">
        <f>SUMIFS(Datos!$F:$F,Datos!$A:$A,$B21,Datos!$B:$B,U$3)</f>
        <v>0</v>
      </c>
      <c r="V21" s="16">
        <f>SUMIFS(Datos!$F:$F,Datos!$A:$A,$B21,Datos!$B:$B,V$3)</f>
        <v>0</v>
      </c>
      <c r="W21" s="16">
        <f>SUMIFS(Datos!$F:$F,Datos!$A:$A,$B21,Datos!$B:$B,W$3)</f>
        <v>0</v>
      </c>
      <c r="X21" s="16">
        <f>SUMIFS(Datos!$F:$F,Datos!$A:$A,$B21,Datos!$B:$B,X$3)</f>
        <v>0</v>
      </c>
      <c r="Y21" s="16">
        <f>SUMIFS(Datos!$F:$F,Datos!$A:$A,$B21,Datos!$B:$B,Y$3)</f>
        <v>0</v>
      </c>
      <c r="Z21" s="16">
        <f>SUMIFS(Datos!$F:$F,Datos!$A:$A,$B21,Datos!$B:$B,Z$3)</f>
        <v>0</v>
      </c>
      <c r="AA21" s="16">
        <f>SUMIFS(Datos!$F:$F,Datos!$A:$A,$B21,Datos!$B:$B,AA$3)</f>
        <v>0</v>
      </c>
      <c r="AB21" s="16">
        <f>SUMIFS(Datos!$F:$F,Datos!$A:$A,$B21,Datos!$B:$B,AB$3)</f>
        <v>0</v>
      </c>
      <c r="AC21" s="16">
        <f>SUMIFS(Datos!$F:$F,Datos!$A:$A,$B21,Datos!$B:$B,AC$3)</f>
        <v>0</v>
      </c>
      <c r="AD21" s="16">
        <f>SUMIFS(Datos!$F:$F,Datos!$A:$A,$B21,Datos!$B:$B,AD$3)</f>
        <v>0</v>
      </c>
      <c r="AE21" s="16">
        <f>SUMIFS(Datos!$F:$F,Datos!$A:$A,$B21,Datos!$B:$B,AE$3)</f>
        <v>0</v>
      </c>
      <c r="AF21" s="16">
        <f>SUMIFS(Datos!$F:$F,Datos!$A:$A,$B21,Datos!$B:$B,AF$3)</f>
        <v>0</v>
      </c>
      <c r="AG21" s="16">
        <f>SUMIFS(Datos!$F:$F,Datos!$A:$A,$B21,Datos!$B:$B,AG$3)</f>
        <v>0</v>
      </c>
      <c r="AH21" s="16">
        <f>SUMIFS(Datos!$F:$F,Datos!$A:$A,$B21,Datos!$B:$B,AH$3)</f>
        <v>0</v>
      </c>
      <c r="AI21" s="16">
        <f>SUMIFS(Datos!$F:$F,Datos!$A:$A,$B21,Datos!$B:$B,AI$3)</f>
        <v>0</v>
      </c>
      <c r="AJ21" s="16">
        <f>SUMIFS(Datos!$F:$F,Datos!$A:$A,$B21,Datos!$B:$B,AJ$3)</f>
        <v>0</v>
      </c>
      <c r="AK21" s="16">
        <f>SUMIFS(Datos!$F:$F,Datos!$A:$A,$B21,Datos!$B:$B,AK$3)</f>
        <v>0</v>
      </c>
      <c r="AL21" s="16">
        <f>SUMIFS(Datos!$F:$F,Datos!$A:$A,$B21,Datos!$B:$B,AL$3)</f>
        <v>0</v>
      </c>
      <c r="AM21" s="16">
        <f>SUMIFS(Datos!$F:$F,Datos!$A:$A,$B21,Datos!$B:$B,AM$3)</f>
        <v>0</v>
      </c>
      <c r="AN21" s="16">
        <f>SUMIFS(Datos!$F:$F,Datos!$A:$A,$B21,Datos!$B:$B,AN$3)</f>
        <v>0</v>
      </c>
      <c r="AO21" s="16">
        <f>SUMIFS(Datos!$F:$F,Datos!$A:$A,$B21,Datos!$B:$B,AO$3)</f>
        <v>0</v>
      </c>
      <c r="AP21" s="16">
        <f>SUMIFS(Datos!$F:$F,Datos!$A:$A,$B21,Datos!$B:$B,AP$3)</f>
        <v>0</v>
      </c>
      <c r="AQ21" s="16">
        <f>SUMIFS(Datos!$F:$F,Datos!$A:$A,$B21,Datos!$B:$B,AQ$3)</f>
        <v>0</v>
      </c>
      <c r="AR21" s="16">
        <f>SUMIFS(Datos!$F:$F,Datos!$A:$A,$B21,Datos!$B:$B,AR$3)</f>
        <v>0</v>
      </c>
      <c r="AS21" s="16">
        <f>SUMIFS(Datos!$F:$F,Datos!$A:$A,$B21,Datos!$B:$B,AS$3)</f>
        <v>0</v>
      </c>
      <c r="AT21" s="16">
        <f>SUMIFS(Datos!$F:$F,Datos!$A:$A,$B21,Datos!$B:$B,AT$3)</f>
        <v>0</v>
      </c>
      <c r="AU21" s="16">
        <f>SUMIFS(Datos!$F:$F,Datos!$A:$A,$B21,Datos!$B:$B,AU$3)</f>
        <v>0</v>
      </c>
      <c r="AV21" s="16">
        <f>SUMIFS(Datos!$F:$F,Datos!$A:$A,$B21,Datos!$B:$B,AV$3)</f>
        <v>0</v>
      </c>
      <c r="AW21" s="16">
        <f>SUMIFS(Datos!$F:$F,Datos!$A:$A,$B21,Datos!$B:$B,AW$3)</f>
        <v>0</v>
      </c>
      <c r="AX21" s="16">
        <f>SUMIFS(Datos!$F:$F,Datos!$A:$A,$B21,Datos!$B:$B,AX$3)</f>
        <v>0</v>
      </c>
      <c r="AY21" s="16">
        <f>SUMIFS(Datos!$F:$F,Datos!$A:$A,$B21,Datos!$B:$B,AY$3)</f>
        <v>0</v>
      </c>
      <c r="AZ21" s="16">
        <f>SUMIFS(Datos!$F:$F,Datos!$A:$A,$B21,Datos!$B:$B,AZ$3)</f>
        <v>0</v>
      </c>
      <c r="BA21" s="16">
        <f>SUMIFS(Datos!$F:$F,Datos!$A:$A,$B21,Datos!$B:$B,BA$3)</f>
        <v>0</v>
      </c>
      <c r="BB21" s="16">
        <f>SUMIFS(Datos!$F:$F,Datos!$A:$A,$B21,Datos!$B:$B,BB$3)</f>
        <v>0</v>
      </c>
      <c r="BC21" s="16">
        <f>SUMIFS(Datos!$F:$F,Datos!$A:$A,$B21,Datos!$B:$B,BC$3)</f>
        <v>0</v>
      </c>
      <c r="BD21" s="16">
        <f>SUMIFS(Datos!$F:$F,Datos!$A:$A,$B21,Datos!$B:$B,BD$3)</f>
        <v>0</v>
      </c>
      <c r="BE21" s="16">
        <f>SUMIFS(Datos!$F:$F,Datos!$A:$A,$B21,Datos!$B:$B,BE$3)</f>
        <v>0</v>
      </c>
      <c r="BF21" s="16">
        <f>SUMIFS(Datos!$F:$F,Datos!$A:$A,$B21,Datos!$B:$B,BF$3)</f>
        <v>0</v>
      </c>
      <c r="BG21" s="16">
        <f>SUMIFS(Datos!$F:$F,Datos!$A:$A,$B21,Datos!$B:$B,BG$3)</f>
        <v>0</v>
      </c>
      <c r="BH21" s="16">
        <f>SUMIFS(Datos!$F:$F,Datos!$A:$A,$B21,Datos!$B:$B,BH$3)</f>
        <v>0</v>
      </c>
      <c r="BI21" s="16">
        <f>SUMIFS(Datos!$F:$F,Datos!$A:$A,$B21,Datos!$B:$B,BI$3)</f>
        <v>0</v>
      </c>
      <c r="BJ21" s="16">
        <f>SUMIFS(Datos!$F:$F,Datos!$A:$A,$B21,Datos!$B:$B,BJ$3)</f>
        <v>0</v>
      </c>
      <c r="BK21" s="16">
        <f>SUMIFS(Datos!$F:$F,Datos!$A:$A,$B21,Datos!$B:$B,BK$3)</f>
        <v>0</v>
      </c>
      <c r="BL21" s="16">
        <f>SUMIFS(Datos!$F:$F,Datos!$A:$A,$B21,Datos!$B:$B,BL$3)</f>
        <v>0</v>
      </c>
      <c r="BM21" s="16">
        <f>SUMIFS(Datos!$F:$F,Datos!$A:$A,$B21,Datos!$B:$B,BM$3)</f>
        <v>0</v>
      </c>
      <c r="BN21" s="16">
        <f>SUMIFS(Datos!$F:$F,Datos!$A:$A,$B21,Datos!$B:$B,BN$3)</f>
        <v>0</v>
      </c>
      <c r="BO21" s="16">
        <f>SUMIFS(Datos!$F:$F,Datos!$A:$A,$B21,Datos!$B:$B,BO$3)</f>
        <v>0</v>
      </c>
      <c r="BP21" s="16">
        <f>SUMIFS(Datos!$F:$F,Datos!$A:$A,$B21,Datos!$B:$B,BP$3)</f>
        <v>0</v>
      </c>
      <c r="BQ21" s="16">
        <f>SUMIFS(Datos!$F:$F,Datos!$A:$A,$B21,Datos!$B:$B,BQ$3)</f>
        <v>0</v>
      </c>
      <c r="BR21" s="16">
        <f>SUMIFS(Datos!$F:$F,Datos!$A:$A,$B21,Datos!$B:$B,BR$3)</f>
        <v>0</v>
      </c>
      <c r="BS21" s="16">
        <f>SUMIFS(Datos!$F:$F,Datos!$A:$A,$B21,Datos!$B:$B,BS$3)</f>
        <v>0</v>
      </c>
      <c r="BT21" s="16">
        <f>SUMIFS(Datos!$F:$F,Datos!$A:$A,$B21,Datos!$B:$B,BT$3)</f>
        <v>0</v>
      </c>
      <c r="BU21" s="16">
        <f>SUMIFS(Datos!$F:$F,Datos!$A:$A,$B21,Datos!$B:$B,BU$3)</f>
        <v>0</v>
      </c>
      <c r="BV21" s="16">
        <f>SUMIFS(Datos!$F:$F,Datos!$A:$A,$B21,Datos!$B:$B,BV$3)</f>
        <v>0</v>
      </c>
      <c r="BW21" s="16">
        <f>SUMIFS(Datos!$F:$F,Datos!$A:$A,$B21,Datos!$B:$B,BW$3)</f>
        <v>0</v>
      </c>
      <c r="BX21" s="16">
        <f>SUMIFS(Datos!$F:$F,Datos!$A:$A,$B21,Datos!$B:$B,BX$3)</f>
        <v>0</v>
      </c>
      <c r="BY21" s="16">
        <f>SUMIFS(Datos!$F:$F,Datos!$A:$A,$B21,Datos!$B:$B,BY$3)</f>
        <v>0</v>
      </c>
      <c r="BZ21" s="16">
        <f>SUMIFS(Datos!$F:$F,Datos!$A:$A,$B21,Datos!$B:$B,BZ$3)</f>
        <v>0</v>
      </c>
      <c r="CA21" s="16">
        <f>SUMIFS(Datos!$F:$F,Datos!$A:$A,$B21,Datos!$B:$B,CA$3)</f>
        <v>0</v>
      </c>
      <c r="CB21" s="16">
        <f>SUMIFS(Datos!$F:$F,Datos!$A:$A,$B21,Datos!$B:$B,CB$3)</f>
        <v>0</v>
      </c>
      <c r="CC21" s="16">
        <f>SUMIFS(Datos!$F:$F,Datos!$A:$A,$B21,Datos!$B:$B,CC$3)</f>
        <v>0</v>
      </c>
      <c r="CD21" s="16">
        <f>SUMIFS(Datos!$F:$F,Datos!$A:$A,$B21,Datos!$B:$B,CD$3)</f>
        <v>0</v>
      </c>
      <c r="CE21" s="16">
        <f>SUMIFS(Datos!$F:$F,Datos!$A:$A,$B21,Datos!$B:$B,CE$3)</f>
        <v>0</v>
      </c>
      <c r="CF21" s="16">
        <f>SUMIFS(Datos!$F:$F,Datos!$A:$A,$B21,Datos!$B:$B,CF$3)</f>
        <v>0</v>
      </c>
      <c r="CG21" s="16">
        <f>SUMIFS(Datos!$F:$F,Datos!$A:$A,$B21,Datos!$B:$B,CG$3)</f>
        <v>0</v>
      </c>
      <c r="CH21" s="16">
        <f>SUMIFS(Datos!$F:$F,Datos!$A:$A,$B21,Datos!$B:$B,CH$3)</f>
        <v>0</v>
      </c>
      <c r="CI21" s="16">
        <f>SUMIFS(Datos!$F:$F,Datos!$A:$A,$B21,Datos!$B:$B,CI$3)</f>
        <v>0</v>
      </c>
      <c r="CJ21" s="16">
        <f>SUMIFS(Datos!$F:$F,Datos!$A:$A,$B21,Datos!$B:$B,CJ$3)</f>
        <v>0</v>
      </c>
      <c r="CK21" s="16">
        <f>SUMIFS(Datos!$F:$F,Datos!$A:$A,$B21,Datos!$B:$B,CK$3)</f>
        <v>0</v>
      </c>
      <c r="CL21" s="16">
        <f>SUMIFS(Datos!$F:$F,Datos!$A:$A,$B21,Datos!$B:$B,CL$3)</f>
        <v>0</v>
      </c>
      <c r="CM21" s="16">
        <f>SUMIFS(Datos!$F:$F,Datos!$A:$A,$B21,Datos!$B:$B,CM$3)</f>
        <v>0</v>
      </c>
      <c r="CN21" s="16">
        <f>SUMIFS(Datos!$F:$F,Datos!$A:$A,$B21,Datos!$B:$B,CN$3)</f>
        <v>0</v>
      </c>
      <c r="CO21" s="16">
        <f>SUMIFS(Datos!$F:$F,Datos!$A:$A,$B21,Datos!$B:$B,CO$3)</f>
        <v>0</v>
      </c>
      <c r="CP21" s="16">
        <f>SUMIFS(Datos!$F:$F,Datos!$A:$A,$B21,Datos!$B:$B,CP$3)</f>
        <v>0</v>
      </c>
      <c r="CQ21" s="16">
        <f>SUMIFS(Datos!$F:$F,Datos!$A:$A,$B21,Datos!$B:$B,CQ$3)</f>
        <v>0</v>
      </c>
      <c r="CR21" s="16">
        <f>SUMIFS(Datos!$F:$F,Datos!$A:$A,$B21,Datos!$B:$B,CR$3)</f>
        <v>0</v>
      </c>
      <c r="CS21" s="16">
        <f>SUMIFS(Datos!$F:$F,Datos!$A:$A,$B21,Datos!$B:$B,CS$3)</f>
        <v>0</v>
      </c>
      <c r="CT21" s="16">
        <f>SUMIFS(Datos!$F:$F,Datos!$A:$A,$B21,Datos!$B:$B,CT$3)</f>
        <v>0</v>
      </c>
      <c r="CU21" s="16">
        <f>SUMIFS(Datos!$F:$F,Datos!$A:$A,$B21,Datos!$B:$B,CU$3)</f>
        <v>0</v>
      </c>
      <c r="CV21" s="16">
        <f>SUMIFS(Datos!$F:$F,Datos!$A:$A,$B21,Datos!$B:$B,CV$3)</f>
        <v>0</v>
      </c>
      <c r="CW21" s="16">
        <f>SUMIFS(Datos!$F:$F,Datos!$A:$A,$B21,Datos!$B:$B,CW$3)</f>
        <v>0</v>
      </c>
      <c r="CX21" s="16">
        <f>SUMIFS(Datos!$F:$F,Datos!$A:$A,$B21,Datos!$B:$B,CX$3)</f>
        <v>0</v>
      </c>
      <c r="CY21" s="16">
        <f>SUMIFS(Datos!$F:$F,Datos!$A:$A,$B21,Datos!$B:$B,CY$3)</f>
        <v>0</v>
      </c>
      <c r="CZ21" s="16">
        <f>SUMIFS(Datos!$F:$F,Datos!$A:$A,$B21,Datos!$B:$B,CZ$3)</f>
        <v>0</v>
      </c>
      <c r="DA21" s="16">
        <f>SUMIFS(Datos!$F:$F,Datos!$A:$A,$B21,Datos!$B:$B,DA$3)</f>
        <v>0</v>
      </c>
      <c r="DB21" s="16">
        <f>SUMIFS(Datos!$F:$F,Datos!$A:$A,$B21,Datos!$B:$B,DB$3)</f>
        <v>0</v>
      </c>
      <c r="DC21" s="16">
        <f>SUMIFS(Datos!$F:$F,Datos!$A:$A,$B21,Datos!$B:$B,DC$3)</f>
        <v>0</v>
      </c>
      <c r="DD21" s="16">
        <f>SUMIFS(Datos!$F:$F,Datos!$A:$A,$B21,Datos!$B:$B,DD$3)</f>
        <v>0</v>
      </c>
      <c r="DE21" s="16">
        <f>SUMIFS(Datos!$F:$F,Datos!$A:$A,$B21,Datos!$B:$B,DE$3)</f>
        <v>0</v>
      </c>
      <c r="DF21" s="16">
        <f>SUMIFS(Datos!$F:$F,Datos!$A:$A,$B21,Datos!$B:$B,DF$3)</f>
        <v>0</v>
      </c>
      <c r="DG21" s="16">
        <f>SUMIFS(Datos!$F:$F,Datos!$A:$A,$B21,Datos!$B:$B,DG$3)</f>
        <v>0</v>
      </c>
      <c r="DH21" s="16">
        <f>SUMIFS(Datos!$F:$F,Datos!$A:$A,$B21,Datos!$B:$B,DH$3)</f>
        <v>0</v>
      </c>
      <c r="DI21" s="16">
        <f>SUMIFS(Datos!$F:$F,Datos!$A:$A,$B21,Datos!$B:$B,DI$3)</f>
        <v>0</v>
      </c>
      <c r="DJ21" s="16">
        <f>SUMIFS(Datos!$F:$F,Datos!$A:$A,$B21,Datos!$B:$B,DJ$3)</f>
        <v>0</v>
      </c>
      <c r="DK21" s="16">
        <f>SUMIFS(Datos!$F:$F,Datos!$A:$A,$B21,Datos!$B:$B,DK$3)</f>
        <v>0</v>
      </c>
      <c r="DL21" s="16">
        <f>SUMIFS(Datos!$F:$F,Datos!$A:$A,$B21,Datos!$B:$B,DL$3)</f>
        <v>0</v>
      </c>
      <c r="DM21" s="16">
        <f>SUMIFS(Datos!$F:$F,Datos!$A:$A,$B21,Datos!$B:$B,DM$3)</f>
        <v>0</v>
      </c>
      <c r="DN21" s="16">
        <f>SUMIFS(Datos!$F:$F,Datos!$A:$A,$B21,Datos!$B:$B,DN$3)</f>
        <v>0</v>
      </c>
      <c r="DO21" s="16">
        <f>SUMIFS(Datos!$F:$F,Datos!$A:$A,$B21,Datos!$B:$B,DO$3)</f>
        <v>0</v>
      </c>
      <c r="DP21" s="16">
        <f>SUMIFS(Datos!$F:$F,Datos!$A:$A,$B21,Datos!$B:$B,DP$3)</f>
        <v>0</v>
      </c>
      <c r="DQ21" s="16">
        <f>SUMIFS(Datos!$F:$F,Datos!$A:$A,$B21,Datos!$B:$B,DQ$3)</f>
        <v>0</v>
      </c>
      <c r="DR21" s="16">
        <f>SUMIFS(Datos!$F:$F,Datos!$A:$A,$B21,Datos!$B:$B,DR$3)</f>
        <v>0</v>
      </c>
      <c r="DS21" s="16">
        <f>SUMIFS(Datos!$F:$F,Datos!$A:$A,$B21,Datos!$B:$B,DS$3)</f>
        <v>0</v>
      </c>
      <c r="DT21" s="16">
        <f>SUMIFS(Datos!$F:$F,Datos!$A:$A,$B21,Datos!$B:$B,DT$3)</f>
        <v>0</v>
      </c>
      <c r="DU21" s="16">
        <f>SUMIFS(Datos!$F:$F,Datos!$A:$A,$B21,Datos!$B:$B,DU$3)</f>
        <v>0</v>
      </c>
      <c r="DV21" s="16">
        <f>SUMIFS(Datos!$F:$F,Datos!$A:$A,$B21,Datos!$B:$B,DV$3)</f>
        <v>0</v>
      </c>
      <c r="DW21" s="16">
        <f>SUMIFS(Datos!$F:$F,Datos!$A:$A,$B21,Datos!$B:$B,DW$3)</f>
        <v>0</v>
      </c>
      <c r="DX21" s="16">
        <f>SUMIFS(Datos!$F:$F,Datos!$A:$A,$B21,Datos!$B:$B,DX$3)</f>
        <v>0</v>
      </c>
      <c r="DY21" s="16">
        <f>SUMIFS(Datos!$F:$F,Datos!$A:$A,$B21,Datos!$B:$B,DY$3)</f>
        <v>0</v>
      </c>
      <c r="DZ21" s="16">
        <f>SUMIFS(Datos!$F:$F,Datos!$A:$A,$B21,Datos!$B:$B,DZ$3)</f>
        <v>0</v>
      </c>
      <c r="EA21" s="16">
        <f>SUMIFS(Datos!$F:$F,Datos!$A:$A,$B21,Datos!$B:$B,EA$3)</f>
        <v>0</v>
      </c>
      <c r="EB21" s="16">
        <f>SUMIFS(Datos!$F:$F,Datos!$A:$A,$B21,Datos!$B:$B,EB$3)</f>
        <v>0</v>
      </c>
      <c r="EC21" s="16">
        <f>SUMIFS(Datos!$F:$F,Datos!$A:$A,$B21,Datos!$B:$B,EC$3)</f>
        <v>0</v>
      </c>
      <c r="ED21" s="16">
        <f>SUMIFS(Datos!$F:$F,Datos!$A:$A,$B21,Datos!$B:$B,ED$3)</f>
        <v>0</v>
      </c>
      <c r="EE21" s="16">
        <f>SUMIFS(Datos!$F:$F,Datos!$A:$A,$B21,Datos!$B:$B,EE$3)</f>
        <v>0</v>
      </c>
      <c r="EF21" s="16">
        <f>SUMIFS(Datos!$F:$F,Datos!$A:$A,$B21,Datos!$B:$B,EF$3)</f>
        <v>0</v>
      </c>
      <c r="EG21" s="16">
        <f>SUMIFS(Datos!$F:$F,Datos!$A:$A,$B21,Datos!$B:$B,EG$3)</f>
        <v>0</v>
      </c>
      <c r="EH21" s="16">
        <f>SUMIFS(Datos!$F:$F,Datos!$A:$A,$B21,Datos!$B:$B,EH$3)</f>
        <v>0</v>
      </c>
      <c r="EI21" s="16">
        <f>SUMIFS(Datos!$F:$F,Datos!$A:$A,$B21,Datos!$B:$B,EI$3)</f>
        <v>0</v>
      </c>
      <c r="EJ21" s="16">
        <f>SUMIFS(Datos!$F:$F,Datos!$A:$A,$B21,Datos!$B:$B,EJ$3)</f>
        <v>0</v>
      </c>
      <c r="EK21" s="16">
        <f>SUMIFS(Datos!$F:$F,Datos!$A:$A,$B21,Datos!$B:$B,EK$3)</f>
        <v>0</v>
      </c>
      <c r="EL21" s="16">
        <f>SUMIFS(Datos!$F:$F,Datos!$A:$A,$B21,Datos!$B:$B,EL$3)</f>
        <v>0</v>
      </c>
      <c r="EM21" s="16">
        <f>SUMIFS(Datos!$F:$F,Datos!$A:$A,$B21,Datos!$B:$B,EM$3)</f>
        <v>0</v>
      </c>
      <c r="EN21" s="16">
        <f>SUMIFS(Datos!$F:$F,Datos!$A:$A,$B21,Datos!$B:$B,EN$3)</f>
        <v>0</v>
      </c>
      <c r="EO21" s="16">
        <f>SUMIFS(Datos!$F:$F,Datos!$A:$A,$B21,Datos!$B:$B,EO$3)</f>
        <v>0</v>
      </c>
      <c r="EP21" s="16">
        <f>SUMIFS(Datos!$F:$F,Datos!$A:$A,$B21,Datos!$B:$B,EP$3)</f>
        <v>0</v>
      </c>
      <c r="EQ21" s="16">
        <f>SUMIFS(Datos!$F:$F,Datos!$A:$A,$B21,Datos!$B:$B,EQ$3)</f>
        <v>0</v>
      </c>
      <c r="ER21" s="16">
        <f>SUMIFS(Datos!$F:$F,Datos!$A:$A,$B21,Datos!$B:$B,ER$3)</f>
        <v>0</v>
      </c>
      <c r="ES21" s="16">
        <f>SUMIFS(Datos!$F:$F,Datos!$A:$A,$B21,Datos!$B:$B,ES$3)</f>
        <v>0</v>
      </c>
      <c r="ET21" s="16">
        <f>SUMIFS(Datos!$F:$F,Datos!$A:$A,$B21,Datos!$B:$B,ET$3)</f>
        <v>0</v>
      </c>
      <c r="EU21" s="16">
        <f>SUMIFS(Datos!$F:$F,Datos!$A:$A,$B21,Datos!$B:$B,EU$3)</f>
        <v>0</v>
      </c>
      <c r="EV21" s="16">
        <f>SUMIFS(Datos!$F:$F,Datos!$A:$A,$B21,Datos!$B:$B,EV$3)</f>
        <v>0</v>
      </c>
      <c r="EW21" s="16">
        <f>SUMIFS(Datos!$F:$F,Datos!$A:$A,$B21,Datos!$B:$B,EW$3)</f>
        <v>0</v>
      </c>
      <c r="EX21" s="16">
        <f>SUMIFS(Datos!$F:$F,Datos!$A:$A,$B21,Datos!$B:$B,EX$3)</f>
        <v>0</v>
      </c>
      <c r="EY21" s="16">
        <f>SUMIFS(Datos!$F:$F,Datos!$A:$A,$B21,Datos!$B:$B,EY$3)</f>
        <v>0</v>
      </c>
      <c r="EZ21" s="16">
        <f>SUMIFS(Datos!$F:$F,Datos!$A:$A,$B21,Datos!$B:$B,EZ$3)</f>
        <v>0</v>
      </c>
      <c r="FA21" s="16">
        <f>SUMIFS(Datos!$F:$F,Datos!$A:$A,$B21,Datos!$B:$B,FA$3)</f>
        <v>0</v>
      </c>
      <c r="FB21" s="16">
        <f>SUMIFS(Datos!$F:$F,Datos!$A:$A,$B21,Datos!$B:$B,FB$3)</f>
        <v>0</v>
      </c>
      <c r="FC21" s="16">
        <f>SUMIFS(Datos!$F:$F,Datos!$A:$A,$B21,Datos!$B:$B,FC$3)</f>
        <v>0</v>
      </c>
      <c r="FD21" s="16">
        <f>SUMIFS(Datos!$F:$F,Datos!$A:$A,$B21,Datos!$B:$B,FD$3)</f>
        <v>0</v>
      </c>
      <c r="FE21" s="16">
        <f>SUMIFS(Datos!$F:$F,Datos!$A:$A,$B21,Datos!$B:$B,FE$3)</f>
        <v>0</v>
      </c>
      <c r="FF21" s="16">
        <f>SUMIFS(Datos!$F:$F,Datos!$A:$A,$B21,Datos!$B:$B,FF$3)</f>
        <v>0</v>
      </c>
      <c r="FG21" s="16">
        <f>SUMIFS(Datos!$F:$F,Datos!$A:$A,$B21,Datos!$B:$B,FG$3)</f>
        <v>0</v>
      </c>
      <c r="FH21" s="16">
        <f>SUMIFS(Datos!$F:$F,Datos!$A:$A,$B21,Datos!$B:$B,FH$3)</f>
        <v>0</v>
      </c>
      <c r="FI21" s="16">
        <f>SUMIFS(Datos!$F:$F,Datos!$A:$A,$B21,Datos!$B:$B,FI$3)</f>
        <v>0</v>
      </c>
      <c r="FJ21" s="16">
        <f>SUMIFS(Datos!$F:$F,Datos!$A:$A,$B21,Datos!$B:$B,FJ$3)</f>
        <v>0</v>
      </c>
      <c r="FK21" s="16">
        <f>SUMIFS(Datos!$F:$F,Datos!$A:$A,$B21,Datos!$B:$B,FK$3)</f>
        <v>0</v>
      </c>
      <c r="FL21" s="16">
        <f>SUMIFS(Datos!$F:$F,Datos!$A:$A,$B21,Datos!$B:$B,FL$3)</f>
        <v>0</v>
      </c>
      <c r="FM21" s="16">
        <f>SUMIFS(Datos!$F:$F,Datos!$A:$A,$B21,Datos!$B:$B,FM$3)</f>
        <v>0</v>
      </c>
      <c r="FN21" s="16">
        <f>SUMIFS(Datos!$F:$F,Datos!$A:$A,$B21,Datos!$B:$B,FN$3)</f>
        <v>0</v>
      </c>
      <c r="FO21" s="16">
        <f>SUMIFS(Datos!$F:$F,Datos!$A:$A,$B21,Datos!$B:$B,FO$3)</f>
        <v>0</v>
      </c>
      <c r="FP21" s="16">
        <f>SUMIFS(Datos!$F:$F,Datos!$A:$A,$B21,Datos!$B:$B,FP$3)</f>
        <v>0</v>
      </c>
      <c r="FQ21" s="16">
        <f>SUMIFS(Datos!$F:$F,Datos!$A:$A,$B21,Datos!$B:$B,FQ$3)</f>
        <v>0</v>
      </c>
      <c r="FR21" s="16">
        <f>SUMIFS(Datos!$F:$F,Datos!$A:$A,$B21,Datos!$B:$B,FR$3)</f>
        <v>0</v>
      </c>
      <c r="FS21" s="16">
        <f>SUMIFS(Datos!$F:$F,Datos!$A:$A,$B21,Datos!$B:$B,FS$3)</f>
        <v>0</v>
      </c>
      <c r="FT21" s="16">
        <f>SUMIFS(Datos!$F:$F,Datos!$A:$A,$B21,Datos!$B:$B,FT$3)</f>
        <v>0</v>
      </c>
      <c r="FU21" s="16">
        <f>SUMIFS(Datos!$F:$F,Datos!$A:$A,$B21,Datos!$B:$B,FU$3)</f>
        <v>0</v>
      </c>
      <c r="FV21" s="16">
        <f>SUMIFS(Datos!$F:$F,Datos!$A:$A,$B21,Datos!$B:$B,FV$3)</f>
        <v>0</v>
      </c>
      <c r="FW21" s="16">
        <f>SUMIFS(Datos!$F:$F,Datos!$A:$A,$B21,Datos!$B:$B,FW$3)</f>
        <v>0</v>
      </c>
      <c r="FX21" s="16">
        <f>SUMIFS(Datos!$F:$F,Datos!$A:$A,$B21,Datos!$B:$B,FX$3)</f>
        <v>0</v>
      </c>
      <c r="FY21" s="16">
        <f>SUMIFS(Datos!$F:$F,Datos!$A:$A,$B21,Datos!$B:$B,FY$3)</f>
        <v>0</v>
      </c>
      <c r="FZ21" s="16">
        <f>SUMIFS(Datos!$F:$F,Datos!$A:$A,$B21,Datos!$B:$B,FZ$3)</f>
        <v>0</v>
      </c>
      <c r="GA21" s="16">
        <f>SUMIFS(Datos!$F:$F,Datos!$A:$A,$B21,Datos!$B:$B,GA$3)</f>
        <v>0</v>
      </c>
      <c r="GB21" s="16">
        <f>SUMIFS(Datos!$F:$F,Datos!$A:$A,$B21,Datos!$B:$B,GB$3)</f>
        <v>0</v>
      </c>
      <c r="GC21" s="16">
        <f>SUMIFS(Datos!$F:$F,Datos!$A:$A,$B21,Datos!$B:$B,GC$3)</f>
        <v>0</v>
      </c>
      <c r="GD21" s="16">
        <f>SUMIFS(Datos!$F:$F,Datos!$A:$A,$B21,Datos!$B:$B,GD$3)</f>
        <v>0</v>
      </c>
      <c r="GE21" s="16">
        <f>SUMIFS(Datos!$F:$F,Datos!$A:$A,$B21,Datos!$B:$B,GE$3)</f>
        <v>0</v>
      </c>
      <c r="GF21" s="16">
        <f>SUMIFS(Datos!$F:$F,Datos!$A:$A,$B21,Datos!$B:$B,GF$3)</f>
        <v>0</v>
      </c>
      <c r="GG21" s="16">
        <f>SUMIFS(Datos!$F:$F,Datos!$A:$A,$B21,Datos!$B:$B,GG$3)</f>
        <v>0</v>
      </c>
      <c r="GH21" s="16">
        <f>SUMIFS(Datos!$F:$F,Datos!$A:$A,$B21,Datos!$B:$B,GH$3)</f>
        <v>0</v>
      </c>
      <c r="GI21" s="16">
        <f>SUMIFS(Datos!$F:$F,Datos!$A:$A,$B21,Datos!$B:$B,GI$3)</f>
        <v>0</v>
      </c>
      <c r="GJ21" s="16">
        <f>SUMIFS(Datos!$F:$F,Datos!$A:$A,$B21,Datos!$B:$B,GJ$3)</f>
        <v>0</v>
      </c>
      <c r="GK21" s="16">
        <f>SUMIFS(Datos!$F:$F,Datos!$A:$A,$B21,Datos!$B:$B,GK$3)</f>
        <v>0</v>
      </c>
      <c r="GL21" s="16">
        <f>SUMIFS(Datos!$F:$F,Datos!$A:$A,$B21,Datos!$B:$B,GL$3)</f>
        <v>0</v>
      </c>
      <c r="GM21" s="16">
        <f>SUMIFS(Datos!$F:$F,Datos!$A:$A,$B21,Datos!$B:$B,GM$3)</f>
        <v>0</v>
      </c>
      <c r="GN21" s="16">
        <f>SUMIFS(Datos!$F:$F,Datos!$A:$A,$B21,Datos!$B:$B,GN$3)</f>
        <v>0</v>
      </c>
      <c r="GO21" s="16">
        <f>SUMIFS(Datos!$F:$F,Datos!$A:$A,$B21,Datos!$B:$B,GO$3)</f>
        <v>0</v>
      </c>
      <c r="GP21" s="16">
        <f>SUMIFS(Datos!$F:$F,Datos!$A:$A,$B21,Datos!$B:$B,GP$3)</f>
        <v>0</v>
      </c>
      <c r="GQ21" s="16">
        <f>SUMIFS(Datos!$F:$F,Datos!$A:$A,$B21,Datos!$B:$B,GQ$3)</f>
        <v>0</v>
      </c>
      <c r="GR21" s="16">
        <f>SUMIFS(Datos!$F:$F,Datos!$A:$A,$B21,Datos!$B:$B,GR$3)</f>
        <v>0</v>
      </c>
      <c r="GS21" s="16">
        <f>SUMIFS(Datos!$F:$F,Datos!$A:$A,$B21,Datos!$B:$B,GS$3)</f>
        <v>0</v>
      </c>
      <c r="GT21" s="16">
        <f>SUMIFS(Datos!$F:$F,Datos!$A:$A,$B21,Datos!$B:$B,GT$3)</f>
        <v>0</v>
      </c>
      <c r="GU21" s="16">
        <f>SUMIFS(Datos!$F:$F,Datos!$A:$A,$B21,Datos!$B:$B,GU$3)</f>
        <v>0</v>
      </c>
      <c r="GV21" s="16">
        <f>SUMIFS(Datos!$F:$F,Datos!$A:$A,$B21,Datos!$B:$B,GV$3)</f>
        <v>0</v>
      </c>
      <c r="GW21" s="16">
        <f>SUMIFS(Datos!$F:$F,Datos!$A:$A,$B21,Datos!$B:$B,GW$3)</f>
        <v>0</v>
      </c>
      <c r="GX21" s="16">
        <f>SUMIFS(Datos!$F:$F,Datos!$A:$A,$B21,Datos!$B:$B,GX$3)</f>
        <v>0</v>
      </c>
      <c r="GY21" s="16">
        <f>SUMIFS(Datos!$F:$F,Datos!$A:$A,$B21,Datos!$B:$B,GY$3)</f>
        <v>0</v>
      </c>
      <c r="GZ21" s="16">
        <f>SUMIFS(Datos!$F:$F,Datos!$A:$A,$B21,Datos!$B:$B,GZ$3)</f>
        <v>0</v>
      </c>
      <c r="HA21" s="16">
        <f>SUMIFS(Datos!$F:$F,Datos!$A:$A,$B21,Datos!$B:$B,HA$3)</f>
        <v>0</v>
      </c>
      <c r="HB21" s="16">
        <f>SUMIFS(Datos!$F:$F,Datos!$A:$A,$B21,Datos!$B:$B,HB$3)</f>
        <v>0</v>
      </c>
      <c r="HC21" s="16">
        <f>SUMIFS(Datos!$F:$F,Datos!$A:$A,$B21,Datos!$B:$B,HC$3)</f>
        <v>0</v>
      </c>
      <c r="HD21" s="16">
        <f>SUMIFS(Datos!$F:$F,Datos!$A:$A,$B21,Datos!$B:$B,HD$3)</f>
        <v>0</v>
      </c>
      <c r="HE21" s="16">
        <f>SUMIFS(Datos!$F:$F,Datos!$A:$A,$B21,Datos!$B:$B,HE$3)</f>
        <v>0</v>
      </c>
      <c r="HF21" s="16">
        <f>SUMIFS(Datos!$F:$F,Datos!$A:$A,$B21,Datos!$B:$B,HF$3)</f>
        <v>0</v>
      </c>
      <c r="HG21" s="16">
        <f>SUMIFS(Datos!$F:$F,Datos!$A:$A,$B21,Datos!$B:$B,HG$3)</f>
        <v>0</v>
      </c>
      <c r="HH21" s="16">
        <f>SUMIFS(Datos!$F:$F,Datos!$A:$A,$B21,Datos!$B:$B,HH$3)</f>
        <v>0</v>
      </c>
      <c r="HI21" s="16">
        <f>SUMIFS(Datos!$F:$F,Datos!$A:$A,$B21,Datos!$B:$B,HI$3)</f>
        <v>0</v>
      </c>
      <c r="HJ21" s="16">
        <f>SUMIFS(Datos!$F:$F,Datos!$A:$A,$B21,Datos!$B:$B,HJ$3)</f>
        <v>0</v>
      </c>
      <c r="HK21" s="16">
        <f>SUMIFS(Datos!$F:$F,Datos!$A:$A,$B21,Datos!$B:$B,HK$3)</f>
        <v>0</v>
      </c>
      <c r="HL21" s="16">
        <f>SUMIFS(Datos!$F:$F,Datos!$A:$A,$B21,Datos!$B:$B,HL$3)</f>
        <v>0</v>
      </c>
      <c r="HM21" s="16">
        <f>SUMIFS(Datos!$F:$F,Datos!$A:$A,$B21,Datos!$B:$B,HM$3)</f>
        <v>0</v>
      </c>
      <c r="HN21" s="16">
        <f>SUMIFS(Datos!$F:$F,Datos!$A:$A,$B21,Datos!$B:$B,HN$3)</f>
        <v>0</v>
      </c>
      <c r="HO21" s="16">
        <f>SUMIFS(Datos!$F:$F,Datos!$A:$A,$B21,Datos!$B:$B,HO$3)</f>
        <v>0</v>
      </c>
      <c r="HP21" s="16">
        <f>SUMIFS(Datos!$F:$F,Datos!$A:$A,$B21,Datos!$B:$B,HP$3)</f>
        <v>0</v>
      </c>
      <c r="HQ21" s="16">
        <f>SUMIFS(Datos!$F:$F,Datos!$A:$A,$B21,Datos!$B:$B,HQ$3)</f>
        <v>0</v>
      </c>
      <c r="HR21" s="16">
        <f>SUMIFS(Datos!$F:$F,Datos!$A:$A,$B21,Datos!$B:$B,HR$3)</f>
        <v>0</v>
      </c>
      <c r="HS21" s="16">
        <f>SUMIFS(Datos!$F:$F,Datos!$A:$A,$B21,Datos!$B:$B,HS$3)</f>
        <v>0</v>
      </c>
      <c r="HT21" s="16">
        <f>SUMIFS(Datos!$F:$F,Datos!$A:$A,$B21,Datos!$B:$B,HT$3)</f>
        <v>0</v>
      </c>
      <c r="HU21" s="16">
        <f>SUMIFS(Datos!$F:$F,Datos!$A:$A,$B21,Datos!$B:$B,HU$3)</f>
        <v>0</v>
      </c>
      <c r="HV21" s="16">
        <f>SUMIFS(Datos!$F:$F,Datos!$A:$A,$B21,Datos!$B:$B,HV$3)</f>
        <v>0</v>
      </c>
      <c r="HW21" s="16">
        <f>SUMIFS(Datos!$F:$F,Datos!$A:$A,$B21,Datos!$B:$B,HW$3)</f>
        <v>0</v>
      </c>
      <c r="HX21" s="16">
        <f>SUMIFS(Datos!$F:$F,Datos!$A:$A,$B21,Datos!$B:$B,HX$3)</f>
        <v>0</v>
      </c>
      <c r="HY21" s="16">
        <f>SUMIFS(Datos!$F:$F,Datos!$A:$A,$B21,Datos!$B:$B,HY$3)</f>
        <v>0</v>
      </c>
      <c r="HZ21" s="16">
        <f>SUMIFS(Datos!$F:$F,Datos!$A:$A,$B21,Datos!$B:$B,HZ$3)</f>
        <v>0</v>
      </c>
      <c r="IA21" s="16">
        <f>SUMIFS(Datos!$F:$F,Datos!$A:$A,$B21,Datos!$B:$B,IA$3)</f>
        <v>0</v>
      </c>
      <c r="IB21" s="16">
        <f>SUMIFS(Datos!$F:$F,Datos!$A:$A,$B21,Datos!$B:$B,IB$3)</f>
        <v>0</v>
      </c>
      <c r="IC21" s="16">
        <f>SUMIFS(Datos!$F:$F,Datos!$A:$A,$B21,Datos!$B:$B,IC$3)</f>
        <v>0</v>
      </c>
      <c r="ID21" s="16">
        <f>SUMIFS(Datos!$F:$F,Datos!$A:$A,$B21,Datos!$B:$B,ID$3)</f>
        <v>0</v>
      </c>
      <c r="IE21" s="16">
        <f>SUMIFS(Datos!$F:$F,Datos!$A:$A,$B21,Datos!$B:$B,IE$3)</f>
        <v>0</v>
      </c>
      <c r="IF21" s="16">
        <f>SUMIFS(Datos!$F:$F,Datos!$A:$A,$B21,Datos!$B:$B,IF$3)</f>
        <v>0</v>
      </c>
      <c r="IG21" s="16">
        <f>SUMIFS(Datos!$F:$F,Datos!$A:$A,$B21,Datos!$B:$B,IG$3)</f>
        <v>0</v>
      </c>
      <c r="IH21" s="16">
        <f>SUMIFS(Datos!$F:$F,Datos!$A:$A,$B21,Datos!$B:$B,IH$3)</f>
        <v>0</v>
      </c>
      <c r="II21" s="16">
        <f>SUMIFS(Datos!$F:$F,Datos!$A:$A,$B21,Datos!$B:$B,II$3)</f>
        <v>0</v>
      </c>
      <c r="IJ21" s="16">
        <f>SUMIFS(Datos!$F:$F,Datos!$A:$A,$B21,Datos!$B:$B,IJ$3)</f>
        <v>0</v>
      </c>
      <c r="IK21" s="16">
        <f>SUMIFS(Datos!$F:$F,Datos!$A:$A,$B21,Datos!$B:$B,IK$3)</f>
        <v>0</v>
      </c>
      <c r="IL21" s="16">
        <f>SUMIFS(Datos!$F:$F,Datos!$A:$A,$B21,Datos!$B:$B,IL$3)</f>
        <v>0</v>
      </c>
      <c r="IM21" s="16">
        <f>SUMIFS(Datos!$F:$F,Datos!$A:$A,$B21,Datos!$B:$B,IM$3)</f>
        <v>0</v>
      </c>
      <c r="IN21" s="16">
        <f>SUMIFS(Datos!$F:$F,Datos!$A:$A,$B21,Datos!$B:$B,IN$3)</f>
        <v>0</v>
      </c>
      <c r="IO21" s="16">
        <f>SUMIFS(Datos!$F:$F,Datos!$A:$A,$B21,Datos!$B:$B,IO$3)</f>
        <v>0</v>
      </c>
      <c r="IP21" s="16">
        <f>SUMIFS(Datos!$F:$F,Datos!$A:$A,$B21,Datos!$B:$B,IP$3)</f>
        <v>0</v>
      </c>
      <c r="IQ21" s="16">
        <f>SUMIFS(Datos!$F:$F,Datos!$A:$A,$B21,Datos!$B:$B,IQ$3)</f>
        <v>0</v>
      </c>
      <c r="IR21" s="16">
        <f>SUMIFS(Datos!$F:$F,Datos!$A:$A,$B21,Datos!$B:$B,IR$3)</f>
        <v>0</v>
      </c>
      <c r="IS21" s="16">
        <f>SUMIFS(Datos!$F:$F,Datos!$A:$A,$B21,Datos!$B:$B,IS$3)</f>
        <v>0</v>
      </c>
      <c r="IT21" s="16">
        <f>SUMIFS(Datos!$F:$F,Datos!$A:$A,$B21,Datos!$B:$B,IT$3)</f>
        <v>0</v>
      </c>
      <c r="IU21" s="16">
        <f>SUMIFS(Datos!$F:$F,Datos!$A:$A,$B21,Datos!$B:$B,IU$3)</f>
        <v>0</v>
      </c>
      <c r="IV21" s="16">
        <f>SUMIFS(Datos!$F:$F,Datos!$A:$A,$B21,Datos!$B:$B,IV$3)</f>
        <v>0</v>
      </c>
      <c r="IW21" s="16">
        <f>SUMIFS(Datos!$F:$F,Datos!$A:$A,$B21,Datos!$B:$B,IW$3)</f>
        <v>0</v>
      </c>
      <c r="IX21" s="16">
        <f>SUMIFS(Datos!$F:$F,Datos!$A:$A,$B21,Datos!$B:$B,IX$3)</f>
        <v>0</v>
      </c>
      <c r="IY21" s="16">
        <f>SUMIFS(Datos!$F:$F,Datos!$A:$A,$B21,Datos!$B:$B,IY$3)</f>
        <v>0</v>
      </c>
      <c r="IZ21" s="16">
        <f>SUMIFS(Datos!$F:$F,Datos!$A:$A,$B21,Datos!$B:$B,IZ$3)</f>
        <v>0</v>
      </c>
      <c r="JA21" s="16">
        <f>SUMIFS(Datos!$F:$F,Datos!$A:$A,$B21,Datos!$B:$B,JA$3)</f>
        <v>0</v>
      </c>
      <c r="JB21" s="16">
        <f>SUMIFS(Datos!$F:$F,Datos!$A:$A,$B21,Datos!$B:$B,JB$3)</f>
        <v>0</v>
      </c>
      <c r="JC21" s="16">
        <f>SUMIFS(Datos!$F:$F,Datos!$A:$A,$B21,Datos!$B:$B,JC$3)</f>
        <v>0</v>
      </c>
      <c r="JD21" s="16">
        <f>SUMIFS(Datos!$F:$F,Datos!$A:$A,$B21,Datos!$B:$B,JD$3)</f>
        <v>0</v>
      </c>
      <c r="JE21" s="16">
        <f>SUMIFS(Datos!$F:$F,Datos!$A:$A,$B21,Datos!$B:$B,JE$3)</f>
        <v>0</v>
      </c>
      <c r="JF21" s="16">
        <f>SUMIFS(Datos!$F:$F,Datos!$A:$A,$B21,Datos!$B:$B,JF$3)</f>
        <v>0</v>
      </c>
      <c r="JG21" s="16">
        <f>SUMIFS(Datos!$F:$F,Datos!$A:$A,$B21,Datos!$B:$B,JG$3)</f>
        <v>0</v>
      </c>
      <c r="JH21" s="16">
        <f>SUMIFS(Datos!$F:$F,Datos!$A:$A,$B21,Datos!$B:$B,JH$3)</f>
        <v>0</v>
      </c>
      <c r="JI21" s="16">
        <f>SUMIFS(Datos!$F:$F,Datos!$A:$A,$B21,Datos!$B:$B,JI$3)</f>
        <v>0</v>
      </c>
      <c r="JJ21" s="16">
        <f>SUMIFS(Datos!$F:$F,Datos!$A:$A,$B21,Datos!$B:$B,JJ$3)</f>
        <v>0</v>
      </c>
      <c r="JK21" s="16">
        <f>SUMIFS(Datos!$F:$F,Datos!$A:$A,$B21,Datos!$B:$B,JK$3)</f>
        <v>0</v>
      </c>
      <c r="JL21" s="16">
        <f>SUMIFS(Datos!$F:$F,Datos!$A:$A,$B21,Datos!$B:$B,JL$3)</f>
        <v>0</v>
      </c>
      <c r="JM21" s="16">
        <f>SUMIFS(Datos!$F:$F,Datos!$A:$A,$B21,Datos!$B:$B,JM$3)</f>
        <v>0</v>
      </c>
      <c r="JN21" s="16">
        <f>SUMIFS(Datos!$F:$F,Datos!$A:$A,$B21,Datos!$B:$B,JN$3)</f>
        <v>0</v>
      </c>
      <c r="JO21" s="16">
        <f>SUMIFS(Datos!$F:$F,Datos!$A:$A,$B21,Datos!$B:$B,JO$3)</f>
        <v>0</v>
      </c>
      <c r="JP21" s="16">
        <f>SUMIFS(Datos!$F:$F,Datos!$A:$A,$B21,Datos!$B:$B,JP$3)</f>
        <v>0</v>
      </c>
      <c r="JQ21" s="16">
        <f>SUMIFS(Datos!$F:$F,Datos!$A:$A,$B21,Datos!$B:$B,JQ$3)</f>
        <v>0</v>
      </c>
      <c r="JR21" s="16">
        <f>SUMIFS(Datos!$F:$F,Datos!$A:$A,$B21,Datos!$B:$B,JR$3)</f>
        <v>0</v>
      </c>
      <c r="JS21" s="16">
        <f>SUMIFS(Datos!$F:$F,Datos!$A:$A,$B21,Datos!$B:$B,JS$3)</f>
        <v>0</v>
      </c>
      <c r="JT21" s="16">
        <f>SUMIFS(Datos!$F:$F,Datos!$A:$A,$B21,Datos!$B:$B,JT$3)</f>
        <v>0</v>
      </c>
      <c r="JU21" s="16">
        <f>SUMIFS(Datos!$F:$F,Datos!$A:$A,$B21,Datos!$B:$B,JU$3)</f>
        <v>0</v>
      </c>
      <c r="JV21" s="16">
        <f>SUMIFS(Datos!$F:$F,Datos!$A:$A,$B21,Datos!$B:$B,JV$3)</f>
        <v>0</v>
      </c>
      <c r="JW21" s="16">
        <f>SUMIFS(Datos!$F:$F,Datos!$A:$A,$B21,Datos!$B:$B,JW$3)</f>
        <v>0</v>
      </c>
      <c r="JX21" s="16">
        <f>SUMIFS(Datos!$F:$F,Datos!$A:$A,$B21,Datos!$B:$B,JX$3)</f>
        <v>0</v>
      </c>
      <c r="JY21" s="16">
        <f>SUMIFS(Datos!$F:$F,Datos!$A:$A,$B21,Datos!$B:$B,JY$3)</f>
        <v>0</v>
      </c>
      <c r="JZ21" s="16">
        <f>SUMIFS(Datos!$F:$F,Datos!$A:$A,$B21,Datos!$B:$B,JZ$3)</f>
        <v>0</v>
      </c>
      <c r="KA21" s="16">
        <f>SUMIFS(Datos!$F:$F,Datos!$A:$A,$B21,Datos!$B:$B,KA$3)</f>
        <v>0</v>
      </c>
      <c r="KB21" s="16">
        <f>SUMIFS(Datos!$F:$F,Datos!$A:$A,$B21,Datos!$B:$B,KB$3)</f>
        <v>0</v>
      </c>
      <c r="KC21" s="16">
        <f>SUMIFS(Datos!$F:$F,Datos!$A:$A,$B21,Datos!$B:$B,KC$3)</f>
        <v>0</v>
      </c>
      <c r="KD21" s="16">
        <f>SUMIFS(Datos!$F:$F,Datos!$A:$A,$B21,Datos!$B:$B,KD$3)</f>
        <v>0</v>
      </c>
      <c r="KE21" s="16">
        <f>SUMIFS(Datos!$F:$F,Datos!$A:$A,$B21,Datos!$B:$B,KE$3)</f>
        <v>0</v>
      </c>
      <c r="KF21" s="16">
        <f>SUMIFS(Datos!$F:$F,Datos!$A:$A,$B21,Datos!$B:$B,KF$3)</f>
        <v>0</v>
      </c>
      <c r="KG21" s="16">
        <f>SUMIFS(Datos!$F:$F,Datos!$A:$A,$B21,Datos!$B:$B,KG$3)</f>
        <v>0</v>
      </c>
      <c r="KH21" s="16">
        <f>SUMIFS(Datos!$F:$F,Datos!$A:$A,$B21,Datos!$B:$B,KH$3)</f>
        <v>0</v>
      </c>
      <c r="KI21" s="16">
        <f>SUMIFS(Datos!$F:$F,Datos!$A:$A,$B21,Datos!$B:$B,KI$3)</f>
        <v>0</v>
      </c>
      <c r="KJ21" s="16">
        <f>SUMIFS(Datos!$F:$F,Datos!$A:$A,$B21,Datos!$B:$B,KJ$3)</f>
        <v>0</v>
      </c>
      <c r="KK21" s="16">
        <f>SUMIFS(Datos!$F:$F,Datos!$A:$A,$B21,Datos!$B:$B,KK$3)</f>
        <v>0</v>
      </c>
      <c r="KL21" s="16">
        <f>SUMIFS(Datos!$F:$F,Datos!$A:$A,$B21,Datos!$B:$B,KL$3)</f>
        <v>0</v>
      </c>
      <c r="KM21" s="16">
        <f>SUMIFS(Datos!$F:$F,Datos!$A:$A,$B21,Datos!$B:$B,KM$3)</f>
        <v>0</v>
      </c>
      <c r="KN21" s="16">
        <f>SUMIFS(Datos!$F:$F,Datos!$A:$A,$B21,Datos!$B:$B,KN$3)</f>
        <v>0</v>
      </c>
      <c r="KO21" s="16">
        <f>SUMIFS(Datos!$F:$F,Datos!$A:$A,$B21,Datos!$B:$B,KO$3)</f>
        <v>0</v>
      </c>
      <c r="KP21" s="16">
        <f>SUMIFS(Datos!$F:$F,Datos!$A:$A,$B21,Datos!$B:$B,KP$3)</f>
        <v>0</v>
      </c>
      <c r="KQ21" s="16">
        <f>SUMIFS(Datos!$F:$F,Datos!$A:$A,$B21,Datos!$B:$B,KQ$3)</f>
        <v>0</v>
      </c>
      <c r="KR21" s="16">
        <f>SUMIFS(Datos!$F:$F,Datos!$A:$A,$B21,Datos!$B:$B,KR$3)</f>
        <v>0</v>
      </c>
      <c r="KS21" s="16">
        <f>SUMIFS(Datos!$F:$F,Datos!$A:$A,$B21,Datos!$B:$B,KS$3)</f>
        <v>0</v>
      </c>
      <c r="KT21" s="16">
        <f>SUMIFS(Datos!$F:$F,Datos!$A:$A,$B21,Datos!$B:$B,KT$3)</f>
        <v>0</v>
      </c>
      <c r="KU21" s="16">
        <f>SUMIFS(Datos!$F:$F,Datos!$A:$A,$B21,Datos!$B:$B,KU$3)</f>
        <v>0</v>
      </c>
      <c r="KV21" s="16">
        <f>SUMIFS(Datos!$F:$F,Datos!$A:$A,$B21,Datos!$B:$B,KV$3)</f>
        <v>0</v>
      </c>
      <c r="KW21" s="16">
        <f>SUMIFS(Datos!$F:$F,Datos!$A:$A,$B21,Datos!$B:$B,KW$3)</f>
        <v>0</v>
      </c>
      <c r="KX21" s="16">
        <f>SUMIFS(Datos!$F:$F,Datos!$A:$A,$B21,Datos!$B:$B,KX$3)</f>
        <v>0</v>
      </c>
      <c r="KY21" s="16">
        <f>SUMIFS(Datos!$F:$F,Datos!$A:$A,$B21,Datos!$B:$B,KY$3)</f>
        <v>0</v>
      </c>
      <c r="KZ21" s="16">
        <f>SUMIFS(Datos!$F:$F,Datos!$A:$A,$B21,Datos!$B:$B,KZ$3)</f>
        <v>0</v>
      </c>
      <c r="LA21" s="16">
        <f>SUMIFS(Datos!$F:$F,Datos!$A:$A,$B21,Datos!$B:$B,LA$3)</f>
        <v>0</v>
      </c>
      <c r="LB21" s="16">
        <f>SUMIFS(Datos!$F:$F,Datos!$A:$A,$B21,Datos!$B:$B,LB$3)</f>
        <v>0</v>
      </c>
      <c r="LC21" s="16">
        <f>SUMIFS(Datos!$F:$F,Datos!$A:$A,$B21,Datos!$B:$B,LC$3)</f>
        <v>0</v>
      </c>
      <c r="LD21" s="16">
        <f>SUMIFS(Datos!$F:$F,Datos!$A:$A,$B21,Datos!$B:$B,LD$3)</f>
        <v>0</v>
      </c>
      <c r="LE21" s="16">
        <f>SUMIFS(Datos!$F:$F,Datos!$A:$A,$B21,Datos!$B:$B,LE$3)</f>
        <v>0</v>
      </c>
      <c r="LF21" s="16">
        <f>SUMIFS(Datos!$F:$F,Datos!$A:$A,$B21,Datos!$B:$B,LF$3)</f>
        <v>0</v>
      </c>
      <c r="LG21" s="16">
        <f>SUMIFS(Datos!$F:$F,Datos!$A:$A,$B21,Datos!$B:$B,LG$3)</f>
        <v>0</v>
      </c>
      <c r="LH21" s="16">
        <f>SUMIFS(Datos!$F:$F,Datos!$A:$A,$B21,Datos!$B:$B,LH$3)</f>
        <v>0</v>
      </c>
      <c r="LI21" s="16">
        <f>SUMIFS(Datos!$F:$F,Datos!$A:$A,$B21,Datos!$B:$B,LI$3)</f>
        <v>0</v>
      </c>
      <c r="LJ21" s="16">
        <f>SUMIFS(Datos!$F:$F,Datos!$A:$A,$B21,Datos!$B:$B,LJ$3)</f>
        <v>0</v>
      </c>
      <c r="LK21" s="16">
        <f>SUMIFS(Datos!$F:$F,Datos!$A:$A,$B21,Datos!$B:$B,LK$3)</f>
        <v>0</v>
      </c>
      <c r="LL21" s="16">
        <f>SUMIFS(Datos!$F:$F,Datos!$A:$A,$B21,Datos!$B:$B,LL$3)</f>
        <v>0</v>
      </c>
      <c r="LM21" s="16">
        <f>SUMIFS(Datos!$F:$F,Datos!$A:$A,$B21,Datos!$B:$B,LM$3)</f>
        <v>0</v>
      </c>
      <c r="LN21" s="16">
        <f>SUMIFS(Datos!$F:$F,Datos!$A:$A,$B21,Datos!$B:$B,LN$3)</f>
        <v>0</v>
      </c>
      <c r="LO21" s="16">
        <f>SUMIFS(Datos!$F:$F,Datos!$A:$A,$B21,Datos!$B:$B,LO$3)</f>
        <v>0</v>
      </c>
      <c r="LP21" s="16">
        <f>SUMIFS(Datos!$F:$F,Datos!$A:$A,$B21,Datos!$B:$B,LP$3)</f>
        <v>0</v>
      </c>
      <c r="LQ21" s="16">
        <f>SUMIFS(Datos!$F:$F,Datos!$A:$A,$B21,Datos!$B:$B,LQ$3)</f>
        <v>0</v>
      </c>
      <c r="LR21" s="16">
        <f>SUMIFS(Datos!$F:$F,Datos!$A:$A,$B21,Datos!$B:$B,LR$3)</f>
        <v>0</v>
      </c>
      <c r="LS21" s="16">
        <f>SUMIFS(Datos!$F:$F,Datos!$A:$A,$B21,Datos!$B:$B,LS$3)</f>
        <v>0</v>
      </c>
      <c r="LT21" s="16">
        <f>SUMIFS(Datos!$F:$F,Datos!$A:$A,$B21,Datos!$B:$B,LT$3)</f>
        <v>0</v>
      </c>
      <c r="LU21" s="16">
        <f>SUMIFS(Datos!$F:$F,Datos!$A:$A,$B21,Datos!$B:$B,LU$3)</f>
        <v>0</v>
      </c>
      <c r="LV21" s="16">
        <f>SUMIFS(Datos!$F:$F,Datos!$A:$A,$B21,Datos!$B:$B,LV$3)</f>
        <v>0</v>
      </c>
      <c r="LW21" s="16">
        <f>SUMIFS(Datos!$F:$F,Datos!$A:$A,$B21,Datos!$B:$B,LW$3)</f>
        <v>0</v>
      </c>
      <c r="LX21" s="16">
        <f>SUMIFS(Datos!$F:$F,Datos!$A:$A,$B21,Datos!$B:$B,LX$3)</f>
        <v>0</v>
      </c>
      <c r="LY21" s="16">
        <f>SUMIFS(Datos!$F:$F,Datos!$A:$A,$B21,Datos!$B:$B,LY$3)</f>
        <v>0</v>
      </c>
      <c r="LZ21" s="16">
        <f>SUMIFS(Datos!$F:$F,Datos!$A:$A,$B21,Datos!$B:$B,LZ$3)</f>
        <v>0</v>
      </c>
      <c r="MA21" s="16">
        <f>SUMIFS(Datos!$F:$F,Datos!$A:$A,$B21,Datos!$B:$B,MA$3)</f>
        <v>0</v>
      </c>
      <c r="MB21" s="16">
        <f>SUMIFS(Datos!$F:$F,Datos!$A:$A,$B21,Datos!$B:$B,MB$3)</f>
        <v>0</v>
      </c>
      <c r="MC21" s="16">
        <f>SUMIFS(Datos!$F:$F,Datos!$A:$A,$B21,Datos!$B:$B,MC$3)</f>
        <v>0</v>
      </c>
      <c r="MD21" s="16">
        <f>SUMIFS(Datos!$F:$F,Datos!$A:$A,$B21,Datos!$B:$B,MD$3)</f>
        <v>0</v>
      </c>
      <c r="ME21" s="16">
        <f>SUMIFS(Datos!$F:$F,Datos!$A:$A,$B21,Datos!$B:$B,ME$3)</f>
        <v>0</v>
      </c>
      <c r="MF21" s="16">
        <f>SUMIFS(Datos!$F:$F,Datos!$A:$A,$B21,Datos!$B:$B,MF$3)</f>
        <v>0</v>
      </c>
      <c r="MG21" s="16">
        <f>SUMIFS(Datos!$F:$F,Datos!$A:$A,$B21,Datos!$B:$B,MG$3)</f>
        <v>0</v>
      </c>
      <c r="MH21" s="16">
        <f>SUMIFS(Datos!$F:$F,Datos!$A:$A,$B21,Datos!$B:$B,MH$3)</f>
        <v>0</v>
      </c>
      <c r="MI21" s="16">
        <f>SUMIFS(Datos!$F:$F,Datos!$A:$A,$B21,Datos!$B:$B,MI$3)</f>
        <v>0</v>
      </c>
      <c r="MJ21" s="16">
        <f>SUMIFS(Datos!$F:$F,Datos!$A:$A,$B21,Datos!$B:$B,MJ$3)</f>
        <v>0</v>
      </c>
      <c r="MK21" s="16">
        <f>SUMIFS(Datos!$F:$F,Datos!$A:$A,$B21,Datos!$B:$B,MK$3)</f>
        <v>0</v>
      </c>
      <c r="ML21" s="16">
        <f>SUMIFS(Datos!$F:$F,Datos!$A:$A,$B21,Datos!$B:$B,ML$3)</f>
        <v>0</v>
      </c>
      <c r="MM21" s="16">
        <f>SUMIFS(Datos!$F:$F,Datos!$A:$A,$B21,Datos!$B:$B,MM$3)</f>
        <v>0</v>
      </c>
      <c r="MN21" s="16">
        <f>SUMIFS(Datos!$F:$F,Datos!$A:$A,$B21,Datos!$B:$B,MN$3)</f>
        <v>0</v>
      </c>
      <c r="MO21" s="16">
        <f>SUMIFS(Datos!$F:$F,Datos!$A:$A,$B21,Datos!$B:$B,MO$3)</f>
        <v>0</v>
      </c>
      <c r="MP21" s="16">
        <f>SUMIFS(Datos!$F:$F,Datos!$A:$A,$B21,Datos!$B:$B,MP$3)</f>
        <v>0</v>
      </c>
      <c r="MQ21" s="16">
        <f>SUMIFS(Datos!$F:$F,Datos!$A:$A,$B21,Datos!$B:$B,MQ$3)</f>
        <v>0</v>
      </c>
      <c r="MR21" s="16">
        <f>SUMIFS(Datos!$F:$F,Datos!$A:$A,$B21,Datos!$B:$B,MR$3)</f>
        <v>0</v>
      </c>
      <c r="MS21" s="16">
        <f>SUMIFS(Datos!$F:$F,Datos!$A:$A,$B21,Datos!$B:$B,MS$3)</f>
        <v>0</v>
      </c>
      <c r="MT21" s="16">
        <f>SUMIFS(Datos!$F:$F,Datos!$A:$A,$B21,Datos!$B:$B,MT$3)</f>
        <v>0</v>
      </c>
      <c r="MU21" s="16">
        <f>SUMIFS(Datos!$F:$F,Datos!$A:$A,$B21,Datos!$B:$B,MU$3)</f>
        <v>0</v>
      </c>
      <c r="MV21" s="16">
        <f>SUMIFS(Datos!$F:$F,Datos!$A:$A,$B21,Datos!$B:$B,MV$3)</f>
        <v>0</v>
      </c>
      <c r="MW21" s="16">
        <f>SUMIFS(Datos!$F:$F,Datos!$A:$A,$B21,Datos!$B:$B,MW$3)</f>
        <v>0</v>
      </c>
      <c r="MX21" s="16">
        <f>SUMIFS(Datos!$F:$F,Datos!$A:$A,$B21,Datos!$B:$B,MX$3)</f>
        <v>0</v>
      </c>
      <c r="MY21" s="16">
        <f>SUMIFS(Datos!$F:$F,Datos!$A:$A,$B21,Datos!$B:$B,MY$3)</f>
        <v>0</v>
      </c>
      <c r="MZ21" s="16">
        <f>SUMIFS(Datos!$F:$F,Datos!$A:$A,$B21,Datos!$B:$B,MZ$3)</f>
        <v>0</v>
      </c>
      <c r="NA21" s="16">
        <f>SUMIFS(Datos!$F:$F,Datos!$A:$A,$B21,Datos!$B:$B,NA$3)</f>
        <v>0</v>
      </c>
      <c r="NB21" s="16">
        <f>SUMIFS(Datos!$F:$F,Datos!$A:$A,$B21,Datos!$B:$B,NB$3)</f>
        <v>0</v>
      </c>
      <c r="NC21" s="16">
        <f>SUMIFS(Datos!$F:$F,Datos!$A:$A,$B21,Datos!$B:$B,NC$3)</f>
        <v>0</v>
      </c>
      <c r="ND21" s="16">
        <f>SUMIFS(Datos!$F:$F,Datos!$A:$A,$B21,Datos!$B:$B,ND$3)</f>
        <v>0</v>
      </c>
      <c r="NE21" s="16">
        <f>SUMIFS(Datos!$F:$F,Datos!$A:$A,$B21,Datos!$B:$B,NE$3)</f>
        <v>0</v>
      </c>
      <c r="NF21" s="16">
        <f>SUMIFS(Datos!$F:$F,Datos!$A:$A,$B21,Datos!$B:$B,NF$3)</f>
        <v>0</v>
      </c>
      <c r="NG21" s="16">
        <f>SUMIFS(Datos!$F:$F,Datos!$A:$A,$B21,Datos!$B:$B,NG$3)</f>
        <v>0</v>
      </c>
      <c r="NH21" s="16">
        <f>SUMIFS(Datos!$F:$F,Datos!$A:$A,$B21,Datos!$B:$B,NH$3)</f>
        <v>0</v>
      </c>
      <c r="NI21" s="16">
        <f>SUMIFS(Datos!$F:$F,Datos!$A:$A,$B21,Datos!$B:$B,NI$3)</f>
        <v>0</v>
      </c>
      <c r="NJ21" s="16">
        <f>SUMIFS(Datos!$F:$F,Datos!$A:$A,$B21,Datos!$B:$B,NJ$3)</f>
        <v>0</v>
      </c>
      <c r="NK21" s="16">
        <f>SUMIFS(Datos!$F:$F,Datos!$A:$A,$B21,Datos!$B:$B,NK$3)</f>
        <v>0</v>
      </c>
      <c r="NL21" s="16">
        <f>SUMIFS(Datos!$F:$F,Datos!$A:$A,$B21,Datos!$B:$B,NL$3)</f>
        <v>0</v>
      </c>
      <c r="NM21" s="16">
        <f>SUMIFS(Datos!$F:$F,Datos!$A:$A,$B21,Datos!$B:$B,NM$3)</f>
        <v>0</v>
      </c>
      <c r="NN21" s="16">
        <f>SUMIFS(Datos!$F:$F,Datos!$A:$A,$B21,Datos!$B:$B,NN$3)</f>
        <v>0</v>
      </c>
      <c r="NO21" s="16">
        <f>SUMIFS(Datos!$F:$F,Datos!$A:$A,$B21,Datos!$B:$B,NO$3)</f>
        <v>0</v>
      </c>
      <c r="NP21" s="16">
        <f>SUMIFS(Datos!$F:$F,Datos!$A:$A,$B21,Datos!$B:$B,NP$3)</f>
        <v>0</v>
      </c>
      <c r="NQ21" s="16">
        <f>SUMIFS(Datos!$F:$F,Datos!$A:$A,$B21,Datos!$B:$B,NQ$3)</f>
        <v>0</v>
      </c>
      <c r="NR21" s="16">
        <f>SUMIFS(Datos!$F:$F,Datos!$A:$A,$B21,Datos!$B:$B,NR$3)</f>
        <v>0</v>
      </c>
      <c r="NS21" s="16">
        <f>SUMIFS(Datos!$F:$F,Datos!$A:$A,$B21,Datos!$B:$B,NS$3)</f>
        <v>0</v>
      </c>
      <c r="NT21" s="16">
        <f>SUMIFS(Datos!$F:$F,Datos!$A:$A,$B21,Datos!$B:$B,NT$3)</f>
        <v>0</v>
      </c>
      <c r="NU21" s="16">
        <f>SUMIFS(Datos!$F:$F,Datos!$A:$A,$B21,Datos!$B:$B,NU$3)</f>
        <v>0</v>
      </c>
      <c r="NV21" s="16">
        <f>SUMIFS(Datos!$F:$F,Datos!$A:$A,$B21,Datos!$B:$B,NV$3)</f>
        <v>0</v>
      </c>
      <c r="NW21" s="16">
        <f>SUMIFS(Datos!$F:$F,Datos!$A:$A,$B21,Datos!$B:$B,NW$3)</f>
        <v>0</v>
      </c>
      <c r="NX21" s="16">
        <f>SUMIFS(Datos!$F:$F,Datos!$A:$A,$B21,Datos!$B:$B,NX$3)</f>
        <v>0</v>
      </c>
      <c r="NY21" s="16">
        <f>SUMIFS(Datos!$F:$F,Datos!$A:$A,$B21,Datos!$B:$B,NY$3)</f>
        <v>0</v>
      </c>
      <c r="NZ21" s="16">
        <f>SUMIFS(Datos!$F:$F,Datos!$A:$A,$B21,Datos!$B:$B,NZ$3)</f>
        <v>0</v>
      </c>
      <c r="OA21" s="16">
        <f>SUMIFS(Datos!$F:$F,Datos!$A:$A,$B21,Datos!$B:$B,OA$3)</f>
        <v>0</v>
      </c>
      <c r="OB21" s="16">
        <f>SUMIFS(Datos!$F:$F,Datos!$A:$A,$B21,Datos!$B:$B,OB$3)</f>
        <v>0</v>
      </c>
      <c r="OC21" s="16">
        <f>SUMIFS(Datos!$F:$F,Datos!$A:$A,$B21,Datos!$B:$B,OC$3)</f>
        <v>0</v>
      </c>
      <c r="OD21" s="16">
        <f>SUMIFS(Datos!$F:$F,Datos!$A:$A,$B21,Datos!$B:$B,OD$3)</f>
        <v>0</v>
      </c>
      <c r="OE21" s="16">
        <f>SUMIFS(Datos!$F:$F,Datos!$A:$A,$B21,Datos!$B:$B,OE$3)</f>
        <v>0</v>
      </c>
      <c r="OF21" s="16">
        <f>SUMIFS(Datos!$F:$F,Datos!$A:$A,$B21,Datos!$B:$B,OF$3)</f>
        <v>0</v>
      </c>
      <c r="OG21" s="16">
        <f>SUMIFS(Datos!$F:$F,Datos!$A:$A,$B21,Datos!$B:$B,OG$3)</f>
        <v>0</v>
      </c>
      <c r="OH21" s="16">
        <f>SUMIFS(Datos!$F:$F,Datos!$A:$A,$B21,Datos!$B:$B,OH$3)</f>
        <v>0</v>
      </c>
      <c r="OI21" s="16">
        <f>SUMIFS(Datos!$F:$F,Datos!$A:$A,$B21,Datos!$B:$B,OI$3)</f>
        <v>0</v>
      </c>
      <c r="OJ21" s="16">
        <f>SUMIFS(Datos!$F:$F,Datos!$A:$A,$B21,Datos!$B:$B,OJ$3)</f>
        <v>0</v>
      </c>
      <c r="OK21" s="16">
        <f>SUMIFS(Datos!$F:$F,Datos!$A:$A,$B21,Datos!$B:$B,OK$3)</f>
        <v>0</v>
      </c>
      <c r="OL21" s="16">
        <f>SUMIFS(Datos!$F:$F,Datos!$A:$A,$B21,Datos!$B:$B,OL$3)</f>
        <v>0</v>
      </c>
      <c r="OM21" s="16">
        <f>SUMIFS(Datos!$F:$F,Datos!$A:$A,$B21,Datos!$B:$B,OM$3)</f>
        <v>0</v>
      </c>
      <c r="ON21" s="16">
        <f>SUMIFS(Datos!$F:$F,Datos!$A:$A,$B21,Datos!$B:$B,ON$3)</f>
        <v>0</v>
      </c>
      <c r="OO21" s="16">
        <f>SUMIFS(Datos!$F:$F,Datos!$A:$A,$B21,Datos!$B:$B,OO$3)</f>
        <v>0</v>
      </c>
      <c r="OP21" s="16">
        <f>SUMIFS(Datos!$F:$F,Datos!$A:$A,$B21,Datos!$B:$B,OP$3)</f>
        <v>0</v>
      </c>
      <c r="OQ21" s="16">
        <f>SUMIFS(Datos!$F:$F,Datos!$A:$A,$B21,Datos!$B:$B,OQ$3)</f>
        <v>0</v>
      </c>
      <c r="OR21" s="16">
        <f>SUMIFS(Datos!$F:$F,Datos!$A:$A,$B21,Datos!$B:$B,OR$3)</f>
        <v>0</v>
      </c>
      <c r="OS21" s="16">
        <f>SUMIFS(Datos!$F:$F,Datos!$A:$A,$B21,Datos!$B:$B,OS$3)</f>
        <v>0</v>
      </c>
      <c r="OT21" s="16">
        <f>SUMIFS(Datos!$F:$F,Datos!$A:$A,$B21,Datos!$B:$B,OT$3)</f>
        <v>0</v>
      </c>
      <c r="OU21" s="16">
        <f>SUMIFS(Datos!$F:$F,Datos!$A:$A,$B21,Datos!$B:$B,OU$3)</f>
        <v>0</v>
      </c>
      <c r="OV21" s="16">
        <f>SUMIFS(Datos!$F:$F,Datos!$A:$A,$B21,Datos!$B:$B,OV$3)</f>
        <v>0</v>
      </c>
      <c r="OW21" s="16">
        <f>SUMIFS(Datos!$F:$F,Datos!$A:$A,$B21,Datos!$B:$B,OW$3)</f>
        <v>0</v>
      </c>
      <c r="OX21" s="16">
        <f>SUMIFS(Datos!$F:$F,Datos!$A:$A,$B21,Datos!$B:$B,OX$3)</f>
        <v>0</v>
      </c>
      <c r="OY21" s="16">
        <f>SUMIFS(Datos!$F:$F,Datos!$A:$A,$B21,Datos!$B:$B,OY$3)</f>
        <v>0</v>
      </c>
      <c r="OZ21" s="16">
        <f>SUMIFS(Datos!$F:$F,Datos!$A:$A,$B21,Datos!$B:$B,OZ$3)</f>
        <v>0</v>
      </c>
      <c r="PA21" s="16">
        <f>SUMIFS(Datos!$F:$F,Datos!$A:$A,$B21,Datos!$B:$B,PA$3)</f>
        <v>0</v>
      </c>
      <c r="PB21" s="16">
        <f>SUMIFS(Datos!$F:$F,Datos!$A:$A,$B21,Datos!$B:$B,PB$3)</f>
        <v>0</v>
      </c>
      <c r="PC21" s="16">
        <f>SUMIFS(Datos!$F:$F,Datos!$A:$A,$B21,Datos!$B:$B,PC$3)</f>
        <v>0</v>
      </c>
      <c r="PD21" s="16">
        <f>SUMIFS(Datos!$F:$F,Datos!$A:$A,$B21,Datos!$B:$B,PD$3)</f>
        <v>0</v>
      </c>
      <c r="PE21" s="16">
        <f>SUMIFS(Datos!$F:$F,Datos!$A:$A,$B21,Datos!$B:$B,PE$3)</f>
        <v>0</v>
      </c>
      <c r="PF21" s="16">
        <f>SUMIFS(Datos!$F:$F,Datos!$A:$A,$B21,Datos!$B:$B,PF$3)</f>
        <v>0</v>
      </c>
      <c r="PG21" s="16">
        <f>SUMIFS(Datos!$F:$F,Datos!$A:$A,$B21,Datos!$B:$B,PG$3)</f>
        <v>0</v>
      </c>
      <c r="PH21" s="16">
        <f>SUMIFS(Datos!$F:$F,Datos!$A:$A,$B21,Datos!$B:$B,PH$3)</f>
        <v>0</v>
      </c>
      <c r="PI21" s="16">
        <f>SUMIFS(Datos!$F:$F,Datos!$A:$A,$B21,Datos!$B:$B,PI$3)</f>
        <v>0</v>
      </c>
      <c r="PJ21" s="16">
        <f>SUMIFS(Datos!$F:$F,Datos!$A:$A,$B21,Datos!$B:$B,PJ$3)</f>
        <v>0</v>
      </c>
      <c r="PK21" s="16">
        <f>SUMIFS(Datos!$F:$F,Datos!$A:$A,$B21,Datos!$B:$B,PK$3)</f>
        <v>0</v>
      </c>
      <c r="PL21" s="16">
        <f>SUMIFS(Datos!$F:$F,Datos!$A:$A,$B21,Datos!$B:$B,PL$3)</f>
        <v>0</v>
      </c>
      <c r="PM21" s="16">
        <f>SUMIFS(Datos!$F:$F,Datos!$A:$A,$B21,Datos!$B:$B,PM$3)</f>
        <v>0</v>
      </c>
      <c r="PN21" s="16">
        <f>SUMIFS(Datos!$F:$F,Datos!$A:$A,$B21,Datos!$B:$B,PN$3)</f>
        <v>0</v>
      </c>
      <c r="PO21" s="16">
        <f>SUMIFS(Datos!$F:$F,Datos!$A:$A,$B21,Datos!$B:$B,PO$3)</f>
        <v>0</v>
      </c>
      <c r="PP21" s="16">
        <f>SUMIFS(Datos!$F:$F,Datos!$A:$A,$B21,Datos!$B:$B,PP$3)</f>
        <v>0</v>
      </c>
      <c r="PQ21" s="16">
        <f>SUMIFS(Datos!$F:$F,Datos!$A:$A,$B21,Datos!$B:$B,PQ$3)</f>
        <v>0</v>
      </c>
      <c r="PR21" s="16">
        <f>SUMIFS(Datos!$F:$F,Datos!$A:$A,$B21,Datos!$B:$B,PR$3)</f>
        <v>0</v>
      </c>
      <c r="PS21" s="16">
        <f>SUMIFS(Datos!$F:$F,Datos!$A:$A,$B21,Datos!$B:$B,PS$3)</f>
        <v>0</v>
      </c>
      <c r="PT21" s="16">
        <f>SUMIFS(Datos!$F:$F,Datos!$A:$A,$B21,Datos!$B:$B,PT$3)</f>
        <v>0</v>
      </c>
      <c r="PU21" s="16">
        <f>SUMIFS(Datos!$F:$F,Datos!$A:$A,$B21,Datos!$B:$B,PU$3)</f>
        <v>0</v>
      </c>
      <c r="PV21" s="16">
        <f>SUMIFS(Datos!$F:$F,Datos!$A:$A,$B21,Datos!$B:$B,PV$3)</f>
        <v>0</v>
      </c>
      <c r="PW21" s="16">
        <f>SUMIFS(Datos!$F:$F,Datos!$A:$A,$B21,Datos!$B:$B,PW$3)</f>
        <v>0</v>
      </c>
      <c r="PX21" s="16">
        <f>SUMIFS(Datos!$F:$F,Datos!$A:$A,$B21,Datos!$B:$B,PX$3)</f>
        <v>0</v>
      </c>
      <c r="PY21" s="16">
        <f>SUMIFS(Datos!$F:$F,Datos!$A:$A,$B21,Datos!$B:$B,PY$3)</f>
        <v>0</v>
      </c>
      <c r="PZ21" s="16">
        <f>SUMIFS(Datos!$F:$F,Datos!$A:$A,$B21,Datos!$B:$B,PZ$3)</f>
        <v>0</v>
      </c>
      <c r="QA21" s="16">
        <f>SUMIFS(Datos!$F:$F,Datos!$A:$A,$B21,Datos!$B:$B,QA$3)</f>
        <v>0</v>
      </c>
      <c r="QB21" s="16">
        <f>SUMIFS(Datos!$F:$F,Datos!$A:$A,$B21,Datos!$B:$B,QB$3)</f>
        <v>0</v>
      </c>
      <c r="QC21" s="16">
        <f>SUMIFS(Datos!$F:$F,Datos!$A:$A,$B21,Datos!$B:$B,QC$3)</f>
        <v>0</v>
      </c>
      <c r="QD21" s="16">
        <f>SUMIFS(Datos!$F:$F,Datos!$A:$A,$B21,Datos!$B:$B,QD$3)</f>
        <v>0</v>
      </c>
      <c r="QE21" s="16">
        <f>SUMIFS(Datos!$F:$F,Datos!$A:$A,$B21,Datos!$B:$B,QE$3)</f>
        <v>0</v>
      </c>
      <c r="QF21" s="16">
        <f>SUMIFS(Datos!$F:$F,Datos!$A:$A,$B21,Datos!$B:$B,QF$3)</f>
        <v>0</v>
      </c>
      <c r="QG21" s="16">
        <f>SUMIFS(Datos!$F:$F,Datos!$A:$A,$B21,Datos!$B:$B,QG$3)</f>
        <v>0</v>
      </c>
      <c r="QH21" s="16">
        <f>SUMIFS(Datos!$F:$F,Datos!$A:$A,$B21,Datos!$B:$B,QH$3)</f>
        <v>0</v>
      </c>
      <c r="QI21" s="16">
        <f>SUMIFS(Datos!$F:$F,Datos!$A:$A,$B21,Datos!$B:$B,QI$3)</f>
        <v>0</v>
      </c>
      <c r="QJ21" s="16">
        <f>SUMIFS(Datos!$F:$F,Datos!$A:$A,$B21,Datos!$B:$B,QJ$3)</f>
        <v>0</v>
      </c>
      <c r="QK21" s="16">
        <f>SUMIFS(Datos!$F:$F,Datos!$A:$A,$B21,Datos!$B:$B,QK$3)</f>
        <v>0</v>
      </c>
      <c r="QL21" s="16">
        <f>SUMIFS(Datos!$F:$F,Datos!$A:$A,$B21,Datos!$B:$B,QL$3)</f>
        <v>0</v>
      </c>
      <c r="QM21" s="16">
        <f>SUMIFS(Datos!$F:$F,Datos!$A:$A,$B21,Datos!$B:$B,QM$3)</f>
        <v>0</v>
      </c>
      <c r="QN21" s="16">
        <f>SUMIFS(Datos!$F:$F,Datos!$A:$A,$B21,Datos!$B:$B,QN$3)</f>
        <v>0</v>
      </c>
      <c r="QO21" s="16">
        <f>SUMIFS(Datos!$F:$F,Datos!$A:$A,$B21,Datos!$B:$B,QO$3)</f>
        <v>0</v>
      </c>
      <c r="QP21" s="16">
        <f>SUMIFS(Datos!$F:$F,Datos!$A:$A,$B21,Datos!$B:$B,QP$3)</f>
        <v>0</v>
      </c>
      <c r="QQ21" s="16">
        <f>SUMIFS(Datos!$F:$F,Datos!$A:$A,$B21,Datos!$B:$B,QQ$3)</f>
        <v>0</v>
      </c>
      <c r="QR21" s="16">
        <f>SUMIFS(Datos!$F:$F,Datos!$A:$A,$B21,Datos!$B:$B,QR$3)</f>
        <v>0</v>
      </c>
      <c r="QS21" s="16">
        <f>SUMIFS(Datos!$F:$F,Datos!$A:$A,$B21,Datos!$B:$B,QS$3)</f>
        <v>0</v>
      </c>
      <c r="QT21" s="16">
        <f>SUMIFS(Datos!$F:$F,Datos!$A:$A,$B21,Datos!$B:$B,QT$3)</f>
        <v>0</v>
      </c>
      <c r="QU21" s="16">
        <f>SUMIFS(Datos!$F:$F,Datos!$A:$A,$B21,Datos!$B:$B,QU$3)</f>
        <v>0</v>
      </c>
      <c r="QV21" s="16">
        <f>SUMIFS(Datos!$F:$F,Datos!$A:$A,$B21,Datos!$B:$B,QV$3)</f>
        <v>0</v>
      </c>
      <c r="QW21" s="16">
        <f>SUMIFS(Datos!$F:$F,Datos!$A:$A,$B21,Datos!$B:$B,QW$3)</f>
        <v>0</v>
      </c>
      <c r="QX21" s="16">
        <f>SUMIFS(Datos!$F:$F,Datos!$A:$A,$B21,Datos!$B:$B,QX$3)</f>
        <v>0</v>
      </c>
      <c r="QY21" s="16">
        <f>SUMIFS(Datos!$F:$F,Datos!$A:$A,$B21,Datos!$B:$B,QY$3)</f>
        <v>0</v>
      </c>
      <c r="QZ21" s="16">
        <f>SUMIFS(Datos!$F:$F,Datos!$A:$A,$B21,Datos!$B:$B,QZ$3)</f>
        <v>0</v>
      </c>
      <c r="RA21" s="16">
        <f>SUMIFS(Datos!$F:$F,Datos!$A:$A,$B21,Datos!$B:$B,RA$3)</f>
        <v>0</v>
      </c>
      <c r="RB21" s="16">
        <f>SUMIFS(Datos!$F:$F,Datos!$A:$A,$B21,Datos!$B:$B,RB$3)</f>
        <v>0</v>
      </c>
      <c r="RC21" s="16">
        <f>SUMIFS(Datos!$F:$F,Datos!$A:$A,$B21,Datos!$B:$B,RC$3)</f>
        <v>0</v>
      </c>
      <c r="RD21" s="16">
        <f>SUMIFS(Datos!$F:$F,Datos!$A:$A,$B21,Datos!$B:$B,RD$3)</f>
        <v>0</v>
      </c>
      <c r="RE21" s="16">
        <f>SUMIFS(Datos!$F:$F,Datos!$A:$A,$B21,Datos!$B:$B,RE$3)</f>
        <v>0</v>
      </c>
      <c r="RF21" s="16">
        <f>SUMIFS(Datos!$F:$F,Datos!$A:$A,$B21,Datos!$B:$B,RF$3)</f>
        <v>0</v>
      </c>
      <c r="RG21" s="16">
        <f>SUMIFS(Datos!$F:$F,Datos!$A:$A,$B21,Datos!$B:$B,RG$3)</f>
        <v>0</v>
      </c>
      <c r="RH21" s="16">
        <f>SUMIFS(Datos!$F:$F,Datos!$A:$A,$B21,Datos!$B:$B,RH$3)</f>
        <v>0</v>
      </c>
      <c r="RI21" s="16">
        <f>SUMIFS(Datos!$F:$F,Datos!$A:$A,$B21,Datos!$B:$B,RI$3)</f>
        <v>0</v>
      </c>
      <c r="RJ21" s="16">
        <f>SUMIFS(Datos!$F:$F,Datos!$A:$A,$B21,Datos!$B:$B,RJ$3)</f>
        <v>0</v>
      </c>
      <c r="RK21" s="16">
        <f>SUMIFS(Datos!$F:$F,Datos!$A:$A,$B21,Datos!$B:$B,RK$3)</f>
        <v>0</v>
      </c>
      <c r="RL21" s="16">
        <f>SUMIFS(Datos!$F:$F,Datos!$A:$A,$B21,Datos!$B:$B,RL$3)</f>
        <v>0</v>
      </c>
      <c r="RM21" s="16">
        <f>SUMIFS(Datos!$F:$F,Datos!$A:$A,$B21,Datos!$B:$B,RM$3)</f>
        <v>0</v>
      </c>
      <c r="RN21" s="16">
        <f>SUMIFS(Datos!$F:$F,Datos!$A:$A,$B21,Datos!$B:$B,RN$3)</f>
        <v>0</v>
      </c>
      <c r="RO21" s="16">
        <f>SUMIFS(Datos!$F:$F,Datos!$A:$A,$B21,Datos!$B:$B,RO$3)</f>
        <v>0</v>
      </c>
      <c r="RP21" s="16">
        <f>SUMIFS(Datos!$F:$F,Datos!$A:$A,$B21,Datos!$B:$B,RP$3)</f>
        <v>0</v>
      </c>
      <c r="RQ21" s="16">
        <f>SUMIFS(Datos!$F:$F,Datos!$A:$A,$B21,Datos!$B:$B,RQ$3)</f>
        <v>0</v>
      </c>
      <c r="RR21" s="16">
        <f>SUMIFS(Datos!$F:$F,Datos!$A:$A,$B21,Datos!$B:$B,RR$3)</f>
        <v>0</v>
      </c>
      <c r="RS21" s="16">
        <f>SUMIFS(Datos!$F:$F,Datos!$A:$A,$B21,Datos!$B:$B,RS$3)</f>
        <v>0</v>
      </c>
      <c r="RT21" s="16">
        <f>SUMIFS(Datos!$F:$F,Datos!$A:$A,$B21,Datos!$B:$B,RT$3)</f>
        <v>0</v>
      </c>
      <c r="RU21" s="16">
        <f>SUMIFS(Datos!$F:$F,Datos!$A:$A,$B21,Datos!$B:$B,RU$3)</f>
        <v>0</v>
      </c>
      <c r="RV21" s="16">
        <f>SUMIFS(Datos!$F:$F,Datos!$A:$A,$B21,Datos!$B:$B,RV$3)</f>
        <v>0</v>
      </c>
      <c r="RW21" s="16">
        <f>SUMIFS(Datos!$F:$F,Datos!$A:$A,$B21,Datos!$B:$B,RW$3)</f>
        <v>0</v>
      </c>
      <c r="RX21" s="16">
        <f>SUMIFS(Datos!$F:$F,Datos!$A:$A,$B21,Datos!$B:$B,RX$3)</f>
        <v>0</v>
      </c>
      <c r="RY21" s="16">
        <f>SUMIFS(Datos!$F:$F,Datos!$A:$A,$B21,Datos!$B:$B,RY$3)</f>
        <v>0</v>
      </c>
      <c r="RZ21" s="16">
        <f>SUMIFS(Datos!$F:$F,Datos!$A:$A,$B21,Datos!$B:$B,RZ$3)</f>
        <v>0</v>
      </c>
      <c r="SA21" s="16">
        <f>SUMIFS(Datos!$F:$F,Datos!$A:$A,$B21,Datos!$B:$B,SA$3)</f>
        <v>0</v>
      </c>
      <c r="SB21" s="16">
        <f>SUMIFS(Datos!$F:$F,Datos!$A:$A,$B21,Datos!$B:$B,SB$3)</f>
        <v>0</v>
      </c>
      <c r="SC21" s="16">
        <f>SUMIFS(Datos!$F:$F,Datos!$A:$A,$B21,Datos!$B:$B,SC$3)</f>
        <v>0</v>
      </c>
      <c r="SD21" s="16">
        <f>SUMIFS(Datos!$F:$F,Datos!$A:$A,$B21,Datos!$B:$B,SD$3)</f>
        <v>0</v>
      </c>
      <c r="SE21" s="16">
        <f>SUMIFS(Datos!$F:$F,Datos!$A:$A,$B21,Datos!$B:$B,SE$3)</f>
        <v>0</v>
      </c>
      <c r="SF21" s="16">
        <f>SUMIFS(Datos!$F:$F,Datos!$A:$A,$B21,Datos!$B:$B,SF$3)</f>
        <v>0</v>
      </c>
      <c r="SG21" s="16">
        <f>SUMIFS(Datos!$F:$F,Datos!$A:$A,$B21,Datos!$B:$B,SG$3)</f>
        <v>0</v>
      </c>
      <c r="SH21" s="16">
        <f>SUMIFS(Datos!$F:$F,Datos!$A:$A,$B21,Datos!$B:$B,SH$3)</f>
        <v>0</v>
      </c>
      <c r="SI21" s="16">
        <f>SUMIFS(Datos!$F:$F,Datos!$A:$A,$B21,Datos!$B:$B,SI$3)</f>
        <v>0</v>
      </c>
      <c r="SJ21" s="16">
        <f>SUMIFS(Datos!$F:$F,Datos!$A:$A,$B21,Datos!$B:$B,SJ$3)</f>
        <v>0</v>
      </c>
      <c r="SK21" s="16">
        <f>SUMIFS(Datos!$F:$F,Datos!$A:$A,$B21,Datos!$B:$B,SK$3)</f>
        <v>0</v>
      </c>
      <c r="SL21" s="16">
        <f>SUMIFS(Datos!$F:$F,Datos!$A:$A,$B21,Datos!$B:$B,SL$3)</f>
        <v>0</v>
      </c>
      <c r="SM21" s="16">
        <f>SUMIFS(Datos!$F:$F,Datos!$A:$A,$B21,Datos!$B:$B,SM$3)</f>
        <v>0</v>
      </c>
      <c r="SN21" s="16">
        <f>SUMIFS(Datos!$F:$F,Datos!$A:$A,$B21,Datos!$B:$B,SN$3)</f>
        <v>0</v>
      </c>
      <c r="SO21" s="16">
        <f>SUMIFS(Datos!$F:$F,Datos!$A:$A,$B21,Datos!$B:$B,SO$3)</f>
        <v>0</v>
      </c>
      <c r="SP21" s="16">
        <f>SUMIFS(Datos!$F:$F,Datos!$A:$A,$B21,Datos!$B:$B,SP$3)</f>
        <v>0</v>
      </c>
      <c r="SQ21" s="16">
        <f>SUMIFS(Datos!$F:$F,Datos!$A:$A,$B21,Datos!$B:$B,SQ$3)</f>
        <v>0</v>
      </c>
      <c r="SR21" s="16">
        <f>SUMIFS(Datos!$F:$F,Datos!$A:$A,$B21,Datos!$B:$B,SR$3)</f>
        <v>0</v>
      </c>
      <c r="SS21" s="16">
        <f>SUMIFS(Datos!$F:$F,Datos!$A:$A,$B21,Datos!$B:$B,SS$3)</f>
        <v>0</v>
      </c>
      <c r="ST21" s="16">
        <f>SUMIFS(Datos!$F:$F,Datos!$A:$A,$B21,Datos!$B:$B,ST$3)</f>
        <v>0</v>
      </c>
      <c r="SU21" s="16">
        <f>SUMIFS(Datos!$F:$F,Datos!$A:$A,$B21,Datos!$B:$B,SU$3)</f>
        <v>0</v>
      </c>
      <c r="SV21" s="16">
        <f>SUMIFS(Datos!$F:$F,Datos!$A:$A,$B21,Datos!$B:$B,SV$3)</f>
        <v>0</v>
      </c>
      <c r="SW21" s="16">
        <f>SUMIFS(Datos!$F:$F,Datos!$A:$A,$B21,Datos!$B:$B,SW$3)</f>
        <v>0</v>
      </c>
      <c r="SX21" s="16">
        <f>SUMIFS(Datos!$F:$F,Datos!$A:$A,$B21,Datos!$B:$B,SX$3)</f>
        <v>0</v>
      </c>
      <c r="SY21" s="16">
        <f>SUMIFS(Datos!$F:$F,Datos!$A:$A,$B21,Datos!$B:$B,SY$3)</f>
        <v>0</v>
      </c>
      <c r="SZ21" s="16">
        <f>SUMIFS(Datos!$F:$F,Datos!$A:$A,$B21,Datos!$B:$B,SZ$3)</f>
        <v>0</v>
      </c>
      <c r="TA21" s="16">
        <f>SUMIFS(Datos!$F:$F,Datos!$A:$A,$B21,Datos!$B:$B,TA$3)</f>
        <v>0</v>
      </c>
      <c r="TB21" s="16">
        <f>SUMIFS(Datos!$F:$F,Datos!$A:$A,$B21,Datos!$B:$B,TB$3)</f>
        <v>0</v>
      </c>
      <c r="TC21" s="16">
        <f>SUMIFS(Datos!$F:$F,Datos!$A:$A,$B21,Datos!$B:$B,TC$3)</f>
        <v>0</v>
      </c>
      <c r="TD21" s="16">
        <f>SUMIFS(Datos!$F:$F,Datos!$A:$A,$B21,Datos!$B:$B,TD$3)</f>
        <v>0</v>
      </c>
      <c r="TE21" s="16">
        <f>SUMIFS(Datos!$F:$F,Datos!$A:$A,$B21,Datos!$B:$B,TE$3)</f>
        <v>0</v>
      </c>
      <c r="TF21" s="16">
        <f>SUMIFS(Datos!$F:$F,Datos!$A:$A,$B21,Datos!$B:$B,TF$3)</f>
        <v>0</v>
      </c>
    </row>
  </sheetData>
  <autoFilter ref="A3:C21"/>
  <sortState ref="B2:TF78">
    <sortCondition ref="C2:C78"/>
  </sortState>
  <dataConsolidate/>
  <dataValidations disablePrompts="1" count="1">
    <dataValidation type="list" allowBlank="1" showInputMessage="1" showErrorMessage="1" sqref="A4:A21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>
    <tabColor theme="0" tint="-0.14999847407452621"/>
  </sheetPr>
  <dimension ref="A1:J21"/>
  <sheetViews>
    <sheetView showZeros="0" zoomScaleNormal="100" zoomScalePageLayoutView="15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C35" sqref="C35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4" width="14.42578125" bestFit="1" customWidth="1"/>
    <col min="5" max="9" width="10.7109375" bestFit="1" customWidth="1"/>
  </cols>
  <sheetData>
    <row r="1" spans="1:10">
      <c r="E1" s="42"/>
      <c r="F1" s="42"/>
      <c r="G1" s="42"/>
      <c r="H1" s="42"/>
      <c r="I1" s="42"/>
    </row>
    <row r="2" spans="1:10">
      <c r="A2" s="4"/>
      <c r="B2" s="4"/>
      <c r="C2" s="4"/>
      <c r="D2" s="4"/>
      <c r="E2" s="43">
        <v>41719</v>
      </c>
      <c r="F2" s="43">
        <f>E3</f>
        <v>41722</v>
      </c>
      <c r="G2" s="43">
        <f t="shared" ref="G2:I2" si="0">F3</f>
        <v>41723</v>
      </c>
      <c r="H2" s="43">
        <f t="shared" si="0"/>
        <v>41724</v>
      </c>
      <c r="I2" s="43">
        <f t="shared" si="0"/>
        <v>41725</v>
      </c>
      <c r="J2" s="72" t="s">
        <v>69</v>
      </c>
    </row>
    <row r="3" spans="1:10" ht="15.75" thickBot="1">
      <c r="A3" s="2" t="s">
        <v>47</v>
      </c>
      <c r="B3" s="2" t="s">
        <v>0</v>
      </c>
      <c r="C3" s="2" t="s">
        <v>1</v>
      </c>
      <c r="D3" s="2" t="s">
        <v>68</v>
      </c>
      <c r="E3" s="44">
        <v>41722</v>
      </c>
      <c r="F3" s="43">
        <f>F2+1</f>
        <v>41723</v>
      </c>
      <c r="G3" s="43">
        <f t="shared" ref="G3:I3" si="1">G2+1</f>
        <v>41724</v>
      </c>
      <c r="H3" s="43">
        <f t="shared" si="1"/>
        <v>41725</v>
      </c>
      <c r="I3" s="43">
        <f t="shared" si="1"/>
        <v>41726</v>
      </c>
      <c r="J3" s="72"/>
    </row>
    <row r="4" spans="1:10">
      <c r="A4" s="31" t="s">
        <v>48</v>
      </c>
      <c r="B4" s="4">
        <f>Cartera!B4</f>
        <v>0</v>
      </c>
      <c r="C4" s="4">
        <f>Cartera!C4</f>
        <v>0</v>
      </c>
      <c r="D4" s="4">
        <f>Cartera!D4</f>
        <v>0</v>
      </c>
      <c r="E4" s="29" t="str">
        <f ca="1">IFERROR(buscarUltimoVLRangoFechas($B4,E$2,E$3)/buscarPrimerVLRangoFechas($B4,E$2,E$3)-1, "")</f>
        <v/>
      </c>
      <c r="F4" s="29" t="str">
        <f ca="1">IFERROR(buscarUltimoVLRangoFechas($B4,F$2,F$3)/buscarPrimerVLRangoFechas($B4,F$2,F$3)-1, "")</f>
        <v/>
      </c>
      <c r="G4" s="29" t="str">
        <f ca="1">IFERROR(buscarUltimoVLRangoFechas($B4,G$2,G$3)/buscarPrimerVLRangoFechas($B4,G$2,G$3)-1, "")</f>
        <v/>
      </c>
      <c r="H4" s="29" t="str">
        <f ca="1">IFERROR(buscarUltimoVLRangoFechas($B4,H$2,H$3)/buscarPrimerVLRangoFechas($B4,H$2,H$3)-1, "")</f>
        <v/>
      </c>
      <c r="I4" s="29" t="str">
        <f ca="1">IFERROR(buscarUltimoVLRangoFechas($B4,I$2,I$3)/buscarPrimerVLRangoFechas($B4,I$2,I$3)-1, "")</f>
        <v/>
      </c>
    </row>
    <row r="5" spans="1:10">
      <c r="A5" s="31" t="s">
        <v>48</v>
      </c>
      <c r="B5" s="4">
        <f>Cartera!B5</f>
        <v>0</v>
      </c>
      <c r="C5" s="4">
        <f>Cartera!C5</f>
        <v>0</v>
      </c>
      <c r="D5" s="4">
        <f>Cartera!D5</f>
        <v>0</v>
      </c>
      <c r="E5" s="29" t="str">
        <f ca="1">IFERROR(buscarUltimoVLRangoFechas($B5,E$2,E$3)/buscarPrimerVLRangoFechas($B5,E$2,E$3)-1, "")</f>
        <v/>
      </c>
      <c r="F5" s="29" t="str">
        <f ca="1">IFERROR(buscarUltimoVLRangoFechas($B5,F$2,F$3)/buscarPrimerVLRangoFechas($B5,F$2,F$3)-1, "")</f>
        <v/>
      </c>
      <c r="G5" s="29" t="str">
        <f ca="1">IFERROR(buscarUltimoVLRangoFechas($B5,G$2,G$3)/buscarPrimerVLRangoFechas($B5,G$2,G$3)-1, "")</f>
        <v/>
      </c>
      <c r="H5" s="29" t="str">
        <f ca="1">IFERROR(buscarUltimoVLRangoFechas($B5,H$2,H$3)/buscarPrimerVLRangoFechas($B5,H$2,H$3)-1, "")</f>
        <v/>
      </c>
      <c r="I5" s="29" t="str">
        <f ca="1">IFERROR(buscarUltimoVLRangoFechas($B5,I$2,I$3)/buscarPrimerVLRangoFechas($B5,I$2,I$3)-1, "")</f>
        <v/>
      </c>
      <c r="J5" s="35">
        <f ca="1">SUM(E5:I5)</f>
        <v>0</v>
      </c>
    </row>
    <row r="6" spans="1:10">
      <c r="A6" s="31" t="s">
        <v>48</v>
      </c>
      <c r="B6" s="4">
        <f>Cartera!B6</f>
        <v>0</v>
      </c>
      <c r="C6" s="4">
        <f>Cartera!C6</f>
        <v>0</v>
      </c>
      <c r="D6" s="4">
        <f>Cartera!D6</f>
        <v>0</v>
      </c>
      <c r="E6" s="29" t="str">
        <f ca="1">IFERROR(buscarUltimoVLRangoFechas($B6,E$2,E$3)/buscarPrimerVLRangoFechas($B6,E$2,E$3)-1, "")</f>
        <v/>
      </c>
      <c r="F6" s="29" t="str">
        <f ca="1">IFERROR(buscarUltimoVLRangoFechas($B6,F$2,F$3)/buscarPrimerVLRangoFechas($B6,F$2,F$3)-1, "")</f>
        <v/>
      </c>
      <c r="G6" s="29" t="str">
        <f ca="1">IFERROR(buscarUltimoVLRangoFechas($B6,G$2,G$3)/buscarPrimerVLRangoFechas($B6,G$2,G$3)-1, "")</f>
        <v/>
      </c>
      <c r="H6" s="29" t="str">
        <f ca="1">IFERROR(buscarUltimoVLRangoFechas($B6,H$2,H$3)/buscarPrimerVLRangoFechas($B6,H$2,H$3)-1, "")</f>
        <v/>
      </c>
      <c r="I6" s="29" t="str">
        <f ca="1">IFERROR(buscarUltimoVLRangoFechas($B6,I$2,I$3)/buscarPrimerVLRangoFechas($B6,I$2,I$3)-1, "")</f>
        <v/>
      </c>
      <c r="J6" s="35">
        <f t="shared" ref="J6:J21" ca="1" si="2">SUM(E6:I6)</f>
        <v>0</v>
      </c>
    </row>
    <row r="7" spans="1:10">
      <c r="A7" s="31" t="s">
        <v>48</v>
      </c>
      <c r="B7" s="4">
        <f>Cartera!B7</f>
        <v>0</v>
      </c>
      <c r="C7" s="4">
        <f>Cartera!C7</f>
        <v>0</v>
      </c>
      <c r="D7" s="4">
        <f>Cartera!D7</f>
        <v>0</v>
      </c>
      <c r="E7" s="29" t="str">
        <f ca="1">IFERROR(buscarUltimoVLRangoFechas($B7,E$2,E$3)/buscarPrimerVLRangoFechas($B7,E$2,E$3)-1, "")</f>
        <v/>
      </c>
      <c r="F7" s="29" t="str">
        <f ca="1">IFERROR(buscarUltimoVLRangoFechas($B7,F$2,F$3)/buscarPrimerVLRangoFechas($B7,F$2,F$3)-1, "")</f>
        <v/>
      </c>
      <c r="G7" s="29" t="str">
        <f ca="1">IFERROR(buscarUltimoVLRangoFechas($B7,G$2,G$3)/buscarPrimerVLRangoFechas($B7,G$2,G$3)-1, "")</f>
        <v/>
      </c>
      <c r="H7" s="29" t="str">
        <f ca="1">IFERROR(buscarUltimoVLRangoFechas($B7,H$2,H$3)/buscarPrimerVLRangoFechas($B7,H$2,H$3)-1, "")</f>
        <v/>
      </c>
      <c r="I7" s="29" t="str">
        <f ca="1">IFERROR(buscarUltimoVLRangoFechas($B7,I$2,I$3)/buscarPrimerVLRangoFechas($B7,I$2,I$3)-1, "")</f>
        <v/>
      </c>
      <c r="J7" s="35">
        <f t="shared" ca="1" si="2"/>
        <v>0</v>
      </c>
    </row>
    <row r="8" spans="1:10">
      <c r="A8" s="31" t="s">
        <v>48</v>
      </c>
      <c r="B8" s="4">
        <f>Cartera!B8</f>
        <v>0</v>
      </c>
      <c r="C8" s="4">
        <f>Cartera!C8</f>
        <v>0</v>
      </c>
      <c r="D8" s="4">
        <f>Cartera!D8</f>
        <v>0</v>
      </c>
      <c r="E8" s="29" t="str">
        <f ca="1">IFERROR(buscarUltimoVLRangoFechas($B8,E$2,E$3)/buscarPrimerVLRangoFechas($B8,E$2,E$3)-1, "")</f>
        <v/>
      </c>
      <c r="F8" s="29" t="str">
        <f ca="1">IFERROR(buscarUltimoVLRangoFechas($B8,F$2,F$3)/buscarPrimerVLRangoFechas($B8,F$2,F$3)-1, "")</f>
        <v/>
      </c>
      <c r="G8" s="29" t="str">
        <f ca="1">IFERROR(buscarUltimoVLRangoFechas($B8,G$2,G$3)/buscarPrimerVLRangoFechas($B8,G$2,G$3)-1, "")</f>
        <v/>
      </c>
      <c r="H8" s="29" t="str">
        <f ca="1">IFERROR(buscarUltimoVLRangoFechas($B8,H$2,H$3)/buscarPrimerVLRangoFechas($B8,H$2,H$3)-1, "")</f>
        <v/>
      </c>
      <c r="I8" s="29" t="str">
        <f ca="1">IFERROR(buscarUltimoVLRangoFechas($B8,I$2,I$3)/buscarPrimerVLRangoFechas($B8,I$2,I$3)-1, "")</f>
        <v/>
      </c>
      <c r="J8" s="35">
        <f t="shared" ca="1" si="2"/>
        <v>0</v>
      </c>
    </row>
    <row r="9" spans="1:10">
      <c r="A9" s="31" t="s">
        <v>48</v>
      </c>
      <c r="B9" s="4">
        <f>Cartera!B9</f>
        <v>0</v>
      </c>
      <c r="C9" s="4">
        <f>Cartera!C9</f>
        <v>0</v>
      </c>
      <c r="D9" s="4">
        <f>Cartera!D9</f>
        <v>0</v>
      </c>
      <c r="E9" s="29" t="str">
        <f ca="1">IFERROR(buscarUltimoVLRangoFechas($B9,E$2,E$3)/buscarPrimerVLRangoFechas($B9,E$2,E$3)-1, "")</f>
        <v/>
      </c>
      <c r="F9" s="29" t="str">
        <f ca="1">IFERROR(buscarUltimoVLRangoFechas($B9,F$2,F$3)/buscarPrimerVLRangoFechas($B9,F$2,F$3)-1, "")</f>
        <v/>
      </c>
      <c r="G9" s="29" t="str">
        <f ca="1">IFERROR(buscarUltimoVLRangoFechas($B9,G$2,G$3)/buscarPrimerVLRangoFechas($B9,G$2,G$3)-1, "")</f>
        <v/>
      </c>
      <c r="H9" s="29" t="str">
        <f ca="1">IFERROR(buscarUltimoVLRangoFechas($B9,H$2,H$3)/buscarPrimerVLRangoFechas($B9,H$2,H$3)-1, "")</f>
        <v/>
      </c>
      <c r="I9" s="29" t="str">
        <f ca="1">IFERROR(buscarUltimoVLRangoFechas($B9,I$2,I$3)/buscarPrimerVLRangoFechas($B9,I$2,I$3)-1, "")</f>
        <v/>
      </c>
      <c r="J9" s="35">
        <f t="shared" ca="1" si="2"/>
        <v>0</v>
      </c>
    </row>
    <row r="10" spans="1:10">
      <c r="A10" s="31" t="s">
        <v>48</v>
      </c>
      <c r="B10" s="4">
        <f>Cartera!B10</f>
        <v>0</v>
      </c>
      <c r="C10" s="4">
        <f>Cartera!C10</f>
        <v>0</v>
      </c>
      <c r="D10" s="4">
        <f>Cartera!D10</f>
        <v>0</v>
      </c>
      <c r="E10" s="29" t="str">
        <f ca="1">IFERROR(buscarUltimoVLRangoFechas($B10,E$2,E$3)/buscarPrimerVLRangoFechas($B10,E$2,E$3)-1, "")</f>
        <v/>
      </c>
      <c r="F10" s="29" t="str">
        <f ca="1">IFERROR(buscarUltimoVLRangoFechas($B10,F$2,F$3)/buscarPrimerVLRangoFechas($B10,F$2,F$3)-1, "")</f>
        <v/>
      </c>
      <c r="G10" s="29" t="str">
        <f ca="1">IFERROR(buscarUltimoVLRangoFechas($B10,G$2,G$3)/buscarPrimerVLRangoFechas($B10,G$2,G$3)-1, "")</f>
        <v/>
      </c>
      <c r="H10" s="29" t="str">
        <f ca="1">IFERROR(buscarUltimoVLRangoFechas($B10,H$2,H$3)/buscarPrimerVLRangoFechas($B10,H$2,H$3)-1, "")</f>
        <v/>
      </c>
      <c r="I10" s="29" t="str">
        <f ca="1">IFERROR(buscarUltimoVLRangoFechas($B10,I$2,I$3)/buscarPrimerVLRangoFechas($B10,I$2,I$3)-1, "")</f>
        <v/>
      </c>
      <c r="J10" s="35">
        <f t="shared" ca="1" si="2"/>
        <v>0</v>
      </c>
    </row>
    <row r="11" spans="1:10">
      <c r="A11" s="31" t="s">
        <v>48</v>
      </c>
      <c r="B11" s="4">
        <f>Cartera!B11</f>
        <v>0</v>
      </c>
      <c r="C11" s="4">
        <f>Cartera!C11</f>
        <v>0</v>
      </c>
      <c r="D11" s="4">
        <f>Cartera!D11</f>
        <v>0</v>
      </c>
      <c r="E11" s="29" t="str">
        <f ca="1">IFERROR(buscarUltimoVLRangoFechas($B11,E$2,E$3)/buscarPrimerVLRangoFechas($B11,E$2,E$3)-1, "")</f>
        <v/>
      </c>
      <c r="F11" s="29" t="str">
        <f ca="1">IFERROR(buscarUltimoVLRangoFechas($B11,F$2,F$3)/buscarPrimerVLRangoFechas($B11,F$2,F$3)-1, "")</f>
        <v/>
      </c>
      <c r="G11" s="29" t="str">
        <f ca="1">IFERROR(buscarUltimoVLRangoFechas($B11,G$2,G$3)/buscarPrimerVLRangoFechas($B11,G$2,G$3)-1, "")</f>
        <v/>
      </c>
      <c r="H11" s="29" t="str">
        <f ca="1">IFERROR(buscarUltimoVLRangoFechas($B11,H$2,H$3)/buscarPrimerVLRangoFechas($B11,H$2,H$3)-1, "")</f>
        <v/>
      </c>
      <c r="I11" s="29" t="str">
        <f ca="1">IFERROR(buscarUltimoVLRangoFechas($B11,I$2,I$3)/buscarPrimerVLRangoFechas($B11,I$2,I$3)-1, "")</f>
        <v/>
      </c>
      <c r="J11" s="35">
        <f t="shared" ca="1" si="2"/>
        <v>0</v>
      </c>
    </row>
    <row r="12" spans="1:10">
      <c r="A12" s="31" t="s">
        <v>48</v>
      </c>
      <c r="B12" s="4">
        <f>Cartera!B12</f>
        <v>0</v>
      </c>
      <c r="C12" s="4">
        <f>Cartera!C12</f>
        <v>0</v>
      </c>
      <c r="D12" s="4">
        <f>Cartera!D12</f>
        <v>0</v>
      </c>
      <c r="E12" s="29" t="str">
        <f ca="1">IFERROR(buscarUltimoVLRangoFechas($B12,E$2,E$3)/buscarPrimerVLRangoFechas($B12,E$2,E$3)-1, "")</f>
        <v/>
      </c>
      <c r="F12" s="29" t="str">
        <f ca="1">IFERROR(buscarUltimoVLRangoFechas($B12,F$2,F$3)/buscarPrimerVLRangoFechas($B12,F$2,F$3)-1, "")</f>
        <v/>
      </c>
      <c r="G12" s="29" t="str">
        <f ca="1">IFERROR(buscarUltimoVLRangoFechas($B12,G$2,G$3)/buscarPrimerVLRangoFechas($B12,G$2,G$3)-1, "")</f>
        <v/>
      </c>
      <c r="H12" s="29" t="str">
        <f ca="1">IFERROR(buscarUltimoVLRangoFechas($B12,H$2,H$3)/buscarPrimerVLRangoFechas($B12,H$2,H$3)-1, "")</f>
        <v/>
      </c>
      <c r="I12" s="29" t="str">
        <f ca="1">IFERROR(buscarUltimoVLRangoFechas($B12,I$2,I$3)/buscarPrimerVLRangoFechas($B12,I$2,I$3)-1, "")</f>
        <v/>
      </c>
      <c r="J12" s="35">
        <f t="shared" ca="1" si="2"/>
        <v>0</v>
      </c>
    </row>
    <row r="13" spans="1:10">
      <c r="A13" s="31" t="s">
        <v>48</v>
      </c>
      <c r="B13" s="4">
        <f>Cartera!B13</f>
        <v>0</v>
      </c>
      <c r="C13" s="4">
        <f>Cartera!C13</f>
        <v>0</v>
      </c>
      <c r="D13" s="4">
        <f>Cartera!D13</f>
        <v>0</v>
      </c>
      <c r="E13" s="29" t="str">
        <f ca="1">IFERROR(buscarUltimoVLRangoFechas($B13,E$2,E$3)/buscarPrimerVLRangoFechas($B13,E$2,E$3)-1, "")</f>
        <v/>
      </c>
      <c r="F13" s="29" t="str">
        <f ca="1">IFERROR(buscarUltimoVLRangoFechas($B13,F$2,F$3)/buscarPrimerVLRangoFechas($B13,F$2,F$3)-1, "")</f>
        <v/>
      </c>
      <c r="G13" s="29" t="str">
        <f ca="1">IFERROR(buscarUltimoVLRangoFechas($B13,G$2,G$3)/buscarPrimerVLRangoFechas($B13,G$2,G$3)-1, "")</f>
        <v/>
      </c>
      <c r="H13" s="29" t="str">
        <f ca="1">IFERROR(buscarUltimoVLRangoFechas($B13,H$2,H$3)/buscarPrimerVLRangoFechas($B13,H$2,H$3)-1, "")</f>
        <v/>
      </c>
      <c r="I13" s="29" t="str">
        <f ca="1">IFERROR(buscarUltimoVLRangoFechas($B13,I$2,I$3)/buscarPrimerVLRangoFechas($B13,I$2,I$3)-1, "")</f>
        <v/>
      </c>
      <c r="J13" s="35">
        <f t="shared" ca="1" si="2"/>
        <v>0</v>
      </c>
    </row>
    <row r="14" spans="1:10">
      <c r="A14" s="31" t="s">
        <v>48</v>
      </c>
      <c r="B14" s="4">
        <f>Cartera!B14</f>
        <v>0</v>
      </c>
      <c r="C14" s="4">
        <f>Cartera!C14</f>
        <v>0</v>
      </c>
      <c r="D14" s="4">
        <f>Cartera!D14</f>
        <v>0</v>
      </c>
      <c r="E14" s="29" t="str">
        <f ca="1">IFERROR(buscarUltimoVLRangoFechas($B14,E$2,E$3)/buscarPrimerVLRangoFechas($B14,E$2,E$3)-1, "")</f>
        <v/>
      </c>
      <c r="F14" s="29" t="str">
        <f ca="1">IFERROR(buscarUltimoVLRangoFechas($B14,F$2,F$3)/buscarPrimerVLRangoFechas($B14,F$2,F$3)-1, "")</f>
        <v/>
      </c>
      <c r="G14" s="29" t="str">
        <f ca="1">IFERROR(buscarUltimoVLRangoFechas($B14,G$2,G$3)/buscarPrimerVLRangoFechas($B14,G$2,G$3)-1, "")</f>
        <v/>
      </c>
      <c r="H14" s="29" t="str">
        <f ca="1">IFERROR(buscarUltimoVLRangoFechas($B14,H$2,H$3)/buscarPrimerVLRangoFechas($B14,H$2,H$3)-1, "")</f>
        <v/>
      </c>
      <c r="I14" s="29" t="str">
        <f ca="1">IFERROR(buscarUltimoVLRangoFechas($B14,I$2,I$3)/buscarPrimerVLRangoFechas($B14,I$2,I$3)-1, "")</f>
        <v/>
      </c>
      <c r="J14" s="35">
        <f t="shared" ca="1" si="2"/>
        <v>0</v>
      </c>
    </row>
    <row r="15" spans="1:10">
      <c r="A15" s="31" t="s">
        <v>48</v>
      </c>
      <c r="B15" s="4">
        <f>Cartera!B15</f>
        <v>0</v>
      </c>
      <c r="C15" s="4">
        <f>Cartera!C15</f>
        <v>0</v>
      </c>
      <c r="D15" s="4">
        <f>Cartera!D15</f>
        <v>0</v>
      </c>
      <c r="E15" s="29" t="str">
        <f ca="1">IFERROR(buscarUltimoVLRangoFechas($B15,E$2,E$3)/buscarPrimerVLRangoFechas($B15,E$2,E$3)-1, "")</f>
        <v/>
      </c>
      <c r="F15" s="29" t="str">
        <f ca="1">IFERROR(buscarUltimoVLRangoFechas($B15,F$2,F$3)/buscarPrimerVLRangoFechas($B15,F$2,F$3)-1, "")</f>
        <v/>
      </c>
      <c r="G15" s="29" t="str">
        <f ca="1">IFERROR(buscarUltimoVLRangoFechas($B15,G$2,G$3)/buscarPrimerVLRangoFechas($B15,G$2,G$3)-1, "")</f>
        <v/>
      </c>
      <c r="H15" s="29" t="str">
        <f ca="1">IFERROR(buscarUltimoVLRangoFechas($B15,H$2,H$3)/buscarPrimerVLRangoFechas($B15,H$2,H$3)-1, "")</f>
        <v/>
      </c>
      <c r="I15" s="29" t="str">
        <f ca="1">IFERROR(buscarUltimoVLRangoFechas($B15,I$2,I$3)/buscarPrimerVLRangoFechas($B15,I$2,I$3)-1, "")</f>
        <v/>
      </c>
      <c r="J15" s="35">
        <f t="shared" ca="1" si="2"/>
        <v>0</v>
      </c>
    </row>
    <row r="16" spans="1:10">
      <c r="A16" s="31" t="s">
        <v>48</v>
      </c>
      <c r="B16" s="4">
        <f>Cartera!B16</f>
        <v>0</v>
      </c>
      <c r="C16" s="4">
        <f>Cartera!C16</f>
        <v>0</v>
      </c>
      <c r="D16" s="4">
        <f>Cartera!D16</f>
        <v>0</v>
      </c>
      <c r="E16" s="29" t="str">
        <f ca="1">IFERROR(buscarUltimoVLRangoFechas($B16,E$2,E$3)/buscarPrimerVLRangoFechas($B16,E$2,E$3)-1, "")</f>
        <v/>
      </c>
      <c r="F16" s="29" t="str">
        <f ca="1">IFERROR(buscarUltimoVLRangoFechas($B16,F$2,F$3)/buscarPrimerVLRangoFechas($B16,F$2,F$3)-1, "")</f>
        <v/>
      </c>
      <c r="G16" s="29" t="str">
        <f ca="1">IFERROR(buscarUltimoVLRangoFechas($B16,G$2,G$3)/buscarPrimerVLRangoFechas($B16,G$2,G$3)-1, "")</f>
        <v/>
      </c>
      <c r="H16" s="29" t="str">
        <f ca="1">IFERROR(buscarUltimoVLRangoFechas($B16,H$2,H$3)/buscarPrimerVLRangoFechas($B16,H$2,H$3)-1, "")</f>
        <v/>
      </c>
      <c r="I16" s="29" t="str">
        <f ca="1">IFERROR(buscarUltimoVLRangoFechas($B16,I$2,I$3)/buscarPrimerVLRangoFechas($B16,I$2,I$3)-1, "")</f>
        <v/>
      </c>
      <c r="J16" s="35">
        <f t="shared" ca="1" si="2"/>
        <v>0</v>
      </c>
    </row>
    <row r="17" spans="1:10">
      <c r="A17" s="31" t="s">
        <v>48</v>
      </c>
      <c r="B17" s="4">
        <f>Cartera!B17</f>
        <v>0</v>
      </c>
      <c r="C17" s="4">
        <f>Cartera!C17</f>
        <v>0</v>
      </c>
      <c r="D17" s="4">
        <f>Cartera!D17</f>
        <v>0</v>
      </c>
      <c r="E17" s="29" t="str">
        <f ca="1">IFERROR(buscarUltimoVLRangoFechas($B17,E$2,E$3)/buscarPrimerVLRangoFechas($B17,E$2,E$3)-1, "")</f>
        <v/>
      </c>
      <c r="F17" s="29" t="str">
        <f ca="1">IFERROR(buscarUltimoVLRangoFechas($B17,F$2,F$3)/buscarPrimerVLRangoFechas($B17,F$2,F$3)-1, "")</f>
        <v/>
      </c>
      <c r="G17" s="29" t="str">
        <f ca="1">IFERROR(buscarUltimoVLRangoFechas($B17,G$2,G$3)/buscarPrimerVLRangoFechas($B17,G$2,G$3)-1, "")</f>
        <v/>
      </c>
      <c r="H17" s="29" t="str">
        <f ca="1">IFERROR(buscarUltimoVLRangoFechas($B17,H$2,H$3)/buscarPrimerVLRangoFechas($B17,H$2,H$3)-1, "")</f>
        <v/>
      </c>
      <c r="I17" s="29" t="str">
        <f ca="1">IFERROR(buscarUltimoVLRangoFechas($B17,I$2,I$3)/buscarPrimerVLRangoFechas($B17,I$2,I$3)-1, "")</f>
        <v/>
      </c>
      <c r="J17" s="35">
        <f t="shared" ca="1" si="2"/>
        <v>0</v>
      </c>
    </row>
    <row r="18" spans="1:10">
      <c r="A18" s="31" t="s">
        <v>48</v>
      </c>
      <c r="B18" s="4">
        <f>Cartera!B18</f>
        <v>0</v>
      </c>
      <c r="C18" s="4">
        <f>Cartera!C18</f>
        <v>0</v>
      </c>
      <c r="D18" s="4">
        <f>Cartera!D18</f>
        <v>0</v>
      </c>
      <c r="E18" s="29" t="str">
        <f ca="1">IFERROR(buscarUltimoVLRangoFechas($B18,E$2,E$3)/buscarPrimerVLRangoFechas($B18,E$2,E$3)-1, "")</f>
        <v/>
      </c>
      <c r="F18" s="29" t="str">
        <f ca="1">IFERROR(buscarUltimoVLRangoFechas($B18,F$2,F$3)/buscarPrimerVLRangoFechas($B18,F$2,F$3)-1, "")</f>
        <v/>
      </c>
      <c r="G18" s="29" t="str">
        <f ca="1">IFERROR(buscarUltimoVLRangoFechas($B18,G$2,G$3)/buscarPrimerVLRangoFechas($B18,G$2,G$3)-1, "")</f>
        <v/>
      </c>
      <c r="H18" s="29" t="str">
        <f ca="1">IFERROR(buscarUltimoVLRangoFechas($B18,H$2,H$3)/buscarPrimerVLRangoFechas($B18,H$2,H$3)-1, "")</f>
        <v/>
      </c>
      <c r="I18" s="29" t="str">
        <f ca="1">IFERROR(buscarUltimoVLRangoFechas($B18,I$2,I$3)/buscarPrimerVLRangoFechas($B18,I$2,I$3)-1, "")</f>
        <v/>
      </c>
      <c r="J18" s="35">
        <f t="shared" ca="1" si="2"/>
        <v>0</v>
      </c>
    </row>
    <row r="19" spans="1:10">
      <c r="A19" s="31" t="s">
        <v>48</v>
      </c>
      <c r="B19" s="4">
        <f>Cartera!B19</f>
        <v>0</v>
      </c>
      <c r="C19" s="4">
        <f>Cartera!C19</f>
        <v>0</v>
      </c>
      <c r="D19" s="4">
        <f>Cartera!D19</f>
        <v>0</v>
      </c>
      <c r="E19" s="29" t="str">
        <f ca="1">IFERROR(buscarUltimoVLRangoFechas($B19,E$2,E$3)/buscarPrimerVLRangoFechas($B19,E$2,E$3)-1, "")</f>
        <v/>
      </c>
      <c r="F19" s="29" t="str">
        <f ca="1">IFERROR(buscarUltimoVLRangoFechas($B19,F$2,F$3)/buscarPrimerVLRangoFechas($B19,F$2,F$3)-1, "")</f>
        <v/>
      </c>
      <c r="G19" s="29" t="str">
        <f ca="1">IFERROR(buscarUltimoVLRangoFechas($B19,G$2,G$3)/buscarPrimerVLRangoFechas($B19,G$2,G$3)-1, "")</f>
        <v/>
      </c>
      <c r="H19" s="29" t="str">
        <f ca="1">IFERROR(buscarUltimoVLRangoFechas($B19,H$2,H$3)/buscarPrimerVLRangoFechas($B19,H$2,H$3)-1, "")</f>
        <v/>
      </c>
      <c r="I19" s="29" t="str">
        <f ca="1">IFERROR(buscarUltimoVLRangoFechas($B19,I$2,I$3)/buscarPrimerVLRangoFechas($B19,I$2,I$3)-1, "")</f>
        <v/>
      </c>
      <c r="J19" s="35">
        <f t="shared" ca="1" si="2"/>
        <v>0</v>
      </c>
    </row>
    <row r="20" spans="1:10">
      <c r="A20" s="31" t="s">
        <v>48</v>
      </c>
      <c r="B20" s="4">
        <f>Cartera!B20</f>
        <v>0</v>
      </c>
      <c r="C20" s="4">
        <f>Cartera!C20</f>
        <v>0</v>
      </c>
      <c r="D20" s="4">
        <f>Cartera!D20</f>
        <v>0</v>
      </c>
      <c r="E20" s="29" t="str">
        <f ca="1">IFERROR(buscarUltimoVLRangoFechas($B20,E$2,E$3)/buscarPrimerVLRangoFechas($B20,E$2,E$3)-1, "")</f>
        <v/>
      </c>
      <c r="F20" s="29" t="str">
        <f ca="1">IFERROR(buscarUltimoVLRangoFechas($B20,F$2,F$3)/buscarPrimerVLRangoFechas($B20,F$2,F$3)-1, "")</f>
        <v/>
      </c>
      <c r="G20" s="29" t="str">
        <f ca="1">IFERROR(buscarUltimoVLRangoFechas($B20,G$2,G$3)/buscarPrimerVLRangoFechas($B20,G$2,G$3)-1, "")</f>
        <v/>
      </c>
      <c r="H20" s="29" t="str">
        <f ca="1">IFERROR(buscarUltimoVLRangoFechas($B20,H$2,H$3)/buscarPrimerVLRangoFechas($B20,H$2,H$3)-1, "")</f>
        <v/>
      </c>
      <c r="I20" s="29" t="str">
        <f ca="1">IFERROR(buscarUltimoVLRangoFechas($B20,I$2,I$3)/buscarPrimerVLRangoFechas($B20,I$2,I$3)-1, "")</f>
        <v/>
      </c>
      <c r="J20" s="35">
        <f t="shared" ca="1" si="2"/>
        <v>0</v>
      </c>
    </row>
    <row r="21" spans="1:10">
      <c r="A21" s="31" t="s">
        <v>48</v>
      </c>
      <c r="B21" s="4">
        <f>Cartera!B21</f>
        <v>0</v>
      </c>
      <c r="C21" s="4">
        <f>Cartera!C21</f>
        <v>0</v>
      </c>
      <c r="D21" s="4">
        <f>Cartera!D21</f>
        <v>0</v>
      </c>
      <c r="E21" s="29" t="str">
        <f ca="1">IFERROR(buscarUltimoVLRangoFechas($B21,E$2,E$3)/buscarPrimerVLRangoFechas($B21,E$2,E$3)-1, "")</f>
        <v/>
      </c>
      <c r="F21" s="29" t="str">
        <f ca="1">IFERROR(buscarUltimoVLRangoFechas($B21,F$2,F$3)/buscarPrimerVLRangoFechas($B21,F$2,F$3)-1, "")</f>
        <v/>
      </c>
      <c r="G21" s="29" t="str">
        <f ca="1">IFERROR(buscarUltimoVLRangoFechas($B21,G$2,G$3)/buscarPrimerVLRangoFechas($B21,G$2,G$3)-1, "")</f>
        <v/>
      </c>
      <c r="H21" s="29" t="str">
        <f ca="1">IFERROR(buscarUltimoVLRangoFechas($B21,H$2,H$3)/buscarPrimerVLRangoFechas($B21,H$2,H$3)-1, "")</f>
        <v/>
      </c>
      <c r="I21" s="29" t="str">
        <f ca="1">IFERROR(buscarUltimoVLRangoFechas($B21,I$2,I$3)/buscarPrimerVLRangoFechas($B21,I$2,I$3)-1, "")</f>
        <v/>
      </c>
      <c r="J21" s="35">
        <f t="shared" ca="1" si="2"/>
        <v>0</v>
      </c>
    </row>
  </sheetData>
  <autoFilter ref="A3:I21"/>
  <mergeCells count="1">
    <mergeCell ref="J2:J3"/>
  </mergeCells>
  <dataValidations count="1">
    <dataValidation type="list" allowBlank="1" showInputMessage="1" showErrorMessage="1" sqref="A4:A21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>
    <tabColor theme="0" tint="-0.14999847407452621"/>
  </sheetPr>
  <dimension ref="A1:Q21"/>
  <sheetViews>
    <sheetView showZeros="0" zoomScaleNormal="100" zoomScalePageLayoutView="15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C30" sqref="C30"/>
    </sheetView>
  </sheetViews>
  <sheetFormatPr baseColWidth="10" defaultRowHeight="15"/>
  <cols>
    <col min="1" max="1" width="4.28515625" bestFit="1" customWidth="1"/>
    <col min="2" max="2" width="13.42578125" bestFit="1" customWidth="1"/>
    <col min="3" max="3" width="51" bestFit="1" customWidth="1"/>
    <col min="4" max="4" width="14.42578125" bestFit="1" customWidth="1"/>
    <col min="5" max="17" width="8.28515625" bestFit="1" customWidth="1"/>
  </cols>
  <sheetData>
    <row r="1" spans="1:17">
      <c r="M1" s="42"/>
      <c r="N1" s="42"/>
      <c r="O1" s="42"/>
      <c r="P1" s="42"/>
      <c r="Q1" s="42"/>
    </row>
    <row r="2" spans="1:17">
      <c r="A2" s="73" t="s">
        <v>47</v>
      </c>
      <c r="B2" s="73" t="s">
        <v>0</v>
      </c>
      <c r="C2" s="73" t="s">
        <v>1</v>
      </c>
      <c r="D2" s="73" t="s">
        <v>71</v>
      </c>
      <c r="E2" s="43">
        <v>41638</v>
      </c>
      <c r="F2" s="43">
        <f>E2+7</f>
        <v>41645</v>
      </c>
      <c r="G2" s="43">
        <f t="shared" ref="G2:Q2" si="0">F2+7</f>
        <v>41652</v>
      </c>
      <c r="H2" s="43">
        <f t="shared" si="0"/>
        <v>41659</v>
      </c>
      <c r="I2" s="43">
        <f t="shared" si="0"/>
        <v>41666</v>
      </c>
      <c r="J2" s="43">
        <f t="shared" si="0"/>
        <v>41673</v>
      </c>
      <c r="K2" s="43">
        <f t="shared" si="0"/>
        <v>41680</v>
      </c>
      <c r="L2" s="43">
        <f t="shared" si="0"/>
        <v>41687</v>
      </c>
      <c r="M2" s="43">
        <f t="shared" si="0"/>
        <v>41694</v>
      </c>
      <c r="N2" s="43">
        <f t="shared" si="0"/>
        <v>41701</v>
      </c>
      <c r="O2" s="43">
        <f t="shared" si="0"/>
        <v>41708</v>
      </c>
      <c r="P2" s="43">
        <f t="shared" si="0"/>
        <v>41715</v>
      </c>
      <c r="Q2" s="43">
        <f t="shared" si="0"/>
        <v>41722</v>
      </c>
    </row>
    <row r="3" spans="1:17" ht="15.75" thickBot="1">
      <c r="A3" s="74"/>
      <c r="B3" s="74"/>
      <c r="C3" s="74"/>
      <c r="D3" s="74"/>
      <c r="E3" s="3">
        <f>E2+4</f>
        <v>41642</v>
      </c>
      <c r="F3" s="3">
        <f t="shared" ref="F3:Q3" si="1">F2+4</f>
        <v>41649</v>
      </c>
      <c r="G3" s="3">
        <f t="shared" si="1"/>
        <v>41656</v>
      </c>
      <c r="H3" s="3">
        <f t="shared" si="1"/>
        <v>41663</v>
      </c>
      <c r="I3" s="3">
        <f t="shared" si="1"/>
        <v>41670</v>
      </c>
      <c r="J3" s="3">
        <f t="shared" si="1"/>
        <v>41677</v>
      </c>
      <c r="K3" s="3">
        <f t="shared" si="1"/>
        <v>41684</v>
      </c>
      <c r="L3" s="3">
        <f t="shared" si="1"/>
        <v>41691</v>
      </c>
      <c r="M3" s="3">
        <f t="shared" si="1"/>
        <v>41698</v>
      </c>
      <c r="N3" s="3">
        <f t="shared" si="1"/>
        <v>41705</v>
      </c>
      <c r="O3" s="3">
        <f t="shared" si="1"/>
        <v>41712</v>
      </c>
      <c r="P3" s="3">
        <f t="shared" si="1"/>
        <v>41719</v>
      </c>
      <c r="Q3" s="3">
        <f t="shared" si="1"/>
        <v>41726</v>
      </c>
    </row>
    <row r="4" spans="1:17">
      <c r="A4" s="31" t="s">
        <v>48</v>
      </c>
      <c r="B4" s="4">
        <f>Cartera!B4</f>
        <v>0</v>
      </c>
      <c r="C4" s="4">
        <f>Cartera!C4</f>
        <v>0</v>
      </c>
      <c r="D4" s="4">
        <f>Cartera!D4</f>
        <v>0</v>
      </c>
      <c r="E4" s="4"/>
      <c r="F4" s="4"/>
      <c r="G4" s="4"/>
      <c r="H4" s="4"/>
      <c r="I4" s="4"/>
      <c r="J4" s="4"/>
      <c r="K4" s="4"/>
      <c r="L4" s="4"/>
      <c r="M4" s="29" t="str">
        <f ca="1">IFERROR(buscarUltimoVLRangoFechas($B4,M$2,M$3)/buscarPrimerVLRangoFechas($B4,M$2,M$3)-1, "")</f>
        <v/>
      </c>
      <c r="N4" s="29" t="str">
        <f ca="1">IFERROR(buscarUltimoVLRangoFechas($B4,N$2,N$3)/buscarPrimerVLRangoFechas($B4,N$2,N$3)-1, "")</f>
        <v/>
      </c>
      <c r="O4" s="29" t="str">
        <f ca="1">IFERROR(buscarUltimoVLRangoFechas($B4,O$2,O$3)/buscarPrimerVLRangoFechas($B4,O$2,O$3)-1, "")</f>
        <v/>
      </c>
      <c r="P4" s="29" t="str">
        <f ca="1">IFERROR(buscarUltimoVLRangoFechas($B4,P$2,P$3)/buscarPrimerVLRangoFechas($B4,P$2,P$3)-1, "")</f>
        <v/>
      </c>
      <c r="Q4" s="29" t="str">
        <f ca="1">IFERROR(buscarUltimoVLRangoFechas($B4,Q$2,Q$3)/buscarPrimerVLRangoFechas($B4,Q$2,Q$3)-1, "")</f>
        <v/>
      </c>
    </row>
    <row r="5" spans="1:17">
      <c r="A5" s="31" t="s">
        <v>48</v>
      </c>
      <c r="B5" s="4">
        <f>Cartera!B5</f>
        <v>0</v>
      </c>
      <c r="C5" s="4">
        <f>Cartera!C5</f>
        <v>0</v>
      </c>
      <c r="D5" s="4">
        <f>Cartera!D5</f>
        <v>0</v>
      </c>
      <c r="E5" s="29" t="str">
        <f ca="1">IFERROR(buscarUltimoVLRangoFechas($B5,E$2,E$3)/buscarPrimerVLRangoFechas($B5,E$2,E$3)-1, "")</f>
        <v/>
      </c>
      <c r="F5" s="29" t="str">
        <f ca="1">IFERROR(buscarUltimoVLRangoFechas($B5,F$2,F$3)/buscarPrimerVLRangoFechas($B5,F$2,F$3)-1, "")</f>
        <v/>
      </c>
      <c r="G5" s="29" t="str">
        <f ca="1">IFERROR(buscarUltimoVLRangoFechas($B5,G$2,G$3)/buscarPrimerVLRangoFechas($B5,G$2,G$3)-1, "")</f>
        <v/>
      </c>
      <c r="H5" s="29" t="str">
        <f ca="1">IFERROR(buscarUltimoVLRangoFechas($B5,H$2,H$3)/buscarPrimerVLRangoFechas($B5,H$2,H$3)-1, "")</f>
        <v/>
      </c>
      <c r="I5" s="29" t="str">
        <f ca="1">IFERROR(buscarUltimoVLRangoFechas($B5,I$2,I$3)/buscarPrimerVLRangoFechas($B5,I$2,I$3)-1, "")</f>
        <v/>
      </c>
      <c r="J5" s="29" t="str">
        <f ca="1">IFERROR(buscarUltimoVLRangoFechas($B5,J$2,J$3)/buscarPrimerVLRangoFechas($B5,J$2,J$3)-1, "")</f>
        <v/>
      </c>
      <c r="K5" s="29" t="str">
        <f ca="1">IFERROR(buscarUltimoVLRangoFechas($B5,K$2,K$3)/buscarPrimerVLRangoFechas($B5,K$2,K$3)-1, "")</f>
        <v/>
      </c>
      <c r="L5" s="29" t="str">
        <f ca="1">IFERROR(buscarUltimoVLRangoFechas($B5,L$2,L$3)/buscarPrimerVLRangoFechas($B5,L$2,L$3)-1, "")</f>
        <v/>
      </c>
      <c r="M5" s="29" t="str">
        <f ca="1">IFERROR(buscarUltimoVLRangoFechas($B5,M$2,M$3)/buscarPrimerVLRangoFechas($B5,M$2,M$3)-1, "")</f>
        <v/>
      </c>
      <c r="N5" s="29" t="str">
        <f ca="1">IFERROR(buscarUltimoVLRangoFechas($B5,N$2,N$3)/buscarPrimerVLRangoFechas($B5,N$2,N$3)-1, "")</f>
        <v/>
      </c>
      <c r="O5" s="29" t="str">
        <f ca="1">IFERROR(buscarUltimoVLRangoFechas($B5,O$2,O$3)/buscarPrimerVLRangoFechas($B5,O$2,O$3)-1, "")</f>
        <v/>
      </c>
      <c r="P5" s="29" t="str">
        <f ca="1">IFERROR(buscarUltimoVLRangoFechas($B5,P$2,P$3)/buscarPrimerVLRangoFechas($B5,P$2,P$3)-1, "")</f>
        <v/>
      </c>
      <c r="Q5" s="29" t="str">
        <f ca="1">IFERROR(buscarUltimoVLRangoFechas($B5,Q$2,Q$3)/buscarPrimerVLRangoFechas($B5,Q$2,Q$3)-1, "")</f>
        <v/>
      </c>
    </row>
    <row r="6" spans="1:17">
      <c r="A6" s="31" t="s">
        <v>48</v>
      </c>
      <c r="B6" s="4">
        <f>Cartera!B6</f>
        <v>0</v>
      </c>
      <c r="C6" s="4">
        <f>Cartera!C6</f>
        <v>0</v>
      </c>
      <c r="D6" s="4">
        <f>Cartera!D6</f>
        <v>0</v>
      </c>
      <c r="E6" s="4"/>
      <c r="F6" s="4"/>
      <c r="G6" s="4"/>
      <c r="H6" s="4"/>
      <c r="I6" s="4"/>
      <c r="J6" s="4"/>
      <c r="K6" s="4"/>
      <c r="L6" s="4"/>
      <c r="M6" s="29" t="str">
        <f ca="1">IFERROR(buscarUltimoVLRangoFechas($B6,M$2,M$3)/buscarPrimerVLRangoFechas($B6,M$2,M$3)-1, "")</f>
        <v/>
      </c>
      <c r="N6" s="29" t="str">
        <f ca="1">IFERROR(buscarUltimoVLRangoFechas($B6,N$2,N$3)/buscarPrimerVLRangoFechas($B6,N$2,N$3)-1, "")</f>
        <v/>
      </c>
      <c r="O6" s="29" t="str">
        <f ca="1">IFERROR(buscarUltimoVLRangoFechas($B6,O$2,O$3)/buscarPrimerVLRangoFechas($B6,O$2,O$3)-1, "")</f>
        <v/>
      </c>
      <c r="P6" s="29" t="str">
        <f ca="1">IFERROR(buscarUltimoVLRangoFechas($B6,P$2,P$3)/buscarPrimerVLRangoFechas($B6,P$2,P$3)-1, "")</f>
        <v/>
      </c>
      <c r="Q6" s="29" t="str">
        <f ca="1">IFERROR(buscarUltimoVLRangoFechas($B6,Q$2,Q$3)/buscarPrimerVLRangoFechas($B6,Q$2,Q$3)-1, "")</f>
        <v/>
      </c>
    </row>
    <row r="7" spans="1:17">
      <c r="A7" s="31" t="s">
        <v>48</v>
      </c>
      <c r="B7" s="4">
        <f>Cartera!B7</f>
        <v>0</v>
      </c>
      <c r="C7" s="4">
        <f>Cartera!C7</f>
        <v>0</v>
      </c>
      <c r="D7" s="4">
        <f>Cartera!D7</f>
        <v>0</v>
      </c>
      <c r="E7" s="29" t="str">
        <f ca="1">IFERROR(buscarUltimoVLRangoFechas($B7,E$2,E$3)/buscarPrimerVLRangoFechas($B7,E$2,E$3)-1, "")</f>
        <v/>
      </c>
      <c r="F7" s="29" t="str">
        <f ca="1">IFERROR(buscarUltimoVLRangoFechas($B7,F$2,F$3)/buscarPrimerVLRangoFechas($B7,F$2,F$3)-1, "")</f>
        <v/>
      </c>
      <c r="G7" s="29" t="str">
        <f ca="1">IFERROR(buscarUltimoVLRangoFechas($B7,G$2,G$3)/buscarPrimerVLRangoFechas($B7,G$2,G$3)-1, "")</f>
        <v/>
      </c>
      <c r="H7" s="29" t="str">
        <f ca="1">IFERROR(buscarUltimoVLRangoFechas($B7,H$2,H$3)/buscarPrimerVLRangoFechas($B7,H$2,H$3)-1, "")</f>
        <v/>
      </c>
      <c r="I7" s="29" t="str">
        <f ca="1">IFERROR(buscarUltimoVLRangoFechas($B7,I$2,I$3)/buscarPrimerVLRangoFechas($B7,I$2,I$3)-1, "")</f>
        <v/>
      </c>
      <c r="J7" s="29" t="str">
        <f ca="1">IFERROR(buscarUltimoVLRangoFechas($B7,J$2,J$3)/buscarPrimerVLRangoFechas($B7,J$2,J$3)-1, "")</f>
        <v/>
      </c>
      <c r="K7" s="29" t="str">
        <f ca="1">IFERROR(buscarUltimoVLRangoFechas($B7,K$2,K$3)/buscarPrimerVLRangoFechas($B7,K$2,K$3)-1, "")</f>
        <v/>
      </c>
      <c r="L7" s="29" t="str">
        <f ca="1">IFERROR(buscarUltimoVLRangoFechas($B7,L$2,L$3)/buscarPrimerVLRangoFechas($B7,L$2,L$3)-1, "")</f>
        <v/>
      </c>
      <c r="M7" s="29" t="str">
        <f ca="1">IFERROR(buscarUltimoVLRangoFechas($B7,M$2,M$3)/buscarPrimerVLRangoFechas($B7,M$2,M$3)-1, "")</f>
        <v/>
      </c>
      <c r="N7" s="29" t="str">
        <f ca="1">IFERROR(buscarUltimoVLRangoFechas($B7,N$2,N$3)/buscarPrimerVLRangoFechas($B7,N$2,N$3)-1, "")</f>
        <v/>
      </c>
      <c r="O7" s="29" t="str">
        <f ca="1">IFERROR(buscarUltimoVLRangoFechas($B7,O$2,O$3)/buscarPrimerVLRangoFechas($B7,O$2,O$3)-1, "")</f>
        <v/>
      </c>
      <c r="P7" s="29" t="str">
        <f ca="1">IFERROR(buscarUltimoVLRangoFechas($B7,P$2,P$3)/buscarPrimerVLRangoFechas($B7,P$2,P$3)-1, "")</f>
        <v/>
      </c>
      <c r="Q7" s="29" t="str">
        <f ca="1">IFERROR(buscarUltimoVLRangoFechas($B7,Q$2,Q$3)/buscarPrimerVLRangoFechas($B7,Q$2,Q$3)-1, "")</f>
        <v/>
      </c>
    </row>
    <row r="8" spans="1:17">
      <c r="A8" s="31" t="s">
        <v>48</v>
      </c>
      <c r="B8" s="4">
        <f>Cartera!B8</f>
        <v>0</v>
      </c>
      <c r="C8" s="4">
        <f>Cartera!C8</f>
        <v>0</v>
      </c>
      <c r="D8" s="4">
        <f>Cartera!D8</f>
        <v>0</v>
      </c>
      <c r="E8" s="29" t="str">
        <f ca="1">IFERROR(buscarUltimoVLRangoFechas($B8,E$2,E$3)/buscarPrimerVLRangoFechas($B8,E$2,E$3)-1, "")</f>
        <v/>
      </c>
      <c r="F8" s="29" t="str">
        <f ca="1">IFERROR(buscarUltimoVLRangoFechas($B8,F$2,F$3)/buscarPrimerVLRangoFechas($B8,F$2,F$3)-1, "")</f>
        <v/>
      </c>
      <c r="G8" s="29" t="str">
        <f ca="1">IFERROR(buscarUltimoVLRangoFechas($B8,G$2,G$3)/buscarPrimerVLRangoFechas($B8,G$2,G$3)-1, "")</f>
        <v/>
      </c>
      <c r="H8" s="29" t="str">
        <f ca="1">IFERROR(buscarUltimoVLRangoFechas($B8,H$2,H$3)/buscarPrimerVLRangoFechas($B8,H$2,H$3)-1, "")</f>
        <v/>
      </c>
      <c r="I8" s="29" t="str">
        <f ca="1">IFERROR(buscarUltimoVLRangoFechas($B8,I$2,I$3)/buscarPrimerVLRangoFechas($B8,I$2,I$3)-1, "")</f>
        <v/>
      </c>
      <c r="J8" s="29" t="str">
        <f ca="1">IFERROR(buscarUltimoVLRangoFechas($B8,J$2,J$3)/buscarPrimerVLRangoFechas($B8,J$2,J$3)-1, "")</f>
        <v/>
      </c>
      <c r="K8" s="29" t="str">
        <f ca="1">IFERROR(buscarUltimoVLRangoFechas($B8,K$2,K$3)/buscarPrimerVLRangoFechas($B8,K$2,K$3)-1, "")</f>
        <v/>
      </c>
      <c r="L8" s="29" t="str">
        <f ca="1">IFERROR(buscarUltimoVLRangoFechas($B8,L$2,L$3)/buscarPrimerVLRangoFechas($B8,L$2,L$3)-1, "")</f>
        <v/>
      </c>
      <c r="M8" s="29" t="str">
        <f ca="1">IFERROR(buscarUltimoVLRangoFechas($B8,M$2,M$3)/buscarPrimerVLRangoFechas($B8,M$2,M$3)-1, "")</f>
        <v/>
      </c>
      <c r="N8" s="29" t="str">
        <f ca="1">IFERROR(buscarUltimoVLRangoFechas($B8,N$2,N$3)/buscarPrimerVLRangoFechas($B8,N$2,N$3)-1, "")</f>
        <v/>
      </c>
      <c r="O8" s="29" t="str">
        <f ca="1">IFERROR(buscarUltimoVLRangoFechas($B8,O$2,O$3)/buscarPrimerVLRangoFechas($B8,O$2,O$3)-1, "")</f>
        <v/>
      </c>
      <c r="P8" s="29" t="str">
        <f ca="1">IFERROR(buscarUltimoVLRangoFechas($B8,P$2,P$3)/buscarPrimerVLRangoFechas($B8,P$2,P$3)-1, "")</f>
        <v/>
      </c>
      <c r="Q8" s="29" t="str">
        <f ca="1">IFERROR(buscarUltimoVLRangoFechas($B8,Q$2,Q$3)/buscarPrimerVLRangoFechas($B8,Q$2,Q$3)-1, "")</f>
        <v/>
      </c>
    </row>
    <row r="9" spans="1:17">
      <c r="A9" s="31" t="s">
        <v>48</v>
      </c>
      <c r="B9" s="4">
        <f>Cartera!B9</f>
        <v>0</v>
      </c>
      <c r="C9" s="4">
        <f>Cartera!C9</f>
        <v>0</v>
      </c>
      <c r="D9" s="4">
        <f>Cartera!D9</f>
        <v>0</v>
      </c>
      <c r="E9" s="29" t="str">
        <f ca="1">IFERROR(buscarUltimoVLRangoFechas($B9,E$2,E$3)/buscarPrimerVLRangoFechas($B9,E$2,E$3)-1, "")</f>
        <v/>
      </c>
      <c r="F9" s="29" t="str">
        <f ca="1">IFERROR(buscarUltimoVLRangoFechas($B9,F$2,F$3)/buscarPrimerVLRangoFechas($B9,F$2,F$3)-1, "")</f>
        <v/>
      </c>
      <c r="G9" s="29" t="str">
        <f ca="1">IFERROR(buscarUltimoVLRangoFechas($B9,G$2,G$3)/buscarPrimerVLRangoFechas($B9,G$2,G$3)-1, "")</f>
        <v/>
      </c>
      <c r="H9" s="29" t="str">
        <f ca="1">IFERROR(buscarUltimoVLRangoFechas($B9,H$2,H$3)/buscarPrimerVLRangoFechas($B9,H$2,H$3)-1, "")</f>
        <v/>
      </c>
      <c r="I9" s="29" t="str">
        <f ca="1">IFERROR(buscarUltimoVLRangoFechas($B9,I$2,I$3)/buscarPrimerVLRangoFechas($B9,I$2,I$3)-1, "")</f>
        <v/>
      </c>
      <c r="J9" s="29" t="str">
        <f ca="1">IFERROR(buscarUltimoVLRangoFechas($B9,J$2,J$3)/buscarPrimerVLRangoFechas($B9,J$2,J$3)-1, "")</f>
        <v/>
      </c>
      <c r="K9" s="29" t="str">
        <f ca="1">IFERROR(buscarUltimoVLRangoFechas($B9,K$2,K$3)/buscarPrimerVLRangoFechas($B9,K$2,K$3)-1, "")</f>
        <v/>
      </c>
      <c r="L9" s="29" t="str">
        <f ca="1">IFERROR(buscarUltimoVLRangoFechas($B9,L$2,L$3)/buscarPrimerVLRangoFechas($B9,L$2,L$3)-1, "")</f>
        <v/>
      </c>
      <c r="M9" s="29" t="str">
        <f ca="1">IFERROR(buscarUltimoVLRangoFechas($B9,M$2,M$3)/buscarPrimerVLRangoFechas($B9,M$2,M$3)-1, "")</f>
        <v/>
      </c>
      <c r="N9" s="29" t="str">
        <f ca="1">IFERROR(buscarUltimoVLRangoFechas($B9,N$2,N$3)/buscarPrimerVLRangoFechas($B9,N$2,N$3)-1, "")</f>
        <v/>
      </c>
      <c r="O9" s="29" t="str">
        <f ca="1">IFERROR(buscarUltimoVLRangoFechas($B9,O$2,O$3)/buscarPrimerVLRangoFechas($B9,O$2,O$3)-1, "")</f>
        <v/>
      </c>
      <c r="P9" s="29" t="str">
        <f ca="1">IFERROR(buscarUltimoVLRangoFechas($B9,P$2,P$3)/buscarPrimerVLRangoFechas($B9,P$2,P$3)-1, "")</f>
        <v/>
      </c>
      <c r="Q9" s="29" t="str">
        <f ca="1">IFERROR(buscarUltimoVLRangoFechas($B9,Q$2,Q$3)/buscarPrimerVLRangoFechas($B9,Q$2,Q$3)-1, "")</f>
        <v/>
      </c>
    </row>
    <row r="10" spans="1:17">
      <c r="A10" s="31" t="s">
        <v>48</v>
      </c>
      <c r="B10" s="4">
        <f>Cartera!B10</f>
        <v>0</v>
      </c>
      <c r="C10" s="4">
        <f>Cartera!C10</f>
        <v>0</v>
      </c>
      <c r="D10" s="4">
        <f>Cartera!D10</f>
        <v>0</v>
      </c>
      <c r="E10" s="4"/>
      <c r="F10" s="4"/>
      <c r="G10" s="4"/>
      <c r="H10" s="4"/>
      <c r="I10" s="4"/>
      <c r="J10" s="4"/>
      <c r="K10" s="4"/>
      <c r="L10" s="4"/>
      <c r="M10" s="29" t="str">
        <f ca="1">IFERROR(buscarUltimoVLRangoFechas($B10,M$2,M$3)/buscarPrimerVLRangoFechas($B10,M$2,M$3)-1, "")</f>
        <v/>
      </c>
      <c r="N10" s="29" t="str">
        <f ca="1">IFERROR(buscarUltimoVLRangoFechas($B10,N$2,N$3)/buscarPrimerVLRangoFechas($B10,N$2,N$3)-1, "")</f>
        <v/>
      </c>
      <c r="O10" s="29" t="str">
        <f ca="1">IFERROR(buscarUltimoVLRangoFechas($B10,O$2,O$3)/buscarPrimerVLRangoFechas($B10,O$2,O$3)-1, "")</f>
        <v/>
      </c>
      <c r="P10" s="29" t="str">
        <f ca="1">IFERROR(buscarUltimoVLRangoFechas($B10,P$2,P$3)/buscarPrimerVLRangoFechas($B10,P$2,P$3)-1, "")</f>
        <v/>
      </c>
      <c r="Q10" s="29" t="str">
        <f ca="1">IFERROR(buscarUltimoVLRangoFechas($B10,Q$2,Q$3)/buscarPrimerVLRangoFechas($B10,Q$2,Q$3)-1, "")</f>
        <v/>
      </c>
    </row>
    <row r="11" spans="1:17">
      <c r="A11" s="31" t="s">
        <v>48</v>
      </c>
      <c r="B11" s="4">
        <f>Cartera!B11</f>
        <v>0</v>
      </c>
      <c r="C11" s="4">
        <f>Cartera!C11</f>
        <v>0</v>
      </c>
      <c r="D11" s="4">
        <f>Cartera!D11</f>
        <v>0</v>
      </c>
      <c r="E11" s="4"/>
      <c r="F11" s="4"/>
      <c r="G11" s="4"/>
      <c r="H11" s="4"/>
      <c r="I11" s="4"/>
      <c r="J11" s="4"/>
      <c r="K11" s="4"/>
      <c r="L11" s="4"/>
      <c r="M11" s="29" t="str">
        <f ca="1">IFERROR(buscarUltimoVLRangoFechas($B11,M$2,M$3)/buscarPrimerVLRangoFechas($B11,M$2,M$3)-1, "")</f>
        <v/>
      </c>
      <c r="N11" s="29" t="str">
        <f ca="1">IFERROR(buscarUltimoVLRangoFechas($B11,N$2,N$3)/buscarPrimerVLRangoFechas($B11,N$2,N$3)-1, "")</f>
        <v/>
      </c>
      <c r="O11" s="29" t="str">
        <f ca="1">IFERROR(buscarUltimoVLRangoFechas($B11,O$2,O$3)/buscarPrimerVLRangoFechas($B11,O$2,O$3)-1, "")</f>
        <v/>
      </c>
      <c r="P11" s="29" t="str">
        <f ca="1">IFERROR(buscarUltimoVLRangoFechas($B11,P$2,P$3)/buscarPrimerVLRangoFechas($B11,P$2,P$3)-1, "")</f>
        <v/>
      </c>
      <c r="Q11" s="29" t="str">
        <f ca="1">IFERROR(buscarUltimoVLRangoFechas($B11,Q$2,Q$3)/buscarPrimerVLRangoFechas($B11,Q$2,Q$3)-1, "")</f>
        <v/>
      </c>
    </row>
    <row r="12" spans="1:17">
      <c r="A12" s="31" t="s">
        <v>48</v>
      </c>
      <c r="B12" s="4">
        <f>Cartera!B12</f>
        <v>0</v>
      </c>
      <c r="C12" s="4">
        <f>Cartera!C12</f>
        <v>0</v>
      </c>
      <c r="D12" s="4">
        <f>Cartera!D12</f>
        <v>0</v>
      </c>
      <c r="E12" s="4"/>
      <c r="F12" s="4"/>
      <c r="G12" s="4"/>
      <c r="H12" s="4"/>
      <c r="I12" s="4"/>
      <c r="J12" s="4"/>
      <c r="K12" s="4"/>
      <c r="L12" s="4"/>
      <c r="M12" s="29" t="str">
        <f ca="1">IFERROR(buscarUltimoVLRangoFechas($B12,M$2,M$3)/buscarPrimerVLRangoFechas($B12,M$2,M$3)-1, "")</f>
        <v/>
      </c>
      <c r="N12" s="29" t="str">
        <f ca="1">IFERROR(buscarUltimoVLRangoFechas($B12,N$2,N$3)/buscarPrimerVLRangoFechas($B12,N$2,N$3)-1, "")</f>
        <v/>
      </c>
      <c r="O12" s="29" t="str">
        <f ca="1">IFERROR(buscarUltimoVLRangoFechas($B12,O$2,O$3)/buscarPrimerVLRangoFechas($B12,O$2,O$3)-1, "")</f>
        <v/>
      </c>
      <c r="P12" s="29" t="str">
        <f ca="1">IFERROR(buscarUltimoVLRangoFechas($B12,P$2,P$3)/buscarPrimerVLRangoFechas($B12,P$2,P$3)-1, "")</f>
        <v/>
      </c>
      <c r="Q12" s="29" t="str">
        <f ca="1">IFERROR(buscarUltimoVLRangoFechas($B12,Q$2,Q$3)/buscarPrimerVLRangoFechas($B12,Q$2,Q$3)-1, "")</f>
        <v/>
      </c>
    </row>
    <row r="13" spans="1:17">
      <c r="A13" s="31" t="s">
        <v>48</v>
      </c>
      <c r="B13" s="4">
        <f>Cartera!B13</f>
        <v>0</v>
      </c>
      <c r="C13" s="4">
        <f>Cartera!C13</f>
        <v>0</v>
      </c>
      <c r="D13" s="4">
        <f>Cartera!D13</f>
        <v>0</v>
      </c>
      <c r="E13" s="4"/>
      <c r="F13" s="4"/>
      <c r="G13" s="4"/>
      <c r="H13" s="4"/>
      <c r="I13" s="4"/>
      <c r="J13" s="4"/>
      <c r="K13" s="4"/>
      <c r="L13" s="4"/>
      <c r="M13" s="29" t="str">
        <f ca="1">IFERROR(buscarUltimoVLRangoFechas($B13,M$2,M$3)/buscarPrimerVLRangoFechas($B13,M$2,M$3)-1, "")</f>
        <v/>
      </c>
      <c r="N13" s="29" t="str">
        <f ca="1">IFERROR(buscarUltimoVLRangoFechas($B13,N$2,N$3)/buscarPrimerVLRangoFechas($B13,N$2,N$3)-1, "")</f>
        <v/>
      </c>
      <c r="O13" s="29" t="str">
        <f ca="1">IFERROR(buscarUltimoVLRangoFechas($B13,O$2,O$3)/buscarPrimerVLRangoFechas($B13,O$2,O$3)-1, "")</f>
        <v/>
      </c>
      <c r="P13" s="29" t="str">
        <f ca="1">IFERROR(buscarUltimoVLRangoFechas($B13,P$2,P$3)/buscarPrimerVLRangoFechas($B13,P$2,P$3)-1, "")</f>
        <v/>
      </c>
      <c r="Q13" s="29" t="str">
        <f ca="1">IFERROR(buscarUltimoVLRangoFechas($B13,Q$2,Q$3)/buscarPrimerVLRangoFechas($B13,Q$2,Q$3)-1, "")</f>
        <v/>
      </c>
    </row>
    <row r="14" spans="1:17">
      <c r="A14" s="31" t="s">
        <v>48</v>
      </c>
      <c r="B14" s="4">
        <f>Cartera!B14</f>
        <v>0</v>
      </c>
      <c r="C14" s="4">
        <f>Cartera!C14</f>
        <v>0</v>
      </c>
      <c r="D14" s="4">
        <f>Cartera!D14</f>
        <v>0</v>
      </c>
      <c r="E14" s="4"/>
      <c r="F14" s="4"/>
      <c r="G14" s="4"/>
      <c r="H14" s="4"/>
      <c r="I14" s="4"/>
      <c r="J14" s="4"/>
      <c r="K14" s="4"/>
      <c r="L14" s="4"/>
      <c r="M14" s="29" t="str">
        <f ca="1">IFERROR(buscarUltimoVLRangoFechas($B14,M$2,M$3)/buscarPrimerVLRangoFechas($B14,M$2,M$3)-1, "")</f>
        <v/>
      </c>
      <c r="N14" s="29" t="str">
        <f ca="1">IFERROR(buscarUltimoVLRangoFechas($B14,N$2,N$3)/buscarPrimerVLRangoFechas($B14,N$2,N$3)-1, "")</f>
        <v/>
      </c>
      <c r="O14" s="29" t="str">
        <f ca="1">IFERROR(buscarUltimoVLRangoFechas($B14,O$2,O$3)/buscarPrimerVLRangoFechas($B14,O$2,O$3)-1, "")</f>
        <v/>
      </c>
      <c r="P14" s="29" t="str">
        <f ca="1">IFERROR(buscarUltimoVLRangoFechas($B14,P$2,P$3)/buscarPrimerVLRangoFechas($B14,P$2,P$3)-1, "")</f>
        <v/>
      </c>
      <c r="Q14" s="29" t="str">
        <f ca="1">IFERROR(buscarUltimoVLRangoFechas($B14,Q$2,Q$3)/buscarPrimerVLRangoFechas($B14,Q$2,Q$3)-1, "")</f>
        <v/>
      </c>
    </row>
    <row r="15" spans="1:17">
      <c r="A15" s="31" t="s">
        <v>48</v>
      </c>
      <c r="B15" s="4">
        <f>Cartera!B15</f>
        <v>0</v>
      </c>
      <c r="C15" s="4">
        <f>Cartera!C15</f>
        <v>0</v>
      </c>
      <c r="D15" s="4">
        <f>Cartera!D15</f>
        <v>0</v>
      </c>
      <c r="E15" s="4"/>
      <c r="F15" s="4"/>
      <c r="G15" s="4"/>
      <c r="H15" s="4"/>
      <c r="I15" s="4"/>
      <c r="J15" s="4"/>
      <c r="K15" s="4"/>
      <c r="L15" s="4"/>
      <c r="M15" s="29" t="str">
        <f ca="1">IFERROR(buscarUltimoVLRangoFechas($B15,M$2,M$3)/buscarPrimerVLRangoFechas($B15,M$2,M$3)-1, "")</f>
        <v/>
      </c>
      <c r="N15" s="29" t="str">
        <f ca="1">IFERROR(buscarUltimoVLRangoFechas($B15,N$2,N$3)/buscarPrimerVLRangoFechas($B15,N$2,N$3)-1, "")</f>
        <v/>
      </c>
      <c r="O15" s="29" t="str">
        <f ca="1">IFERROR(buscarUltimoVLRangoFechas($B15,O$2,O$3)/buscarPrimerVLRangoFechas($B15,O$2,O$3)-1, "")</f>
        <v/>
      </c>
      <c r="P15" s="29" t="str">
        <f ca="1">IFERROR(buscarUltimoVLRangoFechas($B15,P$2,P$3)/buscarPrimerVLRangoFechas($B15,P$2,P$3)-1, "")</f>
        <v/>
      </c>
      <c r="Q15" s="29" t="str">
        <f ca="1">IFERROR(buscarUltimoVLRangoFechas($B15,Q$2,Q$3)/buscarPrimerVLRangoFechas($B15,Q$2,Q$3)-1, "")</f>
        <v/>
      </c>
    </row>
    <row r="16" spans="1:17">
      <c r="A16" s="31" t="s">
        <v>48</v>
      </c>
      <c r="B16" s="4">
        <f>Cartera!B16</f>
        <v>0</v>
      </c>
      <c r="C16" s="4">
        <f>Cartera!C16</f>
        <v>0</v>
      </c>
      <c r="D16" s="4">
        <f>Cartera!D16</f>
        <v>0</v>
      </c>
      <c r="E16" s="4"/>
      <c r="F16" s="4"/>
      <c r="G16" s="4"/>
      <c r="H16" s="4"/>
      <c r="I16" s="4"/>
      <c r="J16" s="4"/>
      <c r="K16" s="4"/>
      <c r="L16" s="4"/>
      <c r="M16" s="29" t="str">
        <f ca="1">IFERROR(buscarUltimoVLRangoFechas($B16,M$2,M$3)/buscarPrimerVLRangoFechas($B16,M$2,M$3)-1, "")</f>
        <v/>
      </c>
      <c r="N16" s="29" t="str">
        <f ca="1">IFERROR(buscarUltimoVLRangoFechas($B16,N$2,N$3)/buscarPrimerVLRangoFechas($B16,N$2,N$3)-1, "")</f>
        <v/>
      </c>
      <c r="O16" s="29" t="str">
        <f ca="1">IFERROR(buscarUltimoVLRangoFechas($B16,O$2,O$3)/buscarPrimerVLRangoFechas($B16,O$2,O$3)-1, "")</f>
        <v/>
      </c>
      <c r="P16" s="29" t="str">
        <f ca="1">IFERROR(buscarUltimoVLRangoFechas($B16,P$2,P$3)/buscarPrimerVLRangoFechas($B16,P$2,P$3)-1, "")</f>
        <v/>
      </c>
      <c r="Q16" s="29" t="str">
        <f ca="1">IFERROR(buscarUltimoVLRangoFechas($B16,Q$2,Q$3)/buscarPrimerVLRangoFechas($B16,Q$2,Q$3)-1, "")</f>
        <v/>
      </c>
    </row>
    <row r="17" spans="1:17">
      <c r="A17" s="31" t="s">
        <v>48</v>
      </c>
      <c r="B17" s="4">
        <f>Cartera!B17</f>
        <v>0</v>
      </c>
      <c r="C17" s="4">
        <f>Cartera!C17</f>
        <v>0</v>
      </c>
      <c r="D17" s="4">
        <f>Cartera!D17</f>
        <v>0</v>
      </c>
      <c r="E17" s="4"/>
      <c r="F17" s="4"/>
      <c r="G17" s="4"/>
      <c r="H17" s="4"/>
      <c r="I17" s="4"/>
      <c r="J17" s="4"/>
      <c r="K17" s="4"/>
      <c r="L17" s="4"/>
      <c r="M17" s="29" t="str">
        <f ca="1">IFERROR(buscarUltimoVLRangoFechas($B17,M$2,M$3)/buscarPrimerVLRangoFechas($B17,M$2,M$3)-1, "")</f>
        <v/>
      </c>
      <c r="N17" s="29" t="str">
        <f ca="1">IFERROR(buscarUltimoVLRangoFechas($B17,N$2,N$3)/buscarPrimerVLRangoFechas($B17,N$2,N$3)-1, "")</f>
        <v/>
      </c>
      <c r="O17" s="29" t="str">
        <f ca="1">IFERROR(buscarUltimoVLRangoFechas($B17,O$2,O$3)/buscarPrimerVLRangoFechas($B17,O$2,O$3)-1, "")</f>
        <v/>
      </c>
      <c r="P17" s="29" t="str">
        <f ca="1">IFERROR(buscarUltimoVLRangoFechas($B17,P$2,P$3)/buscarPrimerVLRangoFechas($B17,P$2,P$3)-1, "")</f>
        <v/>
      </c>
      <c r="Q17" s="29" t="str">
        <f ca="1">IFERROR(buscarUltimoVLRangoFechas($B17,Q$2,Q$3)/buscarPrimerVLRangoFechas($B17,Q$2,Q$3)-1, "")</f>
        <v/>
      </c>
    </row>
    <row r="18" spans="1:17">
      <c r="A18" s="31" t="s">
        <v>48</v>
      </c>
      <c r="B18" s="4">
        <f>Cartera!B18</f>
        <v>0</v>
      </c>
      <c r="C18" s="4">
        <f>Cartera!C18</f>
        <v>0</v>
      </c>
      <c r="D18" s="4">
        <f>Cartera!D18</f>
        <v>0</v>
      </c>
      <c r="E18" s="4"/>
      <c r="F18" s="4"/>
      <c r="G18" s="4"/>
      <c r="H18" s="4"/>
      <c r="I18" s="4"/>
      <c r="J18" s="4"/>
      <c r="K18" s="4"/>
      <c r="L18" s="4"/>
      <c r="M18" s="29" t="str">
        <f ca="1">IFERROR(buscarUltimoVLRangoFechas($B18,M$2,M$3)/buscarPrimerVLRangoFechas($B18,M$2,M$3)-1, "")</f>
        <v/>
      </c>
      <c r="N18" s="29" t="str">
        <f ca="1">IFERROR(buscarUltimoVLRangoFechas($B18,N$2,N$3)/buscarPrimerVLRangoFechas($B18,N$2,N$3)-1, "")</f>
        <v/>
      </c>
      <c r="O18" s="29" t="str">
        <f ca="1">IFERROR(buscarUltimoVLRangoFechas($B18,O$2,O$3)/buscarPrimerVLRangoFechas($B18,O$2,O$3)-1, "")</f>
        <v/>
      </c>
      <c r="P18" s="29" t="str">
        <f ca="1">IFERROR(buscarUltimoVLRangoFechas($B18,P$2,P$3)/buscarPrimerVLRangoFechas($B18,P$2,P$3)-1, "")</f>
        <v/>
      </c>
      <c r="Q18" s="29" t="str">
        <f ca="1">IFERROR(buscarUltimoVLRangoFechas($B18,Q$2,Q$3)/buscarPrimerVLRangoFechas($B18,Q$2,Q$3)-1, "")</f>
        <v/>
      </c>
    </row>
    <row r="19" spans="1:17">
      <c r="A19" s="31" t="s">
        <v>48</v>
      </c>
      <c r="B19" s="4">
        <f>Cartera!B19</f>
        <v>0</v>
      </c>
      <c r="C19" s="4">
        <f>Cartera!C19</f>
        <v>0</v>
      </c>
      <c r="D19" s="4">
        <f>Cartera!D19</f>
        <v>0</v>
      </c>
      <c r="E19" s="4"/>
      <c r="F19" s="4"/>
      <c r="G19" s="4"/>
      <c r="H19" s="4"/>
      <c r="I19" s="4"/>
      <c r="J19" s="4"/>
      <c r="K19" s="4"/>
      <c r="L19" s="4"/>
      <c r="M19" s="29" t="str">
        <f ca="1">IFERROR(buscarUltimoVLRangoFechas($B19,M$2,M$3)/buscarPrimerVLRangoFechas($B19,M$2,M$3)-1, "")</f>
        <v/>
      </c>
      <c r="N19" s="29" t="str">
        <f ca="1">IFERROR(buscarUltimoVLRangoFechas($B19,N$2,N$3)/buscarPrimerVLRangoFechas($B19,N$2,N$3)-1, "")</f>
        <v/>
      </c>
      <c r="O19" s="29" t="str">
        <f ca="1">IFERROR(buscarUltimoVLRangoFechas($B19,O$2,O$3)/buscarPrimerVLRangoFechas($B19,O$2,O$3)-1, "")</f>
        <v/>
      </c>
      <c r="P19" s="29" t="str">
        <f ca="1">IFERROR(buscarUltimoVLRangoFechas($B19,P$2,P$3)/buscarPrimerVLRangoFechas($B19,P$2,P$3)-1, "")</f>
        <v/>
      </c>
      <c r="Q19" s="29" t="str">
        <f ca="1">IFERROR(buscarUltimoVLRangoFechas($B19,Q$2,Q$3)/buscarPrimerVLRangoFechas($B19,Q$2,Q$3)-1, "")</f>
        <v/>
      </c>
    </row>
    <row r="20" spans="1:17">
      <c r="A20" s="31" t="s">
        <v>48</v>
      </c>
      <c r="B20" s="4">
        <f>Cartera!B20</f>
        <v>0</v>
      </c>
      <c r="C20" s="4">
        <f>Cartera!C20</f>
        <v>0</v>
      </c>
      <c r="D20" s="4">
        <f>Cartera!D20</f>
        <v>0</v>
      </c>
      <c r="E20" s="29" t="str">
        <f ca="1">IFERROR(buscarUltimoVLRangoFechas($B20,E$2,E$3)/buscarPrimerVLRangoFechas($B20,E$2,E$3)-1, "")</f>
        <v/>
      </c>
      <c r="F20" s="29" t="str">
        <f ca="1">IFERROR(buscarUltimoVLRangoFechas($B20,F$2,F$3)/buscarPrimerVLRangoFechas($B20,F$2,F$3)-1, "")</f>
        <v/>
      </c>
      <c r="G20" s="29" t="str">
        <f ca="1">IFERROR(buscarUltimoVLRangoFechas($B20,G$2,G$3)/buscarPrimerVLRangoFechas($B20,G$2,G$3)-1, "")</f>
        <v/>
      </c>
      <c r="H20" s="29" t="str">
        <f ca="1">IFERROR(buscarUltimoVLRangoFechas($B20,H$2,H$3)/buscarPrimerVLRangoFechas($B20,H$2,H$3)-1, "")</f>
        <v/>
      </c>
      <c r="I20" s="29" t="str">
        <f ca="1">IFERROR(buscarUltimoVLRangoFechas($B20,I$2,I$3)/buscarPrimerVLRangoFechas($B20,I$2,I$3)-1, "")</f>
        <v/>
      </c>
      <c r="J20" s="29" t="str">
        <f ca="1">IFERROR(buscarUltimoVLRangoFechas($B20,J$2,J$3)/buscarPrimerVLRangoFechas($B20,J$2,J$3)-1, "")</f>
        <v/>
      </c>
      <c r="K20" s="29" t="str">
        <f ca="1">IFERROR(buscarUltimoVLRangoFechas($B20,K$2,K$3)/buscarPrimerVLRangoFechas($B20,K$2,K$3)-1, "")</f>
        <v/>
      </c>
      <c r="L20" s="29" t="str">
        <f ca="1">IFERROR(buscarUltimoVLRangoFechas($B20,L$2,L$3)/buscarPrimerVLRangoFechas($B20,L$2,L$3)-1, "")</f>
        <v/>
      </c>
      <c r="M20" s="29" t="str">
        <f ca="1">IFERROR(buscarUltimoVLRangoFechas($B20,M$2,M$3)/buscarPrimerVLRangoFechas($B20,M$2,M$3)-1, "")</f>
        <v/>
      </c>
      <c r="N20" s="29" t="str">
        <f ca="1">IFERROR(buscarUltimoVLRangoFechas($B20,N$2,N$3)/buscarPrimerVLRangoFechas($B20,N$2,N$3)-1, "")</f>
        <v/>
      </c>
      <c r="O20" s="29" t="str">
        <f ca="1">IFERROR(buscarUltimoVLRangoFechas($B20,O$2,O$3)/buscarPrimerVLRangoFechas($B20,O$2,O$3)-1, "")</f>
        <v/>
      </c>
      <c r="P20" s="29" t="str">
        <f ca="1">IFERROR(buscarUltimoVLRangoFechas($B20,P$2,P$3)/buscarPrimerVLRangoFechas($B20,P$2,P$3)-1, "")</f>
        <v/>
      </c>
      <c r="Q20" s="29" t="str">
        <f ca="1">IFERROR(buscarUltimoVLRangoFechas($B20,Q$2,Q$3)/buscarPrimerVLRangoFechas($B20,Q$2,Q$3)-1, "")</f>
        <v/>
      </c>
    </row>
    <row r="21" spans="1:17">
      <c r="A21" s="31" t="s">
        <v>48</v>
      </c>
      <c r="B21" s="4">
        <f>Cartera!B21</f>
        <v>0</v>
      </c>
      <c r="C21" s="4">
        <f>Cartera!C21</f>
        <v>0</v>
      </c>
      <c r="D21" s="4">
        <f>Cartera!D21</f>
        <v>0</v>
      </c>
      <c r="E21" s="4"/>
      <c r="F21" s="4"/>
      <c r="G21" s="4"/>
      <c r="H21" s="4"/>
      <c r="I21" s="4"/>
      <c r="J21" s="4"/>
      <c r="K21" s="4"/>
      <c r="L21" s="4"/>
      <c r="M21" s="29" t="str">
        <f ca="1">IFERROR(buscarUltimoVLRangoFechas($B21,M$2,M$3)/buscarPrimerVLRangoFechas($B21,M$2,M$3)-1, "")</f>
        <v/>
      </c>
      <c r="N21" s="29" t="str">
        <f ca="1">IFERROR(buscarUltimoVLRangoFechas($B21,N$2,N$3)/buscarPrimerVLRangoFechas($B21,N$2,N$3)-1, "")</f>
        <v/>
      </c>
      <c r="O21" s="29" t="str">
        <f ca="1">IFERROR(buscarUltimoVLRangoFechas($B21,O$2,O$3)/buscarPrimerVLRangoFechas($B21,O$2,O$3)-1, "")</f>
        <v/>
      </c>
      <c r="P21" s="29" t="str">
        <f ca="1">IFERROR(buscarUltimoVLRangoFechas($B21,P$2,P$3)/buscarPrimerVLRangoFechas($B21,P$2,P$3)-1, "")</f>
        <v/>
      </c>
      <c r="Q21" s="29" t="str">
        <f ca="1">IFERROR(buscarUltimoVLRangoFechas($B21,Q$2,Q$3)/buscarPrimerVLRangoFechas($B21,Q$2,Q$3)-1, "")</f>
        <v/>
      </c>
    </row>
  </sheetData>
  <autoFilter ref="A3:C21"/>
  <mergeCells count="4">
    <mergeCell ref="A2:A3"/>
    <mergeCell ref="B2:B3"/>
    <mergeCell ref="C2:C3"/>
    <mergeCell ref="D2:D3"/>
  </mergeCells>
  <dataValidations count="1">
    <dataValidation type="list" allowBlank="1" showInputMessage="1" showErrorMessage="1" sqref="A4:A21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>
    <tabColor theme="0" tint="-0.14999847407452621"/>
  </sheetPr>
  <dimension ref="A2:Q21"/>
  <sheetViews>
    <sheetView showZeros="0" zoomScaleNormal="100" zoomScalePageLayoutView="15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C38" sqref="C38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4" width="14.42578125" bestFit="1" customWidth="1"/>
    <col min="8" max="16" width="0" hidden="1" customWidth="1"/>
    <col min="17" max="17" width="13.7109375" bestFit="1" customWidth="1"/>
  </cols>
  <sheetData>
    <row r="2" spans="1:17">
      <c r="A2" s="73" t="s">
        <v>47</v>
      </c>
      <c r="B2" s="73" t="s">
        <v>0</v>
      </c>
      <c r="C2" s="73" t="s">
        <v>70</v>
      </c>
      <c r="D2" s="73" t="s">
        <v>71</v>
      </c>
      <c r="E2" s="43">
        <v>41640</v>
      </c>
      <c r="F2" s="43">
        <v>41671</v>
      </c>
      <c r="G2" s="43">
        <v>41699</v>
      </c>
      <c r="H2" s="43">
        <v>41730</v>
      </c>
      <c r="I2" s="43">
        <v>41760</v>
      </c>
      <c r="J2" s="43">
        <v>41791</v>
      </c>
      <c r="K2" s="43">
        <v>41821</v>
      </c>
      <c r="L2" s="43">
        <v>41852</v>
      </c>
      <c r="M2" s="43">
        <v>41883</v>
      </c>
      <c r="N2" s="43">
        <v>41913</v>
      </c>
      <c r="O2" s="43">
        <v>41944</v>
      </c>
      <c r="P2" s="43">
        <v>41974</v>
      </c>
      <c r="Q2" s="43">
        <v>41640</v>
      </c>
    </row>
    <row r="3" spans="1:17" ht="20.100000000000001" customHeight="1" thickBot="1">
      <c r="A3" s="74"/>
      <c r="B3" s="74" t="s">
        <v>0</v>
      </c>
      <c r="C3" s="74" t="s">
        <v>1</v>
      </c>
      <c r="D3" s="74" t="s">
        <v>68</v>
      </c>
      <c r="E3" s="43">
        <v>41670</v>
      </c>
      <c r="F3" s="43">
        <v>41698</v>
      </c>
      <c r="G3" s="43">
        <v>41729</v>
      </c>
      <c r="H3" s="43">
        <v>41759</v>
      </c>
      <c r="I3" s="43">
        <v>41790</v>
      </c>
      <c r="J3" s="43">
        <v>41820</v>
      </c>
      <c r="K3" s="43">
        <v>41851</v>
      </c>
      <c r="L3" s="43">
        <v>41882</v>
      </c>
      <c r="M3" s="43">
        <v>41912</v>
      </c>
      <c r="N3" s="43">
        <v>41943</v>
      </c>
      <c r="O3" s="43">
        <v>41973</v>
      </c>
      <c r="P3" s="43">
        <v>42004</v>
      </c>
      <c r="Q3" s="43">
        <v>42004</v>
      </c>
    </row>
    <row r="4" spans="1:17">
      <c r="A4" s="31" t="s">
        <v>48</v>
      </c>
      <c r="B4" s="4">
        <f>Cartera!B4</f>
        <v>0</v>
      </c>
      <c r="C4" s="4">
        <f>Cartera!C4</f>
        <v>0</v>
      </c>
      <c r="D4" s="4">
        <f>Cartera!D4</f>
        <v>0</v>
      </c>
      <c r="E4" s="29" t="str">
        <f ca="1">IFERROR(buscarUltimoVLRangoFechas($B4,E$2,E$3)/buscarPrimerVLRangoFechas($B4,E$2,E$3)-1, "")</f>
        <v/>
      </c>
      <c r="F4" s="29" t="str">
        <f ca="1">IFERROR(buscarUltimoVLRangoFechas($B4,F$2,F$3)/buscarPrimerVLRangoFechas($B4,F$2,F$3)-1, "")</f>
        <v/>
      </c>
      <c r="G4" s="29" t="str">
        <f ca="1">IFERROR(buscarUltimoVLRangoFechas($B4,G$2,G$3)/buscarPrimerVLRangoFechas($B4,G$2,G$3)-1, "")</f>
        <v/>
      </c>
      <c r="Q4" s="47">
        <f ca="1">SUBTOTAL(9,E4:P4)</f>
        <v>0</v>
      </c>
    </row>
    <row r="5" spans="1:17">
      <c r="A5" s="31" t="s">
        <v>48</v>
      </c>
      <c r="B5" s="4">
        <f>Cartera!B5</f>
        <v>0</v>
      </c>
      <c r="C5" s="4">
        <f>Cartera!C5</f>
        <v>0</v>
      </c>
      <c r="D5" s="4">
        <f>Cartera!D5</f>
        <v>0</v>
      </c>
      <c r="E5" s="29" t="str">
        <f ca="1">IFERROR(buscarUltimoVLRangoFechas($B5,E$2,E$3)/buscarPrimerVLRangoFechas($B5,E$2,E$3)-1, "")</f>
        <v/>
      </c>
      <c r="F5" s="29" t="str">
        <f ca="1">IFERROR(buscarUltimoVLRangoFechas($B5,F$2,F$3)/buscarPrimerVLRangoFechas($B5,F$2,F$3)-1, "")</f>
        <v/>
      </c>
      <c r="G5" s="29" t="str">
        <f ca="1">IFERROR(buscarUltimoVLRangoFechas($B5,G$2,G$3)/buscarPrimerVLRangoFechas($B5,G$2,G$3)-1, "")</f>
        <v/>
      </c>
      <c r="H5" s="29" t="str">
        <f t="shared" ref="H5:P9" ca="1" si="0">IFERROR(buscarVL($B5,H$3)/buscarVL($B5,H$2)-1, "")</f>
        <v/>
      </c>
      <c r="I5" s="29" t="str">
        <f t="shared" ca="1" si="0"/>
        <v/>
      </c>
      <c r="J5" s="29" t="str">
        <f t="shared" ca="1" si="0"/>
        <v/>
      </c>
      <c r="K5" s="29" t="str">
        <f t="shared" ca="1" si="0"/>
        <v/>
      </c>
      <c r="L5" s="29" t="str">
        <f t="shared" ca="1" si="0"/>
        <v/>
      </c>
      <c r="M5" s="29" t="str">
        <f t="shared" ca="1" si="0"/>
        <v/>
      </c>
      <c r="N5" s="29" t="str">
        <f t="shared" ca="1" si="0"/>
        <v/>
      </c>
      <c r="O5" s="29" t="str">
        <f t="shared" ca="1" si="0"/>
        <v/>
      </c>
      <c r="P5" s="29" t="str">
        <f t="shared" ca="1" si="0"/>
        <v/>
      </c>
      <c r="Q5" s="29" t="str">
        <f ca="1">IFERROR(buscarUltimoVLRangoFechas($B5,Q$2,Q$3)/buscarPrimerVLRangoFechas($B5,Q$2,Q$3)-1, "")</f>
        <v/>
      </c>
    </row>
    <row r="6" spans="1:17">
      <c r="A6" s="31" t="s">
        <v>48</v>
      </c>
      <c r="B6" s="4">
        <f>Cartera!B6</f>
        <v>0</v>
      </c>
      <c r="C6" s="4">
        <f>Cartera!C6</f>
        <v>0</v>
      </c>
      <c r="D6" s="4">
        <f>Cartera!D6</f>
        <v>0</v>
      </c>
      <c r="E6" s="29" t="str">
        <f ca="1">IFERROR(buscarUltimoVLRangoFechas($B6,E$2,E$3)/buscarPrimerVLRangoFechas($B6,E$2,E$3)-1, "")</f>
        <v/>
      </c>
      <c r="F6" s="29" t="str">
        <f ca="1">IFERROR(buscarUltimoVLRangoFechas($B6,F$2,F$3)/buscarPrimerVLRangoFechas($B6,F$2,F$3)-1, "")</f>
        <v/>
      </c>
      <c r="G6" s="29" t="str">
        <f ca="1">IFERROR(buscarUltimoVLRangoFechas($B6,G$2,G$3)/buscarPrimerVLRangoFechas($B6,G$2,G$3)-1, "")</f>
        <v/>
      </c>
      <c r="Q6" s="47">
        <f t="shared" ref="Q6:Q21" ca="1" si="1">SUBTOTAL(9,E6:P6)</f>
        <v>0</v>
      </c>
    </row>
    <row r="7" spans="1:17">
      <c r="A7" s="31" t="s">
        <v>48</v>
      </c>
      <c r="B7" s="4">
        <f>Cartera!B7</f>
        <v>0</v>
      </c>
      <c r="C7" s="4">
        <f>Cartera!C7</f>
        <v>0</v>
      </c>
      <c r="D7" s="4">
        <f>Cartera!D7</f>
        <v>0</v>
      </c>
      <c r="E7" s="29" t="str">
        <f ca="1">IFERROR(buscarUltimoVLRangoFechas($B7,E$2,E$3)/buscarPrimerVLRangoFechas($B7,E$2,E$3)-1, "")</f>
        <v/>
      </c>
      <c r="F7" s="29" t="str">
        <f ca="1">IFERROR(buscarUltimoVLRangoFechas($B7,F$2,F$3)/buscarPrimerVLRangoFechas($B7,F$2,F$3)-1, "")</f>
        <v/>
      </c>
      <c r="G7" s="29" t="str">
        <f ca="1">IFERROR(buscarUltimoVLRangoFechas($B7,G$2,G$3)/buscarPrimerVLRangoFechas($B7,G$2,G$3)-1, "")</f>
        <v/>
      </c>
      <c r="H7" s="29" t="str">
        <f t="shared" ca="1" si="0"/>
        <v/>
      </c>
      <c r="I7" s="29" t="str">
        <f t="shared" ca="1" si="0"/>
        <v/>
      </c>
      <c r="J7" s="29" t="str">
        <f t="shared" ca="1" si="0"/>
        <v/>
      </c>
      <c r="K7" s="29" t="str">
        <f t="shared" ca="1" si="0"/>
        <v/>
      </c>
      <c r="L7" s="29" t="str">
        <f t="shared" ca="1" si="0"/>
        <v/>
      </c>
      <c r="M7" s="29" t="str">
        <f t="shared" ca="1" si="0"/>
        <v/>
      </c>
      <c r="N7" s="29" t="str">
        <f t="shared" ca="1" si="0"/>
        <v/>
      </c>
      <c r="O7" s="29" t="str">
        <f t="shared" ca="1" si="0"/>
        <v/>
      </c>
      <c r="P7" s="29" t="str">
        <f t="shared" ca="1" si="0"/>
        <v/>
      </c>
      <c r="Q7" s="29" t="str">
        <f ca="1">IFERROR(buscarUltimoVLRangoFechas($B7,Q$2,Q$3)/buscarPrimerVLRangoFechas($B7,Q$2,Q$3)-1, "")</f>
        <v/>
      </c>
    </row>
    <row r="8" spans="1:17">
      <c r="A8" s="31" t="s">
        <v>48</v>
      </c>
      <c r="B8" s="4">
        <f>Cartera!B8</f>
        <v>0</v>
      </c>
      <c r="C8" s="4">
        <f>Cartera!C8</f>
        <v>0</v>
      </c>
      <c r="D8" s="4">
        <f>Cartera!D8</f>
        <v>0</v>
      </c>
      <c r="E8" s="29" t="str">
        <f ca="1">IFERROR(buscarUltimoVLRangoFechas($B8,E$2,E$3)/buscarPrimerVLRangoFechas($B8,E$2,E$3)-1, "")</f>
        <v/>
      </c>
      <c r="F8" s="29" t="str">
        <f ca="1">IFERROR(buscarUltimoVLRangoFechas($B8,F$2,F$3)/buscarPrimerVLRangoFechas($B8,F$2,F$3)-1, "")</f>
        <v/>
      </c>
      <c r="G8" s="29" t="str">
        <f ca="1">IFERROR(buscarUltimoVLRangoFechas($B8,G$2,G$3)/buscarPrimerVLRangoFechas($B8,G$2,G$3)-1, "")</f>
        <v/>
      </c>
      <c r="H8" s="29" t="str">
        <f t="shared" ca="1" si="0"/>
        <v/>
      </c>
      <c r="I8" s="29" t="str">
        <f t="shared" ca="1" si="0"/>
        <v/>
      </c>
      <c r="J8" s="29" t="str">
        <f t="shared" ca="1" si="0"/>
        <v/>
      </c>
      <c r="K8" s="29" t="str">
        <f t="shared" ca="1" si="0"/>
        <v/>
      </c>
      <c r="L8" s="29" t="str">
        <f t="shared" ca="1" si="0"/>
        <v/>
      </c>
      <c r="M8" s="29" t="str">
        <f t="shared" ca="1" si="0"/>
        <v/>
      </c>
      <c r="N8" s="29" t="str">
        <f t="shared" ca="1" si="0"/>
        <v/>
      </c>
      <c r="O8" s="29" t="str">
        <f t="shared" ca="1" si="0"/>
        <v/>
      </c>
      <c r="P8" s="29" t="str">
        <f t="shared" ca="1" si="0"/>
        <v/>
      </c>
      <c r="Q8" s="29" t="str">
        <f ca="1">IFERROR(buscarUltimoVLRangoFechas($B8,Q$2,Q$3)/buscarPrimerVLRangoFechas($B8,Q$2,Q$3)-1, "")</f>
        <v/>
      </c>
    </row>
    <row r="9" spans="1:17">
      <c r="A9" s="31" t="s">
        <v>48</v>
      </c>
      <c r="B9" s="4">
        <f>Cartera!B9</f>
        <v>0</v>
      </c>
      <c r="C9" s="4">
        <f>Cartera!C9</f>
        <v>0</v>
      </c>
      <c r="D9" s="4">
        <f>Cartera!D9</f>
        <v>0</v>
      </c>
      <c r="E9" s="29" t="str">
        <f ca="1">IFERROR(buscarUltimoVLRangoFechas($B9,E$2,E$3)/buscarPrimerVLRangoFechas($B9,E$2,E$3)-1, "")</f>
        <v/>
      </c>
      <c r="F9" s="29" t="str">
        <f ca="1">IFERROR(buscarUltimoVLRangoFechas($B9,F$2,F$3)/buscarPrimerVLRangoFechas($B9,F$2,F$3)-1, "")</f>
        <v/>
      </c>
      <c r="G9" s="29" t="str">
        <f ca="1">IFERROR(buscarUltimoVLRangoFechas($B9,G$2,G$3)/buscarPrimerVLRangoFechas($B9,G$2,G$3)-1, "")</f>
        <v/>
      </c>
      <c r="H9" s="29" t="str">
        <f t="shared" ca="1" si="0"/>
        <v/>
      </c>
      <c r="I9" s="29" t="str">
        <f t="shared" ca="1" si="0"/>
        <v/>
      </c>
      <c r="J9" s="29" t="str">
        <f t="shared" ca="1" si="0"/>
        <v/>
      </c>
      <c r="K9" s="29" t="str">
        <f t="shared" ca="1" si="0"/>
        <v/>
      </c>
      <c r="L9" s="29" t="str">
        <f t="shared" ca="1" si="0"/>
        <v/>
      </c>
      <c r="M9" s="29" t="str">
        <f t="shared" ca="1" si="0"/>
        <v/>
      </c>
      <c r="N9" s="29" t="str">
        <f t="shared" ca="1" si="0"/>
        <v/>
      </c>
      <c r="O9" s="29" t="str">
        <f t="shared" ca="1" si="0"/>
        <v/>
      </c>
      <c r="P9" s="29" t="str">
        <f t="shared" ca="1" si="0"/>
        <v/>
      </c>
      <c r="Q9" s="29" t="str">
        <f ca="1">IFERROR(buscarUltimoVLRangoFechas($B9,Q$2,Q$3)/buscarPrimerVLRangoFechas($B9,Q$2,Q$3)-1, "")</f>
        <v/>
      </c>
    </row>
    <row r="10" spans="1:17">
      <c r="A10" s="31" t="s">
        <v>48</v>
      </c>
      <c r="B10" s="4">
        <f>Cartera!B10</f>
        <v>0</v>
      </c>
      <c r="C10" s="4">
        <f>Cartera!C10</f>
        <v>0</v>
      </c>
      <c r="D10" s="4">
        <f>Cartera!D10</f>
        <v>0</v>
      </c>
      <c r="E10" s="29" t="str">
        <f ca="1">IFERROR(buscarUltimoVLRangoFechas($B10,E$2,E$3)/buscarPrimerVLRangoFechas($B10,E$2,E$3)-1, "")</f>
        <v/>
      </c>
      <c r="F10" s="29" t="str">
        <f ca="1">IFERROR(buscarUltimoVLRangoFechas($B10,F$2,F$3)/buscarPrimerVLRangoFechas($B10,F$2,F$3)-1, "")</f>
        <v/>
      </c>
      <c r="G10" s="29" t="str">
        <f ca="1">IFERROR(buscarUltimoVLRangoFechas($B10,G$2,G$3)/buscarPrimerVLRangoFechas($B10,G$2,G$3)-1, "")</f>
        <v/>
      </c>
      <c r="Q10" s="47">
        <f t="shared" ca="1" si="1"/>
        <v>0</v>
      </c>
    </row>
    <row r="11" spans="1:17">
      <c r="A11" s="31" t="s">
        <v>48</v>
      </c>
      <c r="B11" s="4">
        <f>Cartera!B11</f>
        <v>0</v>
      </c>
      <c r="C11" s="4">
        <f>Cartera!C11</f>
        <v>0</v>
      </c>
      <c r="D11" s="4">
        <f>Cartera!D11</f>
        <v>0</v>
      </c>
      <c r="E11" s="29" t="str">
        <f ca="1">IFERROR(buscarUltimoVLRangoFechas($B11,E$2,E$3)/buscarPrimerVLRangoFechas($B11,E$2,E$3)-1, "")</f>
        <v/>
      </c>
      <c r="F11" s="29" t="str">
        <f ca="1">IFERROR(buscarUltimoVLRangoFechas($B11,F$2,F$3)/buscarPrimerVLRangoFechas($B11,F$2,F$3)-1, "")</f>
        <v/>
      </c>
      <c r="G11" s="29" t="str">
        <f ca="1">IFERROR(buscarUltimoVLRangoFechas($B11,G$2,G$3)/buscarPrimerVLRangoFechas($B11,G$2,G$3)-1, "")</f>
        <v/>
      </c>
      <c r="Q11" s="47">
        <f t="shared" ca="1" si="1"/>
        <v>0</v>
      </c>
    </row>
    <row r="12" spans="1:17">
      <c r="A12" s="31" t="s">
        <v>48</v>
      </c>
      <c r="B12" s="4">
        <f>Cartera!B12</f>
        <v>0</v>
      </c>
      <c r="C12" s="4">
        <f>Cartera!C12</f>
        <v>0</v>
      </c>
      <c r="D12" s="4">
        <f>Cartera!D12</f>
        <v>0</v>
      </c>
      <c r="E12" s="29" t="str">
        <f ca="1">IFERROR(buscarUltimoVLRangoFechas($B12,E$2,E$3)/buscarPrimerVLRangoFechas($B12,E$2,E$3)-1, "")</f>
        <v/>
      </c>
      <c r="F12" s="29" t="str">
        <f ca="1">IFERROR(buscarUltimoVLRangoFechas($B12,F$2,F$3)/buscarPrimerVLRangoFechas($B12,F$2,F$3)-1, "")</f>
        <v/>
      </c>
      <c r="G12" s="29" t="str">
        <f ca="1">IFERROR(buscarUltimoVLRangoFechas($B12,G$2,G$3)/buscarPrimerVLRangoFechas($B12,G$2,G$3)-1, "")</f>
        <v/>
      </c>
      <c r="Q12" s="47">
        <f t="shared" ca="1" si="1"/>
        <v>0</v>
      </c>
    </row>
    <row r="13" spans="1:17">
      <c r="A13" s="31" t="s">
        <v>48</v>
      </c>
      <c r="B13" s="4">
        <f>Cartera!B13</f>
        <v>0</v>
      </c>
      <c r="C13" s="4">
        <f>Cartera!C13</f>
        <v>0</v>
      </c>
      <c r="D13" s="4">
        <f>Cartera!D13</f>
        <v>0</v>
      </c>
      <c r="E13" s="29" t="str">
        <f ca="1">IFERROR(buscarUltimoVLRangoFechas($B13,E$2,E$3)/buscarPrimerVLRangoFechas($B13,E$2,E$3)-1, "")</f>
        <v/>
      </c>
      <c r="F13" s="29" t="str">
        <f ca="1">IFERROR(buscarUltimoVLRangoFechas($B13,F$2,F$3)/buscarPrimerVLRangoFechas($B13,F$2,F$3)-1, "")</f>
        <v/>
      </c>
      <c r="G13" s="29" t="str">
        <f ca="1">IFERROR(buscarUltimoVLRangoFechas($B13,G$2,G$3)/buscarPrimerVLRangoFechas($B13,G$2,G$3)-1, "")</f>
        <v/>
      </c>
      <c r="Q13" s="47">
        <f t="shared" ca="1" si="1"/>
        <v>0</v>
      </c>
    </row>
    <row r="14" spans="1:17">
      <c r="A14" s="31" t="s">
        <v>48</v>
      </c>
      <c r="B14" s="4">
        <f>Cartera!B14</f>
        <v>0</v>
      </c>
      <c r="C14" s="4">
        <f>Cartera!C14</f>
        <v>0</v>
      </c>
      <c r="D14" s="4">
        <f>Cartera!D14</f>
        <v>0</v>
      </c>
      <c r="E14" s="29" t="str">
        <f ca="1">IFERROR(buscarUltimoVLRangoFechas($B14,E$2,E$3)/buscarPrimerVLRangoFechas($B14,E$2,E$3)-1, "")</f>
        <v/>
      </c>
      <c r="F14" s="29" t="str">
        <f ca="1">IFERROR(buscarUltimoVLRangoFechas($B14,F$2,F$3)/buscarPrimerVLRangoFechas($B14,F$2,F$3)-1, "")</f>
        <v/>
      </c>
      <c r="G14" s="29" t="str">
        <f ca="1">IFERROR(buscarUltimoVLRangoFechas($B14,G$2,G$3)/buscarPrimerVLRangoFechas($B14,G$2,G$3)-1, "")</f>
        <v/>
      </c>
      <c r="Q14" s="47">
        <f t="shared" ca="1" si="1"/>
        <v>0</v>
      </c>
    </row>
    <row r="15" spans="1:17">
      <c r="A15" s="31" t="s">
        <v>48</v>
      </c>
      <c r="B15" s="4">
        <f>Cartera!B15</f>
        <v>0</v>
      </c>
      <c r="C15" s="4">
        <f>Cartera!C15</f>
        <v>0</v>
      </c>
      <c r="D15" s="4">
        <f>Cartera!D15</f>
        <v>0</v>
      </c>
      <c r="E15" s="29" t="str">
        <f ca="1">IFERROR(buscarUltimoVLRangoFechas($B15,E$2,E$3)/buscarPrimerVLRangoFechas($B15,E$2,E$3)-1, "")</f>
        <v/>
      </c>
      <c r="F15" s="29" t="str">
        <f ca="1">IFERROR(buscarUltimoVLRangoFechas($B15,F$2,F$3)/buscarPrimerVLRangoFechas($B15,F$2,F$3)-1, "")</f>
        <v/>
      </c>
      <c r="G15" s="29" t="str">
        <f ca="1">IFERROR(buscarUltimoVLRangoFechas($B15,G$2,G$3)/buscarPrimerVLRangoFechas($B15,G$2,G$3)-1, "")</f>
        <v/>
      </c>
      <c r="Q15" s="47">
        <f t="shared" ca="1" si="1"/>
        <v>0</v>
      </c>
    </row>
    <row r="16" spans="1:17">
      <c r="A16" s="31" t="s">
        <v>48</v>
      </c>
      <c r="B16" s="4">
        <f>Cartera!B16</f>
        <v>0</v>
      </c>
      <c r="C16" s="4">
        <f>Cartera!C16</f>
        <v>0</v>
      </c>
      <c r="D16" s="4">
        <f>Cartera!D16</f>
        <v>0</v>
      </c>
      <c r="E16" s="29" t="str">
        <f ca="1">IFERROR(buscarUltimoVLRangoFechas($B16,E$2,E$3)/buscarPrimerVLRangoFechas($B16,E$2,E$3)-1, "")</f>
        <v/>
      </c>
      <c r="F16" s="29" t="str">
        <f ca="1">IFERROR(buscarUltimoVLRangoFechas($B16,F$2,F$3)/buscarPrimerVLRangoFechas($B16,F$2,F$3)-1, "")</f>
        <v/>
      </c>
      <c r="G16" s="29" t="str">
        <f ca="1">IFERROR(buscarUltimoVLRangoFechas($B16,G$2,G$3)/buscarPrimerVLRangoFechas($B16,G$2,G$3)-1, "")</f>
        <v/>
      </c>
      <c r="Q16" s="47">
        <f t="shared" ca="1" si="1"/>
        <v>0</v>
      </c>
    </row>
    <row r="17" spans="1:17">
      <c r="A17" s="31" t="s">
        <v>48</v>
      </c>
      <c r="B17" s="4">
        <f>Cartera!B17</f>
        <v>0</v>
      </c>
      <c r="C17" s="4">
        <f>Cartera!C17</f>
        <v>0</v>
      </c>
      <c r="D17" s="4">
        <f>Cartera!D17</f>
        <v>0</v>
      </c>
      <c r="E17" s="29" t="str">
        <f ca="1">IFERROR(buscarUltimoVLRangoFechas($B17,E$2,E$3)/buscarPrimerVLRangoFechas($B17,E$2,E$3)-1, "")</f>
        <v/>
      </c>
      <c r="F17" s="29" t="str">
        <f ca="1">IFERROR(buscarUltimoVLRangoFechas($B17,F$2,F$3)/buscarPrimerVLRangoFechas($B17,F$2,F$3)-1, "")</f>
        <v/>
      </c>
      <c r="G17" s="29" t="str">
        <f ca="1">IFERROR(buscarUltimoVLRangoFechas($B17,G$2,G$3)/buscarPrimerVLRangoFechas($B17,G$2,G$3)-1, "")</f>
        <v/>
      </c>
      <c r="Q17" s="47">
        <f t="shared" ca="1" si="1"/>
        <v>0</v>
      </c>
    </row>
    <row r="18" spans="1:17">
      <c r="A18" s="31" t="s">
        <v>48</v>
      </c>
      <c r="B18" s="4">
        <f>Cartera!B18</f>
        <v>0</v>
      </c>
      <c r="C18" s="4">
        <f>Cartera!C18</f>
        <v>0</v>
      </c>
      <c r="D18" s="4">
        <f>Cartera!D18</f>
        <v>0</v>
      </c>
      <c r="E18" s="29" t="str">
        <f ca="1">IFERROR(buscarUltimoVLRangoFechas($B18,E$2,E$3)/buscarPrimerVLRangoFechas($B18,E$2,E$3)-1, "")</f>
        <v/>
      </c>
      <c r="F18" s="29" t="str">
        <f ca="1">IFERROR(buscarUltimoVLRangoFechas($B18,F$2,F$3)/buscarPrimerVLRangoFechas($B18,F$2,F$3)-1, "")</f>
        <v/>
      </c>
      <c r="G18" s="29" t="str">
        <f ca="1">IFERROR(buscarUltimoVLRangoFechas($B18,G$2,G$3)/buscarPrimerVLRangoFechas($B18,G$2,G$3)-1, "")</f>
        <v/>
      </c>
      <c r="Q18" s="47">
        <f t="shared" ca="1" si="1"/>
        <v>0</v>
      </c>
    </row>
    <row r="19" spans="1:17">
      <c r="A19" s="31" t="s">
        <v>48</v>
      </c>
      <c r="B19" s="4">
        <f>Cartera!B19</f>
        <v>0</v>
      </c>
      <c r="C19" s="4">
        <f>Cartera!C19</f>
        <v>0</v>
      </c>
      <c r="D19" s="4">
        <f>Cartera!D19</f>
        <v>0</v>
      </c>
      <c r="E19" s="29" t="str">
        <f ca="1">IFERROR(buscarUltimoVLRangoFechas($B19,E$2,E$3)/buscarPrimerVLRangoFechas($B19,E$2,E$3)-1, "")</f>
        <v/>
      </c>
      <c r="F19" s="29" t="str">
        <f ca="1">IFERROR(buscarUltimoVLRangoFechas($B19,F$2,F$3)/buscarPrimerVLRangoFechas($B19,F$2,F$3)-1, "")</f>
        <v/>
      </c>
      <c r="G19" s="29" t="str">
        <f ca="1">IFERROR(buscarUltimoVLRangoFechas($B19,G$2,G$3)/buscarPrimerVLRangoFechas($B19,G$2,G$3)-1, "")</f>
        <v/>
      </c>
      <c r="Q19" s="47">
        <f t="shared" ca="1" si="1"/>
        <v>0</v>
      </c>
    </row>
    <row r="20" spans="1:17">
      <c r="A20" s="31" t="s">
        <v>48</v>
      </c>
      <c r="B20" s="4">
        <f>Cartera!B20</f>
        <v>0</v>
      </c>
      <c r="C20" s="4">
        <f>Cartera!C20</f>
        <v>0</v>
      </c>
      <c r="D20" s="4">
        <f>Cartera!D20</f>
        <v>0</v>
      </c>
      <c r="E20" s="29" t="str">
        <f ca="1">IFERROR(buscarUltimoVLRangoFechas($B20,E$2,E$3)/buscarPrimerVLRangoFechas($B20,E$2,E$3)-1, "")</f>
        <v/>
      </c>
      <c r="F20" s="29" t="str">
        <f ca="1">IFERROR(buscarUltimoVLRangoFechas($B20,F$2,F$3)/buscarPrimerVLRangoFechas($B20,F$2,F$3)-1, "")</f>
        <v/>
      </c>
      <c r="G20" s="29" t="str">
        <f ca="1">IFERROR(buscarUltimoVLRangoFechas($B20,G$2,G$3)/buscarPrimerVLRangoFechas($B20,G$2,G$3)-1, "")</f>
        <v/>
      </c>
      <c r="H20" s="29" t="str">
        <f t="shared" ref="H20" ca="1" si="2">IFERROR(buscarVL($B20,H$3)/buscarVL($B20,H$2)-1, "")</f>
        <v/>
      </c>
      <c r="I20" s="29" t="str">
        <f t="shared" ref="I20:P20" ca="1" si="3">IFERROR(buscarVL($B20,I$3)/buscarVL($B20,I$2)-1, "")</f>
        <v/>
      </c>
      <c r="J20" s="29" t="str">
        <f t="shared" ca="1" si="3"/>
        <v/>
      </c>
      <c r="K20" s="29" t="str">
        <f t="shared" ca="1" si="3"/>
        <v/>
      </c>
      <c r="L20" s="29" t="str">
        <f t="shared" ca="1" si="3"/>
        <v/>
      </c>
      <c r="M20" s="29" t="str">
        <f t="shared" ca="1" si="3"/>
        <v/>
      </c>
      <c r="N20" s="29" t="str">
        <f t="shared" ca="1" si="3"/>
        <v/>
      </c>
      <c r="O20" s="29" t="str">
        <f t="shared" ca="1" si="3"/>
        <v/>
      </c>
      <c r="P20" s="29" t="str">
        <f t="shared" ca="1" si="3"/>
        <v/>
      </c>
      <c r="Q20" s="29" t="str">
        <f ca="1">IFERROR(buscarUltimoVLRangoFechas($B20,Q$2,Q$3)/buscarPrimerVLRangoFechas($B20,Q$2,Q$3)-1, "")</f>
        <v/>
      </c>
    </row>
    <row r="21" spans="1:17">
      <c r="A21" s="31" t="s">
        <v>48</v>
      </c>
      <c r="B21" s="4">
        <f>Cartera!B21</f>
        <v>0</v>
      </c>
      <c r="C21" s="4">
        <f>Cartera!C21</f>
        <v>0</v>
      </c>
      <c r="D21" s="4">
        <f>Cartera!D21</f>
        <v>0</v>
      </c>
      <c r="E21" s="29" t="str">
        <f ca="1">IFERROR(buscarUltimoVLRangoFechas($B21,E$2,E$3)/buscarPrimerVLRangoFechas($B21,E$2,E$3)-1, "")</f>
        <v/>
      </c>
      <c r="F21" s="29" t="str">
        <f ca="1">IFERROR(buscarUltimoVLRangoFechas($B21,F$2,F$3)/buscarPrimerVLRangoFechas($B21,F$2,F$3)-1, "")</f>
        <v/>
      </c>
      <c r="G21" s="29" t="str">
        <f ca="1">IFERROR(buscarUltimoVLRangoFechas($B21,G$2,G$3)/buscarPrimerVLRangoFechas($B21,G$2,G$3)-1, "")</f>
        <v/>
      </c>
      <c r="Q21" s="47">
        <f t="shared" ca="1" si="1"/>
        <v>0</v>
      </c>
    </row>
  </sheetData>
  <autoFilter ref="A2:Q21"/>
  <mergeCells count="4">
    <mergeCell ref="A2:A3"/>
    <mergeCell ref="B2:B3"/>
    <mergeCell ref="C2:C3"/>
    <mergeCell ref="D2:D3"/>
  </mergeCells>
  <dataValidations disablePrompts="1" count="1">
    <dataValidation type="list" allowBlank="1" showInputMessage="1" showErrorMessage="1" sqref="A4:A21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3:JB18"/>
  <sheetViews>
    <sheetView tabSelected="1" zoomScaleNormal="100" zoomScalePageLayoutView="200" workbookViewId="0">
      <selection activeCell="D5" sqref="D5"/>
    </sheetView>
  </sheetViews>
  <sheetFormatPr baseColWidth="10" defaultRowHeight="15"/>
  <cols>
    <col min="1" max="1" width="27.85546875" bestFit="1" customWidth="1"/>
    <col min="2" max="2" width="11.85546875" bestFit="1" customWidth="1"/>
  </cols>
  <sheetData>
    <row r="3" spans="1:262" ht="15.75" thickBot="1">
      <c r="A3" s="2"/>
      <c r="B3" s="66">
        <v>41275</v>
      </c>
      <c r="C3" s="66">
        <f>WORKDAY(B3,1)</f>
        <v>41276</v>
      </c>
      <c r="D3" s="66">
        <f t="shared" ref="D3:F3" si="0">WORKDAY(C3,1)</f>
        <v>41277</v>
      </c>
      <c r="E3" s="66">
        <f t="shared" si="0"/>
        <v>41278</v>
      </c>
      <c r="F3" s="66">
        <f t="shared" si="0"/>
        <v>41281</v>
      </c>
      <c r="G3" s="66">
        <f t="shared" ref="G3:BR3" si="1">WORKDAY(F3,1)</f>
        <v>41282</v>
      </c>
      <c r="H3" s="66">
        <f t="shared" si="1"/>
        <v>41283</v>
      </c>
      <c r="I3" s="66">
        <f t="shared" si="1"/>
        <v>41284</v>
      </c>
      <c r="J3" s="66">
        <f t="shared" si="1"/>
        <v>41285</v>
      </c>
      <c r="K3" s="66">
        <f t="shared" si="1"/>
        <v>41288</v>
      </c>
      <c r="L3" s="66">
        <f t="shared" si="1"/>
        <v>41289</v>
      </c>
      <c r="M3" s="66">
        <f t="shared" si="1"/>
        <v>41290</v>
      </c>
      <c r="N3" s="66">
        <f t="shared" si="1"/>
        <v>41291</v>
      </c>
      <c r="O3" s="66">
        <f t="shared" si="1"/>
        <v>41292</v>
      </c>
      <c r="P3" s="66">
        <f t="shared" si="1"/>
        <v>41295</v>
      </c>
      <c r="Q3" s="66">
        <f t="shared" si="1"/>
        <v>41296</v>
      </c>
      <c r="R3" s="66">
        <f t="shared" si="1"/>
        <v>41297</v>
      </c>
      <c r="S3" s="66">
        <f t="shared" si="1"/>
        <v>41298</v>
      </c>
      <c r="T3" s="66">
        <f t="shared" si="1"/>
        <v>41299</v>
      </c>
      <c r="U3" s="66">
        <f t="shared" si="1"/>
        <v>41302</v>
      </c>
      <c r="V3" s="66">
        <f t="shared" si="1"/>
        <v>41303</v>
      </c>
      <c r="W3" s="66">
        <f t="shared" si="1"/>
        <v>41304</v>
      </c>
      <c r="X3" s="66">
        <f t="shared" si="1"/>
        <v>41305</v>
      </c>
      <c r="Y3" s="66">
        <f t="shared" si="1"/>
        <v>41306</v>
      </c>
      <c r="Z3" s="66">
        <f t="shared" si="1"/>
        <v>41309</v>
      </c>
      <c r="AA3" s="66">
        <f t="shared" si="1"/>
        <v>41310</v>
      </c>
      <c r="AB3" s="66">
        <f t="shared" si="1"/>
        <v>41311</v>
      </c>
      <c r="AC3" s="66">
        <f t="shared" si="1"/>
        <v>41312</v>
      </c>
      <c r="AD3" s="66">
        <f t="shared" si="1"/>
        <v>41313</v>
      </c>
      <c r="AE3" s="66">
        <f t="shared" si="1"/>
        <v>41316</v>
      </c>
      <c r="AF3" s="66">
        <f t="shared" si="1"/>
        <v>41317</v>
      </c>
      <c r="AG3" s="66">
        <f t="shared" si="1"/>
        <v>41318</v>
      </c>
      <c r="AH3" s="66">
        <f t="shared" si="1"/>
        <v>41319</v>
      </c>
      <c r="AI3" s="66">
        <f t="shared" si="1"/>
        <v>41320</v>
      </c>
      <c r="AJ3" s="66">
        <f t="shared" si="1"/>
        <v>41323</v>
      </c>
      <c r="AK3" s="66">
        <f t="shared" si="1"/>
        <v>41324</v>
      </c>
      <c r="AL3" s="66">
        <f t="shared" si="1"/>
        <v>41325</v>
      </c>
      <c r="AM3" s="66">
        <f t="shared" si="1"/>
        <v>41326</v>
      </c>
      <c r="AN3" s="66">
        <f t="shared" si="1"/>
        <v>41327</v>
      </c>
      <c r="AO3" s="66">
        <f t="shared" si="1"/>
        <v>41330</v>
      </c>
      <c r="AP3" s="66">
        <f t="shared" si="1"/>
        <v>41331</v>
      </c>
      <c r="AQ3" s="66">
        <f t="shared" si="1"/>
        <v>41332</v>
      </c>
      <c r="AR3" s="66">
        <f t="shared" si="1"/>
        <v>41333</v>
      </c>
      <c r="AS3" s="66">
        <f t="shared" si="1"/>
        <v>41334</v>
      </c>
      <c r="AT3" s="66">
        <f t="shared" si="1"/>
        <v>41337</v>
      </c>
      <c r="AU3" s="66">
        <f t="shared" si="1"/>
        <v>41338</v>
      </c>
      <c r="AV3" s="66">
        <f t="shared" si="1"/>
        <v>41339</v>
      </c>
      <c r="AW3" s="66">
        <f t="shared" si="1"/>
        <v>41340</v>
      </c>
      <c r="AX3" s="66">
        <f t="shared" si="1"/>
        <v>41341</v>
      </c>
      <c r="AY3" s="66">
        <f t="shared" si="1"/>
        <v>41344</v>
      </c>
      <c r="AZ3" s="66">
        <f t="shared" si="1"/>
        <v>41345</v>
      </c>
      <c r="BA3" s="66">
        <f t="shared" si="1"/>
        <v>41346</v>
      </c>
      <c r="BB3" s="66">
        <f t="shared" si="1"/>
        <v>41347</v>
      </c>
      <c r="BC3" s="66">
        <f t="shared" si="1"/>
        <v>41348</v>
      </c>
      <c r="BD3" s="66">
        <f t="shared" si="1"/>
        <v>41351</v>
      </c>
      <c r="BE3" s="66">
        <f t="shared" si="1"/>
        <v>41352</v>
      </c>
      <c r="BF3" s="66">
        <f t="shared" si="1"/>
        <v>41353</v>
      </c>
      <c r="BG3" s="66">
        <f t="shared" si="1"/>
        <v>41354</v>
      </c>
      <c r="BH3" s="66">
        <f t="shared" si="1"/>
        <v>41355</v>
      </c>
      <c r="BI3" s="66">
        <f t="shared" si="1"/>
        <v>41358</v>
      </c>
      <c r="BJ3" s="66">
        <f t="shared" si="1"/>
        <v>41359</v>
      </c>
      <c r="BK3" s="66">
        <f t="shared" si="1"/>
        <v>41360</v>
      </c>
      <c r="BL3" s="66">
        <f t="shared" si="1"/>
        <v>41361</v>
      </c>
      <c r="BM3" s="66">
        <f t="shared" si="1"/>
        <v>41362</v>
      </c>
      <c r="BN3" s="66">
        <f t="shared" si="1"/>
        <v>41365</v>
      </c>
      <c r="BO3" s="66">
        <f t="shared" si="1"/>
        <v>41366</v>
      </c>
      <c r="BP3" s="66">
        <f t="shared" si="1"/>
        <v>41367</v>
      </c>
      <c r="BQ3" s="66">
        <f t="shared" si="1"/>
        <v>41368</v>
      </c>
      <c r="BR3" s="66">
        <f t="shared" si="1"/>
        <v>41369</v>
      </c>
      <c r="BS3" s="66">
        <f t="shared" ref="BS3:ED3" si="2">WORKDAY(BR3,1)</f>
        <v>41372</v>
      </c>
      <c r="BT3" s="66">
        <f t="shared" si="2"/>
        <v>41373</v>
      </c>
      <c r="BU3" s="66">
        <f t="shared" si="2"/>
        <v>41374</v>
      </c>
      <c r="BV3" s="66">
        <f t="shared" si="2"/>
        <v>41375</v>
      </c>
      <c r="BW3" s="66">
        <f t="shared" si="2"/>
        <v>41376</v>
      </c>
      <c r="BX3" s="66">
        <f t="shared" si="2"/>
        <v>41379</v>
      </c>
      <c r="BY3" s="66">
        <f t="shared" si="2"/>
        <v>41380</v>
      </c>
      <c r="BZ3" s="66">
        <f t="shared" si="2"/>
        <v>41381</v>
      </c>
      <c r="CA3" s="66">
        <f t="shared" si="2"/>
        <v>41382</v>
      </c>
      <c r="CB3" s="66">
        <f t="shared" si="2"/>
        <v>41383</v>
      </c>
      <c r="CC3" s="66">
        <f t="shared" si="2"/>
        <v>41386</v>
      </c>
      <c r="CD3" s="66">
        <f t="shared" si="2"/>
        <v>41387</v>
      </c>
      <c r="CE3" s="66">
        <f t="shared" si="2"/>
        <v>41388</v>
      </c>
      <c r="CF3" s="66">
        <f t="shared" si="2"/>
        <v>41389</v>
      </c>
      <c r="CG3" s="66">
        <f t="shared" si="2"/>
        <v>41390</v>
      </c>
      <c r="CH3" s="66">
        <f t="shared" si="2"/>
        <v>41393</v>
      </c>
      <c r="CI3" s="66">
        <f t="shared" si="2"/>
        <v>41394</v>
      </c>
      <c r="CJ3" s="66">
        <f t="shared" si="2"/>
        <v>41395</v>
      </c>
      <c r="CK3" s="66">
        <f t="shared" si="2"/>
        <v>41396</v>
      </c>
      <c r="CL3" s="66">
        <f t="shared" si="2"/>
        <v>41397</v>
      </c>
      <c r="CM3" s="66">
        <f t="shared" si="2"/>
        <v>41400</v>
      </c>
      <c r="CN3" s="66">
        <f t="shared" si="2"/>
        <v>41401</v>
      </c>
      <c r="CO3" s="66">
        <f t="shared" si="2"/>
        <v>41402</v>
      </c>
      <c r="CP3" s="66">
        <f t="shared" si="2"/>
        <v>41403</v>
      </c>
      <c r="CQ3" s="66">
        <f t="shared" si="2"/>
        <v>41404</v>
      </c>
      <c r="CR3" s="66">
        <f t="shared" si="2"/>
        <v>41407</v>
      </c>
      <c r="CS3" s="66">
        <f t="shared" si="2"/>
        <v>41408</v>
      </c>
      <c r="CT3" s="66">
        <f t="shared" si="2"/>
        <v>41409</v>
      </c>
      <c r="CU3" s="66">
        <f t="shared" si="2"/>
        <v>41410</v>
      </c>
      <c r="CV3" s="66">
        <f t="shared" si="2"/>
        <v>41411</v>
      </c>
      <c r="CW3" s="66">
        <f t="shared" si="2"/>
        <v>41414</v>
      </c>
      <c r="CX3" s="66">
        <f t="shared" si="2"/>
        <v>41415</v>
      </c>
      <c r="CY3" s="66">
        <f t="shared" si="2"/>
        <v>41416</v>
      </c>
      <c r="CZ3" s="66">
        <f t="shared" si="2"/>
        <v>41417</v>
      </c>
      <c r="DA3" s="66">
        <f t="shared" si="2"/>
        <v>41418</v>
      </c>
      <c r="DB3" s="66">
        <f t="shared" si="2"/>
        <v>41421</v>
      </c>
      <c r="DC3" s="66">
        <f t="shared" si="2"/>
        <v>41422</v>
      </c>
      <c r="DD3" s="66">
        <f t="shared" si="2"/>
        <v>41423</v>
      </c>
      <c r="DE3" s="66">
        <f t="shared" si="2"/>
        <v>41424</v>
      </c>
      <c r="DF3" s="66">
        <f t="shared" si="2"/>
        <v>41425</v>
      </c>
      <c r="DG3" s="66">
        <f t="shared" si="2"/>
        <v>41428</v>
      </c>
      <c r="DH3" s="66">
        <f t="shared" si="2"/>
        <v>41429</v>
      </c>
      <c r="DI3" s="66">
        <f t="shared" si="2"/>
        <v>41430</v>
      </c>
      <c r="DJ3" s="66">
        <f t="shared" si="2"/>
        <v>41431</v>
      </c>
      <c r="DK3" s="66">
        <f t="shared" si="2"/>
        <v>41432</v>
      </c>
      <c r="DL3" s="66">
        <f t="shared" si="2"/>
        <v>41435</v>
      </c>
      <c r="DM3" s="66">
        <f t="shared" si="2"/>
        <v>41436</v>
      </c>
      <c r="DN3" s="66">
        <f t="shared" si="2"/>
        <v>41437</v>
      </c>
      <c r="DO3" s="66">
        <f t="shared" si="2"/>
        <v>41438</v>
      </c>
      <c r="DP3" s="66">
        <f t="shared" si="2"/>
        <v>41439</v>
      </c>
      <c r="DQ3" s="66">
        <f t="shared" si="2"/>
        <v>41442</v>
      </c>
      <c r="DR3" s="66">
        <f t="shared" si="2"/>
        <v>41443</v>
      </c>
      <c r="DS3" s="66">
        <f t="shared" si="2"/>
        <v>41444</v>
      </c>
      <c r="DT3" s="66">
        <f t="shared" si="2"/>
        <v>41445</v>
      </c>
      <c r="DU3" s="66">
        <f t="shared" si="2"/>
        <v>41446</v>
      </c>
      <c r="DV3" s="66">
        <f t="shared" si="2"/>
        <v>41449</v>
      </c>
      <c r="DW3" s="66">
        <f t="shared" si="2"/>
        <v>41450</v>
      </c>
      <c r="DX3" s="66">
        <f t="shared" si="2"/>
        <v>41451</v>
      </c>
      <c r="DY3" s="66">
        <f t="shared" si="2"/>
        <v>41452</v>
      </c>
      <c r="DZ3" s="66">
        <f t="shared" si="2"/>
        <v>41453</v>
      </c>
      <c r="EA3" s="66">
        <f t="shared" si="2"/>
        <v>41456</v>
      </c>
      <c r="EB3" s="66">
        <f t="shared" si="2"/>
        <v>41457</v>
      </c>
      <c r="EC3" s="66">
        <f t="shared" si="2"/>
        <v>41458</v>
      </c>
      <c r="ED3" s="66">
        <f t="shared" si="2"/>
        <v>41459</v>
      </c>
      <c r="EE3" s="66">
        <f t="shared" ref="EE3:GP3" si="3">WORKDAY(ED3,1)</f>
        <v>41460</v>
      </c>
      <c r="EF3" s="66">
        <f t="shared" si="3"/>
        <v>41463</v>
      </c>
      <c r="EG3" s="66">
        <f t="shared" si="3"/>
        <v>41464</v>
      </c>
      <c r="EH3" s="66">
        <f t="shared" si="3"/>
        <v>41465</v>
      </c>
      <c r="EI3" s="66">
        <f t="shared" si="3"/>
        <v>41466</v>
      </c>
      <c r="EJ3" s="66">
        <f t="shared" si="3"/>
        <v>41467</v>
      </c>
      <c r="EK3" s="66">
        <f t="shared" si="3"/>
        <v>41470</v>
      </c>
      <c r="EL3" s="66">
        <f t="shared" si="3"/>
        <v>41471</v>
      </c>
      <c r="EM3" s="66">
        <f t="shared" si="3"/>
        <v>41472</v>
      </c>
      <c r="EN3" s="66">
        <f t="shared" si="3"/>
        <v>41473</v>
      </c>
      <c r="EO3" s="66">
        <f t="shared" si="3"/>
        <v>41474</v>
      </c>
      <c r="EP3" s="66">
        <f t="shared" si="3"/>
        <v>41477</v>
      </c>
      <c r="EQ3" s="66">
        <f t="shared" si="3"/>
        <v>41478</v>
      </c>
      <c r="ER3" s="66">
        <f t="shared" si="3"/>
        <v>41479</v>
      </c>
      <c r="ES3" s="66">
        <f t="shared" si="3"/>
        <v>41480</v>
      </c>
      <c r="ET3" s="66">
        <f t="shared" si="3"/>
        <v>41481</v>
      </c>
      <c r="EU3" s="66">
        <f t="shared" si="3"/>
        <v>41484</v>
      </c>
      <c r="EV3" s="66">
        <f t="shared" si="3"/>
        <v>41485</v>
      </c>
      <c r="EW3" s="66">
        <f t="shared" si="3"/>
        <v>41486</v>
      </c>
      <c r="EX3" s="66">
        <f t="shared" si="3"/>
        <v>41487</v>
      </c>
      <c r="EY3" s="66">
        <f t="shared" si="3"/>
        <v>41488</v>
      </c>
      <c r="EZ3" s="66">
        <f t="shared" si="3"/>
        <v>41491</v>
      </c>
      <c r="FA3" s="66">
        <f t="shared" si="3"/>
        <v>41492</v>
      </c>
      <c r="FB3" s="66">
        <f t="shared" si="3"/>
        <v>41493</v>
      </c>
      <c r="FC3" s="66">
        <f t="shared" si="3"/>
        <v>41494</v>
      </c>
      <c r="FD3" s="66">
        <f t="shared" si="3"/>
        <v>41495</v>
      </c>
      <c r="FE3" s="66">
        <f t="shared" si="3"/>
        <v>41498</v>
      </c>
      <c r="FF3" s="66">
        <f t="shared" si="3"/>
        <v>41499</v>
      </c>
      <c r="FG3" s="66">
        <f t="shared" si="3"/>
        <v>41500</v>
      </c>
      <c r="FH3" s="66">
        <f t="shared" si="3"/>
        <v>41501</v>
      </c>
      <c r="FI3" s="66">
        <f t="shared" si="3"/>
        <v>41502</v>
      </c>
      <c r="FJ3" s="66">
        <f t="shared" si="3"/>
        <v>41505</v>
      </c>
      <c r="FK3" s="66">
        <f t="shared" si="3"/>
        <v>41506</v>
      </c>
      <c r="FL3" s="66">
        <f t="shared" si="3"/>
        <v>41507</v>
      </c>
      <c r="FM3" s="66">
        <f t="shared" si="3"/>
        <v>41508</v>
      </c>
      <c r="FN3" s="66">
        <f t="shared" si="3"/>
        <v>41509</v>
      </c>
      <c r="FO3" s="66">
        <f t="shared" si="3"/>
        <v>41512</v>
      </c>
      <c r="FP3" s="66">
        <f t="shared" si="3"/>
        <v>41513</v>
      </c>
      <c r="FQ3" s="66">
        <f t="shared" si="3"/>
        <v>41514</v>
      </c>
      <c r="FR3" s="66">
        <f t="shared" si="3"/>
        <v>41515</v>
      </c>
      <c r="FS3" s="66">
        <f t="shared" si="3"/>
        <v>41516</v>
      </c>
      <c r="FT3" s="66">
        <f t="shared" si="3"/>
        <v>41519</v>
      </c>
      <c r="FU3" s="66">
        <f t="shared" si="3"/>
        <v>41520</v>
      </c>
      <c r="FV3" s="66">
        <f t="shared" si="3"/>
        <v>41521</v>
      </c>
      <c r="FW3" s="66">
        <f t="shared" si="3"/>
        <v>41522</v>
      </c>
      <c r="FX3" s="66">
        <f t="shared" si="3"/>
        <v>41523</v>
      </c>
      <c r="FY3" s="66">
        <f t="shared" si="3"/>
        <v>41526</v>
      </c>
      <c r="FZ3" s="66">
        <f t="shared" si="3"/>
        <v>41527</v>
      </c>
      <c r="GA3" s="66">
        <f t="shared" si="3"/>
        <v>41528</v>
      </c>
      <c r="GB3" s="66">
        <f t="shared" si="3"/>
        <v>41529</v>
      </c>
      <c r="GC3" s="66">
        <f t="shared" si="3"/>
        <v>41530</v>
      </c>
      <c r="GD3" s="66">
        <f t="shared" si="3"/>
        <v>41533</v>
      </c>
      <c r="GE3" s="66">
        <f t="shared" si="3"/>
        <v>41534</v>
      </c>
      <c r="GF3" s="66">
        <f t="shared" si="3"/>
        <v>41535</v>
      </c>
      <c r="GG3" s="66">
        <f t="shared" si="3"/>
        <v>41536</v>
      </c>
      <c r="GH3" s="66">
        <f t="shared" si="3"/>
        <v>41537</v>
      </c>
      <c r="GI3" s="66">
        <f t="shared" si="3"/>
        <v>41540</v>
      </c>
      <c r="GJ3" s="66">
        <f t="shared" si="3"/>
        <v>41541</v>
      </c>
      <c r="GK3" s="66">
        <f t="shared" si="3"/>
        <v>41542</v>
      </c>
      <c r="GL3" s="66">
        <f t="shared" si="3"/>
        <v>41543</v>
      </c>
      <c r="GM3" s="66">
        <f t="shared" si="3"/>
        <v>41544</v>
      </c>
      <c r="GN3" s="66">
        <f t="shared" si="3"/>
        <v>41547</v>
      </c>
      <c r="GO3" s="66">
        <f t="shared" si="3"/>
        <v>41548</v>
      </c>
      <c r="GP3" s="66">
        <f t="shared" si="3"/>
        <v>41549</v>
      </c>
      <c r="GQ3" s="66">
        <f t="shared" ref="GQ3:JB3" si="4">WORKDAY(GP3,1)</f>
        <v>41550</v>
      </c>
      <c r="GR3" s="66">
        <f t="shared" si="4"/>
        <v>41551</v>
      </c>
      <c r="GS3" s="66">
        <f t="shared" si="4"/>
        <v>41554</v>
      </c>
      <c r="GT3" s="66">
        <f t="shared" si="4"/>
        <v>41555</v>
      </c>
      <c r="GU3" s="66">
        <f t="shared" si="4"/>
        <v>41556</v>
      </c>
      <c r="GV3" s="66">
        <f t="shared" si="4"/>
        <v>41557</v>
      </c>
      <c r="GW3" s="66">
        <f t="shared" si="4"/>
        <v>41558</v>
      </c>
      <c r="GX3" s="66">
        <f t="shared" si="4"/>
        <v>41561</v>
      </c>
      <c r="GY3" s="66">
        <f t="shared" si="4"/>
        <v>41562</v>
      </c>
      <c r="GZ3" s="66">
        <f t="shared" si="4"/>
        <v>41563</v>
      </c>
      <c r="HA3" s="66">
        <f t="shared" si="4"/>
        <v>41564</v>
      </c>
      <c r="HB3" s="66">
        <f t="shared" si="4"/>
        <v>41565</v>
      </c>
      <c r="HC3" s="66">
        <f t="shared" si="4"/>
        <v>41568</v>
      </c>
      <c r="HD3" s="66">
        <f t="shared" si="4"/>
        <v>41569</v>
      </c>
      <c r="HE3" s="66">
        <f t="shared" si="4"/>
        <v>41570</v>
      </c>
      <c r="HF3" s="66">
        <f t="shared" si="4"/>
        <v>41571</v>
      </c>
      <c r="HG3" s="66">
        <f t="shared" si="4"/>
        <v>41572</v>
      </c>
      <c r="HH3" s="66">
        <f t="shared" si="4"/>
        <v>41575</v>
      </c>
      <c r="HI3" s="66">
        <f t="shared" si="4"/>
        <v>41576</v>
      </c>
      <c r="HJ3" s="66">
        <f t="shared" si="4"/>
        <v>41577</v>
      </c>
      <c r="HK3" s="66">
        <f t="shared" si="4"/>
        <v>41578</v>
      </c>
      <c r="HL3" s="66">
        <f t="shared" si="4"/>
        <v>41579</v>
      </c>
      <c r="HM3" s="66">
        <f t="shared" si="4"/>
        <v>41582</v>
      </c>
      <c r="HN3" s="66">
        <f t="shared" si="4"/>
        <v>41583</v>
      </c>
      <c r="HO3" s="66">
        <f t="shared" si="4"/>
        <v>41584</v>
      </c>
      <c r="HP3" s="66">
        <f t="shared" si="4"/>
        <v>41585</v>
      </c>
      <c r="HQ3" s="66">
        <f t="shared" si="4"/>
        <v>41586</v>
      </c>
      <c r="HR3" s="66">
        <f t="shared" si="4"/>
        <v>41589</v>
      </c>
      <c r="HS3" s="66">
        <f t="shared" si="4"/>
        <v>41590</v>
      </c>
      <c r="HT3" s="66">
        <f t="shared" si="4"/>
        <v>41591</v>
      </c>
      <c r="HU3" s="66">
        <f t="shared" si="4"/>
        <v>41592</v>
      </c>
      <c r="HV3" s="66">
        <f t="shared" si="4"/>
        <v>41593</v>
      </c>
      <c r="HW3" s="66">
        <f t="shared" si="4"/>
        <v>41596</v>
      </c>
      <c r="HX3" s="66">
        <f t="shared" si="4"/>
        <v>41597</v>
      </c>
      <c r="HY3" s="66">
        <f t="shared" si="4"/>
        <v>41598</v>
      </c>
      <c r="HZ3" s="66">
        <f t="shared" si="4"/>
        <v>41599</v>
      </c>
      <c r="IA3" s="66">
        <f t="shared" si="4"/>
        <v>41600</v>
      </c>
      <c r="IB3" s="66">
        <f t="shared" si="4"/>
        <v>41603</v>
      </c>
      <c r="IC3" s="66">
        <f t="shared" si="4"/>
        <v>41604</v>
      </c>
      <c r="ID3" s="66">
        <f t="shared" si="4"/>
        <v>41605</v>
      </c>
      <c r="IE3" s="66">
        <f t="shared" si="4"/>
        <v>41606</v>
      </c>
      <c r="IF3" s="66">
        <f t="shared" si="4"/>
        <v>41607</v>
      </c>
      <c r="IG3" s="66">
        <f t="shared" si="4"/>
        <v>41610</v>
      </c>
      <c r="IH3" s="66">
        <f t="shared" si="4"/>
        <v>41611</v>
      </c>
      <c r="II3" s="66">
        <f t="shared" si="4"/>
        <v>41612</v>
      </c>
      <c r="IJ3" s="66">
        <f t="shared" si="4"/>
        <v>41613</v>
      </c>
      <c r="IK3" s="66">
        <f t="shared" si="4"/>
        <v>41614</v>
      </c>
      <c r="IL3" s="66">
        <f t="shared" si="4"/>
        <v>41617</v>
      </c>
      <c r="IM3" s="66">
        <f t="shared" si="4"/>
        <v>41618</v>
      </c>
      <c r="IN3" s="66">
        <f t="shared" si="4"/>
        <v>41619</v>
      </c>
      <c r="IO3" s="66">
        <f t="shared" si="4"/>
        <v>41620</v>
      </c>
      <c r="IP3" s="66">
        <f t="shared" si="4"/>
        <v>41621</v>
      </c>
      <c r="IQ3" s="66">
        <f t="shared" si="4"/>
        <v>41624</v>
      </c>
      <c r="IR3" s="66">
        <f t="shared" si="4"/>
        <v>41625</v>
      </c>
      <c r="IS3" s="66">
        <f t="shared" si="4"/>
        <v>41626</v>
      </c>
      <c r="IT3" s="66">
        <f t="shared" si="4"/>
        <v>41627</v>
      </c>
      <c r="IU3" s="66">
        <f t="shared" si="4"/>
        <v>41628</v>
      </c>
      <c r="IV3" s="66">
        <f t="shared" si="4"/>
        <v>41631</v>
      </c>
      <c r="IW3" s="66">
        <f t="shared" si="4"/>
        <v>41632</v>
      </c>
      <c r="IX3" s="66">
        <f t="shared" si="4"/>
        <v>41633</v>
      </c>
      <c r="IY3" s="66">
        <f t="shared" si="4"/>
        <v>41634</v>
      </c>
      <c r="IZ3" s="66">
        <f t="shared" si="4"/>
        <v>41635</v>
      </c>
      <c r="JA3" s="66">
        <f t="shared" si="4"/>
        <v>41638</v>
      </c>
      <c r="JB3" s="66">
        <f t="shared" si="4"/>
        <v>41639</v>
      </c>
    </row>
    <row r="4" spans="1:262">
      <c r="A4" s="33" t="s">
        <v>50</v>
      </c>
      <c r="B4" s="67">
        <f ca="1">valorCarteraFecha(B3)</f>
        <v>0</v>
      </c>
      <c r="C4" s="67">
        <f ca="1">valorCarteraFecha(C3)</f>
        <v>0</v>
      </c>
      <c r="D4" s="67">
        <f t="shared" ref="D4:F4" ca="1" si="5">valorCarteraFecha(D3)</f>
        <v>0</v>
      </c>
      <c r="E4" s="67">
        <f t="shared" ca="1" si="5"/>
        <v>0</v>
      </c>
      <c r="F4" s="67">
        <f t="shared" ca="1" si="5"/>
        <v>0</v>
      </c>
      <c r="G4" s="67">
        <f t="shared" ref="G4:AR4" ca="1" si="6">valorCarteraFecha(G3)</f>
        <v>0</v>
      </c>
      <c r="H4" s="67">
        <f t="shared" ca="1" si="6"/>
        <v>0</v>
      </c>
      <c r="I4" s="67">
        <f t="shared" ca="1" si="6"/>
        <v>0</v>
      </c>
      <c r="J4" s="67">
        <f t="shared" ca="1" si="6"/>
        <v>0</v>
      </c>
      <c r="K4" s="67">
        <f t="shared" ca="1" si="6"/>
        <v>0</v>
      </c>
      <c r="L4" s="67">
        <f t="shared" ca="1" si="6"/>
        <v>0</v>
      </c>
      <c r="M4" s="67">
        <f t="shared" ca="1" si="6"/>
        <v>0</v>
      </c>
      <c r="N4" s="67">
        <f t="shared" ca="1" si="6"/>
        <v>0</v>
      </c>
      <c r="O4" s="67">
        <f t="shared" ca="1" si="6"/>
        <v>0</v>
      </c>
      <c r="P4" s="67">
        <f t="shared" ca="1" si="6"/>
        <v>0</v>
      </c>
      <c r="Q4" s="67">
        <f t="shared" ca="1" si="6"/>
        <v>0</v>
      </c>
      <c r="R4" s="67">
        <f t="shared" ca="1" si="6"/>
        <v>0</v>
      </c>
      <c r="S4" s="67">
        <f t="shared" ca="1" si="6"/>
        <v>0</v>
      </c>
      <c r="T4" s="67">
        <f t="shared" ca="1" si="6"/>
        <v>0</v>
      </c>
      <c r="U4" s="67">
        <f t="shared" ca="1" si="6"/>
        <v>0</v>
      </c>
      <c r="V4" s="67">
        <f t="shared" ca="1" si="6"/>
        <v>0</v>
      </c>
      <c r="W4" s="67">
        <f t="shared" ca="1" si="6"/>
        <v>0</v>
      </c>
      <c r="X4" s="67">
        <f t="shared" ca="1" si="6"/>
        <v>0</v>
      </c>
      <c r="Y4" s="67">
        <f t="shared" ca="1" si="6"/>
        <v>0</v>
      </c>
      <c r="Z4" s="67">
        <f t="shared" ca="1" si="6"/>
        <v>0</v>
      </c>
      <c r="AA4" s="67">
        <f t="shared" ca="1" si="6"/>
        <v>0</v>
      </c>
      <c r="AB4" s="67">
        <f t="shared" ca="1" si="6"/>
        <v>0</v>
      </c>
      <c r="AC4" s="67">
        <f t="shared" ca="1" si="6"/>
        <v>0</v>
      </c>
      <c r="AD4" s="67">
        <f t="shared" ca="1" si="6"/>
        <v>0</v>
      </c>
      <c r="AE4" s="67">
        <f t="shared" ca="1" si="6"/>
        <v>0</v>
      </c>
      <c r="AF4" s="67">
        <f t="shared" ca="1" si="6"/>
        <v>0</v>
      </c>
      <c r="AG4" s="67">
        <f t="shared" ca="1" si="6"/>
        <v>0</v>
      </c>
      <c r="AH4" s="67">
        <f t="shared" ca="1" si="6"/>
        <v>0</v>
      </c>
      <c r="AI4" s="67">
        <f t="shared" ca="1" si="6"/>
        <v>0</v>
      </c>
      <c r="AJ4" s="67">
        <f t="shared" ca="1" si="6"/>
        <v>0</v>
      </c>
      <c r="AK4" s="67">
        <f t="shared" ca="1" si="6"/>
        <v>0</v>
      </c>
      <c r="AL4" s="67">
        <f t="shared" ca="1" si="6"/>
        <v>0</v>
      </c>
      <c r="AM4" s="67">
        <f t="shared" ca="1" si="6"/>
        <v>0</v>
      </c>
      <c r="AN4" s="67">
        <f t="shared" ca="1" si="6"/>
        <v>0</v>
      </c>
      <c r="AO4" s="67">
        <f t="shared" ca="1" si="6"/>
        <v>0</v>
      </c>
      <c r="AP4" s="67">
        <f t="shared" ca="1" si="6"/>
        <v>0</v>
      </c>
      <c r="AQ4" s="67">
        <f t="shared" ca="1" si="6"/>
        <v>0</v>
      </c>
      <c r="AR4" s="67">
        <f t="shared" ca="1" si="6"/>
        <v>0</v>
      </c>
      <c r="AS4" s="67">
        <f ca="1">valorCarteraFecha(AS3)</f>
        <v>0</v>
      </c>
      <c r="AT4" s="67">
        <f t="shared" ref="AT4:BR4" ca="1" si="7">valorCarteraFecha(AT3)</f>
        <v>0</v>
      </c>
      <c r="AU4" s="67">
        <f t="shared" ca="1" si="7"/>
        <v>0</v>
      </c>
      <c r="AV4" s="67">
        <f t="shared" ca="1" si="7"/>
        <v>0</v>
      </c>
      <c r="AW4" s="67">
        <f t="shared" ca="1" si="7"/>
        <v>0</v>
      </c>
      <c r="AX4" s="67">
        <f t="shared" ca="1" si="7"/>
        <v>0</v>
      </c>
      <c r="AY4" s="67">
        <f t="shared" ca="1" si="7"/>
        <v>0</v>
      </c>
      <c r="AZ4" s="67">
        <f t="shared" ca="1" si="7"/>
        <v>0</v>
      </c>
      <c r="BA4" s="67">
        <f t="shared" ca="1" si="7"/>
        <v>0</v>
      </c>
      <c r="BB4" s="67">
        <f t="shared" ca="1" si="7"/>
        <v>0</v>
      </c>
      <c r="BC4" s="67">
        <f t="shared" ca="1" si="7"/>
        <v>0</v>
      </c>
      <c r="BD4" s="67">
        <f t="shared" ca="1" si="7"/>
        <v>0</v>
      </c>
      <c r="BE4" s="67">
        <f t="shared" ca="1" si="7"/>
        <v>0</v>
      </c>
      <c r="BF4" s="67">
        <f t="shared" ca="1" si="7"/>
        <v>0</v>
      </c>
      <c r="BG4" s="67">
        <f t="shared" ca="1" si="7"/>
        <v>0</v>
      </c>
      <c r="BH4" s="67">
        <f t="shared" ca="1" si="7"/>
        <v>0</v>
      </c>
      <c r="BI4" s="67">
        <f t="shared" ca="1" si="7"/>
        <v>0</v>
      </c>
      <c r="BJ4" s="67">
        <f ca="1">valorCarteraFecha(BJ3)</f>
        <v>0</v>
      </c>
      <c r="BK4" s="67">
        <f t="shared" ca="1" si="7"/>
        <v>0</v>
      </c>
      <c r="BL4" s="67">
        <f t="shared" ca="1" si="7"/>
        <v>0</v>
      </c>
      <c r="BM4" s="67">
        <f t="shared" ca="1" si="7"/>
        <v>0</v>
      </c>
      <c r="BN4" s="67">
        <f t="shared" ca="1" si="7"/>
        <v>0</v>
      </c>
      <c r="BO4" s="67">
        <f t="shared" ca="1" si="7"/>
        <v>0</v>
      </c>
      <c r="BP4" s="67">
        <f t="shared" ca="1" si="7"/>
        <v>0</v>
      </c>
      <c r="BQ4" s="67">
        <f t="shared" ca="1" si="7"/>
        <v>0</v>
      </c>
      <c r="BR4" s="67">
        <f t="shared" ca="1" si="7"/>
        <v>0</v>
      </c>
      <c r="BS4" s="67">
        <f t="shared" ref="BS4:ED4" ca="1" si="8">valorCarteraFecha(BS3)</f>
        <v>0</v>
      </c>
      <c r="BT4" s="67">
        <f t="shared" ca="1" si="8"/>
        <v>0</v>
      </c>
      <c r="BU4" s="67">
        <f t="shared" ca="1" si="8"/>
        <v>0</v>
      </c>
      <c r="BV4" s="67">
        <f t="shared" ca="1" si="8"/>
        <v>0</v>
      </c>
      <c r="BW4" s="67">
        <f t="shared" ca="1" si="8"/>
        <v>0</v>
      </c>
      <c r="BX4" s="67">
        <f t="shared" ca="1" si="8"/>
        <v>0</v>
      </c>
      <c r="BY4" s="67">
        <f t="shared" ca="1" si="8"/>
        <v>0</v>
      </c>
      <c r="BZ4" s="67">
        <f t="shared" ca="1" si="8"/>
        <v>0</v>
      </c>
      <c r="CA4" s="67">
        <f t="shared" ca="1" si="8"/>
        <v>0</v>
      </c>
      <c r="CB4" s="67">
        <f t="shared" ca="1" si="8"/>
        <v>0</v>
      </c>
      <c r="CC4" s="67">
        <f t="shared" ca="1" si="8"/>
        <v>0</v>
      </c>
      <c r="CD4" s="67">
        <f t="shared" ca="1" si="8"/>
        <v>0</v>
      </c>
      <c r="CE4" s="67">
        <f t="shared" ca="1" si="8"/>
        <v>0</v>
      </c>
      <c r="CF4" s="67">
        <f t="shared" ca="1" si="8"/>
        <v>0</v>
      </c>
      <c r="CG4" s="67">
        <f t="shared" ca="1" si="8"/>
        <v>0</v>
      </c>
      <c r="CH4" s="67">
        <f t="shared" ca="1" si="8"/>
        <v>0</v>
      </c>
      <c r="CI4" s="67">
        <f t="shared" ca="1" si="8"/>
        <v>0</v>
      </c>
      <c r="CJ4" s="67">
        <f t="shared" ca="1" si="8"/>
        <v>0</v>
      </c>
      <c r="CK4" s="67">
        <f t="shared" ca="1" si="8"/>
        <v>0</v>
      </c>
      <c r="CL4" s="67">
        <f t="shared" ca="1" si="8"/>
        <v>0</v>
      </c>
      <c r="CM4" s="67">
        <f t="shared" ca="1" si="8"/>
        <v>0</v>
      </c>
      <c r="CN4" s="67">
        <f t="shared" ca="1" si="8"/>
        <v>0</v>
      </c>
      <c r="CO4" s="67">
        <f t="shared" ca="1" si="8"/>
        <v>0</v>
      </c>
      <c r="CP4" s="67">
        <f t="shared" ca="1" si="8"/>
        <v>0</v>
      </c>
      <c r="CQ4" s="67">
        <f t="shared" ca="1" si="8"/>
        <v>0</v>
      </c>
      <c r="CR4" s="67">
        <f t="shared" ca="1" si="8"/>
        <v>0</v>
      </c>
      <c r="CS4" s="67">
        <f t="shared" ca="1" si="8"/>
        <v>0</v>
      </c>
      <c r="CT4" s="67">
        <f t="shared" ca="1" si="8"/>
        <v>0</v>
      </c>
      <c r="CU4" s="67">
        <f t="shared" ca="1" si="8"/>
        <v>0</v>
      </c>
      <c r="CV4" s="67">
        <f t="shared" ca="1" si="8"/>
        <v>0</v>
      </c>
      <c r="CW4" s="67">
        <f t="shared" ca="1" si="8"/>
        <v>0</v>
      </c>
      <c r="CX4" s="67">
        <f t="shared" ca="1" si="8"/>
        <v>0</v>
      </c>
      <c r="CY4" s="67">
        <f t="shared" ca="1" si="8"/>
        <v>0</v>
      </c>
      <c r="CZ4" s="67">
        <f t="shared" ca="1" si="8"/>
        <v>0</v>
      </c>
      <c r="DA4" s="67">
        <f t="shared" ca="1" si="8"/>
        <v>0</v>
      </c>
      <c r="DB4" s="67">
        <f t="shared" ca="1" si="8"/>
        <v>0</v>
      </c>
      <c r="DC4" s="67">
        <f t="shared" ca="1" si="8"/>
        <v>0</v>
      </c>
      <c r="DD4" s="67">
        <f t="shared" ca="1" si="8"/>
        <v>0</v>
      </c>
      <c r="DE4" s="67">
        <f t="shared" ca="1" si="8"/>
        <v>0</v>
      </c>
      <c r="DF4" s="67">
        <f t="shared" ca="1" si="8"/>
        <v>0</v>
      </c>
      <c r="DG4" s="67">
        <f t="shared" ca="1" si="8"/>
        <v>0</v>
      </c>
      <c r="DH4" s="67">
        <f t="shared" ca="1" si="8"/>
        <v>0</v>
      </c>
      <c r="DI4" s="67">
        <f t="shared" ca="1" si="8"/>
        <v>0</v>
      </c>
      <c r="DJ4" s="67">
        <f t="shared" ca="1" si="8"/>
        <v>0</v>
      </c>
      <c r="DK4" s="67">
        <f t="shared" ca="1" si="8"/>
        <v>0</v>
      </c>
      <c r="DL4" s="67">
        <f t="shared" ca="1" si="8"/>
        <v>0</v>
      </c>
      <c r="DM4" s="67">
        <f t="shared" ca="1" si="8"/>
        <v>0</v>
      </c>
      <c r="DN4" s="67">
        <f t="shared" ca="1" si="8"/>
        <v>0</v>
      </c>
      <c r="DO4" s="67">
        <f t="shared" ca="1" si="8"/>
        <v>0</v>
      </c>
      <c r="DP4" s="67">
        <f t="shared" ca="1" si="8"/>
        <v>0</v>
      </c>
      <c r="DQ4" s="67">
        <f t="shared" ca="1" si="8"/>
        <v>0</v>
      </c>
      <c r="DR4" s="67">
        <f t="shared" ca="1" si="8"/>
        <v>0</v>
      </c>
      <c r="DS4" s="67">
        <f t="shared" ca="1" si="8"/>
        <v>0</v>
      </c>
      <c r="DT4" s="67">
        <f t="shared" ca="1" si="8"/>
        <v>0</v>
      </c>
      <c r="DU4" s="67">
        <f t="shared" ca="1" si="8"/>
        <v>0</v>
      </c>
      <c r="DV4" s="67">
        <f t="shared" ca="1" si="8"/>
        <v>0</v>
      </c>
      <c r="DW4" s="67">
        <f t="shared" ca="1" si="8"/>
        <v>0</v>
      </c>
      <c r="DX4" s="67">
        <f t="shared" ca="1" si="8"/>
        <v>0</v>
      </c>
      <c r="DY4" s="67">
        <f t="shared" ca="1" si="8"/>
        <v>0</v>
      </c>
      <c r="DZ4" s="67">
        <f t="shared" ca="1" si="8"/>
        <v>0</v>
      </c>
      <c r="EA4" s="67">
        <f t="shared" ca="1" si="8"/>
        <v>0</v>
      </c>
      <c r="EB4" s="67">
        <f t="shared" ca="1" si="8"/>
        <v>0</v>
      </c>
      <c r="EC4" s="67">
        <f t="shared" ca="1" si="8"/>
        <v>0</v>
      </c>
      <c r="ED4" s="67">
        <f t="shared" ca="1" si="8"/>
        <v>0</v>
      </c>
      <c r="EE4" s="67">
        <f t="shared" ref="EE4:GP4" ca="1" si="9">valorCarteraFecha(EE3)</f>
        <v>0</v>
      </c>
      <c r="EF4" s="67">
        <f t="shared" ca="1" si="9"/>
        <v>0</v>
      </c>
      <c r="EG4" s="67">
        <f t="shared" ca="1" si="9"/>
        <v>0</v>
      </c>
      <c r="EH4" s="67">
        <f t="shared" ca="1" si="9"/>
        <v>0</v>
      </c>
      <c r="EI4" s="67">
        <f t="shared" ca="1" si="9"/>
        <v>0</v>
      </c>
      <c r="EJ4" s="67">
        <f t="shared" ca="1" si="9"/>
        <v>0</v>
      </c>
      <c r="EK4" s="67">
        <f t="shared" ca="1" si="9"/>
        <v>0</v>
      </c>
      <c r="EL4" s="67">
        <f t="shared" ca="1" si="9"/>
        <v>0</v>
      </c>
      <c r="EM4" s="67">
        <f t="shared" ca="1" si="9"/>
        <v>0</v>
      </c>
      <c r="EN4" s="67">
        <f t="shared" ca="1" si="9"/>
        <v>0</v>
      </c>
      <c r="EO4" s="67">
        <f t="shared" ca="1" si="9"/>
        <v>0</v>
      </c>
      <c r="EP4" s="67">
        <f t="shared" ca="1" si="9"/>
        <v>0</v>
      </c>
      <c r="EQ4" s="67">
        <f t="shared" ca="1" si="9"/>
        <v>0</v>
      </c>
      <c r="ER4" s="67">
        <f t="shared" ca="1" si="9"/>
        <v>0</v>
      </c>
      <c r="ES4" s="67">
        <f t="shared" ca="1" si="9"/>
        <v>0</v>
      </c>
      <c r="ET4" s="67">
        <f t="shared" ca="1" si="9"/>
        <v>0</v>
      </c>
      <c r="EU4" s="67">
        <f t="shared" ca="1" si="9"/>
        <v>0</v>
      </c>
      <c r="EV4" s="67">
        <f t="shared" ca="1" si="9"/>
        <v>0</v>
      </c>
      <c r="EW4" s="67">
        <f t="shared" ca="1" si="9"/>
        <v>0</v>
      </c>
      <c r="EX4" s="67">
        <f t="shared" ca="1" si="9"/>
        <v>0</v>
      </c>
      <c r="EY4" s="67">
        <f t="shared" ca="1" si="9"/>
        <v>0</v>
      </c>
      <c r="EZ4" s="67">
        <f t="shared" ca="1" si="9"/>
        <v>0</v>
      </c>
      <c r="FA4" s="67">
        <f t="shared" ca="1" si="9"/>
        <v>0</v>
      </c>
      <c r="FB4" s="67">
        <f t="shared" ca="1" si="9"/>
        <v>0</v>
      </c>
      <c r="FC4" s="67">
        <f t="shared" ca="1" si="9"/>
        <v>0</v>
      </c>
      <c r="FD4" s="67">
        <f t="shared" ca="1" si="9"/>
        <v>0</v>
      </c>
      <c r="FE4" s="67">
        <f t="shared" ca="1" si="9"/>
        <v>0</v>
      </c>
      <c r="FF4" s="67">
        <f t="shared" ca="1" si="9"/>
        <v>0</v>
      </c>
      <c r="FG4" s="67">
        <f t="shared" ca="1" si="9"/>
        <v>0</v>
      </c>
      <c r="FH4" s="67">
        <f t="shared" ca="1" si="9"/>
        <v>0</v>
      </c>
      <c r="FI4" s="67">
        <f t="shared" ca="1" si="9"/>
        <v>0</v>
      </c>
      <c r="FJ4" s="67">
        <f t="shared" ca="1" si="9"/>
        <v>0</v>
      </c>
      <c r="FK4" s="67">
        <f t="shared" ca="1" si="9"/>
        <v>0</v>
      </c>
      <c r="FL4" s="67">
        <f t="shared" ca="1" si="9"/>
        <v>0</v>
      </c>
      <c r="FM4" s="67">
        <f t="shared" ca="1" si="9"/>
        <v>0</v>
      </c>
      <c r="FN4" s="67">
        <f t="shared" ca="1" si="9"/>
        <v>0</v>
      </c>
      <c r="FO4" s="67">
        <f t="shared" ca="1" si="9"/>
        <v>0</v>
      </c>
      <c r="FP4" s="67">
        <f t="shared" ca="1" si="9"/>
        <v>0</v>
      </c>
      <c r="FQ4" s="67">
        <f t="shared" ca="1" si="9"/>
        <v>0</v>
      </c>
      <c r="FR4" s="67">
        <f t="shared" ca="1" si="9"/>
        <v>0</v>
      </c>
      <c r="FS4" s="67">
        <f t="shared" ca="1" si="9"/>
        <v>0</v>
      </c>
      <c r="FT4" s="67">
        <f t="shared" ca="1" si="9"/>
        <v>0</v>
      </c>
      <c r="FU4" s="67">
        <f t="shared" ca="1" si="9"/>
        <v>0</v>
      </c>
      <c r="FV4" s="67">
        <f t="shared" ca="1" si="9"/>
        <v>0</v>
      </c>
      <c r="FW4" s="67">
        <f t="shared" ca="1" si="9"/>
        <v>0</v>
      </c>
      <c r="FX4" s="67">
        <f t="shared" ca="1" si="9"/>
        <v>0</v>
      </c>
      <c r="FY4" s="67">
        <f t="shared" ca="1" si="9"/>
        <v>0</v>
      </c>
      <c r="FZ4" s="67">
        <f t="shared" ca="1" si="9"/>
        <v>0</v>
      </c>
      <c r="GA4" s="67">
        <f t="shared" ca="1" si="9"/>
        <v>0</v>
      </c>
      <c r="GB4" s="67">
        <f t="shared" ca="1" si="9"/>
        <v>0</v>
      </c>
      <c r="GC4" s="67">
        <f t="shared" ca="1" si="9"/>
        <v>0</v>
      </c>
      <c r="GD4" s="67">
        <f t="shared" ca="1" si="9"/>
        <v>0</v>
      </c>
      <c r="GE4" s="67">
        <f t="shared" ca="1" si="9"/>
        <v>0</v>
      </c>
      <c r="GF4" s="67">
        <f t="shared" ca="1" si="9"/>
        <v>0</v>
      </c>
      <c r="GG4" s="67">
        <f t="shared" ca="1" si="9"/>
        <v>0</v>
      </c>
      <c r="GH4" s="67">
        <f t="shared" ca="1" si="9"/>
        <v>0</v>
      </c>
      <c r="GI4" s="67">
        <f t="shared" ca="1" si="9"/>
        <v>0</v>
      </c>
      <c r="GJ4" s="67">
        <f t="shared" ca="1" si="9"/>
        <v>0</v>
      </c>
      <c r="GK4" s="67">
        <f t="shared" ca="1" si="9"/>
        <v>0</v>
      </c>
      <c r="GL4" s="67">
        <f t="shared" ca="1" si="9"/>
        <v>0</v>
      </c>
      <c r="GM4" s="67">
        <f t="shared" ca="1" si="9"/>
        <v>0</v>
      </c>
      <c r="GN4" s="67">
        <f t="shared" ca="1" si="9"/>
        <v>0</v>
      </c>
      <c r="GO4" s="67">
        <f t="shared" ca="1" si="9"/>
        <v>0</v>
      </c>
      <c r="GP4" s="67">
        <f t="shared" ca="1" si="9"/>
        <v>0</v>
      </c>
      <c r="GQ4" s="67">
        <f t="shared" ref="GQ4:JB4" ca="1" si="10">valorCarteraFecha(GQ3)</f>
        <v>0</v>
      </c>
      <c r="GR4" s="67">
        <f t="shared" ca="1" si="10"/>
        <v>0</v>
      </c>
      <c r="GS4" s="67">
        <f t="shared" ca="1" si="10"/>
        <v>0</v>
      </c>
      <c r="GT4" s="67">
        <f t="shared" ca="1" si="10"/>
        <v>0</v>
      </c>
      <c r="GU4" s="67">
        <f t="shared" ca="1" si="10"/>
        <v>0</v>
      </c>
      <c r="GV4" s="67">
        <f t="shared" ca="1" si="10"/>
        <v>0</v>
      </c>
      <c r="GW4" s="67">
        <f t="shared" ca="1" si="10"/>
        <v>0</v>
      </c>
      <c r="GX4" s="67">
        <f t="shared" ca="1" si="10"/>
        <v>0</v>
      </c>
      <c r="GY4" s="67">
        <f t="shared" ca="1" si="10"/>
        <v>0</v>
      </c>
      <c r="GZ4" s="67">
        <f t="shared" ca="1" si="10"/>
        <v>0</v>
      </c>
      <c r="HA4" s="67">
        <f t="shared" ca="1" si="10"/>
        <v>0</v>
      </c>
      <c r="HB4" s="67">
        <f t="shared" ca="1" si="10"/>
        <v>0</v>
      </c>
      <c r="HC4" s="67">
        <f t="shared" ca="1" si="10"/>
        <v>0</v>
      </c>
      <c r="HD4" s="67">
        <f t="shared" ca="1" si="10"/>
        <v>0</v>
      </c>
      <c r="HE4" s="67">
        <f t="shared" ca="1" si="10"/>
        <v>0</v>
      </c>
      <c r="HF4" s="67">
        <f t="shared" ca="1" si="10"/>
        <v>0</v>
      </c>
      <c r="HG4" s="67">
        <f t="shared" ca="1" si="10"/>
        <v>0</v>
      </c>
      <c r="HH4" s="67">
        <f t="shared" ca="1" si="10"/>
        <v>0</v>
      </c>
      <c r="HI4" s="67">
        <f t="shared" ca="1" si="10"/>
        <v>0</v>
      </c>
      <c r="HJ4" s="67">
        <f t="shared" ca="1" si="10"/>
        <v>0</v>
      </c>
      <c r="HK4" s="67">
        <f t="shared" ca="1" si="10"/>
        <v>0</v>
      </c>
      <c r="HL4" s="67">
        <f t="shared" ca="1" si="10"/>
        <v>0</v>
      </c>
      <c r="HM4" s="67">
        <f t="shared" ca="1" si="10"/>
        <v>0</v>
      </c>
      <c r="HN4" s="67">
        <f t="shared" ca="1" si="10"/>
        <v>0</v>
      </c>
      <c r="HO4" s="67">
        <f t="shared" ca="1" si="10"/>
        <v>0</v>
      </c>
      <c r="HP4" s="67">
        <f t="shared" ca="1" si="10"/>
        <v>0</v>
      </c>
      <c r="HQ4" s="67">
        <f t="shared" ca="1" si="10"/>
        <v>0</v>
      </c>
      <c r="HR4" s="67">
        <f t="shared" ca="1" si="10"/>
        <v>0</v>
      </c>
      <c r="HS4" s="67">
        <f t="shared" ca="1" si="10"/>
        <v>0</v>
      </c>
      <c r="HT4" s="67">
        <f t="shared" ca="1" si="10"/>
        <v>0</v>
      </c>
      <c r="HU4" s="67">
        <f t="shared" ca="1" si="10"/>
        <v>0</v>
      </c>
      <c r="HV4" s="67">
        <f t="shared" ca="1" si="10"/>
        <v>0</v>
      </c>
      <c r="HW4" s="67">
        <f t="shared" ca="1" si="10"/>
        <v>0</v>
      </c>
      <c r="HX4" s="67">
        <f t="shared" ca="1" si="10"/>
        <v>0</v>
      </c>
      <c r="HY4" s="67">
        <f t="shared" ca="1" si="10"/>
        <v>0</v>
      </c>
      <c r="HZ4" s="67">
        <f t="shared" ca="1" si="10"/>
        <v>0</v>
      </c>
      <c r="IA4" s="67">
        <f t="shared" ca="1" si="10"/>
        <v>0</v>
      </c>
      <c r="IB4" s="67">
        <f t="shared" ca="1" si="10"/>
        <v>0</v>
      </c>
      <c r="IC4" s="67">
        <f t="shared" ca="1" si="10"/>
        <v>0</v>
      </c>
      <c r="ID4" s="67">
        <f t="shared" ca="1" si="10"/>
        <v>0</v>
      </c>
      <c r="IE4" s="67">
        <f t="shared" ca="1" si="10"/>
        <v>0</v>
      </c>
      <c r="IF4" s="67">
        <f t="shared" ca="1" si="10"/>
        <v>0</v>
      </c>
      <c r="IG4" s="67">
        <f t="shared" ca="1" si="10"/>
        <v>0</v>
      </c>
      <c r="IH4" s="67">
        <f t="shared" ca="1" si="10"/>
        <v>0</v>
      </c>
      <c r="II4" s="67">
        <f t="shared" ca="1" si="10"/>
        <v>0</v>
      </c>
      <c r="IJ4" s="67">
        <f t="shared" ca="1" si="10"/>
        <v>0</v>
      </c>
      <c r="IK4" s="67">
        <f t="shared" ca="1" si="10"/>
        <v>0</v>
      </c>
      <c r="IL4" s="67">
        <f t="shared" ca="1" si="10"/>
        <v>0</v>
      </c>
      <c r="IM4" s="67">
        <f t="shared" ca="1" si="10"/>
        <v>0</v>
      </c>
      <c r="IN4" s="67">
        <f t="shared" ca="1" si="10"/>
        <v>0</v>
      </c>
      <c r="IO4" s="67">
        <f t="shared" ca="1" si="10"/>
        <v>0</v>
      </c>
      <c r="IP4" s="67">
        <f t="shared" ca="1" si="10"/>
        <v>0</v>
      </c>
      <c r="IQ4" s="67">
        <f t="shared" ca="1" si="10"/>
        <v>0</v>
      </c>
      <c r="IR4" s="67">
        <f t="shared" ca="1" si="10"/>
        <v>0</v>
      </c>
      <c r="IS4" s="67">
        <f t="shared" ca="1" si="10"/>
        <v>0</v>
      </c>
      <c r="IT4" s="67">
        <f t="shared" ca="1" si="10"/>
        <v>0</v>
      </c>
      <c r="IU4" s="67">
        <f t="shared" ca="1" si="10"/>
        <v>0</v>
      </c>
      <c r="IV4" s="67">
        <f t="shared" ca="1" si="10"/>
        <v>0</v>
      </c>
      <c r="IW4" s="67">
        <f t="shared" ca="1" si="10"/>
        <v>0</v>
      </c>
      <c r="IX4" s="67">
        <f t="shared" ca="1" si="10"/>
        <v>0</v>
      </c>
      <c r="IY4" s="67">
        <f t="shared" ca="1" si="10"/>
        <v>0</v>
      </c>
      <c r="IZ4" s="67">
        <f t="shared" ca="1" si="10"/>
        <v>0</v>
      </c>
      <c r="JA4" s="67">
        <f t="shared" ca="1" si="10"/>
        <v>0</v>
      </c>
      <c r="JB4" s="67">
        <f t="shared" ca="1" si="10"/>
        <v>0</v>
      </c>
    </row>
    <row r="5" spans="1:262">
      <c r="A5" s="34" t="s">
        <v>51</v>
      </c>
      <c r="B5" s="68">
        <v>100</v>
      </c>
      <c r="C5" s="68">
        <f ca="1">B5*(1+valorIndiceFecha(C3,C4))</f>
        <v>100</v>
      </c>
      <c r="D5" s="68">
        <f t="shared" ref="D5:F5" ca="1" si="11">C5*(1+valorIndiceFecha(D3,D4))</f>
        <v>100</v>
      </c>
      <c r="E5" s="68">
        <f t="shared" ca="1" si="11"/>
        <v>100</v>
      </c>
      <c r="F5" s="68">
        <f t="shared" ca="1" si="11"/>
        <v>100</v>
      </c>
      <c r="G5" s="68">
        <f t="shared" ref="G5:AR5" ca="1" si="12">F5*(1+valorIndiceFecha(G3,G4))</f>
        <v>100</v>
      </c>
      <c r="H5" s="68">
        <f t="shared" ca="1" si="12"/>
        <v>100</v>
      </c>
      <c r="I5" s="68">
        <f t="shared" ca="1" si="12"/>
        <v>100</v>
      </c>
      <c r="J5" s="68">
        <f t="shared" ca="1" si="12"/>
        <v>100</v>
      </c>
      <c r="K5" s="68">
        <f t="shared" ca="1" si="12"/>
        <v>100</v>
      </c>
      <c r="L5" s="68">
        <f t="shared" ca="1" si="12"/>
        <v>100</v>
      </c>
      <c r="M5" s="68">
        <f t="shared" ca="1" si="12"/>
        <v>100</v>
      </c>
      <c r="N5" s="68">
        <f t="shared" ca="1" si="12"/>
        <v>100</v>
      </c>
      <c r="O5" s="68">
        <f t="shared" ca="1" si="12"/>
        <v>100</v>
      </c>
      <c r="P5" s="68">
        <f t="shared" ca="1" si="12"/>
        <v>100</v>
      </c>
      <c r="Q5" s="68">
        <f t="shared" ca="1" si="12"/>
        <v>100</v>
      </c>
      <c r="R5" s="68">
        <f t="shared" ca="1" si="12"/>
        <v>100</v>
      </c>
      <c r="S5" s="68">
        <f t="shared" ca="1" si="12"/>
        <v>100</v>
      </c>
      <c r="T5" s="68">
        <f t="shared" ca="1" si="12"/>
        <v>100</v>
      </c>
      <c r="U5" s="68">
        <f t="shared" ca="1" si="12"/>
        <v>100</v>
      </c>
      <c r="V5" s="68">
        <f t="shared" ca="1" si="12"/>
        <v>100</v>
      </c>
      <c r="W5" s="68">
        <f t="shared" ca="1" si="12"/>
        <v>100</v>
      </c>
      <c r="X5" s="68">
        <f t="shared" ca="1" si="12"/>
        <v>100</v>
      </c>
      <c r="Y5" s="68">
        <f t="shared" ca="1" si="12"/>
        <v>100</v>
      </c>
      <c r="Z5" s="68">
        <f t="shared" ca="1" si="12"/>
        <v>100</v>
      </c>
      <c r="AA5" s="68">
        <f t="shared" ca="1" si="12"/>
        <v>100</v>
      </c>
      <c r="AB5" s="68">
        <f t="shared" ca="1" si="12"/>
        <v>100</v>
      </c>
      <c r="AC5" s="68">
        <f t="shared" ca="1" si="12"/>
        <v>100</v>
      </c>
      <c r="AD5" s="68">
        <f t="shared" ca="1" si="12"/>
        <v>100</v>
      </c>
      <c r="AE5" s="68">
        <f t="shared" ca="1" si="12"/>
        <v>100</v>
      </c>
      <c r="AF5" s="68">
        <f t="shared" ca="1" si="12"/>
        <v>100</v>
      </c>
      <c r="AG5" s="68">
        <f t="shared" ca="1" si="12"/>
        <v>100</v>
      </c>
      <c r="AH5" s="68">
        <f t="shared" ca="1" si="12"/>
        <v>100</v>
      </c>
      <c r="AI5" s="68">
        <f t="shared" ca="1" si="12"/>
        <v>100</v>
      </c>
      <c r="AJ5" s="68">
        <f t="shared" ca="1" si="12"/>
        <v>100</v>
      </c>
      <c r="AK5" s="68">
        <f t="shared" ca="1" si="12"/>
        <v>100</v>
      </c>
      <c r="AL5" s="68">
        <f t="shared" ca="1" si="12"/>
        <v>100</v>
      </c>
      <c r="AM5" s="68">
        <f t="shared" ca="1" si="12"/>
        <v>100</v>
      </c>
      <c r="AN5" s="68">
        <f t="shared" ca="1" si="12"/>
        <v>100</v>
      </c>
      <c r="AO5" s="68">
        <f t="shared" ca="1" si="12"/>
        <v>100</v>
      </c>
      <c r="AP5" s="68">
        <f t="shared" ca="1" si="12"/>
        <v>100</v>
      </c>
      <c r="AQ5" s="68">
        <f t="shared" ca="1" si="12"/>
        <v>100</v>
      </c>
      <c r="AR5" s="68">
        <f t="shared" ca="1" si="12"/>
        <v>100</v>
      </c>
      <c r="AS5" s="68">
        <f ca="1">AR5*(1+valorIndiceFecha(AS3,AS4))</f>
        <v>100</v>
      </c>
      <c r="AT5" s="68">
        <f t="shared" ref="AT5:BR5" ca="1" si="13">AS5*(1+valorIndiceFecha(AT3,AT4))</f>
        <v>100</v>
      </c>
      <c r="AU5" s="68">
        <f t="shared" ca="1" si="13"/>
        <v>100</v>
      </c>
      <c r="AV5" s="68">
        <f t="shared" ca="1" si="13"/>
        <v>100</v>
      </c>
      <c r="AW5" s="68">
        <f t="shared" ca="1" si="13"/>
        <v>100</v>
      </c>
      <c r="AX5" s="68">
        <f t="shared" ca="1" si="13"/>
        <v>100</v>
      </c>
      <c r="AY5" s="68">
        <f t="shared" ca="1" si="13"/>
        <v>100</v>
      </c>
      <c r="AZ5" s="68">
        <f t="shared" ca="1" si="13"/>
        <v>100</v>
      </c>
      <c r="BA5" s="68">
        <f t="shared" ca="1" si="13"/>
        <v>100</v>
      </c>
      <c r="BB5" s="68">
        <f t="shared" ca="1" si="13"/>
        <v>100</v>
      </c>
      <c r="BC5" s="68">
        <f t="shared" ca="1" si="13"/>
        <v>100</v>
      </c>
      <c r="BD5" s="68">
        <f t="shared" ca="1" si="13"/>
        <v>100</v>
      </c>
      <c r="BE5" s="68">
        <f t="shared" ca="1" si="13"/>
        <v>100</v>
      </c>
      <c r="BF5" s="68">
        <f t="shared" ca="1" si="13"/>
        <v>100</v>
      </c>
      <c r="BG5" s="68">
        <f t="shared" ca="1" si="13"/>
        <v>100</v>
      </c>
      <c r="BH5" s="68">
        <f t="shared" ca="1" si="13"/>
        <v>100</v>
      </c>
      <c r="BI5" s="68">
        <f t="shared" ca="1" si="13"/>
        <v>100</v>
      </c>
      <c r="BJ5" s="68">
        <f ca="1">BI5*(1+valorIndiceFecha(BJ3,BJ4))</f>
        <v>100</v>
      </c>
      <c r="BK5" s="68">
        <f t="shared" ca="1" si="13"/>
        <v>100</v>
      </c>
      <c r="BL5" s="68">
        <f t="shared" ca="1" si="13"/>
        <v>100</v>
      </c>
      <c r="BM5" s="68">
        <f t="shared" ca="1" si="13"/>
        <v>100</v>
      </c>
      <c r="BN5" s="68">
        <f t="shared" ca="1" si="13"/>
        <v>100</v>
      </c>
      <c r="BO5" s="68">
        <f t="shared" ca="1" si="13"/>
        <v>100</v>
      </c>
      <c r="BP5" s="68">
        <f t="shared" ca="1" si="13"/>
        <v>100</v>
      </c>
      <c r="BQ5" s="68">
        <f t="shared" ca="1" si="13"/>
        <v>100</v>
      </c>
      <c r="BR5" s="68">
        <f t="shared" ca="1" si="13"/>
        <v>100</v>
      </c>
      <c r="BS5" s="68">
        <f t="shared" ref="BS5:ED5" ca="1" si="14">BR5*(1+valorIndiceFecha(BS3,BS4))</f>
        <v>100</v>
      </c>
      <c r="BT5" s="68">
        <f t="shared" ca="1" si="14"/>
        <v>100</v>
      </c>
      <c r="BU5" s="68">
        <f t="shared" ca="1" si="14"/>
        <v>100</v>
      </c>
      <c r="BV5" s="68">
        <f t="shared" ca="1" si="14"/>
        <v>100</v>
      </c>
      <c r="BW5" s="68">
        <f t="shared" ca="1" si="14"/>
        <v>100</v>
      </c>
      <c r="BX5" s="68">
        <f t="shared" ca="1" si="14"/>
        <v>100</v>
      </c>
      <c r="BY5" s="68">
        <f t="shared" ca="1" si="14"/>
        <v>100</v>
      </c>
      <c r="BZ5" s="68">
        <f t="shared" ca="1" si="14"/>
        <v>100</v>
      </c>
      <c r="CA5" s="68">
        <f t="shared" ca="1" si="14"/>
        <v>100</v>
      </c>
      <c r="CB5" s="68">
        <f t="shared" ca="1" si="14"/>
        <v>100</v>
      </c>
      <c r="CC5" s="68">
        <f t="shared" ca="1" si="14"/>
        <v>100</v>
      </c>
      <c r="CD5" s="68">
        <f t="shared" ca="1" si="14"/>
        <v>100</v>
      </c>
      <c r="CE5" s="68">
        <f t="shared" ca="1" si="14"/>
        <v>100</v>
      </c>
      <c r="CF5" s="68">
        <f t="shared" ca="1" si="14"/>
        <v>100</v>
      </c>
      <c r="CG5" s="68">
        <f t="shared" ca="1" si="14"/>
        <v>100</v>
      </c>
      <c r="CH5" s="68">
        <f t="shared" ca="1" si="14"/>
        <v>100</v>
      </c>
      <c r="CI5" s="68">
        <f t="shared" ca="1" si="14"/>
        <v>100</v>
      </c>
      <c r="CJ5" s="68">
        <f t="shared" ca="1" si="14"/>
        <v>100</v>
      </c>
      <c r="CK5" s="68">
        <f t="shared" ca="1" si="14"/>
        <v>100</v>
      </c>
      <c r="CL5" s="68">
        <f t="shared" ca="1" si="14"/>
        <v>100</v>
      </c>
      <c r="CM5" s="68">
        <f t="shared" ca="1" si="14"/>
        <v>100</v>
      </c>
      <c r="CN5" s="68">
        <f t="shared" ca="1" si="14"/>
        <v>100</v>
      </c>
      <c r="CO5" s="68">
        <f t="shared" ca="1" si="14"/>
        <v>100</v>
      </c>
      <c r="CP5" s="68">
        <f t="shared" ca="1" si="14"/>
        <v>100</v>
      </c>
      <c r="CQ5" s="68">
        <f t="shared" ca="1" si="14"/>
        <v>100</v>
      </c>
      <c r="CR5" s="68">
        <f t="shared" ca="1" si="14"/>
        <v>100</v>
      </c>
      <c r="CS5" s="68">
        <f t="shared" ca="1" si="14"/>
        <v>100</v>
      </c>
      <c r="CT5" s="68">
        <f t="shared" ca="1" si="14"/>
        <v>100</v>
      </c>
      <c r="CU5" s="68">
        <f t="shared" ca="1" si="14"/>
        <v>100</v>
      </c>
      <c r="CV5" s="68">
        <f t="shared" ca="1" si="14"/>
        <v>100</v>
      </c>
      <c r="CW5" s="68">
        <f t="shared" ca="1" si="14"/>
        <v>100</v>
      </c>
      <c r="CX5" s="68">
        <f t="shared" ca="1" si="14"/>
        <v>100</v>
      </c>
      <c r="CY5" s="68">
        <f t="shared" ca="1" si="14"/>
        <v>100</v>
      </c>
      <c r="CZ5" s="68">
        <f t="shared" ca="1" si="14"/>
        <v>100</v>
      </c>
      <c r="DA5" s="68">
        <f t="shared" ca="1" si="14"/>
        <v>100</v>
      </c>
      <c r="DB5" s="68">
        <f t="shared" ca="1" si="14"/>
        <v>100</v>
      </c>
      <c r="DC5" s="68">
        <f t="shared" ca="1" si="14"/>
        <v>100</v>
      </c>
      <c r="DD5" s="68">
        <f t="shared" ca="1" si="14"/>
        <v>100</v>
      </c>
      <c r="DE5" s="68">
        <f t="shared" ca="1" si="14"/>
        <v>100</v>
      </c>
      <c r="DF5" s="68">
        <f t="shared" ca="1" si="14"/>
        <v>100</v>
      </c>
      <c r="DG5" s="68">
        <f t="shared" ca="1" si="14"/>
        <v>100</v>
      </c>
      <c r="DH5" s="68">
        <f t="shared" ca="1" si="14"/>
        <v>100</v>
      </c>
      <c r="DI5" s="68">
        <f t="shared" ca="1" si="14"/>
        <v>100</v>
      </c>
      <c r="DJ5" s="68">
        <f t="shared" ca="1" si="14"/>
        <v>100</v>
      </c>
      <c r="DK5" s="68">
        <f t="shared" ca="1" si="14"/>
        <v>100</v>
      </c>
      <c r="DL5" s="68">
        <f t="shared" ca="1" si="14"/>
        <v>100</v>
      </c>
      <c r="DM5" s="68">
        <f t="shared" ca="1" si="14"/>
        <v>100</v>
      </c>
      <c r="DN5" s="68">
        <f t="shared" ca="1" si="14"/>
        <v>100</v>
      </c>
      <c r="DO5" s="68">
        <f t="shared" ca="1" si="14"/>
        <v>100</v>
      </c>
      <c r="DP5" s="68">
        <f t="shared" ca="1" si="14"/>
        <v>100</v>
      </c>
      <c r="DQ5" s="68">
        <f t="shared" ca="1" si="14"/>
        <v>100</v>
      </c>
      <c r="DR5" s="68">
        <f t="shared" ca="1" si="14"/>
        <v>100</v>
      </c>
      <c r="DS5" s="68">
        <f t="shared" ca="1" si="14"/>
        <v>100</v>
      </c>
      <c r="DT5" s="68">
        <f t="shared" ca="1" si="14"/>
        <v>100</v>
      </c>
      <c r="DU5" s="68">
        <f t="shared" ca="1" si="14"/>
        <v>100</v>
      </c>
      <c r="DV5" s="68">
        <f t="shared" ca="1" si="14"/>
        <v>100</v>
      </c>
      <c r="DW5" s="68">
        <f t="shared" ca="1" si="14"/>
        <v>100</v>
      </c>
      <c r="DX5" s="68">
        <f t="shared" ca="1" si="14"/>
        <v>100</v>
      </c>
      <c r="DY5" s="68">
        <f t="shared" ca="1" si="14"/>
        <v>100</v>
      </c>
      <c r="DZ5" s="68">
        <f t="shared" ca="1" si="14"/>
        <v>100</v>
      </c>
      <c r="EA5" s="68">
        <f t="shared" ca="1" si="14"/>
        <v>100</v>
      </c>
      <c r="EB5" s="68">
        <f t="shared" ca="1" si="14"/>
        <v>100</v>
      </c>
      <c r="EC5" s="68">
        <f t="shared" ca="1" si="14"/>
        <v>100</v>
      </c>
      <c r="ED5" s="68">
        <f t="shared" ca="1" si="14"/>
        <v>100</v>
      </c>
      <c r="EE5" s="68">
        <f t="shared" ref="EE5:GP5" ca="1" si="15">ED5*(1+valorIndiceFecha(EE3,EE4))</f>
        <v>100</v>
      </c>
      <c r="EF5" s="68">
        <f t="shared" ca="1" si="15"/>
        <v>100</v>
      </c>
      <c r="EG5" s="68">
        <f t="shared" ca="1" si="15"/>
        <v>100</v>
      </c>
      <c r="EH5" s="68">
        <f t="shared" ca="1" si="15"/>
        <v>100</v>
      </c>
      <c r="EI5" s="68">
        <f t="shared" ca="1" si="15"/>
        <v>100</v>
      </c>
      <c r="EJ5" s="68">
        <f t="shared" ca="1" si="15"/>
        <v>100</v>
      </c>
      <c r="EK5" s="68">
        <f t="shared" ca="1" si="15"/>
        <v>100</v>
      </c>
      <c r="EL5" s="68">
        <f t="shared" ca="1" si="15"/>
        <v>100</v>
      </c>
      <c r="EM5" s="68">
        <f t="shared" ca="1" si="15"/>
        <v>100</v>
      </c>
      <c r="EN5" s="68">
        <f t="shared" ca="1" si="15"/>
        <v>100</v>
      </c>
      <c r="EO5" s="68">
        <f t="shared" ca="1" si="15"/>
        <v>100</v>
      </c>
      <c r="EP5" s="68">
        <f t="shared" ca="1" si="15"/>
        <v>100</v>
      </c>
      <c r="EQ5" s="68">
        <f t="shared" ca="1" si="15"/>
        <v>100</v>
      </c>
      <c r="ER5" s="68">
        <f t="shared" ca="1" si="15"/>
        <v>100</v>
      </c>
      <c r="ES5" s="68">
        <f t="shared" ca="1" si="15"/>
        <v>100</v>
      </c>
      <c r="ET5" s="68">
        <f t="shared" ca="1" si="15"/>
        <v>100</v>
      </c>
      <c r="EU5" s="68">
        <f t="shared" ca="1" si="15"/>
        <v>100</v>
      </c>
      <c r="EV5" s="68">
        <f t="shared" ca="1" si="15"/>
        <v>100</v>
      </c>
      <c r="EW5" s="68">
        <f t="shared" ca="1" si="15"/>
        <v>100</v>
      </c>
      <c r="EX5" s="68">
        <f t="shared" ca="1" si="15"/>
        <v>100</v>
      </c>
      <c r="EY5" s="68">
        <f t="shared" ca="1" si="15"/>
        <v>100</v>
      </c>
      <c r="EZ5" s="68">
        <f t="shared" ca="1" si="15"/>
        <v>100</v>
      </c>
      <c r="FA5" s="68">
        <f t="shared" ca="1" si="15"/>
        <v>100</v>
      </c>
      <c r="FB5" s="68">
        <f t="shared" ca="1" si="15"/>
        <v>100</v>
      </c>
      <c r="FC5" s="68">
        <f t="shared" ca="1" si="15"/>
        <v>100</v>
      </c>
      <c r="FD5" s="68">
        <f t="shared" ca="1" si="15"/>
        <v>100</v>
      </c>
      <c r="FE5" s="68">
        <f t="shared" ca="1" si="15"/>
        <v>100</v>
      </c>
      <c r="FF5" s="68">
        <f t="shared" ca="1" si="15"/>
        <v>100</v>
      </c>
      <c r="FG5" s="68">
        <f t="shared" ca="1" si="15"/>
        <v>100</v>
      </c>
      <c r="FH5" s="68">
        <f t="shared" ca="1" si="15"/>
        <v>100</v>
      </c>
      <c r="FI5" s="68">
        <f t="shared" ca="1" si="15"/>
        <v>100</v>
      </c>
      <c r="FJ5" s="68">
        <f t="shared" ca="1" si="15"/>
        <v>100</v>
      </c>
      <c r="FK5" s="68">
        <f t="shared" ca="1" si="15"/>
        <v>100</v>
      </c>
      <c r="FL5" s="68">
        <f t="shared" ca="1" si="15"/>
        <v>100</v>
      </c>
      <c r="FM5" s="68">
        <f t="shared" ca="1" si="15"/>
        <v>100</v>
      </c>
      <c r="FN5" s="68">
        <f t="shared" ca="1" si="15"/>
        <v>100</v>
      </c>
      <c r="FO5" s="68">
        <f t="shared" ca="1" si="15"/>
        <v>100</v>
      </c>
      <c r="FP5" s="68">
        <f t="shared" ca="1" si="15"/>
        <v>100</v>
      </c>
      <c r="FQ5" s="68">
        <f t="shared" ca="1" si="15"/>
        <v>100</v>
      </c>
      <c r="FR5" s="68">
        <f t="shared" ca="1" si="15"/>
        <v>100</v>
      </c>
      <c r="FS5" s="68">
        <f t="shared" ca="1" si="15"/>
        <v>100</v>
      </c>
      <c r="FT5" s="68">
        <f t="shared" ca="1" si="15"/>
        <v>100</v>
      </c>
      <c r="FU5" s="68">
        <f t="shared" ca="1" si="15"/>
        <v>100</v>
      </c>
      <c r="FV5" s="68">
        <f t="shared" ca="1" si="15"/>
        <v>100</v>
      </c>
      <c r="FW5" s="68">
        <f t="shared" ca="1" si="15"/>
        <v>100</v>
      </c>
      <c r="FX5" s="68">
        <f t="shared" ca="1" si="15"/>
        <v>100</v>
      </c>
      <c r="FY5" s="68">
        <f t="shared" ca="1" si="15"/>
        <v>100</v>
      </c>
      <c r="FZ5" s="68">
        <f t="shared" ca="1" si="15"/>
        <v>100</v>
      </c>
      <c r="GA5" s="68">
        <f t="shared" ca="1" si="15"/>
        <v>100</v>
      </c>
      <c r="GB5" s="68">
        <f t="shared" ca="1" si="15"/>
        <v>100</v>
      </c>
      <c r="GC5" s="68">
        <f t="shared" ca="1" si="15"/>
        <v>100</v>
      </c>
      <c r="GD5" s="68">
        <f t="shared" ca="1" si="15"/>
        <v>100</v>
      </c>
      <c r="GE5" s="68">
        <f t="shared" ca="1" si="15"/>
        <v>100</v>
      </c>
      <c r="GF5" s="68">
        <f t="shared" ca="1" si="15"/>
        <v>100</v>
      </c>
      <c r="GG5" s="68">
        <f t="shared" ca="1" si="15"/>
        <v>100</v>
      </c>
      <c r="GH5" s="68">
        <f t="shared" ca="1" si="15"/>
        <v>100</v>
      </c>
      <c r="GI5" s="68">
        <f t="shared" ca="1" si="15"/>
        <v>100</v>
      </c>
      <c r="GJ5" s="68">
        <f t="shared" ca="1" si="15"/>
        <v>100</v>
      </c>
      <c r="GK5" s="68">
        <f t="shared" ca="1" si="15"/>
        <v>100</v>
      </c>
      <c r="GL5" s="68">
        <f t="shared" ca="1" si="15"/>
        <v>100</v>
      </c>
      <c r="GM5" s="68">
        <f t="shared" ca="1" si="15"/>
        <v>100</v>
      </c>
      <c r="GN5" s="68">
        <f t="shared" ca="1" si="15"/>
        <v>100</v>
      </c>
      <c r="GO5" s="68">
        <f t="shared" ca="1" si="15"/>
        <v>100</v>
      </c>
      <c r="GP5" s="68">
        <f t="shared" ca="1" si="15"/>
        <v>100</v>
      </c>
      <c r="GQ5" s="68">
        <f t="shared" ref="GQ5:JB5" ca="1" si="16">GP5*(1+valorIndiceFecha(GQ3,GQ4))</f>
        <v>100</v>
      </c>
      <c r="GR5" s="68">
        <f t="shared" ca="1" si="16"/>
        <v>100</v>
      </c>
      <c r="GS5" s="68">
        <f t="shared" ca="1" si="16"/>
        <v>100</v>
      </c>
      <c r="GT5" s="68">
        <f t="shared" ca="1" si="16"/>
        <v>100</v>
      </c>
      <c r="GU5" s="68">
        <f t="shared" ca="1" si="16"/>
        <v>100</v>
      </c>
      <c r="GV5" s="68">
        <f t="shared" ca="1" si="16"/>
        <v>100</v>
      </c>
      <c r="GW5" s="68">
        <f t="shared" ca="1" si="16"/>
        <v>100</v>
      </c>
      <c r="GX5" s="68">
        <f t="shared" ca="1" si="16"/>
        <v>100</v>
      </c>
      <c r="GY5" s="68">
        <f t="shared" ca="1" si="16"/>
        <v>100</v>
      </c>
      <c r="GZ5" s="68">
        <f t="shared" ca="1" si="16"/>
        <v>100</v>
      </c>
      <c r="HA5" s="68">
        <f t="shared" ca="1" si="16"/>
        <v>100</v>
      </c>
      <c r="HB5" s="68">
        <f t="shared" ca="1" si="16"/>
        <v>100</v>
      </c>
      <c r="HC5" s="68">
        <f t="shared" ca="1" si="16"/>
        <v>100</v>
      </c>
      <c r="HD5" s="68">
        <f t="shared" ca="1" si="16"/>
        <v>100</v>
      </c>
      <c r="HE5" s="68">
        <f t="shared" ca="1" si="16"/>
        <v>100</v>
      </c>
      <c r="HF5" s="68">
        <f t="shared" ca="1" si="16"/>
        <v>100</v>
      </c>
      <c r="HG5" s="68">
        <f t="shared" ca="1" si="16"/>
        <v>100</v>
      </c>
      <c r="HH5" s="68">
        <f t="shared" ca="1" si="16"/>
        <v>100</v>
      </c>
      <c r="HI5" s="68">
        <f t="shared" ca="1" si="16"/>
        <v>100</v>
      </c>
      <c r="HJ5" s="68">
        <f t="shared" ca="1" si="16"/>
        <v>100</v>
      </c>
      <c r="HK5" s="68">
        <f t="shared" ca="1" si="16"/>
        <v>100</v>
      </c>
      <c r="HL5" s="68">
        <f t="shared" ca="1" si="16"/>
        <v>100</v>
      </c>
      <c r="HM5" s="68">
        <f t="shared" ca="1" si="16"/>
        <v>100</v>
      </c>
      <c r="HN5" s="68">
        <f t="shared" ca="1" si="16"/>
        <v>100</v>
      </c>
      <c r="HO5" s="68">
        <f t="shared" ca="1" si="16"/>
        <v>100</v>
      </c>
      <c r="HP5" s="68">
        <f t="shared" ca="1" si="16"/>
        <v>100</v>
      </c>
      <c r="HQ5" s="68">
        <f t="shared" ca="1" si="16"/>
        <v>100</v>
      </c>
      <c r="HR5" s="68">
        <f t="shared" ca="1" si="16"/>
        <v>100</v>
      </c>
      <c r="HS5" s="68">
        <f t="shared" ca="1" si="16"/>
        <v>100</v>
      </c>
      <c r="HT5" s="68">
        <f t="shared" ca="1" si="16"/>
        <v>100</v>
      </c>
      <c r="HU5" s="68">
        <f t="shared" ca="1" si="16"/>
        <v>100</v>
      </c>
      <c r="HV5" s="68">
        <f t="shared" ca="1" si="16"/>
        <v>100</v>
      </c>
      <c r="HW5" s="68">
        <f t="shared" ca="1" si="16"/>
        <v>100</v>
      </c>
      <c r="HX5" s="68">
        <f t="shared" ca="1" si="16"/>
        <v>100</v>
      </c>
      <c r="HY5" s="68">
        <f t="shared" ca="1" si="16"/>
        <v>100</v>
      </c>
      <c r="HZ5" s="68">
        <f t="shared" ca="1" si="16"/>
        <v>100</v>
      </c>
      <c r="IA5" s="68">
        <f t="shared" ca="1" si="16"/>
        <v>100</v>
      </c>
      <c r="IB5" s="68">
        <f t="shared" ca="1" si="16"/>
        <v>100</v>
      </c>
      <c r="IC5" s="68">
        <f t="shared" ca="1" si="16"/>
        <v>100</v>
      </c>
      <c r="ID5" s="68">
        <f t="shared" ca="1" si="16"/>
        <v>100</v>
      </c>
      <c r="IE5" s="68">
        <f t="shared" ca="1" si="16"/>
        <v>100</v>
      </c>
      <c r="IF5" s="68">
        <f t="shared" ca="1" si="16"/>
        <v>100</v>
      </c>
      <c r="IG5" s="68">
        <f t="shared" ca="1" si="16"/>
        <v>100</v>
      </c>
      <c r="IH5" s="68">
        <f t="shared" ca="1" si="16"/>
        <v>100</v>
      </c>
      <c r="II5" s="68">
        <f t="shared" ca="1" si="16"/>
        <v>100</v>
      </c>
      <c r="IJ5" s="68">
        <f t="shared" ca="1" si="16"/>
        <v>100</v>
      </c>
      <c r="IK5" s="68">
        <f t="shared" ca="1" si="16"/>
        <v>100</v>
      </c>
      <c r="IL5" s="68">
        <f t="shared" ca="1" si="16"/>
        <v>100</v>
      </c>
      <c r="IM5" s="68">
        <f t="shared" ca="1" si="16"/>
        <v>100</v>
      </c>
      <c r="IN5" s="68">
        <f t="shared" ca="1" si="16"/>
        <v>100</v>
      </c>
      <c r="IO5" s="68">
        <f t="shared" ca="1" si="16"/>
        <v>100</v>
      </c>
      <c r="IP5" s="68">
        <f t="shared" ca="1" si="16"/>
        <v>100</v>
      </c>
      <c r="IQ5" s="68">
        <f t="shared" ca="1" si="16"/>
        <v>100</v>
      </c>
      <c r="IR5" s="68">
        <f t="shared" ca="1" si="16"/>
        <v>100</v>
      </c>
      <c r="IS5" s="68">
        <f t="shared" ca="1" si="16"/>
        <v>100</v>
      </c>
      <c r="IT5" s="68">
        <f t="shared" ca="1" si="16"/>
        <v>100</v>
      </c>
      <c r="IU5" s="68">
        <f t="shared" ca="1" si="16"/>
        <v>100</v>
      </c>
      <c r="IV5" s="68">
        <f t="shared" ca="1" si="16"/>
        <v>100</v>
      </c>
      <c r="IW5" s="68">
        <f t="shared" ca="1" si="16"/>
        <v>100</v>
      </c>
      <c r="IX5" s="68">
        <f t="shared" ca="1" si="16"/>
        <v>100</v>
      </c>
      <c r="IY5" s="68">
        <f t="shared" ca="1" si="16"/>
        <v>100</v>
      </c>
      <c r="IZ5" s="68">
        <f t="shared" ca="1" si="16"/>
        <v>100</v>
      </c>
      <c r="JA5" s="68">
        <f t="shared" ca="1" si="16"/>
        <v>100</v>
      </c>
      <c r="JB5" s="68">
        <f t="shared" ca="1" si="16"/>
        <v>100</v>
      </c>
    </row>
    <row r="6" spans="1:262">
      <c r="A6" s="34" t="s">
        <v>53</v>
      </c>
      <c r="B6" s="69"/>
      <c r="C6" s="67">
        <f t="shared" ref="C6:D6" ca="1" si="17">C4-B4</f>
        <v>0</v>
      </c>
      <c r="D6" s="67">
        <f t="shared" ca="1" si="17"/>
        <v>0</v>
      </c>
      <c r="E6" s="67">
        <f t="shared" ref="E6" ca="1" si="18">E4-D4</f>
        <v>0</v>
      </c>
      <c r="F6" s="67">
        <f t="shared" ref="F6" ca="1" si="19">F4-E4</f>
        <v>0</v>
      </c>
      <c r="G6" s="67">
        <f t="shared" ref="G6" ca="1" si="20">G4-F4</f>
        <v>0</v>
      </c>
      <c r="H6" s="67">
        <f t="shared" ref="H6" ca="1" si="21">H4-G4</f>
        <v>0</v>
      </c>
      <c r="I6" s="67">
        <f t="shared" ref="I6" ca="1" si="22">I4-H4</f>
        <v>0</v>
      </c>
      <c r="J6" s="67">
        <f t="shared" ref="J6" ca="1" si="23">J4-I4</f>
        <v>0</v>
      </c>
      <c r="K6" s="67">
        <f t="shared" ref="K6" ca="1" si="24">K4-J4</f>
        <v>0</v>
      </c>
      <c r="L6" s="67">
        <f t="shared" ref="L6" ca="1" si="25">L4-K4</f>
        <v>0</v>
      </c>
      <c r="M6" s="67">
        <f t="shared" ref="M6" ca="1" si="26">M4-L4</f>
        <v>0</v>
      </c>
      <c r="N6" s="67">
        <f t="shared" ref="N6" ca="1" si="27">N4-M4</f>
        <v>0</v>
      </c>
      <c r="O6" s="67">
        <f t="shared" ref="O6" ca="1" si="28">O4-N4</f>
        <v>0</v>
      </c>
      <c r="P6" s="67">
        <f t="shared" ref="P6" ca="1" si="29">P4-O4</f>
        <v>0</v>
      </c>
      <c r="Q6" s="67">
        <f t="shared" ref="Q6" ca="1" si="30">Q4-P4</f>
        <v>0</v>
      </c>
      <c r="R6" s="67">
        <f t="shared" ref="R6" ca="1" si="31">R4-Q4</f>
        <v>0</v>
      </c>
      <c r="S6" s="67">
        <f t="shared" ref="S6" ca="1" si="32">S4-R4</f>
        <v>0</v>
      </c>
      <c r="T6" s="67">
        <f t="shared" ref="T6" ca="1" si="33">T4-S4</f>
        <v>0</v>
      </c>
      <c r="U6" s="67">
        <f t="shared" ref="U6" ca="1" si="34">U4-T4</f>
        <v>0</v>
      </c>
      <c r="V6" s="67">
        <f t="shared" ref="V6" ca="1" si="35">V4-U4</f>
        <v>0</v>
      </c>
      <c r="W6" s="67">
        <f t="shared" ref="W6" ca="1" si="36">W4-V4</f>
        <v>0</v>
      </c>
      <c r="X6" s="67">
        <f t="shared" ref="X6" ca="1" si="37">X4-W4</f>
        <v>0</v>
      </c>
      <c r="Y6" s="67">
        <f t="shared" ref="Y6" ca="1" si="38">Y4-X4</f>
        <v>0</v>
      </c>
      <c r="Z6" s="67">
        <f t="shared" ref="Z6" ca="1" si="39">Z4-Y4</f>
        <v>0</v>
      </c>
      <c r="AA6" s="67">
        <f t="shared" ref="AA6" ca="1" si="40">AA4-Z4</f>
        <v>0</v>
      </c>
      <c r="AB6" s="67">
        <f t="shared" ref="AB6" ca="1" si="41">AB4-AA4</f>
        <v>0</v>
      </c>
      <c r="AC6" s="67">
        <f t="shared" ref="AC6" ca="1" si="42">AC4-AB4</f>
        <v>0</v>
      </c>
      <c r="AD6" s="67">
        <f t="shared" ref="AD6" ca="1" si="43">AD4-AC4</f>
        <v>0</v>
      </c>
      <c r="AE6" s="67">
        <f t="shared" ref="AE6" ca="1" si="44">AE4-AD4</f>
        <v>0</v>
      </c>
      <c r="AF6" s="67">
        <f t="shared" ref="AF6" ca="1" si="45">AF4-AE4</f>
        <v>0</v>
      </c>
      <c r="AG6" s="67">
        <f t="shared" ref="AG6" ca="1" si="46">AG4-AF4</f>
        <v>0</v>
      </c>
      <c r="AH6" s="67">
        <f t="shared" ref="AH6" ca="1" si="47">AH4-AG4</f>
        <v>0</v>
      </c>
      <c r="AI6" s="67">
        <f t="shared" ref="AI6" ca="1" si="48">AI4-AH4</f>
        <v>0</v>
      </c>
      <c r="AJ6" s="67">
        <f t="shared" ref="AJ6" ca="1" si="49">AJ4-AI4</f>
        <v>0</v>
      </c>
      <c r="AK6" s="67">
        <f t="shared" ref="AK6" ca="1" si="50">AK4-AJ4</f>
        <v>0</v>
      </c>
      <c r="AL6" s="67">
        <f t="shared" ref="AL6" ca="1" si="51">AL4-AK4</f>
        <v>0</v>
      </c>
      <c r="AM6" s="67">
        <f t="shared" ref="AM6" ca="1" si="52">AM4-AL4</f>
        <v>0</v>
      </c>
      <c r="AN6" s="67">
        <f t="shared" ref="AN6" ca="1" si="53">AN4-AM4</f>
        <v>0</v>
      </c>
      <c r="AO6" s="67">
        <f t="shared" ref="AO6" ca="1" si="54">AO4-AN4</f>
        <v>0</v>
      </c>
      <c r="AP6" s="67">
        <f t="shared" ref="AP6" ca="1" si="55">AP4-AO4</f>
        <v>0</v>
      </c>
      <c r="AQ6" s="67">
        <f t="shared" ref="AQ6" ca="1" si="56">AQ4-AP4</f>
        <v>0</v>
      </c>
      <c r="AR6" s="67">
        <f t="shared" ref="AR6" ca="1" si="57">AR4-AQ4</f>
        <v>0</v>
      </c>
      <c r="AS6" s="67">
        <f t="shared" ref="AS6:BR6" ca="1" si="58">AS4-AR4</f>
        <v>0</v>
      </c>
      <c r="AT6" s="67">
        <f t="shared" ca="1" si="58"/>
        <v>0</v>
      </c>
      <c r="AU6" s="67">
        <f t="shared" ca="1" si="58"/>
        <v>0</v>
      </c>
      <c r="AV6" s="67">
        <f t="shared" ca="1" si="58"/>
        <v>0</v>
      </c>
      <c r="AW6" s="67">
        <f t="shared" ca="1" si="58"/>
        <v>0</v>
      </c>
      <c r="AX6" s="67">
        <f t="shared" ca="1" si="58"/>
        <v>0</v>
      </c>
      <c r="AY6" s="67">
        <f t="shared" ca="1" si="58"/>
        <v>0</v>
      </c>
      <c r="AZ6" s="67">
        <f t="shared" ca="1" si="58"/>
        <v>0</v>
      </c>
      <c r="BA6" s="67">
        <f t="shared" ca="1" si="58"/>
        <v>0</v>
      </c>
      <c r="BB6" s="67">
        <f t="shared" ca="1" si="58"/>
        <v>0</v>
      </c>
      <c r="BC6" s="67">
        <f t="shared" ca="1" si="58"/>
        <v>0</v>
      </c>
      <c r="BD6" s="67">
        <f t="shared" ca="1" si="58"/>
        <v>0</v>
      </c>
      <c r="BE6" s="67">
        <f t="shared" ca="1" si="58"/>
        <v>0</v>
      </c>
      <c r="BF6" s="67">
        <f t="shared" ca="1" si="58"/>
        <v>0</v>
      </c>
      <c r="BG6" s="67">
        <f t="shared" ca="1" si="58"/>
        <v>0</v>
      </c>
      <c r="BH6" s="67">
        <f t="shared" ca="1" si="58"/>
        <v>0</v>
      </c>
      <c r="BI6" s="67">
        <f t="shared" ca="1" si="58"/>
        <v>0</v>
      </c>
      <c r="BJ6" s="67">
        <f t="shared" ca="1" si="58"/>
        <v>0</v>
      </c>
      <c r="BK6" s="67">
        <f t="shared" ca="1" si="58"/>
        <v>0</v>
      </c>
      <c r="BL6" s="67">
        <f t="shared" ca="1" si="58"/>
        <v>0</v>
      </c>
      <c r="BM6" s="67">
        <f t="shared" ca="1" si="58"/>
        <v>0</v>
      </c>
      <c r="BN6" s="67">
        <f t="shared" ca="1" si="58"/>
        <v>0</v>
      </c>
      <c r="BO6" s="67">
        <f t="shared" ca="1" si="58"/>
        <v>0</v>
      </c>
      <c r="BP6" s="67">
        <f t="shared" ca="1" si="58"/>
        <v>0</v>
      </c>
      <c r="BQ6" s="67">
        <f t="shared" ca="1" si="58"/>
        <v>0</v>
      </c>
      <c r="BR6" s="67">
        <f t="shared" ca="1" si="58"/>
        <v>0</v>
      </c>
      <c r="BS6" s="67">
        <f t="shared" ref="BS6:ED6" ca="1" si="59">BS4-BR4</f>
        <v>0</v>
      </c>
      <c r="BT6" s="67">
        <f t="shared" ca="1" si="59"/>
        <v>0</v>
      </c>
      <c r="BU6" s="67">
        <f t="shared" ca="1" si="59"/>
        <v>0</v>
      </c>
      <c r="BV6" s="67">
        <f t="shared" ca="1" si="59"/>
        <v>0</v>
      </c>
      <c r="BW6" s="67">
        <f t="shared" ca="1" si="59"/>
        <v>0</v>
      </c>
      <c r="BX6" s="67">
        <f t="shared" ca="1" si="59"/>
        <v>0</v>
      </c>
      <c r="BY6" s="67">
        <f t="shared" ca="1" si="59"/>
        <v>0</v>
      </c>
      <c r="BZ6" s="67">
        <f t="shared" ca="1" si="59"/>
        <v>0</v>
      </c>
      <c r="CA6" s="67">
        <f t="shared" ca="1" si="59"/>
        <v>0</v>
      </c>
      <c r="CB6" s="67">
        <f t="shared" ca="1" si="59"/>
        <v>0</v>
      </c>
      <c r="CC6" s="67">
        <f t="shared" ca="1" si="59"/>
        <v>0</v>
      </c>
      <c r="CD6" s="67">
        <f t="shared" ca="1" si="59"/>
        <v>0</v>
      </c>
      <c r="CE6" s="67">
        <f t="shared" ca="1" si="59"/>
        <v>0</v>
      </c>
      <c r="CF6" s="67">
        <f t="shared" ca="1" si="59"/>
        <v>0</v>
      </c>
      <c r="CG6" s="67">
        <f t="shared" ca="1" si="59"/>
        <v>0</v>
      </c>
      <c r="CH6" s="67">
        <f t="shared" ca="1" si="59"/>
        <v>0</v>
      </c>
      <c r="CI6" s="67">
        <f t="shared" ca="1" si="59"/>
        <v>0</v>
      </c>
      <c r="CJ6" s="67">
        <f t="shared" ca="1" si="59"/>
        <v>0</v>
      </c>
      <c r="CK6" s="67">
        <f t="shared" ca="1" si="59"/>
        <v>0</v>
      </c>
      <c r="CL6" s="67">
        <f t="shared" ca="1" si="59"/>
        <v>0</v>
      </c>
      <c r="CM6" s="67">
        <f t="shared" ca="1" si="59"/>
        <v>0</v>
      </c>
      <c r="CN6" s="67">
        <f t="shared" ca="1" si="59"/>
        <v>0</v>
      </c>
      <c r="CO6" s="67">
        <f t="shared" ca="1" si="59"/>
        <v>0</v>
      </c>
      <c r="CP6" s="67">
        <f t="shared" ca="1" si="59"/>
        <v>0</v>
      </c>
      <c r="CQ6" s="67">
        <f t="shared" ca="1" si="59"/>
        <v>0</v>
      </c>
      <c r="CR6" s="67">
        <f t="shared" ca="1" si="59"/>
        <v>0</v>
      </c>
      <c r="CS6" s="67">
        <f t="shared" ca="1" si="59"/>
        <v>0</v>
      </c>
      <c r="CT6" s="67">
        <f t="shared" ca="1" si="59"/>
        <v>0</v>
      </c>
      <c r="CU6" s="67">
        <f t="shared" ca="1" si="59"/>
        <v>0</v>
      </c>
      <c r="CV6" s="67">
        <f t="shared" ca="1" si="59"/>
        <v>0</v>
      </c>
      <c r="CW6" s="67">
        <f t="shared" ca="1" si="59"/>
        <v>0</v>
      </c>
      <c r="CX6" s="67">
        <f t="shared" ca="1" si="59"/>
        <v>0</v>
      </c>
      <c r="CY6" s="67">
        <f t="shared" ca="1" si="59"/>
        <v>0</v>
      </c>
      <c r="CZ6" s="67">
        <f t="shared" ca="1" si="59"/>
        <v>0</v>
      </c>
      <c r="DA6" s="67">
        <f t="shared" ca="1" si="59"/>
        <v>0</v>
      </c>
      <c r="DB6" s="67">
        <f t="shared" ca="1" si="59"/>
        <v>0</v>
      </c>
      <c r="DC6" s="67">
        <f t="shared" ca="1" si="59"/>
        <v>0</v>
      </c>
      <c r="DD6" s="67">
        <f t="shared" ca="1" si="59"/>
        <v>0</v>
      </c>
      <c r="DE6" s="67">
        <f t="shared" ca="1" si="59"/>
        <v>0</v>
      </c>
      <c r="DF6" s="67">
        <f t="shared" ca="1" si="59"/>
        <v>0</v>
      </c>
      <c r="DG6" s="67">
        <f t="shared" ca="1" si="59"/>
        <v>0</v>
      </c>
      <c r="DH6" s="67">
        <f t="shared" ca="1" si="59"/>
        <v>0</v>
      </c>
      <c r="DI6" s="67">
        <f t="shared" ca="1" si="59"/>
        <v>0</v>
      </c>
      <c r="DJ6" s="67">
        <f t="shared" ca="1" si="59"/>
        <v>0</v>
      </c>
      <c r="DK6" s="67">
        <f t="shared" ca="1" si="59"/>
        <v>0</v>
      </c>
      <c r="DL6" s="67">
        <f t="shared" ca="1" si="59"/>
        <v>0</v>
      </c>
      <c r="DM6" s="67">
        <f t="shared" ca="1" si="59"/>
        <v>0</v>
      </c>
      <c r="DN6" s="67">
        <f t="shared" ca="1" si="59"/>
        <v>0</v>
      </c>
      <c r="DO6" s="67">
        <f t="shared" ca="1" si="59"/>
        <v>0</v>
      </c>
      <c r="DP6" s="67">
        <f t="shared" ca="1" si="59"/>
        <v>0</v>
      </c>
      <c r="DQ6" s="67">
        <f t="shared" ca="1" si="59"/>
        <v>0</v>
      </c>
      <c r="DR6" s="67">
        <f t="shared" ca="1" si="59"/>
        <v>0</v>
      </c>
      <c r="DS6" s="67">
        <f t="shared" ca="1" si="59"/>
        <v>0</v>
      </c>
      <c r="DT6" s="67">
        <f t="shared" ca="1" si="59"/>
        <v>0</v>
      </c>
      <c r="DU6" s="67">
        <f t="shared" ca="1" si="59"/>
        <v>0</v>
      </c>
      <c r="DV6" s="67">
        <f t="shared" ca="1" si="59"/>
        <v>0</v>
      </c>
      <c r="DW6" s="67">
        <f t="shared" ca="1" si="59"/>
        <v>0</v>
      </c>
      <c r="DX6" s="67">
        <f t="shared" ca="1" si="59"/>
        <v>0</v>
      </c>
      <c r="DY6" s="67">
        <f t="shared" ca="1" si="59"/>
        <v>0</v>
      </c>
      <c r="DZ6" s="67">
        <f t="shared" ca="1" si="59"/>
        <v>0</v>
      </c>
      <c r="EA6" s="67">
        <f t="shared" ca="1" si="59"/>
        <v>0</v>
      </c>
      <c r="EB6" s="67">
        <f t="shared" ca="1" si="59"/>
        <v>0</v>
      </c>
      <c r="EC6" s="67">
        <f t="shared" ca="1" si="59"/>
        <v>0</v>
      </c>
      <c r="ED6" s="67">
        <f t="shared" ca="1" si="59"/>
        <v>0</v>
      </c>
      <c r="EE6" s="67">
        <f t="shared" ref="EE6:GP6" ca="1" si="60">EE4-ED4</f>
        <v>0</v>
      </c>
      <c r="EF6" s="67">
        <f t="shared" ca="1" si="60"/>
        <v>0</v>
      </c>
      <c r="EG6" s="67">
        <f t="shared" ca="1" si="60"/>
        <v>0</v>
      </c>
      <c r="EH6" s="67">
        <f t="shared" ca="1" si="60"/>
        <v>0</v>
      </c>
      <c r="EI6" s="67">
        <f t="shared" ca="1" si="60"/>
        <v>0</v>
      </c>
      <c r="EJ6" s="67">
        <f t="shared" ca="1" si="60"/>
        <v>0</v>
      </c>
      <c r="EK6" s="67">
        <f t="shared" ca="1" si="60"/>
        <v>0</v>
      </c>
      <c r="EL6" s="67">
        <f t="shared" ca="1" si="60"/>
        <v>0</v>
      </c>
      <c r="EM6" s="67">
        <f t="shared" ca="1" si="60"/>
        <v>0</v>
      </c>
      <c r="EN6" s="67">
        <f t="shared" ca="1" si="60"/>
        <v>0</v>
      </c>
      <c r="EO6" s="67">
        <f t="shared" ca="1" si="60"/>
        <v>0</v>
      </c>
      <c r="EP6" s="67">
        <f t="shared" ca="1" si="60"/>
        <v>0</v>
      </c>
      <c r="EQ6" s="67">
        <f t="shared" ca="1" si="60"/>
        <v>0</v>
      </c>
      <c r="ER6" s="67">
        <f t="shared" ca="1" si="60"/>
        <v>0</v>
      </c>
      <c r="ES6" s="67">
        <f t="shared" ca="1" si="60"/>
        <v>0</v>
      </c>
      <c r="ET6" s="67">
        <f t="shared" ca="1" si="60"/>
        <v>0</v>
      </c>
      <c r="EU6" s="67">
        <f t="shared" ca="1" si="60"/>
        <v>0</v>
      </c>
      <c r="EV6" s="67">
        <f t="shared" ca="1" si="60"/>
        <v>0</v>
      </c>
      <c r="EW6" s="67">
        <f t="shared" ca="1" si="60"/>
        <v>0</v>
      </c>
      <c r="EX6" s="67">
        <f t="shared" ca="1" si="60"/>
        <v>0</v>
      </c>
      <c r="EY6" s="67">
        <f t="shared" ca="1" si="60"/>
        <v>0</v>
      </c>
      <c r="EZ6" s="67">
        <f t="shared" ca="1" si="60"/>
        <v>0</v>
      </c>
      <c r="FA6" s="67">
        <f t="shared" ca="1" si="60"/>
        <v>0</v>
      </c>
      <c r="FB6" s="67">
        <f t="shared" ca="1" si="60"/>
        <v>0</v>
      </c>
      <c r="FC6" s="67">
        <f t="shared" ca="1" si="60"/>
        <v>0</v>
      </c>
      <c r="FD6" s="67">
        <f t="shared" ca="1" si="60"/>
        <v>0</v>
      </c>
      <c r="FE6" s="67">
        <f t="shared" ca="1" si="60"/>
        <v>0</v>
      </c>
      <c r="FF6" s="67">
        <f t="shared" ca="1" si="60"/>
        <v>0</v>
      </c>
      <c r="FG6" s="67">
        <f t="shared" ca="1" si="60"/>
        <v>0</v>
      </c>
      <c r="FH6" s="67">
        <f t="shared" ca="1" si="60"/>
        <v>0</v>
      </c>
      <c r="FI6" s="67">
        <f t="shared" ca="1" si="60"/>
        <v>0</v>
      </c>
      <c r="FJ6" s="67">
        <f t="shared" ca="1" si="60"/>
        <v>0</v>
      </c>
      <c r="FK6" s="67">
        <f t="shared" ca="1" si="60"/>
        <v>0</v>
      </c>
      <c r="FL6" s="67">
        <f t="shared" ca="1" si="60"/>
        <v>0</v>
      </c>
      <c r="FM6" s="67">
        <f t="shared" ca="1" si="60"/>
        <v>0</v>
      </c>
      <c r="FN6" s="67">
        <f t="shared" ca="1" si="60"/>
        <v>0</v>
      </c>
      <c r="FO6" s="67">
        <f t="shared" ca="1" si="60"/>
        <v>0</v>
      </c>
      <c r="FP6" s="67">
        <f t="shared" ca="1" si="60"/>
        <v>0</v>
      </c>
      <c r="FQ6" s="67">
        <f t="shared" ca="1" si="60"/>
        <v>0</v>
      </c>
      <c r="FR6" s="67">
        <f t="shared" ca="1" si="60"/>
        <v>0</v>
      </c>
      <c r="FS6" s="67">
        <f t="shared" ca="1" si="60"/>
        <v>0</v>
      </c>
      <c r="FT6" s="67">
        <f t="shared" ca="1" si="60"/>
        <v>0</v>
      </c>
      <c r="FU6" s="67">
        <f t="shared" ca="1" si="60"/>
        <v>0</v>
      </c>
      <c r="FV6" s="67">
        <f t="shared" ca="1" si="60"/>
        <v>0</v>
      </c>
      <c r="FW6" s="67">
        <f t="shared" ca="1" si="60"/>
        <v>0</v>
      </c>
      <c r="FX6" s="67">
        <f t="shared" ca="1" si="60"/>
        <v>0</v>
      </c>
      <c r="FY6" s="67">
        <f t="shared" ca="1" si="60"/>
        <v>0</v>
      </c>
      <c r="FZ6" s="67">
        <f t="shared" ca="1" si="60"/>
        <v>0</v>
      </c>
      <c r="GA6" s="67">
        <f t="shared" ca="1" si="60"/>
        <v>0</v>
      </c>
      <c r="GB6" s="67">
        <f t="shared" ca="1" si="60"/>
        <v>0</v>
      </c>
      <c r="GC6" s="67">
        <f t="shared" ca="1" si="60"/>
        <v>0</v>
      </c>
      <c r="GD6" s="67">
        <f t="shared" ca="1" si="60"/>
        <v>0</v>
      </c>
      <c r="GE6" s="67">
        <f t="shared" ca="1" si="60"/>
        <v>0</v>
      </c>
      <c r="GF6" s="67">
        <f t="shared" ca="1" si="60"/>
        <v>0</v>
      </c>
      <c r="GG6" s="67">
        <f t="shared" ca="1" si="60"/>
        <v>0</v>
      </c>
      <c r="GH6" s="67">
        <f t="shared" ca="1" si="60"/>
        <v>0</v>
      </c>
      <c r="GI6" s="67">
        <f t="shared" ca="1" si="60"/>
        <v>0</v>
      </c>
      <c r="GJ6" s="67">
        <f t="shared" ca="1" si="60"/>
        <v>0</v>
      </c>
      <c r="GK6" s="67">
        <f t="shared" ca="1" si="60"/>
        <v>0</v>
      </c>
      <c r="GL6" s="67">
        <f t="shared" ca="1" si="60"/>
        <v>0</v>
      </c>
      <c r="GM6" s="67">
        <f t="shared" ca="1" si="60"/>
        <v>0</v>
      </c>
      <c r="GN6" s="67">
        <f t="shared" ca="1" si="60"/>
        <v>0</v>
      </c>
      <c r="GO6" s="67">
        <f t="shared" ca="1" si="60"/>
        <v>0</v>
      </c>
      <c r="GP6" s="67">
        <f t="shared" ca="1" si="60"/>
        <v>0</v>
      </c>
      <c r="GQ6" s="67">
        <f t="shared" ref="GQ6:JB6" ca="1" si="61">GQ4-GP4</f>
        <v>0</v>
      </c>
      <c r="GR6" s="67">
        <f t="shared" ca="1" si="61"/>
        <v>0</v>
      </c>
      <c r="GS6" s="67">
        <f t="shared" ca="1" si="61"/>
        <v>0</v>
      </c>
      <c r="GT6" s="67">
        <f t="shared" ca="1" si="61"/>
        <v>0</v>
      </c>
      <c r="GU6" s="67">
        <f t="shared" ca="1" si="61"/>
        <v>0</v>
      </c>
      <c r="GV6" s="67">
        <f t="shared" ca="1" si="61"/>
        <v>0</v>
      </c>
      <c r="GW6" s="67">
        <f t="shared" ca="1" si="61"/>
        <v>0</v>
      </c>
      <c r="GX6" s="67">
        <f t="shared" ca="1" si="61"/>
        <v>0</v>
      </c>
      <c r="GY6" s="67">
        <f t="shared" ca="1" si="61"/>
        <v>0</v>
      </c>
      <c r="GZ6" s="67">
        <f t="shared" ca="1" si="61"/>
        <v>0</v>
      </c>
      <c r="HA6" s="67">
        <f t="shared" ca="1" si="61"/>
        <v>0</v>
      </c>
      <c r="HB6" s="67">
        <f t="shared" ca="1" si="61"/>
        <v>0</v>
      </c>
      <c r="HC6" s="67">
        <f t="shared" ca="1" si="61"/>
        <v>0</v>
      </c>
      <c r="HD6" s="67">
        <f t="shared" ca="1" si="61"/>
        <v>0</v>
      </c>
      <c r="HE6" s="67">
        <f t="shared" ca="1" si="61"/>
        <v>0</v>
      </c>
      <c r="HF6" s="67">
        <f t="shared" ca="1" si="61"/>
        <v>0</v>
      </c>
      <c r="HG6" s="67">
        <f t="shared" ca="1" si="61"/>
        <v>0</v>
      </c>
      <c r="HH6" s="67">
        <f t="shared" ca="1" si="61"/>
        <v>0</v>
      </c>
      <c r="HI6" s="67">
        <f t="shared" ca="1" si="61"/>
        <v>0</v>
      </c>
      <c r="HJ6" s="67">
        <f t="shared" ca="1" si="61"/>
        <v>0</v>
      </c>
      <c r="HK6" s="67">
        <f t="shared" ca="1" si="61"/>
        <v>0</v>
      </c>
      <c r="HL6" s="67">
        <f t="shared" ca="1" si="61"/>
        <v>0</v>
      </c>
      <c r="HM6" s="67">
        <f t="shared" ca="1" si="61"/>
        <v>0</v>
      </c>
      <c r="HN6" s="67">
        <f t="shared" ca="1" si="61"/>
        <v>0</v>
      </c>
      <c r="HO6" s="67">
        <f t="shared" ca="1" si="61"/>
        <v>0</v>
      </c>
      <c r="HP6" s="67">
        <f t="shared" ca="1" si="61"/>
        <v>0</v>
      </c>
      <c r="HQ6" s="67">
        <f t="shared" ca="1" si="61"/>
        <v>0</v>
      </c>
      <c r="HR6" s="67">
        <f t="shared" ca="1" si="61"/>
        <v>0</v>
      </c>
      <c r="HS6" s="67">
        <f t="shared" ca="1" si="61"/>
        <v>0</v>
      </c>
      <c r="HT6" s="67">
        <f t="shared" ca="1" si="61"/>
        <v>0</v>
      </c>
      <c r="HU6" s="67">
        <f t="shared" ca="1" si="61"/>
        <v>0</v>
      </c>
      <c r="HV6" s="67">
        <f t="shared" ca="1" si="61"/>
        <v>0</v>
      </c>
      <c r="HW6" s="67">
        <f t="shared" ca="1" si="61"/>
        <v>0</v>
      </c>
      <c r="HX6" s="67">
        <f t="shared" ca="1" si="61"/>
        <v>0</v>
      </c>
      <c r="HY6" s="67">
        <f t="shared" ca="1" si="61"/>
        <v>0</v>
      </c>
      <c r="HZ6" s="67">
        <f t="shared" ca="1" si="61"/>
        <v>0</v>
      </c>
      <c r="IA6" s="67">
        <f t="shared" ca="1" si="61"/>
        <v>0</v>
      </c>
      <c r="IB6" s="67">
        <f t="shared" ca="1" si="61"/>
        <v>0</v>
      </c>
      <c r="IC6" s="67">
        <f t="shared" ca="1" si="61"/>
        <v>0</v>
      </c>
      <c r="ID6" s="67">
        <f t="shared" ca="1" si="61"/>
        <v>0</v>
      </c>
      <c r="IE6" s="67">
        <f t="shared" ca="1" si="61"/>
        <v>0</v>
      </c>
      <c r="IF6" s="67">
        <f t="shared" ca="1" si="61"/>
        <v>0</v>
      </c>
      <c r="IG6" s="67">
        <f t="shared" ca="1" si="61"/>
        <v>0</v>
      </c>
      <c r="IH6" s="67">
        <f t="shared" ca="1" si="61"/>
        <v>0</v>
      </c>
      <c r="II6" s="67">
        <f t="shared" ca="1" si="61"/>
        <v>0</v>
      </c>
      <c r="IJ6" s="67">
        <f t="shared" ca="1" si="61"/>
        <v>0</v>
      </c>
      <c r="IK6" s="67">
        <f t="shared" ca="1" si="61"/>
        <v>0</v>
      </c>
      <c r="IL6" s="67">
        <f t="shared" ca="1" si="61"/>
        <v>0</v>
      </c>
      <c r="IM6" s="67">
        <f t="shared" ca="1" si="61"/>
        <v>0</v>
      </c>
      <c r="IN6" s="67">
        <f t="shared" ca="1" si="61"/>
        <v>0</v>
      </c>
      <c r="IO6" s="67">
        <f t="shared" ca="1" si="61"/>
        <v>0</v>
      </c>
      <c r="IP6" s="67">
        <f t="shared" ca="1" si="61"/>
        <v>0</v>
      </c>
      <c r="IQ6" s="67">
        <f t="shared" ca="1" si="61"/>
        <v>0</v>
      </c>
      <c r="IR6" s="67">
        <f t="shared" ca="1" si="61"/>
        <v>0</v>
      </c>
      <c r="IS6" s="67">
        <f t="shared" ca="1" si="61"/>
        <v>0</v>
      </c>
      <c r="IT6" s="67">
        <f t="shared" ca="1" si="61"/>
        <v>0</v>
      </c>
      <c r="IU6" s="67">
        <f t="shared" ca="1" si="61"/>
        <v>0</v>
      </c>
      <c r="IV6" s="67">
        <f t="shared" ca="1" si="61"/>
        <v>0</v>
      </c>
      <c r="IW6" s="67">
        <f t="shared" ca="1" si="61"/>
        <v>0</v>
      </c>
      <c r="IX6" s="67">
        <f t="shared" ca="1" si="61"/>
        <v>0</v>
      </c>
      <c r="IY6" s="67">
        <f t="shared" ca="1" si="61"/>
        <v>0</v>
      </c>
      <c r="IZ6" s="67">
        <f t="shared" ca="1" si="61"/>
        <v>0</v>
      </c>
      <c r="JA6" s="67">
        <f t="shared" ca="1" si="61"/>
        <v>0</v>
      </c>
      <c r="JB6" s="67">
        <f t="shared" ca="1" si="61"/>
        <v>0</v>
      </c>
    </row>
    <row r="7" spans="1:262">
      <c r="A7" s="34" t="s">
        <v>52</v>
      </c>
      <c r="B7" s="69"/>
      <c r="C7" s="70">
        <f t="shared" ref="C7:D7" ca="1" si="62">(C5-B5)/100</f>
        <v>0</v>
      </c>
      <c r="D7" s="70">
        <f t="shared" ca="1" si="62"/>
        <v>0</v>
      </c>
      <c r="E7" s="70">
        <f t="shared" ref="E7" ca="1" si="63">(E5-D5)/100</f>
        <v>0</v>
      </c>
      <c r="F7" s="70">
        <f t="shared" ref="F7" ca="1" si="64">(F5-E5)/100</f>
        <v>0</v>
      </c>
      <c r="G7" s="70">
        <f t="shared" ref="G7" ca="1" si="65">(G5-F5)/100</f>
        <v>0</v>
      </c>
      <c r="H7" s="70">
        <f t="shared" ref="H7" ca="1" si="66">(H5-G5)/100</f>
        <v>0</v>
      </c>
      <c r="I7" s="70">
        <f t="shared" ref="I7" ca="1" si="67">(I5-H5)/100</f>
        <v>0</v>
      </c>
      <c r="J7" s="70">
        <f t="shared" ref="J7" ca="1" si="68">(J5-I5)/100</f>
        <v>0</v>
      </c>
      <c r="K7" s="70">
        <f t="shared" ref="K7" ca="1" si="69">(K5-J5)/100</f>
        <v>0</v>
      </c>
      <c r="L7" s="70">
        <f t="shared" ref="L7" ca="1" si="70">(L5-K5)/100</f>
        <v>0</v>
      </c>
      <c r="M7" s="70">
        <f t="shared" ref="M7" ca="1" si="71">(M5-L5)/100</f>
        <v>0</v>
      </c>
      <c r="N7" s="70">
        <f t="shared" ref="N7" ca="1" si="72">(N5-M5)/100</f>
        <v>0</v>
      </c>
      <c r="O7" s="70">
        <f t="shared" ref="O7" ca="1" si="73">(O5-N5)/100</f>
        <v>0</v>
      </c>
      <c r="P7" s="70">
        <f t="shared" ref="P7" ca="1" si="74">(P5-O5)/100</f>
        <v>0</v>
      </c>
      <c r="Q7" s="70">
        <f t="shared" ref="Q7" ca="1" si="75">(Q5-P5)/100</f>
        <v>0</v>
      </c>
      <c r="R7" s="70">
        <f t="shared" ref="R7" ca="1" si="76">(R5-Q5)/100</f>
        <v>0</v>
      </c>
      <c r="S7" s="70">
        <f t="shared" ref="S7" ca="1" si="77">(S5-R5)/100</f>
        <v>0</v>
      </c>
      <c r="T7" s="70">
        <f t="shared" ref="T7" ca="1" si="78">(T5-S5)/100</f>
        <v>0</v>
      </c>
      <c r="U7" s="70">
        <f t="shared" ref="U7" ca="1" si="79">(U5-T5)/100</f>
        <v>0</v>
      </c>
      <c r="V7" s="70">
        <f t="shared" ref="V7" ca="1" si="80">(V5-U5)/100</f>
        <v>0</v>
      </c>
      <c r="W7" s="70">
        <f t="shared" ref="W7" ca="1" si="81">(W5-V5)/100</f>
        <v>0</v>
      </c>
      <c r="X7" s="70">
        <f t="shared" ref="X7" ca="1" si="82">(X5-W5)/100</f>
        <v>0</v>
      </c>
      <c r="Y7" s="70">
        <f t="shared" ref="Y7" ca="1" si="83">(Y5-X5)/100</f>
        <v>0</v>
      </c>
      <c r="Z7" s="70">
        <f t="shared" ref="Z7" ca="1" si="84">(Z5-Y5)/100</f>
        <v>0</v>
      </c>
      <c r="AA7" s="70">
        <f t="shared" ref="AA7" ca="1" si="85">(AA5-Z5)/100</f>
        <v>0</v>
      </c>
      <c r="AB7" s="70">
        <f t="shared" ref="AB7" ca="1" si="86">(AB5-AA5)/100</f>
        <v>0</v>
      </c>
      <c r="AC7" s="70">
        <f t="shared" ref="AC7" ca="1" si="87">(AC5-AB5)/100</f>
        <v>0</v>
      </c>
      <c r="AD7" s="70">
        <f t="shared" ref="AD7" ca="1" si="88">(AD5-AC5)/100</f>
        <v>0</v>
      </c>
      <c r="AE7" s="70">
        <f t="shared" ref="AE7" ca="1" si="89">(AE5-AD5)/100</f>
        <v>0</v>
      </c>
      <c r="AF7" s="70">
        <f t="shared" ref="AF7" ca="1" si="90">(AF5-AE5)/100</f>
        <v>0</v>
      </c>
      <c r="AG7" s="70">
        <f t="shared" ref="AG7" ca="1" si="91">(AG5-AF5)/100</f>
        <v>0</v>
      </c>
      <c r="AH7" s="70">
        <f t="shared" ref="AH7" ca="1" si="92">(AH5-AG5)/100</f>
        <v>0</v>
      </c>
      <c r="AI7" s="70">
        <f t="shared" ref="AI7" ca="1" si="93">(AI5-AH5)/100</f>
        <v>0</v>
      </c>
      <c r="AJ7" s="70">
        <f t="shared" ref="AJ7" ca="1" si="94">(AJ5-AI5)/100</f>
        <v>0</v>
      </c>
      <c r="AK7" s="70">
        <f t="shared" ref="AK7" ca="1" si="95">(AK5-AJ5)/100</f>
        <v>0</v>
      </c>
      <c r="AL7" s="70">
        <f t="shared" ref="AL7" ca="1" si="96">(AL5-AK5)/100</f>
        <v>0</v>
      </c>
      <c r="AM7" s="70">
        <f t="shared" ref="AM7" ca="1" si="97">(AM5-AL5)/100</f>
        <v>0</v>
      </c>
      <c r="AN7" s="70">
        <f t="shared" ref="AN7" ca="1" si="98">(AN5-AM5)/100</f>
        <v>0</v>
      </c>
      <c r="AO7" s="70">
        <f t="shared" ref="AO7" ca="1" si="99">(AO5-AN5)/100</f>
        <v>0</v>
      </c>
      <c r="AP7" s="70">
        <f t="shared" ref="AP7" ca="1" si="100">(AP5-AO5)/100</f>
        <v>0</v>
      </c>
      <c r="AQ7" s="70">
        <f t="shared" ref="AQ7" ca="1" si="101">(AQ5-AP5)/100</f>
        <v>0</v>
      </c>
      <c r="AR7" s="70">
        <f t="shared" ref="AR7" ca="1" si="102">(AR5-AQ5)/100</f>
        <v>0</v>
      </c>
      <c r="AS7" s="70">
        <f t="shared" ref="AS7:BR7" ca="1" si="103">(AS5-AR5)/100</f>
        <v>0</v>
      </c>
      <c r="AT7" s="70">
        <f t="shared" ca="1" si="103"/>
        <v>0</v>
      </c>
      <c r="AU7" s="70">
        <f t="shared" ca="1" si="103"/>
        <v>0</v>
      </c>
      <c r="AV7" s="70">
        <f t="shared" ca="1" si="103"/>
        <v>0</v>
      </c>
      <c r="AW7" s="70">
        <f t="shared" ca="1" si="103"/>
        <v>0</v>
      </c>
      <c r="AX7" s="70">
        <f t="shared" ca="1" si="103"/>
        <v>0</v>
      </c>
      <c r="AY7" s="70">
        <f t="shared" ca="1" si="103"/>
        <v>0</v>
      </c>
      <c r="AZ7" s="70">
        <f t="shared" ca="1" si="103"/>
        <v>0</v>
      </c>
      <c r="BA7" s="70">
        <f t="shared" ca="1" si="103"/>
        <v>0</v>
      </c>
      <c r="BB7" s="70">
        <f t="shared" ca="1" si="103"/>
        <v>0</v>
      </c>
      <c r="BC7" s="70">
        <f t="shared" ca="1" si="103"/>
        <v>0</v>
      </c>
      <c r="BD7" s="70">
        <f t="shared" ca="1" si="103"/>
        <v>0</v>
      </c>
      <c r="BE7" s="70">
        <f t="shared" ca="1" si="103"/>
        <v>0</v>
      </c>
      <c r="BF7" s="70">
        <f t="shared" ca="1" si="103"/>
        <v>0</v>
      </c>
      <c r="BG7" s="70">
        <f t="shared" ca="1" si="103"/>
        <v>0</v>
      </c>
      <c r="BH7" s="70">
        <f t="shared" ca="1" si="103"/>
        <v>0</v>
      </c>
      <c r="BI7" s="70">
        <f t="shared" ca="1" si="103"/>
        <v>0</v>
      </c>
      <c r="BJ7" s="70">
        <f t="shared" ca="1" si="103"/>
        <v>0</v>
      </c>
      <c r="BK7" s="70">
        <f t="shared" ca="1" si="103"/>
        <v>0</v>
      </c>
      <c r="BL7" s="70">
        <f t="shared" ca="1" si="103"/>
        <v>0</v>
      </c>
      <c r="BM7" s="70">
        <f t="shared" ca="1" si="103"/>
        <v>0</v>
      </c>
      <c r="BN7" s="70">
        <f t="shared" ca="1" si="103"/>
        <v>0</v>
      </c>
      <c r="BO7" s="70">
        <f t="shared" ca="1" si="103"/>
        <v>0</v>
      </c>
      <c r="BP7" s="70">
        <f t="shared" ca="1" si="103"/>
        <v>0</v>
      </c>
      <c r="BQ7" s="70">
        <f t="shared" ca="1" si="103"/>
        <v>0</v>
      </c>
      <c r="BR7" s="70">
        <f t="shared" ca="1" si="103"/>
        <v>0</v>
      </c>
      <c r="BS7" s="70">
        <f t="shared" ref="BS7:ED7" ca="1" si="104">(BS5-BR5)/100</f>
        <v>0</v>
      </c>
      <c r="BT7" s="70">
        <f t="shared" ca="1" si="104"/>
        <v>0</v>
      </c>
      <c r="BU7" s="70">
        <f t="shared" ca="1" si="104"/>
        <v>0</v>
      </c>
      <c r="BV7" s="70">
        <f t="shared" ca="1" si="104"/>
        <v>0</v>
      </c>
      <c r="BW7" s="70">
        <f t="shared" ca="1" si="104"/>
        <v>0</v>
      </c>
      <c r="BX7" s="70">
        <f t="shared" ca="1" si="104"/>
        <v>0</v>
      </c>
      <c r="BY7" s="70">
        <f t="shared" ca="1" si="104"/>
        <v>0</v>
      </c>
      <c r="BZ7" s="70">
        <f t="shared" ca="1" si="104"/>
        <v>0</v>
      </c>
      <c r="CA7" s="70">
        <f t="shared" ca="1" si="104"/>
        <v>0</v>
      </c>
      <c r="CB7" s="70">
        <f t="shared" ca="1" si="104"/>
        <v>0</v>
      </c>
      <c r="CC7" s="70">
        <f t="shared" ca="1" si="104"/>
        <v>0</v>
      </c>
      <c r="CD7" s="70">
        <f t="shared" ca="1" si="104"/>
        <v>0</v>
      </c>
      <c r="CE7" s="70">
        <f t="shared" ca="1" si="104"/>
        <v>0</v>
      </c>
      <c r="CF7" s="70">
        <f t="shared" ca="1" si="104"/>
        <v>0</v>
      </c>
      <c r="CG7" s="70">
        <f t="shared" ca="1" si="104"/>
        <v>0</v>
      </c>
      <c r="CH7" s="70">
        <f t="shared" ca="1" si="104"/>
        <v>0</v>
      </c>
      <c r="CI7" s="70">
        <f t="shared" ca="1" si="104"/>
        <v>0</v>
      </c>
      <c r="CJ7" s="70">
        <f t="shared" ca="1" si="104"/>
        <v>0</v>
      </c>
      <c r="CK7" s="70">
        <f t="shared" ca="1" si="104"/>
        <v>0</v>
      </c>
      <c r="CL7" s="70">
        <f t="shared" ca="1" si="104"/>
        <v>0</v>
      </c>
      <c r="CM7" s="70">
        <f t="shared" ca="1" si="104"/>
        <v>0</v>
      </c>
      <c r="CN7" s="70">
        <f t="shared" ca="1" si="104"/>
        <v>0</v>
      </c>
      <c r="CO7" s="70">
        <f t="shared" ca="1" si="104"/>
        <v>0</v>
      </c>
      <c r="CP7" s="70">
        <f t="shared" ca="1" si="104"/>
        <v>0</v>
      </c>
      <c r="CQ7" s="70">
        <f t="shared" ca="1" si="104"/>
        <v>0</v>
      </c>
      <c r="CR7" s="70">
        <f t="shared" ca="1" si="104"/>
        <v>0</v>
      </c>
      <c r="CS7" s="70">
        <f t="shared" ca="1" si="104"/>
        <v>0</v>
      </c>
      <c r="CT7" s="70">
        <f t="shared" ca="1" si="104"/>
        <v>0</v>
      </c>
      <c r="CU7" s="70">
        <f t="shared" ca="1" si="104"/>
        <v>0</v>
      </c>
      <c r="CV7" s="70">
        <f t="shared" ca="1" si="104"/>
        <v>0</v>
      </c>
      <c r="CW7" s="70">
        <f t="shared" ca="1" si="104"/>
        <v>0</v>
      </c>
      <c r="CX7" s="70">
        <f t="shared" ca="1" si="104"/>
        <v>0</v>
      </c>
      <c r="CY7" s="70">
        <f t="shared" ca="1" si="104"/>
        <v>0</v>
      </c>
      <c r="CZ7" s="70">
        <f t="shared" ca="1" si="104"/>
        <v>0</v>
      </c>
      <c r="DA7" s="70">
        <f t="shared" ca="1" si="104"/>
        <v>0</v>
      </c>
      <c r="DB7" s="70">
        <f t="shared" ca="1" si="104"/>
        <v>0</v>
      </c>
      <c r="DC7" s="70">
        <f t="shared" ca="1" si="104"/>
        <v>0</v>
      </c>
      <c r="DD7" s="70">
        <f t="shared" ca="1" si="104"/>
        <v>0</v>
      </c>
      <c r="DE7" s="70">
        <f t="shared" ca="1" si="104"/>
        <v>0</v>
      </c>
      <c r="DF7" s="70">
        <f t="shared" ca="1" si="104"/>
        <v>0</v>
      </c>
      <c r="DG7" s="70">
        <f t="shared" ca="1" si="104"/>
        <v>0</v>
      </c>
      <c r="DH7" s="70">
        <f t="shared" ca="1" si="104"/>
        <v>0</v>
      </c>
      <c r="DI7" s="70">
        <f t="shared" ca="1" si="104"/>
        <v>0</v>
      </c>
      <c r="DJ7" s="70">
        <f t="shared" ca="1" si="104"/>
        <v>0</v>
      </c>
      <c r="DK7" s="70">
        <f t="shared" ca="1" si="104"/>
        <v>0</v>
      </c>
      <c r="DL7" s="70">
        <f t="shared" ca="1" si="104"/>
        <v>0</v>
      </c>
      <c r="DM7" s="70">
        <f t="shared" ca="1" si="104"/>
        <v>0</v>
      </c>
      <c r="DN7" s="70">
        <f t="shared" ca="1" si="104"/>
        <v>0</v>
      </c>
      <c r="DO7" s="70">
        <f t="shared" ca="1" si="104"/>
        <v>0</v>
      </c>
      <c r="DP7" s="70">
        <f t="shared" ca="1" si="104"/>
        <v>0</v>
      </c>
      <c r="DQ7" s="70">
        <f t="shared" ca="1" si="104"/>
        <v>0</v>
      </c>
      <c r="DR7" s="70">
        <f t="shared" ca="1" si="104"/>
        <v>0</v>
      </c>
      <c r="DS7" s="70">
        <f t="shared" ca="1" si="104"/>
        <v>0</v>
      </c>
      <c r="DT7" s="70">
        <f t="shared" ca="1" si="104"/>
        <v>0</v>
      </c>
      <c r="DU7" s="70">
        <f t="shared" ca="1" si="104"/>
        <v>0</v>
      </c>
      <c r="DV7" s="70">
        <f t="shared" ca="1" si="104"/>
        <v>0</v>
      </c>
      <c r="DW7" s="70">
        <f t="shared" ca="1" si="104"/>
        <v>0</v>
      </c>
      <c r="DX7" s="70">
        <f t="shared" ca="1" si="104"/>
        <v>0</v>
      </c>
      <c r="DY7" s="70">
        <f t="shared" ca="1" si="104"/>
        <v>0</v>
      </c>
      <c r="DZ7" s="70">
        <f t="shared" ca="1" si="104"/>
        <v>0</v>
      </c>
      <c r="EA7" s="70">
        <f t="shared" ca="1" si="104"/>
        <v>0</v>
      </c>
      <c r="EB7" s="70">
        <f t="shared" ca="1" si="104"/>
        <v>0</v>
      </c>
      <c r="EC7" s="70">
        <f t="shared" ca="1" si="104"/>
        <v>0</v>
      </c>
      <c r="ED7" s="70">
        <f t="shared" ca="1" si="104"/>
        <v>0</v>
      </c>
      <c r="EE7" s="70">
        <f t="shared" ref="EE7:GP7" ca="1" si="105">(EE5-ED5)/100</f>
        <v>0</v>
      </c>
      <c r="EF7" s="70">
        <f t="shared" ca="1" si="105"/>
        <v>0</v>
      </c>
      <c r="EG7" s="70">
        <f t="shared" ca="1" si="105"/>
        <v>0</v>
      </c>
      <c r="EH7" s="70">
        <f t="shared" ca="1" si="105"/>
        <v>0</v>
      </c>
      <c r="EI7" s="70">
        <f t="shared" ca="1" si="105"/>
        <v>0</v>
      </c>
      <c r="EJ7" s="70">
        <f t="shared" ca="1" si="105"/>
        <v>0</v>
      </c>
      <c r="EK7" s="70">
        <f t="shared" ca="1" si="105"/>
        <v>0</v>
      </c>
      <c r="EL7" s="70">
        <f t="shared" ca="1" si="105"/>
        <v>0</v>
      </c>
      <c r="EM7" s="70">
        <f t="shared" ca="1" si="105"/>
        <v>0</v>
      </c>
      <c r="EN7" s="70">
        <f t="shared" ca="1" si="105"/>
        <v>0</v>
      </c>
      <c r="EO7" s="70">
        <f t="shared" ca="1" si="105"/>
        <v>0</v>
      </c>
      <c r="EP7" s="70">
        <f t="shared" ca="1" si="105"/>
        <v>0</v>
      </c>
      <c r="EQ7" s="70">
        <f t="shared" ca="1" si="105"/>
        <v>0</v>
      </c>
      <c r="ER7" s="70">
        <f t="shared" ca="1" si="105"/>
        <v>0</v>
      </c>
      <c r="ES7" s="70">
        <f t="shared" ca="1" si="105"/>
        <v>0</v>
      </c>
      <c r="ET7" s="70">
        <f t="shared" ca="1" si="105"/>
        <v>0</v>
      </c>
      <c r="EU7" s="70">
        <f t="shared" ca="1" si="105"/>
        <v>0</v>
      </c>
      <c r="EV7" s="70">
        <f t="shared" ca="1" si="105"/>
        <v>0</v>
      </c>
      <c r="EW7" s="70">
        <f t="shared" ca="1" si="105"/>
        <v>0</v>
      </c>
      <c r="EX7" s="70">
        <f t="shared" ca="1" si="105"/>
        <v>0</v>
      </c>
      <c r="EY7" s="70">
        <f t="shared" ca="1" si="105"/>
        <v>0</v>
      </c>
      <c r="EZ7" s="70">
        <f t="shared" ca="1" si="105"/>
        <v>0</v>
      </c>
      <c r="FA7" s="70">
        <f t="shared" ca="1" si="105"/>
        <v>0</v>
      </c>
      <c r="FB7" s="70">
        <f t="shared" ca="1" si="105"/>
        <v>0</v>
      </c>
      <c r="FC7" s="70">
        <f t="shared" ca="1" si="105"/>
        <v>0</v>
      </c>
      <c r="FD7" s="70">
        <f t="shared" ca="1" si="105"/>
        <v>0</v>
      </c>
      <c r="FE7" s="70">
        <f t="shared" ca="1" si="105"/>
        <v>0</v>
      </c>
      <c r="FF7" s="70">
        <f t="shared" ca="1" si="105"/>
        <v>0</v>
      </c>
      <c r="FG7" s="70">
        <f t="shared" ca="1" si="105"/>
        <v>0</v>
      </c>
      <c r="FH7" s="70">
        <f t="shared" ca="1" si="105"/>
        <v>0</v>
      </c>
      <c r="FI7" s="70">
        <f t="shared" ca="1" si="105"/>
        <v>0</v>
      </c>
      <c r="FJ7" s="70">
        <f t="shared" ca="1" si="105"/>
        <v>0</v>
      </c>
      <c r="FK7" s="70">
        <f t="shared" ca="1" si="105"/>
        <v>0</v>
      </c>
      <c r="FL7" s="70">
        <f t="shared" ca="1" si="105"/>
        <v>0</v>
      </c>
      <c r="FM7" s="70">
        <f t="shared" ca="1" si="105"/>
        <v>0</v>
      </c>
      <c r="FN7" s="70">
        <f t="shared" ca="1" si="105"/>
        <v>0</v>
      </c>
      <c r="FO7" s="70">
        <f t="shared" ca="1" si="105"/>
        <v>0</v>
      </c>
      <c r="FP7" s="70">
        <f t="shared" ca="1" si="105"/>
        <v>0</v>
      </c>
      <c r="FQ7" s="70">
        <f t="shared" ca="1" si="105"/>
        <v>0</v>
      </c>
      <c r="FR7" s="70">
        <f t="shared" ca="1" si="105"/>
        <v>0</v>
      </c>
      <c r="FS7" s="70">
        <f t="shared" ca="1" si="105"/>
        <v>0</v>
      </c>
      <c r="FT7" s="70">
        <f t="shared" ca="1" si="105"/>
        <v>0</v>
      </c>
      <c r="FU7" s="70">
        <f t="shared" ca="1" si="105"/>
        <v>0</v>
      </c>
      <c r="FV7" s="70">
        <f t="shared" ca="1" si="105"/>
        <v>0</v>
      </c>
      <c r="FW7" s="70">
        <f t="shared" ca="1" si="105"/>
        <v>0</v>
      </c>
      <c r="FX7" s="70">
        <f t="shared" ca="1" si="105"/>
        <v>0</v>
      </c>
      <c r="FY7" s="70">
        <f t="shared" ca="1" si="105"/>
        <v>0</v>
      </c>
      <c r="FZ7" s="70">
        <f t="shared" ca="1" si="105"/>
        <v>0</v>
      </c>
      <c r="GA7" s="70">
        <f t="shared" ca="1" si="105"/>
        <v>0</v>
      </c>
      <c r="GB7" s="70">
        <f t="shared" ca="1" si="105"/>
        <v>0</v>
      </c>
      <c r="GC7" s="70">
        <f t="shared" ca="1" si="105"/>
        <v>0</v>
      </c>
      <c r="GD7" s="70">
        <f t="shared" ca="1" si="105"/>
        <v>0</v>
      </c>
      <c r="GE7" s="70">
        <f t="shared" ca="1" si="105"/>
        <v>0</v>
      </c>
      <c r="GF7" s="70">
        <f t="shared" ca="1" si="105"/>
        <v>0</v>
      </c>
      <c r="GG7" s="70">
        <f t="shared" ca="1" si="105"/>
        <v>0</v>
      </c>
      <c r="GH7" s="70">
        <f t="shared" ca="1" si="105"/>
        <v>0</v>
      </c>
      <c r="GI7" s="70">
        <f t="shared" ca="1" si="105"/>
        <v>0</v>
      </c>
      <c r="GJ7" s="70">
        <f t="shared" ca="1" si="105"/>
        <v>0</v>
      </c>
      <c r="GK7" s="70">
        <f t="shared" ca="1" si="105"/>
        <v>0</v>
      </c>
      <c r="GL7" s="70">
        <f t="shared" ca="1" si="105"/>
        <v>0</v>
      </c>
      <c r="GM7" s="70">
        <f t="shared" ca="1" si="105"/>
        <v>0</v>
      </c>
      <c r="GN7" s="70">
        <f t="shared" ca="1" si="105"/>
        <v>0</v>
      </c>
      <c r="GO7" s="70">
        <f t="shared" ca="1" si="105"/>
        <v>0</v>
      </c>
      <c r="GP7" s="70">
        <f t="shared" ca="1" si="105"/>
        <v>0</v>
      </c>
      <c r="GQ7" s="70">
        <f t="shared" ref="GQ7:JB7" ca="1" si="106">(GQ5-GP5)/100</f>
        <v>0</v>
      </c>
      <c r="GR7" s="70">
        <f t="shared" ca="1" si="106"/>
        <v>0</v>
      </c>
      <c r="GS7" s="70">
        <f t="shared" ca="1" si="106"/>
        <v>0</v>
      </c>
      <c r="GT7" s="70">
        <f t="shared" ca="1" si="106"/>
        <v>0</v>
      </c>
      <c r="GU7" s="70">
        <f t="shared" ca="1" si="106"/>
        <v>0</v>
      </c>
      <c r="GV7" s="70">
        <f t="shared" ca="1" si="106"/>
        <v>0</v>
      </c>
      <c r="GW7" s="70">
        <f t="shared" ca="1" si="106"/>
        <v>0</v>
      </c>
      <c r="GX7" s="70">
        <f t="shared" ca="1" si="106"/>
        <v>0</v>
      </c>
      <c r="GY7" s="70">
        <f t="shared" ca="1" si="106"/>
        <v>0</v>
      </c>
      <c r="GZ7" s="70">
        <f t="shared" ca="1" si="106"/>
        <v>0</v>
      </c>
      <c r="HA7" s="70">
        <f t="shared" ca="1" si="106"/>
        <v>0</v>
      </c>
      <c r="HB7" s="70">
        <f t="shared" ca="1" si="106"/>
        <v>0</v>
      </c>
      <c r="HC7" s="70">
        <f t="shared" ca="1" si="106"/>
        <v>0</v>
      </c>
      <c r="HD7" s="70">
        <f t="shared" ca="1" si="106"/>
        <v>0</v>
      </c>
      <c r="HE7" s="70">
        <f t="shared" ca="1" si="106"/>
        <v>0</v>
      </c>
      <c r="HF7" s="70">
        <f t="shared" ca="1" si="106"/>
        <v>0</v>
      </c>
      <c r="HG7" s="70">
        <f t="shared" ca="1" si="106"/>
        <v>0</v>
      </c>
      <c r="HH7" s="70">
        <f t="shared" ca="1" si="106"/>
        <v>0</v>
      </c>
      <c r="HI7" s="70">
        <f t="shared" ca="1" si="106"/>
        <v>0</v>
      </c>
      <c r="HJ7" s="70">
        <f t="shared" ca="1" si="106"/>
        <v>0</v>
      </c>
      <c r="HK7" s="70">
        <f t="shared" ca="1" si="106"/>
        <v>0</v>
      </c>
      <c r="HL7" s="70">
        <f t="shared" ca="1" si="106"/>
        <v>0</v>
      </c>
      <c r="HM7" s="70">
        <f t="shared" ca="1" si="106"/>
        <v>0</v>
      </c>
      <c r="HN7" s="70">
        <f t="shared" ca="1" si="106"/>
        <v>0</v>
      </c>
      <c r="HO7" s="70">
        <f t="shared" ca="1" si="106"/>
        <v>0</v>
      </c>
      <c r="HP7" s="70">
        <f t="shared" ca="1" si="106"/>
        <v>0</v>
      </c>
      <c r="HQ7" s="70">
        <f t="shared" ca="1" si="106"/>
        <v>0</v>
      </c>
      <c r="HR7" s="70">
        <f t="shared" ca="1" si="106"/>
        <v>0</v>
      </c>
      <c r="HS7" s="70">
        <f t="shared" ca="1" si="106"/>
        <v>0</v>
      </c>
      <c r="HT7" s="70">
        <f t="shared" ca="1" si="106"/>
        <v>0</v>
      </c>
      <c r="HU7" s="70">
        <f t="shared" ca="1" si="106"/>
        <v>0</v>
      </c>
      <c r="HV7" s="70">
        <f t="shared" ca="1" si="106"/>
        <v>0</v>
      </c>
      <c r="HW7" s="70">
        <f t="shared" ca="1" si="106"/>
        <v>0</v>
      </c>
      <c r="HX7" s="70">
        <f t="shared" ca="1" si="106"/>
        <v>0</v>
      </c>
      <c r="HY7" s="70">
        <f t="shared" ca="1" si="106"/>
        <v>0</v>
      </c>
      <c r="HZ7" s="70">
        <f t="shared" ca="1" si="106"/>
        <v>0</v>
      </c>
      <c r="IA7" s="70">
        <f t="shared" ca="1" si="106"/>
        <v>0</v>
      </c>
      <c r="IB7" s="70">
        <f t="shared" ca="1" si="106"/>
        <v>0</v>
      </c>
      <c r="IC7" s="70">
        <f t="shared" ca="1" si="106"/>
        <v>0</v>
      </c>
      <c r="ID7" s="70">
        <f t="shared" ca="1" si="106"/>
        <v>0</v>
      </c>
      <c r="IE7" s="70">
        <f t="shared" ca="1" si="106"/>
        <v>0</v>
      </c>
      <c r="IF7" s="70">
        <f t="shared" ca="1" si="106"/>
        <v>0</v>
      </c>
      <c r="IG7" s="70">
        <f t="shared" ca="1" si="106"/>
        <v>0</v>
      </c>
      <c r="IH7" s="70">
        <f t="shared" ca="1" si="106"/>
        <v>0</v>
      </c>
      <c r="II7" s="70">
        <f t="shared" ca="1" si="106"/>
        <v>0</v>
      </c>
      <c r="IJ7" s="70">
        <f t="shared" ca="1" si="106"/>
        <v>0</v>
      </c>
      <c r="IK7" s="70">
        <f t="shared" ca="1" si="106"/>
        <v>0</v>
      </c>
      <c r="IL7" s="70">
        <f t="shared" ca="1" si="106"/>
        <v>0</v>
      </c>
      <c r="IM7" s="70">
        <f t="shared" ca="1" si="106"/>
        <v>0</v>
      </c>
      <c r="IN7" s="70">
        <f t="shared" ca="1" si="106"/>
        <v>0</v>
      </c>
      <c r="IO7" s="70">
        <f t="shared" ca="1" si="106"/>
        <v>0</v>
      </c>
      <c r="IP7" s="70">
        <f t="shared" ca="1" si="106"/>
        <v>0</v>
      </c>
      <c r="IQ7" s="70">
        <f t="shared" ca="1" si="106"/>
        <v>0</v>
      </c>
      <c r="IR7" s="70">
        <f t="shared" ca="1" si="106"/>
        <v>0</v>
      </c>
      <c r="IS7" s="70">
        <f t="shared" ca="1" si="106"/>
        <v>0</v>
      </c>
      <c r="IT7" s="70">
        <f t="shared" ca="1" si="106"/>
        <v>0</v>
      </c>
      <c r="IU7" s="70">
        <f t="shared" ca="1" si="106"/>
        <v>0</v>
      </c>
      <c r="IV7" s="70">
        <f t="shared" ca="1" si="106"/>
        <v>0</v>
      </c>
      <c r="IW7" s="70">
        <f t="shared" ca="1" si="106"/>
        <v>0</v>
      </c>
      <c r="IX7" s="70">
        <f t="shared" ca="1" si="106"/>
        <v>0</v>
      </c>
      <c r="IY7" s="70">
        <f t="shared" ca="1" si="106"/>
        <v>0</v>
      </c>
      <c r="IZ7" s="70">
        <f t="shared" ca="1" si="106"/>
        <v>0</v>
      </c>
      <c r="JA7" s="70">
        <f t="shared" ca="1" si="106"/>
        <v>0</v>
      </c>
      <c r="JB7" s="70">
        <f t="shared" ca="1" si="106"/>
        <v>0</v>
      </c>
    </row>
    <row r="8" spans="1:262">
      <c r="AX8" s="38"/>
    </row>
    <row r="18" spans="60:60">
      <c r="BH18" s="38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"/>
  <sheetViews>
    <sheetView workbookViewId="0">
      <selection activeCell="U76" sqref="U76"/>
    </sheetView>
  </sheetViews>
  <sheetFormatPr baseColWidth="10" defaultRowHeight="15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AN5547"/>
  <sheetViews>
    <sheetView workbookViewId="0">
      <selection activeCell="M30" sqref="M30"/>
    </sheetView>
  </sheetViews>
  <sheetFormatPr baseColWidth="10" defaultRowHeight="15"/>
  <cols>
    <col min="1" max="1" width="13.42578125" customWidth="1"/>
    <col min="2" max="3" width="8.140625" customWidth="1"/>
    <col min="4" max="4" width="4.28515625" customWidth="1"/>
    <col min="5" max="5" width="7.140625" customWidth="1"/>
    <col min="6" max="6" width="9.140625" customWidth="1"/>
    <col min="7" max="7" width="31.140625" style="23" customWidth="1"/>
    <col min="8" max="8" width="9.140625" customWidth="1"/>
    <col min="9" max="9" width="8.140625" customWidth="1"/>
    <col min="10" max="10" width="6.140625" customWidth="1"/>
    <col min="11" max="11" width="4.28515625" customWidth="1"/>
    <col min="12" max="12" width="7.140625" customWidth="1"/>
    <col min="13" max="13" width="20.42578125" customWidth="1"/>
    <col min="14" max="14" width="31.7109375" bestFit="1" customWidth="1"/>
    <col min="15" max="15" width="9.140625" customWidth="1"/>
    <col min="16" max="16" width="8.140625" customWidth="1"/>
    <col min="17" max="17" width="7.140625" customWidth="1"/>
    <col min="18" max="18" width="4.28515625" customWidth="1"/>
    <col min="19" max="19" width="2.140625" customWidth="1"/>
    <col min="20" max="20" width="17.7109375" customWidth="1"/>
    <col min="21" max="21" width="31.7109375" bestFit="1" customWidth="1"/>
    <col min="22" max="22" width="9.140625" customWidth="1"/>
    <col min="23" max="23" width="8.140625" customWidth="1"/>
    <col min="24" max="24" width="6.140625" customWidth="1"/>
    <col min="25" max="25" width="4.28515625" customWidth="1"/>
    <col min="26" max="26" width="2.140625" customWidth="1"/>
    <col min="27" max="27" width="16.7109375" customWidth="1"/>
    <col min="28" max="28" width="31.7109375" bestFit="1" customWidth="1"/>
    <col min="29" max="29" width="9.140625" customWidth="1"/>
    <col min="30" max="30" width="8.140625" customWidth="1"/>
    <col min="31" max="31" width="7.140625" customWidth="1"/>
    <col min="32" max="32" width="4.28515625" customWidth="1"/>
    <col min="33" max="33" width="2.140625" customWidth="1"/>
    <col min="34" max="34" width="17.7109375" customWidth="1"/>
    <col min="35" max="35" width="31.7109375" bestFit="1" customWidth="1"/>
    <col min="36" max="36" width="9.140625" customWidth="1"/>
    <col min="37" max="37" width="12.42578125" customWidth="1"/>
    <col min="38" max="38" width="31.7109375" customWidth="1"/>
    <col min="39" max="39" width="9.140625" customWidth="1"/>
    <col min="40" max="40" width="8.140625" customWidth="1"/>
    <col min="41" max="41" width="7.140625" customWidth="1"/>
    <col min="42" max="42" width="4.28515625" customWidth="1"/>
    <col min="43" max="43" width="2.140625" customWidth="1"/>
    <col min="44" max="44" width="7.140625" customWidth="1"/>
  </cols>
  <sheetData>
    <row r="1" spans="1:12">
      <c r="A1" s="73" t="s">
        <v>5</v>
      </c>
      <c r="B1" s="73"/>
      <c r="C1" s="73"/>
      <c r="D1" s="73"/>
      <c r="E1" s="73"/>
      <c r="F1" s="73"/>
    </row>
    <row r="2" spans="1:12">
      <c r="A2" s="73"/>
      <c r="B2" s="73"/>
      <c r="C2" s="73"/>
      <c r="D2" s="73"/>
      <c r="E2" s="73"/>
      <c r="F2" s="73"/>
      <c r="G2" s="26"/>
    </row>
    <row r="3" spans="1:12" ht="15.75" thickBot="1">
      <c r="A3" s="2" t="s">
        <v>0</v>
      </c>
      <c r="B3" s="2" t="s">
        <v>2</v>
      </c>
      <c r="C3" s="2" t="s">
        <v>3</v>
      </c>
      <c r="D3" s="2" t="s">
        <v>37</v>
      </c>
      <c r="E3" s="2" t="s">
        <v>38</v>
      </c>
      <c r="F3" s="20" t="s">
        <v>36</v>
      </c>
      <c r="G3"/>
      <c r="L3" s="36"/>
    </row>
    <row r="4" spans="1:12">
      <c r="A4" s="6" t="s">
        <v>17</v>
      </c>
      <c r="B4" s="7">
        <v>41726</v>
      </c>
      <c r="C4" s="6">
        <v>191.08</v>
      </c>
      <c r="D4" s="7" t="s">
        <v>39</v>
      </c>
      <c r="E4" s="6">
        <v>1</v>
      </c>
      <c r="F4" s="21">
        <v>191.08</v>
      </c>
      <c r="G4"/>
    </row>
    <row r="5" spans="1:12">
      <c r="A5" s="17" t="s">
        <v>18</v>
      </c>
      <c r="B5" s="18">
        <v>41726</v>
      </c>
      <c r="C5" s="17">
        <v>145.74</v>
      </c>
      <c r="D5" s="18" t="s">
        <v>39</v>
      </c>
      <c r="E5" s="17">
        <v>1</v>
      </c>
      <c r="F5" s="22">
        <v>145.74</v>
      </c>
      <c r="G5"/>
    </row>
    <row r="6" spans="1:12">
      <c r="A6" s="17" t="s">
        <v>19</v>
      </c>
      <c r="B6" s="18">
        <v>41726</v>
      </c>
      <c r="C6" s="17">
        <v>144.41</v>
      </c>
      <c r="D6" s="18" t="s">
        <v>39</v>
      </c>
      <c r="E6" s="17">
        <v>1</v>
      </c>
      <c r="F6" s="22">
        <v>144.41</v>
      </c>
      <c r="G6"/>
    </row>
    <row r="7" spans="1:12">
      <c r="A7" s="17" t="s">
        <v>21</v>
      </c>
      <c r="B7" s="18">
        <v>41726</v>
      </c>
      <c r="C7" s="17">
        <v>15.36</v>
      </c>
      <c r="D7" s="18" t="s">
        <v>39</v>
      </c>
      <c r="E7" s="17">
        <v>1</v>
      </c>
      <c r="F7" s="22">
        <v>15.36</v>
      </c>
      <c r="G7"/>
    </row>
    <row r="8" spans="1:12">
      <c r="A8" s="17" t="s">
        <v>22</v>
      </c>
      <c r="B8" s="18">
        <v>41726</v>
      </c>
      <c r="C8" s="17">
        <v>21.69</v>
      </c>
      <c r="D8" s="18" t="s">
        <v>40</v>
      </c>
      <c r="E8" s="17">
        <v>1.3758999999999999</v>
      </c>
      <c r="F8" s="22">
        <v>15.764227</v>
      </c>
      <c r="G8"/>
    </row>
    <row r="9" spans="1:12">
      <c r="A9" s="17" t="s">
        <v>23</v>
      </c>
      <c r="B9" s="18">
        <v>41726</v>
      </c>
      <c r="C9" s="17">
        <v>38.340000000000003</v>
      </c>
      <c r="D9" s="18" t="s">
        <v>39</v>
      </c>
      <c r="E9" s="17">
        <v>1</v>
      </c>
      <c r="F9" s="22">
        <v>38.340000000000003</v>
      </c>
      <c r="G9"/>
    </row>
    <row r="10" spans="1:12">
      <c r="A10" s="17" t="s">
        <v>24</v>
      </c>
      <c r="B10" s="18">
        <v>41726</v>
      </c>
      <c r="C10" s="17">
        <v>14.8</v>
      </c>
      <c r="D10" s="18" t="s">
        <v>39</v>
      </c>
      <c r="E10" s="17">
        <v>1</v>
      </c>
      <c r="F10" s="22">
        <v>14.8</v>
      </c>
      <c r="G10"/>
    </row>
    <row r="11" spans="1:12">
      <c r="A11" s="17" t="s">
        <v>27</v>
      </c>
      <c r="B11" s="18">
        <v>41726</v>
      </c>
      <c r="C11" s="17">
        <v>17.988199999999999</v>
      </c>
      <c r="D11" s="18" t="s">
        <v>39</v>
      </c>
      <c r="E11" s="17">
        <v>1</v>
      </c>
      <c r="F11" s="22">
        <v>17.988199999999999</v>
      </c>
      <c r="G11"/>
    </row>
    <row r="12" spans="1:12">
      <c r="A12" s="17" t="s">
        <v>28</v>
      </c>
      <c r="B12" s="18">
        <v>41726</v>
      </c>
      <c r="C12" s="19">
        <v>34.28</v>
      </c>
      <c r="D12" s="18" t="s">
        <v>39</v>
      </c>
      <c r="E12" s="17">
        <v>1</v>
      </c>
      <c r="F12" s="22">
        <v>34.28</v>
      </c>
      <c r="G12"/>
    </row>
    <row r="13" spans="1:12">
      <c r="A13" s="17" t="s">
        <v>29</v>
      </c>
      <c r="B13" s="18">
        <v>41726</v>
      </c>
      <c r="C13" s="17">
        <v>35.229999999999997</v>
      </c>
      <c r="D13" s="18" t="s">
        <v>39</v>
      </c>
      <c r="E13" s="17">
        <v>1</v>
      </c>
      <c r="F13" s="22">
        <v>35.229999999999997</v>
      </c>
      <c r="G13"/>
    </row>
    <row r="14" spans="1:12">
      <c r="A14" s="17" t="s">
        <v>30</v>
      </c>
      <c r="B14" s="18">
        <v>41726</v>
      </c>
      <c r="C14" s="19">
        <v>27.6</v>
      </c>
      <c r="D14" s="18" t="s">
        <v>39</v>
      </c>
      <c r="E14" s="17">
        <v>1</v>
      </c>
      <c r="F14" s="22">
        <v>27.6</v>
      </c>
      <c r="G14"/>
    </row>
    <row r="15" spans="1:12">
      <c r="A15" s="17" t="s">
        <v>60</v>
      </c>
      <c r="B15" s="18">
        <v>41726</v>
      </c>
      <c r="C15" s="17">
        <v>1.2195</v>
      </c>
      <c r="D15" s="18" t="s">
        <v>39</v>
      </c>
      <c r="E15" s="17">
        <v>1</v>
      </c>
      <c r="F15" s="22">
        <v>1.2195</v>
      </c>
      <c r="G15"/>
    </row>
    <row r="16" spans="1:12">
      <c r="A16" s="17" t="s">
        <v>33</v>
      </c>
      <c r="B16" s="18">
        <v>41726</v>
      </c>
      <c r="C16" s="19">
        <v>150.75</v>
      </c>
      <c r="D16" s="18" t="s">
        <v>40</v>
      </c>
      <c r="E16" s="17">
        <v>1.3758999999999999</v>
      </c>
      <c r="F16" s="22">
        <v>109.564649</v>
      </c>
      <c r="G16"/>
    </row>
    <row r="17" spans="1:7">
      <c r="A17" s="17" t="s">
        <v>34</v>
      </c>
      <c r="B17" s="18">
        <v>41726</v>
      </c>
      <c r="C17" s="19">
        <v>79.13</v>
      </c>
      <c r="D17" s="18" t="s">
        <v>39</v>
      </c>
      <c r="E17" s="17">
        <v>1</v>
      </c>
      <c r="F17" s="22">
        <v>79.13</v>
      </c>
      <c r="G17"/>
    </row>
    <row r="18" spans="1:7">
      <c r="A18" s="17" t="s">
        <v>35</v>
      </c>
      <c r="B18" s="18">
        <v>41726</v>
      </c>
      <c r="C18" s="19">
        <v>1.2867999999999999</v>
      </c>
      <c r="D18" s="18" t="s">
        <v>39</v>
      </c>
      <c r="E18" s="17">
        <v>1</v>
      </c>
      <c r="F18" s="22">
        <v>1.2867999999999999</v>
      </c>
      <c r="G18"/>
    </row>
    <row r="19" spans="1:7">
      <c r="A19" s="17" t="s">
        <v>6</v>
      </c>
      <c r="B19" s="18">
        <v>41725</v>
      </c>
      <c r="C19" s="17">
        <v>133.97</v>
      </c>
      <c r="D19" s="18" t="s">
        <v>39</v>
      </c>
      <c r="E19" s="17">
        <v>1</v>
      </c>
      <c r="F19" s="22">
        <v>133.97</v>
      </c>
      <c r="G19"/>
    </row>
    <row r="20" spans="1:7">
      <c r="A20" s="17" t="s">
        <v>15</v>
      </c>
      <c r="B20" s="18">
        <v>41725</v>
      </c>
      <c r="C20" s="17">
        <v>168.62</v>
      </c>
      <c r="D20" s="18" t="s">
        <v>39</v>
      </c>
      <c r="E20" s="17">
        <v>1</v>
      </c>
      <c r="F20" s="22">
        <v>168.62</v>
      </c>
      <c r="G20"/>
    </row>
    <row r="21" spans="1:7">
      <c r="A21" s="17" t="s">
        <v>16</v>
      </c>
      <c r="B21" s="18">
        <v>41725</v>
      </c>
      <c r="C21" s="17">
        <v>149.71</v>
      </c>
      <c r="D21" s="18" t="s">
        <v>39</v>
      </c>
      <c r="E21" s="17">
        <v>1</v>
      </c>
      <c r="F21" s="22">
        <v>149.71</v>
      </c>
      <c r="G21"/>
    </row>
    <row r="22" spans="1:7">
      <c r="A22" s="17" t="s">
        <v>20</v>
      </c>
      <c r="B22" s="18">
        <v>41725</v>
      </c>
      <c r="C22" s="19">
        <v>1890.78</v>
      </c>
      <c r="D22" s="18" t="s">
        <v>39</v>
      </c>
      <c r="E22" s="17">
        <v>1</v>
      </c>
      <c r="F22" s="22">
        <v>1890.78</v>
      </c>
      <c r="G22"/>
    </row>
    <row r="23" spans="1:7">
      <c r="A23" s="17" t="s">
        <v>63</v>
      </c>
      <c r="B23" s="18">
        <v>41725</v>
      </c>
      <c r="C23" s="19">
        <v>13.441000000000001</v>
      </c>
      <c r="D23" s="18" t="s">
        <v>39</v>
      </c>
      <c r="E23" s="17">
        <v>1</v>
      </c>
      <c r="F23" s="22">
        <v>13.441000000000001</v>
      </c>
      <c r="G23"/>
    </row>
    <row r="24" spans="1:7">
      <c r="A24" s="17" t="s">
        <v>25</v>
      </c>
      <c r="B24" s="18">
        <v>41725</v>
      </c>
      <c r="C24" s="17">
        <v>1.1778999999999999</v>
      </c>
      <c r="D24" s="18" t="s">
        <v>39</v>
      </c>
      <c r="E24" s="17">
        <v>1</v>
      </c>
      <c r="F24" s="22">
        <v>1.1778999999999999</v>
      </c>
      <c r="G24"/>
    </row>
    <row r="25" spans="1:7">
      <c r="A25" s="17" t="s">
        <v>26</v>
      </c>
      <c r="B25" s="18">
        <v>41725</v>
      </c>
      <c r="C25" s="19">
        <v>22.22</v>
      </c>
      <c r="D25" s="18" t="s">
        <v>39</v>
      </c>
      <c r="E25" s="17">
        <v>1</v>
      </c>
      <c r="F25" s="22">
        <v>22.22</v>
      </c>
      <c r="G25"/>
    </row>
    <row r="26" spans="1:7">
      <c r="A26" s="17" t="s">
        <v>31</v>
      </c>
      <c r="B26" s="18">
        <v>41725</v>
      </c>
      <c r="C26" s="19">
        <v>89.36</v>
      </c>
      <c r="D26" s="18" t="s">
        <v>39</v>
      </c>
      <c r="E26" s="17">
        <v>1</v>
      </c>
      <c r="F26" s="22">
        <v>89.36</v>
      </c>
      <c r="G26"/>
    </row>
    <row r="27" spans="1:7">
      <c r="A27" s="17" t="s">
        <v>32</v>
      </c>
      <c r="B27" s="18">
        <v>41725</v>
      </c>
      <c r="C27" s="19">
        <v>138.77000000000001</v>
      </c>
      <c r="D27" s="18" t="s">
        <v>39</v>
      </c>
      <c r="E27" s="17">
        <v>1</v>
      </c>
      <c r="F27" s="22">
        <v>138.77000000000001</v>
      </c>
      <c r="G27"/>
    </row>
    <row r="28" spans="1:7">
      <c r="A28" s="17" t="s">
        <v>4</v>
      </c>
      <c r="B28" s="18">
        <v>41725</v>
      </c>
      <c r="C28" s="19">
        <v>11.378500000000001</v>
      </c>
      <c r="D28" s="18" t="s">
        <v>39</v>
      </c>
      <c r="E28" s="17">
        <v>1</v>
      </c>
      <c r="F28" s="22">
        <v>11.378500000000001</v>
      </c>
      <c r="G28"/>
    </row>
    <row r="29" spans="1:7">
      <c r="A29" s="17" t="s">
        <v>54</v>
      </c>
      <c r="B29" s="18">
        <v>41725</v>
      </c>
      <c r="C29" s="19">
        <v>10.394600000000001</v>
      </c>
      <c r="D29" s="18" t="s">
        <v>39</v>
      </c>
      <c r="E29" s="17">
        <v>1</v>
      </c>
      <c r="F29" s="22">
        <v>10.394600000000001</v>
      </c>
      <c r="G29"/>
    </row>
    <row r="30" spans="1:7">
      <c r="A30" s="17"/>
      <c r="B30" s="18"/>
      <c r="C30" s="17"/>
      <c r="D30" s="18"/>
      <c r="E30" s="17"/>
      <c r="F30" s="22"/>
      <c r="G30"/>
    </row>
    <row r="31" spans="1:7">
      <c r="A31" s="17"/>
      <c r="B31" s="18"/>
      <c r="C31" s="17"/>
      <c r="D31" s="18"/>
      <c r="E31" s="17"/>
      <c r="F31" s="22"/>
      <c r="G31"/>
    </row>
    <row r="32" spans="1:7">
      <c r="A32" s="17"/>
      <c r="B32" s="18"/>
      <c r="C32" s="17"/>
      <c r="D32" s="18"/>
      <c r="E32" s="17"/>
      <c r="F32" s="22"/>
      <c r="G32"/>
    </row>
    <row r="33" spans="1:7">
      <c r="A33" s="17"/>
      <c r="B33" s="18"/>
      <c r="C33" s="19"/>
      <c r="D33" s="18"/>
      <c r="E33" s="17"/>
      <c r="F33" s="22"/>
      <c r="G33"/>
    </row>
    <row r="34" spans="1:7">
      <c r="A34" s="17"/>
      <c r="B34" s="18"/>
      <c r="C34" s="17"/>
      <c r="D34" s="18"/>
      <c r="E34" s="17"/>
      <c r="F34" s="22"/>
      <c r="G34"/>
    </row>
    <row r="35" spans="1:7">
      <c r="A35" s="17"/>
      <c r="B35" s="18"/>
      <c r="C35" s="17"/>
      <c r="D35" s="18"/>
      <c r="E35" s="17"/>
      <c r="F35" s="22"/>
      <c r="G35"/>
    </row>
    <row r="36" spans="1:7">
      <c r="A36" s="17"/>
      <c r="B36" s="18"/>
      <c r="C36" s="17"/>
      <c r="D36" s="18"/>
      <c r="E36" s="17"/>
      <c r="F36" s="22"/>
      <c r="G36"/>
    </row>
    <row r="37" spans="1:7">
      <c r="A37" s="17"/>
      <c r="B37" s="18"/>
      <c r="C37" s="17"/>
      <c r="D37" s="18"/>
      <c r="E37" s="17"/>
      <c r="F37" s="22"/>
      <c r="G37"/>
    </row>
    <row r="38" spans="1:7">
      <c r="A38" s="17"/>
      <c r="B38" s="18"/>
      <c r="C38" s="19"/>
      <c r="D38" s="18"/>
      <c r="E38" s="17"/>
      <c r="F38" s="22"/>
      <c r="G38"/>
    </row>
    <row r="39" spans="1:7">
      <c r="A39" s="17"/>
      <c r="B39" s="18"/>
      <c r="C39" s="17"/>
      <c r="D39" s="18"/>
      <c r="E39" s="17"/>
      <c r="F39" s="22"/>
      <c r="G39"/>
    </row>
    <row r="40" spans="1:7">
      <c r="A40" s="17"/>
      <c r="B40" s="18"/>
      <c r="C40" s="19"/>
      <c r="D40" s="18"/>
      <c r="E40" s="17"/>
      <c r="F40" s="22"/>
      <c r="G40"/>
    </row>
    <row r="41" spans="1:7">
      <c r="A41" s="17"/>
      <c r="B41" s="18"/>
      <c r="C41" s="19"/>
      <c r="D41" s="18"/>
      <c r="E41" s="17"/>
      <c r="F41" s="22"/>
      <c r="G41"/>
    </row>
    <row r="42" spans="1:7">
      <c r="A42" s="17"/>
      <c r="B42" s="18"/>
      <c r="C42" s="19"/>
      <c r="D42" s="18"/>
      <c r="E42" s="17"/>
      <c r="F42" s="22"/>
      <c r="G42"/>
    </row>
    <row r="43" spans="1:7">
      <c r="A43" s="17"/>
      <c r="B43" s="18"/>
      <c r="C43" s="17"/>
      <c r="D43" s="18"/>
      <c r="E43" s="17"/>
      <c r="F43" s="22"/>
      <c r="G43"/>
    </row>
    <row r="44" spans="1:7">
      <c r="A44" s="17"/>
      <c r="B44" s="18"/>
      <c r="C44" s="17"/>
      <c r="D44" s="18"/>
      <c r="E44" s="17"/>
      <c r="F44" s="22"/>
      <c r="G44"/>
    </row>
    <row r="45" spans="1:7">
      <c r="A45" s="17"/>
      <c r="B45" s="18"/>
      <c r="C45" s="19"/>
      <c r="D45" s="18"/>
      <c r="E45" s="17"/>
      <c r="F45" s="22"/>
      <c r="G45"/>
    </row>
    <row r="46" spans="1:7">
      <c r="A46" s="17"/>
      <c r="B46" s="18"/>
      <c r="C46" s="19"/>
      <c r="D46" s="18"/>
      <c r="E46" s="17"/>
      <c r="F46" s="22"/>
      <c r="G46"/>
    </row>
    <row r="47" spans="1:7">
      <c r="A47" s="17"/>
      <c r="B47" s="18"/>
      <c r="C47" s="17"/>
      <c r="D47" s="18"/>
      <c r="E47" s="17"/>
      <c r="F47" s="22"/>
      <c r="G47"/>
    </row>
    <row r="48" spans="1:7">
      <c r="A48" s="17"/>
      <c r="B48" s="18"/>
      <c r="C48" s="17"/>
      <c r="D48" s="18"/>
      <c r="E48" s="17"/>
      <c r="F48" s="22"/>
      <c r="G48"/>
    </row>
    <row r="49" spans="1:7">
      <c r="A49" s="17"/>
      <c r="B49" s="18"/>
      <c r="C49" s="17"/>
      <c r="D49" s="18"/>
      <c r="E49" s="17"/>
      <c r="F49" s="22"/>
      <c r="G49"/>
    </row>
    <row r="50" spans="1:7">
      <c r="A50" s="17"/>
      <c r="B50" s="18"/>
      <c r="C50" s="17"/>
      <c r="D50" s="18"/>
      <c r="E50" s="17"/>
      <c r="F50" s="22"/>
      <c r="G50"/>
    </row>
    <row r="51" spans="1:7">
      <c r="A51" s="17"/>
      <c r="B51" s="18"/>
      <c r="C51" s="19"/>
      <c r="D51" s="18"/>
      <c r="E51" s="17"/>
      <c r="F51" s="22"/>
      <c r="G51"/>
    </row>
    <row r="52" spans="1:7">
      <c r="A52" s="17"/>
      <c r="B52" s="18"/>
      <c r="C52" s="19"/>
      <c r="D52" s="18"/>
      <c r="E52" s="17"/>
      <c r="F52" s="22"/>
      <c r="G52"/>
    </row>
    <row r="53" spans="1:7">
      <c r="A53" s="17"/>
      <c r="B53" s="18"/>
      <c r="C53" s="19"/>
      <c r="D53" s="18"/>
      <c r="E53" s="17"/>
      <c r="F53" s="22"/>
      <c r="G53"/>
    </row>
    <row r="54" spans="1:7">
      <c r="A54" s="17"/>
      <c r="B54" s="18"/>
      <c r="C54" s="17"/>
      <c r="D54" s="18"/>
      <c r="E54" s="17"/>
      <c r="F54" s="22"/>
      <c r="G54"/>
    </row>
    <row r="55" spans="1:7">
      <c r="A55" s="17"/>
      <c r="B55" s="18"/>
      <c r="C55" s="19"/>
      <c r="D55" s="18"/>
      <c r="E55" s="17"/>
      <c r="F55" s="22"/>
      <c r="G55"/>
    </row>
    <row r="56" spans="1:7">
      <c r="A56" s="17"/>
      <c r="B56" s="18"/>
      <c r="C56" s="19"/>
      <c r="D56" s="18"/>
      <c r="E56" s="17"/>
      <c r="F56" s="22"/>
      <c r="G56"/>
    </row>
    <row r="57" spans="1:7">
      <c r="A57" s="17"/>
      <c r="B57" s="18"/>
      <c r="C57" s="19"/>
      <c r="D57" s="18"/>
      <c r="E57" s="17"/>
      <c r="F57" s="22"/>
      <c r="G57"/>
    </row>
    <row r="58" spans="1:7">
      <c r="A58" s="17"/>
      <c r="B58" s="18"/>
      <c r="C58" s="19"/>
      <c r="D58" s="18"/>
      <c r="E58" s="17"/>
      <c r="F58" s="22"/>
      <c r="G58"/>
    </row>
    <row r="59" spans="1:7">
      <c r="A59" s="17"/>
      <c r="B59" s="18"/>
      <c r="C59" s="19"/>
      <c r="D59" s="18"/>
      <c r="E59" s="17"/>
      <c r="F59" s="22"/>
      <c r="G59"/>
    </row>
    <row r="60" spans="1:7">
      <c r="A60" s="17"/>
      <c r="B60" s="18"/>
      <c r="C60" s="17"/>
      <c r="D60" s="18"/>
      <c r="E60" s="17"/>
      <c r="F60" s="22"/>
      <c r="G60"/>
    </row>
    <row r="61" spans="1:7">
      <c r="A61" s="17"/>
      <c r="B61" s="18"/>
      <c r="C61" s="19"/>
      <c r="D61" s="18"/>
      <c r="E61" s="17"/>
      <c r="F61" s="22"/>
      <c r="G61"/>
    </row>
    <row r="62" spans="1:7">
      <c r="A62" s="17"/>
      <c r="B62" s="18"/>
      <c r="C62" s="19"/>
      <c r="D62" s="18"/>
      <c r="E62" s="17"/>
      <c r="F62" s="22"/>
      <c r="G62"/>
    </row>
    <row r="63" spans="1:7">
      <c r="A63" s="17"/>
      <c r="B63" s="18"/>
      <c r="C63" s="17"/>
      <c r="D63" s="18"/>
      <c r="E63" s="17"/>
      <c r="F63" s="22"/>
      <c r="G63"/>
    </row>
    <row r="64" spans="1:7">
      <c r="A64" s="17"/>
      <c r="B64" s="18"/>
      <c r="C64" s="19"/>
      <c r="D64" s="18"/>
      <c r="E64" s="17"/>
      <c r="F64" s="22"/>
      <c r="G64"/>
    </row>
    <row r="65" spans="1:7">
      <c r="A65" s="17"/>
      <c r="B65" s="18"/>
      <c r="C65" s="17"/>
      <c r="D65" s="18"/>
      <c r="E65" s="17"/>
      <c r="F65" s="22"/>
      <c r="G65"/>
    </row>
    <row r="66" spans="1:7">
      <c r="A66" s="17"/>
      <c r="B66" s="18"/>
      <c r="C66" s="19"/>
      <c r="D66" s="18"/>
      <c r="E66" s="17"/>
      <c r="F66" s="22"/>
      <c r="G66"/>
    </row>
    <row r="67" spans="1:7">
      <c r="A67" s="17"/>
      <c r="B67" s="18"/>
      <c r="C67" s="17"/>
      <c r="D67" s="18"/>
      <c r="E67" s="17"/>
      <c r="F67" s="22"/>
      <c r="G67"/>
    </row>
    <row r="68" spans="1:7">
      <c r="A68" s="17"/>
      <c r="B68" s="18"/>
      <c r="C68" s="19"/>
      <c r="D68" s="18"/>
      <c r="E68" s="17"/>
      <c r="F68" s="22"/>
      <c r="G68"/>
    </row>
    <row r="69" spans="1:7">
      <c r="A69" s="17"/>
      <c r="B69" s="18"/>
      <c r="C69" s="17"/>
      <c r="D69" s="18"/>
      <c r="E69" s="17"/>
      <c r="F69" s="22"/>
      <c r="G69"/>
    </row>
    <row r="70" spans="1:7">
      <c r="A70" s="17"/>
      <c r="B70" s="18"/>
      <c r="C70" s="19"/>
      <c r="D70" s="18"/>
      <c r="E70" s="17"/>
      <c r="F70" s="22"/>
      <c r="G70"/>
    </row>
    <row r="71" spans="1:7">
      <c r="A71" s="17"/>
      <c r="B71" s="18"/>
      <c r="C71" s="17"/>
      <c r="D71" s="18"/>
      <c r="E71" s="17"/>
      <c r="F71" s="22"/>
      <c r="G71"/>
    </row>
    <row r="72" spans="1:7">
      <c r="A72" s="17"/>
      <c r="B72" s="18"/>
      <c r="C72" s="17"/>
      <c r="D72" s="18"/>
      <c r="E72" s="17"/>
      <c r="F72" s="22"/>
      <c r="G72"/>
    </row>
    <row r="73" spans="1:7">
      <c r="A73" s="17"/>
      <c r="B73" s="18"/>
      <c r="C73" s="17"/>
      <c r="D73" s="18"/>
      <c r="E73" s="17"/>
      <c r="F73" s="22"/>
      <c r="G73"/>
    </row>
    <row r="74" spans="1:7">
      <c r="A74" s="17"/>
      <c r="B74" s="18"/>
      <c r="C74" s="19"/>
      <c r="D74" s="18"/>
      <c r="E74" s="17"/>
      <c r="F74" s="22"/>
      <c r="G74"/>
    </row>
    <row r="75" spans="1:7">
      <c r="A75" s="17"/>
      <c r="B75" s="18"/>
      <c r="C75" s="19"/>
      <c r="D75" s="18"/>
      <c r="E75" s="17"/>
      <c r="F75" s="22"/>
      <c r="G75"/>
    </row>
    <row r="76" spans="1:7">
      <c r="A76" s="17"/>
      <c r="B76" s="18"/>
      <c r="C76" s="17"/>
      <c r="D76" s="18"/>
      <c r="E76" s="17"/>
      <c r="F76" s="22"/>
      <c r="G76"/>
    </row>
    <row r="77" spans="1:7">
      <c r="A77" s="17"/>
      <c r="B77" s="18"/>
      <c r="C77" s="17"/>
      <c r="D77" s="18"/>
      <c r="E77" s="17"/>
      <c r="F77" s="22"/>
      <c r="G77"/>
    </row>
    <row r="78" spans="1:7">
      <c r="A78" s="17"/>
      <c r="B78" s="18"/>
      <c r="C78" s="17"/>
      <c r="D78" s="18"/>
      <c r="E78" s="17"/>
      <c r="F78" s="22"/>
      <c r="G78"/>
    </row>
    <row r="79" spans="1:7">
      <c r="A79" s="17"/>
      <c r="B79" s="18"/>
      <c r="C79" s="17"/>
      <c r="D79" s="18"/>
      <c r="E79" s="17"/>
      <c r="F79" s="22"/>
      <c r="G79"/>
    </row>
    <row r="80" spans="1:7">
      <c r="A80" s="17"/>
      <c r="B80" s="18"/>
      <c r="C80" s="19"/>
      <c r="D80" s="18"/>
      <c r="E80" s="17"/>
      <c r="F80" s="22"/>
      <c r="G80"/>
    </row>
    <row r="81" spans="1:7">
      <c r="A81" s="17"/>
      <c r="B81" s="18"/>
      <c r="C81" s="17"/>
      <c r="D81" s="18"/>
      <c r="E81" s="17"/>
      <c r="F81" s="22"/>
      <c r="G81"/>
    </row>
    <row r="82" spans="1:7">
      <c r="A82" s="17"/>
      <c r="B82" s="18"/>
      <c r="C82" s="17"/>
      <c r="D82" s="18"/>
      <c r="E82" s="17"/>
      <c r="F82" s="22"/>
      <c r="G82"/>
    </row>
    <row r="83" spans="1:7">
      <c r="A83" s="17"/>
      <c r="B83" s="18"/>
      <c r="C83" s="19"/>
      <c r="D83" s="18"/>
      <c r="E83" s="17"/>
      <c r="F83" s="22"/>
      <c r="G83"/>
    </row>
    <row r="84" spans="1:7">
      <c r="A84" s="17"/>
      <c r="B84" s="18"/>
      <c r="C84" s="19"/>
      <c r="D84" s="18"/>
      <c r="E84" s="17"/>
      <c r="F84" s="22"/>
      <c r="G84"/>
    </row>
    <row r="85" spans="1:7">
      <c r="A85" s="17"/>
      <c r="B85" s="18"/>
      <c r="C85" s="17"/>
      <c r="D85" s="18"/>
      <c r="E85" s="17"/>
      <c r="F85" s="22"/>
      <c r="G85"/>
    </row>
    <row r="86" spans="1:7">
      <c r="A86" s="17"/>
      <c r="B86" s="18"/>
      <c r="C86" s="19"/>
      <c r="D86" s="18"/>
      <c r="E86" s="17"/>
      <c r="F86" s="22"/>
      <c r="G86"/>
    </row>
    <row r="87" spans="1:7">
      <c r="A87" s="17"/>
      <c r="B87" s="18"/>
      <c r="C87" s="19"/>
      <c r="D87" s="18"/>
      <c r="E87" s="17"/>
      <c r="F87" s="22"/>
      <c r="G87"/>
    </row>
    <row r="88" spans="1:7">
      <c r="A88" s="17"/>
      <c r="B88" s="18"/>
      <c r="C88" s="19"/>
      <c r="D88" s="18"/>
      <c r="E88" s="17"/>
      <c r="F88" s="22"/>
      <c r="G88"/>
    </row>
    <row r="89" spans="1:7">
      <c r="A89" s="17"/>
      <c r="B89" s="18"/>
      <c r="C89" s="19"/>
      <c r="D89" s="18"/>
      <c r="E89" s="17"/>
      <c r="F89" s="22"/>
      <c r="G89"/>
    </row>
    <row r="90" spans="1:7">
      <c r="A90" s="17"/>
      <c r="B90" s="18"/>
      <c r="C90" s="17"/>
      <c r="D90" s="18"/>
      <c r="E90" s="17"/>
      <c r="F90" s="22"/>
      <c r="G90"/>
    </row>
    <row r="91" spans="1:7">
      <c r="A91" s="17"/>
      <c r="B91" s="18"/>
      <c r="C91" s="19"/>
      <c r="D91" s="18"/>
      <c r="E91" s="17"/>
      <c r="F91" s="22"/>
      <c r="G91"/>
    </row>
    <row r="92" spans="1:7">
      <c r="A92" s="17"/>
      <c r="B92" s="18"/>
      <c r="C92" s="19"/>
      <c r="D92" s="18"/>
      <c r="E92" s="17"/>
      <c r="F92" s="22"/>
      <c r="G92"/>
    </row>
    <row r="93" spans="1:7">
      <c r="A93" s="17"/>
      <c r="B93" s="18"/>
      <c r="C93" s="17"/>
      <c r="D93" s="18"/>
      <c r="E93" s="17"/>
      <c r="F93" s="22"/>
      <c r="G93"/>
    </row>
    <row r="94" spans="1:7">
      <c r="A94" s="17"/>
      <c r="B94" s="18"/>
      <c r="C94" s="19"/>
      <c r="D94" s="18"/>
      <c r="E94" s="17"/>
      <c r="F94" s="22"/>
      <c r="G94"/>
    </row>
    <row r="95" spans="1:7">
      <c r="A95" s="17"/>
      <c r="B95" s="18"/>
      <c r="C95" s="17"/>
      <c r="D95" s="18"/>
      <c r="E95" s="17"/>
      <c r="F95" s="22"/>
      <c r="G95"/>
    </row>
    <row r="96" spans="1:7">
      <c r="A96" s="17"/>
      <c r="B96" s="18"/>
      <c r="C96" s="19"/>
      <c r="D96" s="18"/>
      <c r="E96" s="17"/>
      <c r="F96" s="22"/>
      <c r="G96"/>
    </row>
    <row r="97" spans="1:7">
      <c r="A97" s="17"/>
      <c r="B97" s="18"/>
      <c r="C97" s="17"/>
      <c r="D97" s="18"/>
      <c r="E97" s="17"/>
      <c r="F97" s="22"/>
      <c r="G97"/>
    </row>
    <row r="98" spans="1:7">
      <c r="A98" s="17"/>
      <c r="B98" s="18"/>
      <c r="C98" s="17"/>
      <c r="D98" s="18"/>
      <c r="E98" s="17"/>
      <c r="F98" s="22"/>
      <c r="G98"/>
    </row>
    <row r="99" spans="1:7">
      <c r="A99" s="17"/>
      <c r="B99" s="18"/>
      <c r="C99" s="19"/>
      <c r="D99" s="18"/>
      <c r="E99" s="17"/>
      <c r="F99" s="22"/>
      <c r="G99"/>
    </row>
    <row r="100" spans="1:7">
      <c r="A100" s="17"/>
      <c r="B100" s="18"/>
      <c r="C100" s="19"/>
      <c r="D100" s="18"/>
      <c r="E100" s="17"/>
      <c r="F100" s="22"/>
      <c r="G100"/>
    </row>
    <row r="101" spans="1:7">
      <c r="A101" s="17"/>
      <c r="B101" s="18"/>
      <c r="C101" s="17"/>
      <c r="D101" s="18"/>
      <c r="E101" s="17"/>
      <c r="F101" s="22"/>
      <c r="G101"/>
    </row>
    <row r="102" spans="1:7">
      <c r="A102" s="17"/>
      <c r="B102" s="18"/>
      <c r="C102" s="17"/>
      <c r="D102" s="18"/>
      <c r="E102" s="17"/>
      <c r="F102" s="22"/>
      <c r="G102"/>
    </row>
    <row r="103" spans="1:7">
      <c r="A103" s="17"/>
      <c r="B103" s="18"/>
      <c r="C103" s="17"/>
      <c r="D103" s="18"/>
      <c r="E103" s="17"/>
      <c r="F103" s="22"/>
      <c r="G103"/>
    </row>
    <row r="104" spans="1:7">
      <c r="A104" s="17"/>
      <c r="B104" s="18"/>
      <c r="C104" s="17"/>
      <c r="D104" s="18"/>
      <c r="E104" s="17"/>
      <c r="F104" s="22"/>
      <c r="G104"/>
    </row>
    <row r="105" spans="1:7">
      <c r="A105" s="17"/>
      <c r="B105" s="18"/>
      <c r="C105" s="19"/>
      <c r="D105" s="18"/>
      <c r="E105" s="17"/>
      <c r="F105" s="22"/>
      <c r="G105"/>
    </row>
    <row r="106" spans="1:7">
      <c r="A106" s="17"/>
      <c r="B106" s="18"/>
      <c r="C106" s="17"/>
      <c r="D106" s="18"/>
      <c r="E106" s="17"/>
      <c r="F106" s="22"/>
      <c r="G106"/>
    </row>
    <row r="107" spans="1:7">
      <c r="A107" s="17"/>
      <c r="B107" s="18"/>
      <c r="C107" s="17"/>
      <c r="D107" s="18"/>
      <c r="E107" s="17"/>
      <c r="F107" s="22"/>
      <c r="G107"/>
    </row>
    <row r="108" spans="1:7">
      <c r="A108" s="17"/>
      <c r="B108" s="18"/>
      <c r="C108" s="17"/>
      <c r="D108" s="18"/>
      <c r="E108" s="17"/>
      <c r="F108" s="22"/>
      <c r="G108"/>
    </row>
    <row r="109" spans="1:7">
      <c r="A109" s="17"/>
      <c r="B109" s="18"/>
      <c r="C109" s="19"/>
      <c r="D109" s="18"/>
      <c r="E109" s="17"/>
      <c r="F109" s="22"/>
      <c r="G109"/>
    </row>
    <row r="110" spans="1:7">
      <c r="A110" s="17"/>
      <c r="B110" s="18"/>
      <c r="C110" s="17"/>
      <c r="D110" s="18"/>
      <c r="E110" s="17"/>
      <c r="F110" s="22"/>
      <c r="G110"/>
    </row>
    <row r="111" spans="1:7">
      <c r="A111" s="17"/>
      <c r="B111" s="18"/>
      <c r="C111" s="17"/>
      <c r="D111" s="18"/>
      <c r="E111" s="17"/>
      <c r="F111" s="22"/>
      <c r="G111"/>
    </row>
    <row r="112" spans="1:7">
      <c r="A112" s="17"/>
      <c r="B112" s="18"/>
      <c r="C112" s="19"/>
      <c r="D112" s="18"/>
      <c r="E112" s="17"/>
      <c r="F112" s="22"/>
      <c r="G112"/>
    </row>
    <row r="113" spans="1:7">
      <c r="A113" s="17"/>
      <c r="B113" s="18"/>
      <c r="C113" s="19"/>
      <c r="D113" s="18"/>
      <c r="E113" s="17"/>
      <c r="F113" s="22"/>
      <c r="G113"/>
    </row>
    <row r="114" spans="1:7">
      <c r="A114" s="17"/>
      <c r="B114" s="18"/>
      <c r="C114" s="19"/>
      <c r="D114" s="18"/>
      <c r="E114" s="17"/>
      <c r="F114" s="22"/>
      <c r="G114"/>
    </row>
    <row r="115" spans="1:7">
      <c r="A115" s="17"/>
      <c r="B115" s="18"/>
      <c r="C115" s="17"/>
      <c r="D115" s="18"/>
      <c r="E115" s="17"/>
      <c r="F115" s="22"/>
      <c r="G115"/>
    </row>
    <row r="116" spans="1:7">
      <c r="A116" s="17"/>
      <c r="B116" s="18"/>
      <c r="C116" s="19"/>
      <c r="D116" s="18"/>
      <c r="E116" s="17"/>
      <c r="F116" s="22"/>
      <c r="G116"/>
    </row>
    <row r="117" spans="1:7">
      <c r="A117" s="17"/>
      <c r="B117" s="18"/>
      <c r="C117" s="19"/>
      <c r="D117" s="18"/>
      <c r="E117" s="17"/>
      <c r="F117" s="22"/>
      <c r="G117"/>
    </row>
    <row r="118" spans="1:7">
      <c r="A118" s="17"/>
      <c r="B118" s="18"/>
      <c r="C118" s="19"/>
      <c r="D118" s="18"/>
      <c r="E118" s="17"/>
      <c r="F118" s="22"/>
      <c r="G118"/>
    </row>
    <row r="119" spans="1:7">
      <c r="A119" s="17"/>
      <c r="B119" s="18"/>
      <c r="C119" s="17"/>
      <c r="D119" s="18"/>
      <c r="E119" s="17"/>
      <c r="F119" s="22"/>
      <c r="G119"/>
    </row>
    <row r="120" spans="1:7">
      <c r="A120" s="17"/>
      <c r="B120" s="18"/>
      <c r="C120" s="17"/>
      <c r="D120" s="18"/>
      <c r="E120" s="17"/>
      <c r="F120" s="22"/>
      <c r="G120"/>
    </row>
    <row r="121" spans="1:7">
      <c r="A121" s="17"/>
      <c r="B121" s="18"/>
      <c r="C121" s="17"/>
      <c r="D121" s="18"/>
      <c r="E121" s="17"/>
      <c r="F121" s="22"/>
      <c r="G121"/>
    </row>
    <row r="122" spans="1:7">
      <c r="A122" s="17"/>
      <c r="B122" s="18"/>
      <c r="C122" s="19"/>
      <c r="D122" s="18"/>
      <c r="E122" s="17"/>
      <c r="F122" s="22"/>
      <c r="G122"/>
    </row>
    <row r="123" spans="1:7">
      <c r="A123" s="17"/>
      <c r="B123" s="18"/>
      <c r="C123" s="17"/>
      <c r="D123" s="18"/>
      <c r="E123" s="17"/>
      <c r="F123" s="22"/>
      <c r="G123"/>
    </row>
    <row r="124" spans="1:7">
      <c r="A124" s="17"/>
      <c r="B124" s="18"/>
      <c r="C124" s="19"/>
      <c r="D124" s="18"/>
      <c r="E124" s="17"/>
      <c r="F124" s="22"/>
      <c r="G124"/>
    </row>
    <row r="125" spans="1:7">
      <c r="A125" s="17"/>
      <c r="B125" s="18"/>
      <c r="C125" s="17"/>
      <c r="D125" s="18"/>
      <c r="E125" s="17"/>
      <c r="F125" s="22"/>
      <c r="G125"/>
    </row>
    <row r="126" spans="1:7">
      <c r="A126" s="17"/>
      <c r="B126" s="18"/>
      <c r="C126" s="17"/>
      <c r="D126" s="18"/>
      <c r="E126" s="17"/>
      <c r="F126" s="22"/>
      <c r="G126"/>
    </row>
    <row r="127" spans="1:7">
      <c r="A127" s="17"/>
      <c r="B127" s="18"/>
      <c r="C127" s="17"/>
      <c r="D127" s="18"/>
      <c r="E127" s="17"/>
      <c r="F127" s="22"/>
      <c r="G127"/>
    </row>
    <row r="128" spans="1:7">
      <c r="A128" s="17"/>
      <c r="B128" s="18"/>
      <c r="C128" s="19"/>
      <c r="D128" s="18"/>
      <c r="E128" s="17"/>
      <c r="F128" s="22"/>
      <c r="G128"/>
    </row>
    <row r="129" spans="1:7">
      <c r="A129" s="17"/>
      <c r="B129" s="18"/>
      <c r="C129" s="17"/>
      <c r="D129" s="18"/>
      <c r="E129" s="17"/>
      <c r="F129" s="22"/>
      <c r="G129"/>
    </row>
    <row r="130" spans="1:7">
      <c r="A130" s="17"/>
      <c r="B130" s="18"/>
      <c r="C130" s="17"/>
      <c r="D130" s="18"/>
      <c r="E130" s="17"/>
      <c r="F130" s="22"/>
      <c r="G130"/>
    </row>
    <row r="131" spans="1:7">
      <c r="A131" s="17"/>
      <c r="B131" s="18"/>
      <c r="C131" s="19"/>
      <c r="D131" s="18"/>
      <c r="E131" s="17"/>
      <c r="F131" s="22"/>
      <c r="G131"/>
    </row>
    <row r="132" spans="1:7">
      <c r="A132" s="17"/>
      <c r="B132" s="18"/>
      <c r="C132" s="17"/>
      <c r="D132" s="18"/>
      <c r="E132" s="17"/>
      <c r="F132" s="22"/>
      <c r="G132"/>
    </row>
    <row r="133" spans="1:7">
      <c r="A133" s="17"/>
      <c r="B133" s="18"/>
      <c r="C133" s="17"/>
      <c r="D133" s="18"/>
      <c r="E133" s="17"/>
      <c r="F133" s="22"/>
      <c r="G133"/>
    </row>
    <row r="134" spans="1:7">
      <c r="A134" s="17"/>
      <c r="B134" s="18"/>
      <c r="C134" s="17"/>
      <c r="D134" s="18"/>
      <c r="E134" s="17"/>
      <c r="F134" s="22"/>
      <c r="G134"/>
    </row>
    <row r="135" spans="1:7">
      <c r="A135" s="17"/>
      <c r="B135" s="18"/>
      <c r="C135" s="19"/>
      <c r="D135" s="18"/>
      <c r="E135" s="17"/>
      <c r="F135" s="22"/>
      <c r="G135"/>
    </row>
    <row r="136" spans="1:7">
      <c r="A136" s="17"/>
      <c r="B136" s="18"/>
      <c r="C136" s="19"/>
      <c r="D136" s="18"/>
      <c r="E136" s="17"/>
      <c r="F136" s="22"/>
      <c r="G136"/>
    </row>
    <row r="137" spans="1:7">
      <c r="A137" s="17"/>
      <c r="B137" s="18"/>
      <c r="C137" s="17"/>
      <c r="D137" s="18"/>
      <c r="E137" s="17"/>
      <c r="F137" s="22"/>
      <c r="G137"/>
    </row>
    <row r="138" spans="1:7">
      <c r="A138" s="17"/>
      <c r="B138" s="18"/>
      <c r="C138" s="19"/>
      <c r="D138" s="18"/>
      <c r="E138" s="17"/>
      <c r="F138" s="22"/>
      <c r="G138"/>
    </row>
    <row r="139" spans="1:7">
      <c r="A139" s="17"/>
      <c r="B139" s="18"/>
      <c r="C139" s="19"/>
      <c r="D139" s="18"/>
      <c r="E139" s="17"/>
      <c r="F139" s="22"/>
      <c r="G139"/>
    </row>
    <row r="140" spans="1:7">
      <c r="A140" s="17"/>
      <c r="B140" s="18"/>
      <c r="C140" s="19"/>
      <c r="D140" s="18"/>
      <c r="E140" s="17"/>
      <c r="F140" s="22"/>
      <c r="G140"/>
    </row>
    <row r="141" spans="1:7">
      <c r="A141" s="17"/>
      <c r="B141" s="18"/>
      <c r="C141" s="17"/>
      <c r="D141" s="18"/>
      <c r="E141" s="17"/>
      <c r="F141" s="22"/>
      <c r="G141"/>
    </row>
    <row r="142" spans="1:7">
      <c r="A142" s="17"/>
      <c r="B142" s="18"/>
      <c r="C142" s="19"/>
      <c r="D142" s="18"/>
      <c r="E142" s="17"/>
      <c r="F142" s="22"/>
      <c r="G142"/>
    </row>
    <row r="143" spans="1:7">
      <c r="A143" s="17"/>
      <c r="B143" s="18"/>
      <c r="C143" s="19"/>
      <c r="D143" s="18"/>
      <c r="E143" s="17"/>
      <c r="F143" s="22"/>
      <c r="G143"/>
    </row>
    <row r="144" spans="1:7">
      <c r="A144" s="17"/>
      <c r="B144" s="18"/>
      <c r="C144" s="19"/>
      <c r="D144" s="18"/>
      <c r="E144" s="17"/>
      <c r="F144" s="22"/>
      <c r="G144"/>
    </row>
    <row r="145" spans="1:7">
      <c r="A145" s="17"/>
      <c r="B145" s="18"/>
      <c r="C145" s="19"/>
      <c r="D145" s="18"/>
      <c r="E145" s="17"/>
      <c r="F145" s="22"/>
      <c r="G145"/>
    </row>
    <row r="146" spans="1:7">
      <c r="A146" s="17"/>
      <c r="B146" s="18"/>
      <c r="C146" s="19"/>
      <c r="D146" s="18"/>
      <c r="E146" s="17"/>
      <c r="F146" s="22"/>
      <c r="G146"/>
    </row>
    <row r="147" spans="1:7">
      <c r="A147" s="17"/>
      <c r="B147" s="18"/>
      <c r="C147" s="19"/>
      <c r="D147" s="18"/>
      <c r="E147" s="17"/>
      <c r="F147" s="22"/>
      <c r="G147"/>
    </row>
    <row r="148" spans="1:7">
      <c r="A148" s="17"/>
      <c r="B148" s="18"/>
      <c r="C148" s="17"/>
      <c r="D148" s="18"/>
      <c r="E148" s="17"/>
      <c r="F148" s="22"/>
      <c r="G148"/>
    </row>
    <row r="149" spans="1:7">
      <c r="A149" s="17"/>
      <c r="B149" s="18"/>
      <c r="C149" s="17"/>
      <c r="D149" s="18"/>
      <c r="E149" s="17"/>
      <c r="F149" s="22"/>
      <c r="G149"/>
    </row>
    <row r="150" spans="1:7">
      <c r="A150" s="17"/>
      <c r="B150" s="18"/>
      <c r="C150" s="19"/>
      <c r="D150" s="18"/>
      <c r="E150" s="17"/>
      <c r="F150" s="22"/>
      <c r="G150"/>
    </row>
    <row r="151" spans="1:7">
      <c r="A151" s="17"/>
      <c r="B151" s="18"/>
      <c r="C151" s="19"/>
      <c r="D151" s="18"/>
      <c r="E151" s="17"/>
      <c r="F151" s="22"/>
      <c r="G151"/>
    </row>
    <row r="152" spans="1:7">
      <c r="A152" s="17"/>
      <c r="B152" s="18"/>
      <c r="C152" s="19"/>
      <c r="D152" s="18"/>
      <c r="E152" s="17"/>
      <c r="F152" s="22"/>
      <c r="G152"/>
    </row>
    <row r="153" spans="1:7">
      <c r="A153" s="17"/>
      <c r="B153" s="18"/>
      <c r="C153" s="19"/>
      <c r="D153" s="18"/>
      <c r="E153" s="17"/>
      <c r="F153" s="22"/>
      <c r="G153"/>
    </row>
    <row r="154" spans="1:7">
      <c r="A154" s="17"/>
      <c r="B154" s="18"/>
      <c r="C154" s="17"/>
      <c r="D154" s="18"/>
      <c r="E154" s="17"/>
      <c r="F154" s="22"/>
      <c r="G154"/>
    </row>
    <row r="155" spans="1:7">
      <c r="A155" s="17"/>
      <c r="B155" s="18"/>
      <c r="C155" s="17"/>
      <c r="D155" s="18"/>
      <c r="E155" s="17"/>
      <c r="F155" s="22"/>
      <c r="G155"/>
    </row>
    <row r="156" spans="1:7">
      <c r="A156" s="17"/>
      <c r="B156" s="18"/>
      <c r="C156" s="17"/>
      <c r="D156" s="18"/>
      <c r="E156" s="17"/>
      <c r="F156" s="22"/>
      <c r="G156"/>
    </row>
    <row r="157" spans="1:7">
      <c r="A157" s="17"/>
      <c r="B157" s="18"/>
      <c r="C157" s="17"/>
      <c r="D157" s="18"/>
      <c r="E157" s="17"/>
      <c r="F157" s="22"/>
      <c r="G157"/>
    </row>
    <row r="158" spans="1:7">
      <c r="A158" s="17"/>
      <c r="B158" s="18"/>
      <c r="C158" s="19"/>
      <c r="D158" s="18"/>
      <c r="E158" s="17"/>
      <c r="F158" s="22"/>
      <c r="G158"/>
    </row>
    <row r="159" spans="1:7">
      <c r="A159" s="17"/>
      <c r="B159" s="18"/>
      <c r="C159" s="17"/>
      <c r="D159" s="18"/>
      <c r="E159" s="17"/>
      <c r="F159" s="22"/>
      <c r="G159"/>
    </row>
    <row r="160" spans="1:7">
      <c r="A160" s="17"/>
      <c r="B160" s="18"/>
      <c r="C160" s="17"/>
      <c r="D160" s="18"/>
      <c r="E160" s="17"/>
      <c r="F160" s="22"/>
      <c r="G160"/>
    </row>
    <row r="161" spans="1:7">
      <c r="A161" s="17"/>
      <c r="B161" s="18"/>
      <c r="C161" s="19"/>
      <c r="D161" s="18"/>
      <c r="E161" s="17"/>
      <c r="F161" s="22"/>
      <c r="G161"/>
    </row>
    <row r="162" spans="1:7">
      <c r="A162" s="17"/>
      <c r="B162" s="18"/>
      <c r="C162" s="17"/>
      <c r="D162" s="18"/>
      <c r="E162" s="17"/>
      <c r="F162" s="22"/>
      <c r="G162"/>
    </row>
    <row r="163" spans="1:7">
      <c r="A163" s="17"/>
      <c r="B163" s="18"/>
      <c r="C163" s="17"/>
      <c r="D163" s="18"/>
      <c r="E163" s="17"/>
      <c r="F163" s="22"/>
      <c r="G163"/>
    </row>
    <row r="164" spans="1:7">
      <c r="A164" s="17"/>
      <c r="B164" s="18"/>
      <c r="C164" s="17"/>
      <c r="D164" s="18"/>
      <c r="E164" s="17"/>
      <c r="F164" s="22"/>
      <c r="G164"/>
    </row>
    <row r="165" spans="1:7">
      <c r="A165" s="17"/>
      <c r="B165" s="18"/>
      <c r="C165" s="19"/>
      <c r="D165" s="18"/>
      <c r="E165" s="17"/>
      <c r="F165" s="22"/>
      <c r="G165"/>
    </row>
    <row r="166" spans="1:7">
      <c r="A166" s="17"/>
      <c r="B166" s="18"/>
      <c r="C166" s="19"/>
      <c r="D166" s="18"/>
      <c r="E166" s="17"/>
      <c r="F166" s="22"/>
      <c r="G166"/>
    </row>
    <row r="167" spans="1:7">
      <c r="A167" s="17"/>
      <c r="B167" s="18"/>
      <c r="C167" s="17"/>
      <c r="D167" s="18"/>
      <c r="E167" s="17"/>
      <c r="F167" s="22"/>
      <c r="G167"/>
    </row>
    <row r="168" spans="1:7">
      <c r="A168" s="17"/>
      <c r="B168" s="18"/>
      <c r="C168" s="19"/>
      <c r="D168" s="18"/>
      <c r="E168" s="17"/>
      <c r="F168" s="22"/>
      <c r="G168"/>
    </row>
    <row r="169" spans="1:7">
      <c r="A169" s="17"/>
      <c r="B169" s="18"/>
      <c r="C169" s="17"/>
      <c r="D169" s="18"/>
      <c r="E169" s="17"/>
      <c r="F169" s="22"/>
      <c r="G169"/>
    </row>
    <row r="170" spans="1:7">
      <c r="A170" s="17"/>
      <c r="B170" s="18"/>
      <c r="C170" s="19"/>
      <c r="D170" s="18"/>
      <c r="E170" s="17"/>
      <c r="F170" s="22"/>
      <c r="G170"/>
    </row>
    <row r="171" spans="1:7">
      <c r="A171" s="17"/>
      <c r="B171" s="18"/>
      <c r="C171" s="19"/>
      <c r="D171" s="18"/>
      <c r="E171" s="17"/>
      <c r="F171" s="22"/>
      <c r="G171"/>
    </row>
    <row r="172" spans="1:7">
      <c r="A172" s="17"/>
      <c r="B172" s="18"/>
      <c r="C172" s="19"/>
      <c r="D172" s="18"/>
      <c r="E172" s="17"/>
      <c r="F172" s="22"/>
      <c r="G172"/>
    </row>
    <row r="173" spans="1:7">
      <c r="A173" s="17"/>
      <c r="B173" s="18"/>
      <c r="C173" s="17"/>
      <c r="D173" s="18"/>
      <c r="E173" s="17"/>
      <c r="F173" s="22"/>
      <c r="G173"/>
    </row>
    <row r="174" spans="1:7">
      <c r="A174" s="17"/>
      <c r="B174" s="18"/>
      <c r="C174" s="19"/>
      <c r="D174" s="18"/>
      <c r="E174" s="17"/>
      <c r="F174" s="22"/>
      <c r="G174"/>
    </row>
    <row r="175" spans="1:7">
      <c r="A175" s="17"/>
      <c r="B175" s="18"/>
      <c r="C175" s="19"/>
      <c r="D175" s="18"/>
      <c r="E175" s="17"/>
      <c r="F175" s="22"/>
      <c r="G175"/>
    </row>
    <row r="176" spans="1:7">
      <c r="A176" s="17"/>
      <c r="B176" s="18"/>
      <c r="C176" s="19"/>
      <c r="D176" s="18"/>
      <c r="E176" s="17"/>
      <c r="F176" s="22"/>
      <c r="G176"/>
    </row>
    <row r="177" spans="1:7">
      <c r="A177" s="17"/>
      <c r="B177" s="18"/>
      <c r="C177" s="19"/>
      <c r="D177" s="18"/>
      <c r="E177" s="17"/>
      <c r="F177" s="22"/>
      <c r="G177"/>
    </row>
    <row r="178" spans="1:7">
      <c r="A178" s="17"/>
      <c r="B178" s="18"/>
      <c r="C178" s="19"/>
      <c r="D178" s="18"/>
      <c r="E178" s="17"/>
      <c r="F178" s="22"/>
      <c r="G178"/>
    </row>
    <row r="179" spans="1:7">
      <c r="A179" s="17"/>
      <c r="B179" s="18"/>
      <c r="C179" s="17"/>
      <c r="D179" s="18"/>
      <c r="E179" s="17"/>
      <c r="F179" s="22"/>
      <c r="G179"/>
    </row>
    <row r="180" spans="1:7">
      <c r="A180" s="17"/>
      <c r="B180" s="18"/>
      <c r="C180" s="17"/>
      <c r="D180" s="18"/>
      <c r="E180" s="17"/>
      <c r="F180" s="22"/>
      <c r="G180"/>
    </row>
    <row r="181" spans="1:7">
      <c r="A181" s="17"/>
      <c r="B181" s="18"/>
      <c r="C181" s="19"/>
      <c r="D181" s="18"/>
      <c r="E181" s="17"/>
      <c r="F181" s="22"/>
      <c r="G181"/>
    </row>
    <row r="182" spans="1:7">
      <c r="A182" s="17"/>
      <c r="B182" s="18"/>
      <c r="C182" s="19"/>
      <c r="D182" s="18"/>
      <c r="E182" s="17"/>
      <c r="F182" s="22"/>
      <c r="G182"/>
    </row>
    <row r="183" spans="1:7">
      <c r="A183" s="17"/>
      <c r="B183" s="18"/>
      <c r="C183" s="17"/>
      <c r="D183" s="18"/>
      <c r="E183" s="17"/>
      <c r="F183" s="22"/>
      <c r="G183"/>
    </row>
    <row r="184" spans="1:7">
      <c r="A184" s="17"/>
      <c r="B184" s="18"/>
      <c r="C184" s="17"/>
      <c r="D184" s="18"/>
      <c r="E184" s="17"/>
      <c r="F184" s="22"/>
      <c r="G184"/>
    </row>
    <row r="185" spans="1:7">
      <c r="A185" s="17"/>
      <c r="B185" s="18"/>
      <c r="C185" s="17"/>
      <c r="D185" s="18"/>
      <c r="E185" s="17"/>
      <c r="F185" s="22"/>
      <c r="G185"/>
    </row>
    <row r="186" spans="1:7">
      <c r="A186" s="17"/>
      <c r="B186" s="18"/>
      <c r="C186" s="17"/>
      <c r="D186" s="18"/>
      <c r="E186" s="17"/>
      <c r="F186" s="22"/>
      <c r="G186"/>
    </row>
    <row r="187" spans="1:7">
      <c r="A187" s="17"/>
      <c r="B187" s="18"/>
      <c r="C187" s="17"/>
      <c r="D187" s="18"/>
      <c r="E187" s="17"/>
      <c r="F187" s="22"/>
      <c r="G187"/>
    </row>
    <row r="188" spans="1:7">
      <c r="A188" s="17"/>
      <c r="B188" s="18"/>
      <c r="C188" s="17"/>
      <c r="D188" s="18"/>
      <c r="E188" s="17"/>
      <c r="F188" s="22"/>
      <c r="G188"/>
    </row>
    <row r="189" spans="1:7">
      <c r="A189" s="17"/>
      <c r="B189" s="18"/>
      <c r="C189" s="19"/>
      <c r="D189" s="18"/>
      <c r="E189" s="17"/>
      <c r="F189" s="22"/>
      <c r="G189"/>
    </row>
    <row r="190" spans="1:7">
      <c r="A190" s="17"/>
      <c r="B190" s="18"/>
      <c r="C190" s="17"/>
      <c r="D190" s="18"/>
      <c r="E190" s="17"/>
      <c r="F190" s="22"/>
      <c r="G190"/>
    </row>
    <row r="191" spans="1:7">
      <c r="A191" s="17"/>
      <c r="B191" s="18"/>
      <c r="C191" s="19"/>
      <c r="D191" s="18"/>
      <c r="E191" s="17"/>
      <c r="F191" s="22"/>
      <c r="G191"/>
    </row>
    <row r="192" spans="1:7">
      <c r="A192" s="17"/>
      <c r="B192" s="18"/>
      <c r="C192" s="17"/>
      <c r="D192" s="18"/>
      <c r="E192" s="17"/>
      <c r="F192" s="22"/>
      <c r="G192"/>
    </row>
    <row r="193" spans="1:7">
      <c r="A193" s="17"/>
      <c r="B193" s="18"/>
      <c r="C193" s="17"/>
      <c r="D193" s="18"/>
      <c r="E193" s="17"/>
      <c r="F193" s="22"/>
      <c r="G193"/>
    </row>
    <row r="194" spans="1:7">
      <c r="A194" s="17"/>
      <c r="B194" s="18"/>
      <c r="C194" s="19"/>
      <c r="D194" s="18"/>
      <c r="E194" s="17"/>
      <c r="F194" s="22"/>
      <c r="G194"/>
    </row>
    <row r="195" spans="1:7">
      <c r="A195" s="17"/>
      <c r="B195" s="18"/>
      <c r="C195" s="19"/>
      <c r="D195" s="18"/>
      <c r="E195" s="17"/>
      <c r="F195" s="22"/>
      <c r="G195"/>
    </row>
    <row r="196" spans="1:7">
      <c r="A196" s="17"/>
      <c r="B196" s="18"/>
      <c r="C196" s="19"/>
      <c r="D196" s="18"/>
      <c r="E196" s="17"/>
      <c r="F196" s="22"/>
      <c r="G196"/>
    </row>
    <row r="197" spans="1:7">
      <c r="A197" s="17"/>
      <c r="B197" s="18"/>
      <c r="C197" s="17"/>
      <c r="D197" s="18"/>
      <c r="E197" s="17"/>
      <c r="F197" s="22"/>
      <c r="G197"/>
    </row>
    <row r="198" spans="1:7">
      <c r="A198" s="17"/>
      <c r="B198" s="18"/>
      <c r="C198" s="19"/>
      <c r="D198" s="18"/>
      <c r="E198" s="17"/>
      <c r="F198" s="22"/>
      <c r="G198"/>
    </row>
    <row r="199" spans="1:7">
      <c r="A199" s="17"/>
      <c r="B199" s="18"/>
      <c r="C199" s="19"/>
      <c r="D199" s="18"/>
      <c r="E199" s="17"/>
      <c r="F199" s="22"/>
      <c r="G199"/>
    </row>
    <row r="200" spans="1:7">
      <c r="A200" s="17"/>
      <c r="B200" s="18"/>
      <c r="C200" s="19"/>
      <c r="D200" s="18"/>
      <c r="E200" s="17"/>
      <c r="F200" s="22"/>
      <c r="G200"/>
    </row>
    <row r="201" spans="1:7">
      <c r="A201" s="17"/>
      <c r="B201" s="18"/>
      <c r="C201" s="17"/>
      <c r="D201" s="18"/>
      <c r="E201" s="17"/>
      <c r="F201" s="22"/>
      <c r="G201"/>
    </row>
    <row r="202" spans="1:7">
      <c r="A202" s="17"/>
      <c r="B202" s="18"/>
      <c r="C202" s="19"/>
      <c r="D202" s="18"/>
      <c r="E202" s="17"/>
      <c r="F202" s="22"/>
      <c r="G202"/>
    </row>
    <row r="203" spans="1:7">
      <c r="A203" s="17"/>
      <c r="B203" s="18"/>
      <c r="C203" s="19"/>
      <c r="D203" s="18"/>
      <c r="E203" s="17"/>
      <c r="F203" s="22"/>
      <c r="G203"/>
    </row>
    <row r="204" spans="1:7">
      <c r="A204" s="17"/>
      <c r="B204" s="18"/>
      <c r="C204" s="19"/>
      <c r="D204" s="18"/>
      <c r="E204" s="17"/>
      <c r="F204" s="22"/>
      <c r="G204"/>
    </row>
    <row r="205" spans="1:7">
      <c r="A205" s="17"/>
      <c r="B205" s="18"/>
      <c r="C205" s="19"/>
      <c r="D205" s="18"/>
      <c r="E205" s="17"/>
      <c r="F205" s="22"/>
      <c r="G205"/>
    </row>
    <row r="206" spans="1:7">
      <c r="A206" s="17"/>
      <c r="B206" s="18"/>
      <c r="C206" s="19"/>
      <c r="D206" s="18"/>
      <c r="E206" s="17"/>
      <c r="F206" s="22"/>
      <c r="G206"/>
    </row>
    <row r="207" spans="1:7">
      <c r="A207" s="17"/>
      <c r="B207" s="18"/>
      <c r="C207" s="19"/>
      <c r="D207" s="18"/>
      <c r="E207" s="17"/>
      <c r="F207" s="22"/>
      <c r="G207"/>
    </row>
    <row r="208" spans="1:7">
      <c r="A208" s="17"/>
      <c r="B208" s="18"/>
      <c r="C208" s="19"/>
      <c r="D208" s="18"/>
      <c r="E208" s="17"/>
      <c r="F208" s="22"/>
      <c r="G208"/>
    </row>
    <row r="209" spans="1:7">
      <c r="A209" s="17"/>
      <c r="B209" s="18"/>
      <c r="C209" s="19"/>
      <c r="D209" s="18"/>
      <c r="E209" s="17"/>
      <c r="F209" s="22"/>
      <c r="G209"/>
    </row>
    <row r="210" spans="1:7">
      <c r="A210" s="17"/>
      <c r="B210" s="18"/>
      <c r="C210" s="17"/>
      <c r="D210" s="18"/>
      <c r="E210" s="17"/>
      <c r="F210" s="22"/>
      <c r="G210"/>
    </row>
    <row r="211" spans="1:7">
      <c r="A211" s="17"/>
      <c r="B211" s="18"/>
      <c r="C211" s="19"/>
      <c r="D211" s="18"/>
      <c r="E211" s="17"/>
      <c r="F211" s="22"/>
      <c r="G211"/>
    </row>
    <row r="212" spans="1:7">
      <c r="A212" s="17"/>
      <c r="B212" s="18"/>
      <c r="C212" s="17"/>
      <c r="D212" s="18"/>
      <c r="E212" s="17"/>
      <c r="F212" s="22"/>
      <c r="G212"/>
    </row>
    <row r="213" spans="1:7">
      <c r="A213" s="17"/>
      <c r="B213" s="18"/>
      <c r="C213" s="17"/>
      <c r="D213" s="18"/>
      <c r="E213" s="17"/>
      <c r="F213" s="22"/>
      <c r="G213"/>
    </row>
    <row r="214" spans="1:7">
      <c r="A214" s="17"/>
      <c r="B214" s="18"/>
      <c r="C214" s="17"/>
      <c r="D214" s="18"/>
      <c r="E214" s="17"/>
      <c r="F214" s="22"/>
      <c r="G214"/>
    </row>
    <row r="215" spans="1:7">
      <c r="A215" s="17"/>
      <c r="B215" s="18"/>
      <c r="C215" s="17"/>
      <c r="D215" s="18"/>
      <c r="E215" s="17"/>
      <c r="F215" s="22"/>
      <c r="G215"/>
    </row>
    <row r="216" spans="1:7">
      <c r="A216" s="17"/>
      <c r="B216" s="18"/>
      <c r="C216" s="17"/>
      <c r="D216" s="18"/>
      <c r="E216" s="17"/>
      <c r="F216" s="22"/>
      <c r="G216"/>
    </row>
    <row r="217" spans="1:7">
      <c r="A217" s="17"/>
      <c r="B217" s="18"/>
      <c r="C217" s="17"/>
      <c r="D217" s="18"/>
      <c r="E217" s="17"/>
      <c r="F217" s="22"/>
      <c r="G217"/>
    </row>
    <row r="218" spans="1:7">
      <c r="A218" s="17"/>
      <c r="B218" s="18"/>
      <c r="C218" s="17"/>
      <c r="D218" s="18"/>
      <c r="E218" s="17"/>
      <c r="F218" s="22"/>
      <c r="G218"/>
    </row>
    <row r="219" spans="1:7">
      <c r="A219" s="17"/>
      <c r="B219" s="18"/>
      <c r="C219" s="19"/>
      <c r="D219" s="18"/>
      <c r="E219" s="17"/>
      <c r="F219" s="22"/>
      <c r="G219"/>
    </row>
    <row r="220" spans="1:7">
      <c r="A220" s="17"/>
      <c r="B220" s="18"/>
      <c r="C220" s="19"/>
      <c r="D220" s="18"/>
      <c r="E220" s="17"/>
      <c r="F220" s="22"/>
      <c r="G220"/>
    </row>
    <row r="221" spans="1:7">
      <c r="A221" s="17"/>
      <c r="B221" s="18"/>
      <c r="C221" s="17"/>
      <c r="D221" s="18"/>
      <c r="E221" s="17"/>
      <c r="F221" s="22"/>
      <c r="G221"/>
    </row>
    <row r="222" spans="1:7">
      <c r="A222" s="17"/>
      <c r="B222" s="18"/>
      <c r="C222" s="19"/>
      <c r="D222" s="18"/>
      <c r="E222" s="17"/>
      <c r="F222" s="22"/>
      <c r="G222"/>
    </row>
    <row r="223" spans="1:7">
      <c r="A223" s="17"/>
      <c r="B223" s="18"/>
      <c r="C223" s="17"/>
      <c r="D223" s="18"/>
      <c r="E223" s="17"/>
      <c r="F223" s="22"/>
      <c r="G223"/>
    </row>
    <row r="224" spans="1:7">
      <c r="A224" s="17"/>
      <c r="B224" s="18"/>
      <c r="C224" s="17"/>
      <c r="D224" s="18"/>
      <c r="E224" s="17"/>
      <c r="F224" s="22"/>
      <c r="G224"/>
    </row>
    <row r="225" spans="1:7">
      <c r="A225" s="17"/>
      <c r="B225" s="18"/>
      <c r="C225" s="19"/>
      <c r="D225" s="18"/>
      <c r="E225" s="17"/>
      <c r="F225" s="22"/>
      <c r="G225"/>
    </row>
    <row r="226" spans="1:7">
      <c r="A226" s="17"/>
      <c r="B226" s="18"/>
      <c r="C226" s="19"/>
      <c r="D226" s="18"/>
      <c r="E226" s="17"/>
      <c r="F226" s="22"/>
      <c r="G226"/>
    </row>
    <row r="227" spans="1:7">
      <c r="A227" s="17"/>
      <c r="B227" s="18"/>
      <c r="C227" s="19"/>
      <c r="D227" s="18"/>
      <c r="E227" s="17"/>
      <c r="F227" s="22"/>
      <c r="G227"/>
    </row>
    <row r="228" spans="1:7">
      <c r="A228" s="17"/>
      <c r="B228" s="18"/>
      <c r="C228" s="17"/>
      <c r="D228" s="18"/>
      <c r="E228" s="17"/>
      <c r="F228" s="22"/>
      <c r="G228"/>
    </row>
    <row r="229" spans="1:7">
      <c r="A229" s="17"/>
      <c r="B229" s="18"/>
      <c r="C229" s="19"/>
      <c r="D229" s="18"/>
      <c r="E229" s="17"/>
      <c r="F229" s="22"/>
      <c r="G229"/>
    </row>
    <row r="230" spans="1:7">
      <c r="A230" s="17"/>
      <c r="B230" s="18"/>
      <c r="C230" s="19"/>
      <c r="D230" s="18"/>
      <c r="E230" s="17"/>
      <c r="F230" s="22"/>
      <c r="G230"/>
    </row>
    <row r="231" spans="1:7">
      <c r="A231" s="17"/>
      <c r="B231" s="18"/>
      <c r="C231" s="19"/>
      <c r="D231" s="18"/>
      <c r="E231" s="17"/>
      <c r="F231" s="22"/>
      <c r="G231"/>
    </row>
    <row r="232" spans="1:7">
      <c r="A232" s="17"/>
      <c r="B232" s="18"/>
      <c r="C232" s="19"/>
      <c r="D232" s="18"/>
      <c r="E232" s="17"/>
      <c r="F232" s="22"/>
      <c r="G232"/>
    </row>
    <row r="233" spans="1:7">
      <c r="A233" s="17"/>
      <c r="B233" s="18"/>
      <c r="C233" s="17"/>
      <c r="D233" s="18"/>
      <c r="E233" s="17"/>
      <c r="F233" s="22"/>
      <c r="G233"/>
    </row>
    <row r="234" spans="1:7">
      <c r="A234" s="17"/>
      <c r="B234" s="18"/>
      <c r="C234" s="19"/>
      <c r="D234" s="18"/>
      <c r="E234" s="17"/>
      <c r="F234" s="22"/>
      <c r="G234"/>
    </row>
    <row r="235" spans="1:7">
      <c r="A235" s="17"/>
      <c r="B235" s="18"/>
      <c r="C235" s="17"/>
      <c r="D235" s="18"/>
      <c r="E235" s="17"/>
      <c r="F235" s="22"/>
      <c r="G235"/>
    </row>
    <row r="236" spans="1:7">
      <c r="A236" s="17"/>
      <c r="B236" s="18"/>
      <c r="C236" s="19"/>
      <c r="D236" s="18"/>
      <c r="E236" s="17"/>
      <c r="F236" s="22"/>
      <c r="G236"/>
    </row>
    <row r="237" spans="1:7">
      <c r="A237" s="17"/>
      <c r="B237" s="18"/>
      <c r="C237" s="19"/>
      <c r="D237" s="18"/>
      <c r="E237" s="17"/>
      <c r="F237" s="22"/>
      <c r="G237"/>
    </row>
    <row r="238" spans="1:7">
      <c r="A238" s="17"/>
      <c r="B238" s="18"/>
      <c r="C238" s="19"/>
      <c r="D238" s="18"/>
      <c r="E238" s="17"/>
      <c r="F238" s="22"/>
      <c r="G238"/>
    </row>
    <row r="239" spans="1:7">
      <c r="A239" s="17"/>
      <c r="B239" s="18"/>
      <c r="C239" s="19"/>
      <c r="D239" s="18"/>
      <c r="E239" s="17"/>
      <c r="F239" s="22"/>
      <c r="G239"/>
    </row>
    <row r="240" spans="1:7">
      <c r="A240" s="17"/>
      <c r="B240" s="18"/>
      <c r="C240" s="17"/>
      <c r="D240" s="18"/>
      <c r="E240" s="17"/>
      <c r="F240" s="22"/>
      <c r="G240"/>
    </row>
    <row r="241" spans="1:7">
      <c r="A241" s="17"/>
      <c r="B241" s="18"/>
      <c r="C241" s="17"/>
      <c r="D241" s="18"/>
      <c r="E241" s="17"/>
      <c r="F241" s="22"/>
      <c r="G241"/>
    </row>
    <row r="242" spans="1:7">
      <c r="A242" s="17"/>
      <c r="B242" s="18"/>
      <c r="C242" s="17"/>
      <c r="D242" s="18"/>
      <c r="E242" s="17"/>
      <c r="F242" s="22"/>
      <c r="G242"/>
    </row>
    <row r="243" spans="1:7">
      <c r="A243" s="17"/>
      <c r="B243" s="18"/>
      <c r="C243" s="17"/>
      <c r="D243" s="18"/>
      <c r="E243" s="17"/>
      <c r="F243" s="22"/>
      <c r="G243"/>
    </row>
    <row r="244" spans="1:7">
      <c r="A244" s="17"/>
      <c r="B244" s="18"/>
      <c r="C244" s="17"/>
      <c r="D244" s="18"/>
      <c r="E244" s="17"/>
      <c r="F244" s="22"/>
      <c r="G244"/>
    </row>
    <row r="245" spans="1:7">
      <c r="A245" s="17"/>
      <c r="B245" s="18"/>
      <c r="C245" s="17"/>
      <c r="D245" s="18"/>
      <c r="E245" s="17"/>
      <c r="F245" s="22"/>
      <c r="G245"/>
    </row>
    <row r="246" spans="1:7">
      <c r="A246" s="17"/>
      <c r="B246" s="18"/>
      <c r="C246" s="17"/>
      <c r="D246" s="18"/>
      <c r="E246" s="17"/>
      <c r="F246" s="22"/>
      <c r="G246"/>
    </row>
    <row r="247" spans="1:7">
      <c r="A247" s="17"/>
      <c r="B247" s="18"/>
      <c r="C247" s="17"/>
      <c r="D247" s="18"/>
      <c r="E247" s="17"/>
      <c r="F247" s="22"/>
      <c r="G247"/>
    </row>
    <row r="248" spans="1:7">
      <c r="A248" s="17"/>
      <c r="B248" s="18"/>
      <c r="C248" s="19"/>
      <c r="D248" s="18"/>
      <c r="E248" s="17"/>
      <c r="F248" s="22"/>
      <c r="G248"/>
    </row>
    <row r="249" spans="1:7">
      <c r="A249" s="17"/>
      <c r="B249" s="18"/>
      <c r="C249" s="19"/>
      <c r="D249" s="18"/>
      <c r="E249" s="17"/>
      <c r="F249" s="22"/>
      <c r="G249"/>
    </row>
    <row r="250" spans="1:7">
      <c r="A250" s="17"/>
      <c r="B250" s="18"/>
      <c r="C250" s="19"/>
      <c r="D250" s="18"/>
      <c r="E250" s="17"/>
      <c r="F250" s="22"/>
      <c r="G250"/>
    </row>
    <row r="251" spans="1:7">
      <c r="A251" s="17"/>
      <c r="B251" s="18"/>
      <c r="C251" s="17"/>
      <c r="D251" s="18"/>
      <c r="E251" s="17"/>
      <c r="F251" s="22"/>
      <c r="G251"/>
    </row>
    <row r="252" spans="1:7">
      <c r="A252" s="17"/>
      <c r="B252" s="18"/>
      <c r="C252" s="19"/>
      <c r="D252" s="18"/>
      <c r="E252" s="17"/>
      <c r="F252" s="22"/>
      <c r="G252"/>
    </row>
    <row r="253" spans="1:7">
      <c r="A253" s="17"/>
      <c r="B253" s="18"/>
      <c r="C253" s="19"/>
      <c r="D253" s="18"/>
      <c r="E253" s="17"/>
      <c r="F253" s="22"/>
      <c r="G253"/>
    </row>
    <row r="254" spans="1:7">
      <c r="A254" s="17"/>
      <c r="B254" s="18"/>
      <c r="C254" s="19"/>
      <c r="D254" s="18"/>
      <c r="E254" s="17"/>
      <c r="F254" s="22"/>
      <c r="G254"/>
    </row>
    <row r="255" spans="1:7">
      <c r="A255" s="17"/>
      <c r="B255" s="18"/>
      <c r="C255" s="17"/>
      <c r="D255" s="18"/>
      <c r="E255" s="17"/>
      <c r="F255" s="22"/>
      <c r="G255"/>
    </row>
    <row r="256" spans="1:7">
      <c r="A256" s="17"/>
      <c r="B256" s="18"/>
      <c r="C256" s="17"/>
      <c r="D256" s="18"/>
      <c r="E256" s="17"/>
      <c r="F256" s="22"/>
      <c r="G256"/>
    </row>
    <row r="257" spans="1:7">
      <c r="A257" s="17"/>
      <c r="B257" s="18"/>
      <c r="C257" s="19"/>
      <c r="D257" s="18"/>
      <c r="E257" s="17"/>
      <c r="F257" s="22"/>
      <c r="G257"/>
    </row>
    <row r="258" spans="1:7">
      <c r="A258" s="17"/>
      <c r="B258" s="18"/>
      <c r="C258" s="19"/>
      <c r="D258" s="18"/>
      <c r="E258" s="17"/>
      <c r="F258" s="22"/>
      <c r="G258"/>
    </row>
    <row r="259" spans="1:7">
      <c r="A259" s="17"/>
      <c r="B259" s="18"/>
      <c r="C259" s="19"/>
      <c r="D259" s="18"/>
      <c r="E259" s="17"/>
      <c r="F259" s="22"/>
      <c r="G259"/>
    </row>
    <row r="260" spans="1:7">
      <c r="A260" s="17"/>
      <c r="B260" s="18"/>
      <c r="C260" s="19"/>
      <c r="D260" s="18"/>
      <c r="E260" s="17"/>
      <c r="F260" s="22"/>
      <c r="G260"/>
    </row>
    <row r="261" spans="1:7">
      <c r="A261" s="17"/>
      <c r="B261" s="18"/>
      <c r="C261" s="17"/>
      <c r="D261" s="18"/>
      <c r="E261" s="17"/>
      <c r="F261" s="22"/>
      <c r="G261"/>
    </row>
    <row r="262" spans="1:7">
      <c r="A262" s="17"/>
      <c r="B262" s="18"/>
      <c r="C262" s="19"/>
      <c r="D262" s="18"/>
      <c r="E262" s="17"/>
      <c r="F262" s="22"/>
      <c r="G262"/>
    </row>
    <row r="263" spans="1:7">
      <c r="A263" s="17"/>
      <c r="B263" s="18"/>
      <c r="C263" s="19"/>
      <c r="D263" s="18"/>
      <c r="E263" s="17"/>
      <c r="F263" s="22"/>
      <c r="G263"/>
    </row>
    <row r="264" spans="1:7">
      <c r="A264" s="17"/>
      <c r="B264" s="18"/>
      <c r="C264" s="19"/>
      <c r="D264" s="18"/>
      <c r="E264" s="17"/>
      <c r="F264" s="22"/>
      <c r="G264"/>
    </row>
    <row r="265" spans="1:7">
      <c r="A265" s="17"/>
      <c r="B265" s="18"/>
      <c r="C265" s="19"/>
      <c r="D265" s="18"/>
      <c r="E265" s="17"/>
      <c r="F265" s="22"/>
      <c r="G265"/>
    </row>
    <row r="266" spans="1:7">
      <c r="A266" s="17"/>
      <c r="B266" s="18"/>
      <c r="C266" s="17"/>
      <c r="D266" s="18"/>
      <c r="E266" s="17"/>
      <c r="F266" s="22"/>
      <c r="G266"/>
    </row>
    <row r="267" spans="1:7">
      <c r="A267" s="17"/>
      <c r="B267" s="18"/>
      <c r="C267" s="19"/>
      <c r="D267" s="18"/>
      <c r="E267" s="17"/>
      <c r="F267" s="22"/>
      <c r="G267"/>
    </row>
    <row r="268" spans="1:7">
      <c r="A268" s="17"/>
      <c r="B268" s="18"/>
      <c r="C268" s="17"/>
      <c r="D268" s="18"/>
      <c r="E268" s="17"/>
      <c r="F268" s="22"/>
      <c r="G268"/>
    </row>
    <row r="269" spans="1:7">
      <c r="A269" s="17"/>
      <c r="B269" s="18"/>
      <c r="C269" s="17"/>
      <c r="D269" s="18"/>
      <c r="E269" s="17"/>
      <c r="F269" s="22"/>
      <c r="G269"/>
    </row>
    <row r="270" spans="1:7">
      <c r="A270" s="17"/>
      <c r="B270" s="18"/>
      <c r="C270" s="17"/>
      <c r="D270" s="18"/>
      <c r="E270" s="17"/>
      <c r="F270" s="22"/>
      <c r="G270"/>
    </row>
    <row r="271" spans="1:7">
      <c r="A271" s="17"/>
      <c r="B271" s="18"/>
      <c r="C271" s="17"/>
      <c r="D271" s="18"/>
      <c r="E271" s="17"/>
      <c r="F271" s="22"/>
      <c r="G271"/>
    </row>
    <row r="272" spans="1:7">
      <c r="A272" s="17"/>
      <c r="B272" s="18"/>
      <c r="C272" s="17"/>
      <c r="D272" s="18"/>
      <c r="E272" s="17"/>
      <c r="F272" s="22"/>
      <c r="G272"/>
    </row>
    <row r="273" spans="1:7">
      <c r="A273" s="17"/>
      <c r="B273" s="18"/>
      <c r="C273" s="17"/>
      <c r="D273" s="18"/>
      <c r="E273" s="17"/>
      <c r="F273" s="22"/>
      <c r="G273"/>
    </row>
    <row r="274" spans="1:7">
      <c r="A274" s="17"/>
      <c r="B274" s="18"/>
      <c r="C274" s="17"/>
      <c r="D274" s="18"/>
      <c r="E274" s="17"/>
      <c r="F274" s="22"/>
      <c r="G274"/>
    </row>
    <row r="275" spans="1:7">
      <c r="A275" s="17"/>
      <c r="B275" s="18"/>
      <c r="C275" s="17"/>
      <c r="D275" s="18"/>
      <c r="E275" s="17"/>
      <c r="F275" s="22"/>
      <c r="G275"/>
    </row>
    <row r="276" spans="1:7">
      <c r="A276" s="17"/>
      <c r="B276" s="18"/>
      <c r="C276" s="19"/>
      <c r="D276" s="18"/>
      <c r="E276" s="17"/>
      <c r="F276" s="22"/>
      <c r="G276"/>
    </row>
    <row r="277" spans="1:7">
      <c r="A277" s="17"/>
      <c r="B277" s="18"/>
      <c r="C277" s="17"/>
      <c r="D277" s="18"/>
      <c r="E277" s="17"/>
      <c r="F277" s="22"/>
      <c r="G277"/>
    </row>
    <row r="278" spans="1:7">
      <c r="A278" s="17"/>
      <c r="B278" s="18"/>
      <c r="C278" s="19"/>
      <c r="D278" s="18"/>
      <c r="E278" s="17"/>
      <c r="F278" s="22"/>
      <c r="G278"/>
    </row>
    <row r="279" spans="1:7">
      <c r="A279" s="17"/>
      <c r="B279" s="18"/>
      <c r="C279" s="17"/>
      <c r="D279" s="18"/>
      <c r="E279" s="17"/>
      <c r="F279" s="22"/>
      <c r="G279"/>
    </row>
    <row r="280" spans="1:7">
      <c r="A280" s="17"/>
      <c r="B280" s="18"/>
      <c r="C280" s="17"/>
      <c r="D280" s="18"/>
      <c r="E280" s="17"/>
      <c r="F280" s="22"/>
      <c r="G280"/>
    </row>
    <row r="281" spans="1:7">
      <c r="A281" s="17"/>
      <c r="B281" s="18"/>
      <c r="C281" s="19"/>
      <c r="D281" s="18"/>
      <c r="E281" s="17"/>
      <c r="F281" s="22"/>
      <c r="G281"/>
    </row>
    <row r="282" spans="1:7">
      <c r="A282" s="17"/>
      <c r="B282" s="18"/>
      <c r="C282" s="17"/>
      <c r="D282" s="18"/>
      <c r="E282" s="17"/>
      <c r="F282" s="22"/>
      <c r="G282"/>
    </row>
    <row r="283" spans="1:7">
      <c r="A283" s="17"/>
      <c r="B283" s="18"/>
      <c r="C283" s="17"/>
      <c r="D283" s="18"/>
      <c r="E283" s="17"/>
      <c r="F283" s="22"/>
      <c r="G283"/>
    </row>
    <row r="284" spans="1:7">
      <c r="A284" s="17"/>
      <c r="B284" s="18"/>
      <c r="C284" s="19"/>
      <c r="D284" s="18"/>
      <c r="E284" s="17"/>
      <c r="F284" s="22"/>
      <c r="G284"/>
    </row>
    <row r="285" spans="1:7">
      <c r="A285" s="17"/>
      <c r="B285" s="18"/>
      <c r="C285" s="19"/>
      <c r="D285" s="18"/>
      <c r="E285" s="17"/>
      <c r="F285" s="22"/>
      <c r="G285"/>
    </row>
    <row r="286" spans="1:7">
      <c r="A286" s="17"/>
      <c r="B286" s="18"/>
      <c r="C286" s="19"/>
      <c r="D286" s="18"/>
      <c r="E286" s="17"/>
      <c r="F286" s="22"/>
      <c r="G286"/>
    </row>
    <row r="287" spans="1:7">
      <c r="A287" s="17"/>
      <c r="B287" s="18"/>
      <c r="C287" s="19"/>
      <c r="D287" s="18"/>
      <c r="E287" s="17"/>
      <c r="F287" s="22"/>
      <c r="G287"/>
    </row>
    <row r="288" spans="1:7">
      <c r="A288" s="17"/>
      <c r="B288" s="18"/>
      <c r="C288" s="19"/>
      <c r="D288" s="18"/>
      <c r="E288" s="17"/>
      <c r="F288" s="22"/>
      <c r="G288"/>
    </row>
    <row r="289" spans="1:7">
      <c r="A289" s="17"/>
      <c r="B289" s="18"/>
      <c r="C289" s="17"/>
      <c r="D289" s="18"/>
      <c r="E289" s="17"/>
      <c r="F289" s="22"/>
      <c r="G289"/>
    </row>
    <row r="290" spans="1:7">
      <c r="A290" s="17"/>
      <c r="B290" s="18"/>
      <c r="C290" s="19"/>
      <c r="D290" s="18"/>
      <c r="E290" s="17"/>
      <c r="F290" s="22"/>
      <c r="G290"/>
    </row>
    <row r="291" spans="1:7">
      <c r="A291" s="17"/>
      <c r="B291" s="18"/>
      <c r="C291" s="19"/>
      <c r="D291" s="18"/>
      <c r="E291" s="17"/>
      <c r="F291" s="22"/>
      <c r="G291"/>
    </row>
    <row r="292" spans="1:7">
      <c r="A292" s="17"/>
      <c r="B292" s="18"/>
      <c r="C292" s="19"/>
      <c r="D292" s="18"/>
      <c r="E292" s="17"/>
      <c r="F292" s="22"/>
      <c r="G292"/>
    </row>
    <row r="293" spans="1:7">
      <c r="A293" s="17"/>
      <c r="B293" s="18"/>
      <c r="C293" s="19"/>
      <c r="D293" s="18"/>
      <c r="E293" s="17"/>
      <c r="F293" s="22"/>
      <c r="G293"/>
    </row>
    <row r="294" spans="1:7">
      <c r="A294" s="17"/>
      <c r="B294" s="18"/>
      <c r="C294" s="17"/>
      <c r="D294" s="18"/>
      <c r="E294" s="17"/>
      <c r="F294" s="22"/>
      <c r="G294"/>
    </row>
    <row r="295" spans="1:7">
      <c r="A295" s="17"/>
      <c r="B295" s="18"/>
      <c r="C295" s="19"/>
      <c r="D295" s="18"/>
      <c r="E295" s="17"/>
      <c r="F295" s="22"/>
      <c r="G295"/>
    </row>
    <row r="296" spans="1:7">
      <c r="A296" s="17"/>
      <c r="B296" s="18"/>
      <c r="C296" s="17"/>
      <c r="D296" s="18"/>
      <c r="E296" s="17"/>
      <c r="F296" s="22"/>
      <c r="G296"/>
    </row>
    <row r="297" spans="1:7">
      <c r="A297" s="17"/>
      <c r="B297" s="18"/>
      <c r="C297" s="17"/>
      <c r="D297" s="18"/>
      <c r="E297" s="17"/>
      <c r="F297" s="22"/>
      <c r="G297"/>
    </row>
    <row r="298" spans="1:7">
      <c r="A298" s="17"/>
      <c r="B298" s="18"/>
      <c r="C298" s="17"/>
      <c r="D298" s="18"/>
      <c r="E298" s="17"/>
      <c r="F298" s="22"/>
      <c r="G298"/>
    </row>
    <row r="299" spans="1:7">
      <c r="A299" s="17"/>
      <c r="B299" s="18"/>
      <c r="C299" s="17"/>
      <c r="D299" s="18"/>
      <c r="E299" s="17"/>
      <c r="F299" s="22"/>
      <c r="G299"/>
    </row>
    <row r="300" spans="1:7">
      <c r="A300" s="17"/>
      <c r="B300" s="18"/>
      <c r="C300" s="17"/>
      <c r="D300" s="18"/>
      <c r="E300" s="17"/>
      <c r="F300" s="22"/>
      <c r="G300"/>
    </row>
    <row r="301" spans="1:7">
      <c r="A301" s="17"/>
      <c r="B301" s="18"/>
      <c r="C301" s="17"/>
      <c r="D301" s="18"/>
      <c r="E301" s="17"/>
      <c r="F301" s="22"/>
      <c r="G301"/>
    </row>
    <row r="302" spans="1:7">
      <c r="A302" s="17"/>
      <c r="B302" s="18"/>
      <c r="C302" s="17"/>
      <c r="D302" s="18"/>
      <c r="E302" s="17"/>
      <c r="F302" s="22"/>
      <c r="G302"/>
    </row>
    <row r="303" spans="1:7">
      <c r="A303" s="17"/>
      <c r="B303" s="18"/>
      <c r="C303" s="19"/>
      <c r="D303" s="18"/>
      <c r="E303" s="17"/>
      <c r="F303" s="22"/>
      <c r="G303"/>
    </row>
    <row r="304" spans="1:7">
      <c r="A304" s="17"/>
      <c r="B304" s="18"/>
      <c r="C304" s="19"/>
      <c r="D304" s="18"/>
      <c r="E304" s="17"/>
      <c r="F304" s="22"/>
      <c r="G304"/>
    </row>
    <row r="305" spans="1:7">
      <c r="A305" s="17"/>
      <c r="B305" s="18"/>
      <c r="C305" s="17"/>
      <c r="D305" s="18"/>
      <c r="E305" s="17"/>
      <c r="F305" s="22"/>
      <c r="G305"/>
    </row>
    <row r="306" spans="1:7">
      <c r="A306" s="17"/>
      <c r="B306" s="18"/>
      <c r="C306" s="19"/>
      <c r="D306" s="18"/>
      <c r="E306" s="17"/>
      <c r="F306" s="22"/>
      <c r="G306"/>
    </row>
    <row r="307" spans="1:7">
      <c r="A307" s="17"/>
      <c r="B307" s="18"/>
      <c r="C307" s="17"/>
      <c r="D307" s="18"/>
      <c r="E307" s="17"/>
      <c r="F307" s="22"/>
      <c r="G307"/>
    </row>
    <row r="308" spans="1:7">
      <c r="A308" s="17"/>
      <c r="B308" s="18"/>
      <c r="C308" s="19"/>
      <c r="D308" s="18"/>
      <c r="E308" s="17"/>
      <c r="F308" s="22"/>
      <c r="G308"/>
    </row>
    <row r="309" spans="1:7">
      <c r="A309" s="17"/>
      <c r="B309" s="18"/>
      <c r="C309" s="19"/>
      <c r="D309" s="18"/>
      <c r="E309" s="17"/>
      <c r="F309" s="22"/>
      <c r="G309"/>
    </row>
    <row r="310" spans="1:7">
      <c r="A310" s="17"/>
      <c r="B310" s="18"/>
      <c r="C310" s="19"/>
      <c r="D310" s="18"/>
      <c r="E310" s="17"/>
      <c r="F310" s="22"/>
      <c r="G310"/>
    </row>
    <row r="311" spans="1:7">
      <c r="A311" s="17"/>
      <c r="B311" s="18"/>
      <c r="C311" s="19"/>
      <c r="D311" s="18"/>
      <c r="E311" s="17"/>
      <c r="F311" s="22"/>
      <c r="G311"/>
    </row>
    <row r="312" spans="1:7">
      <c r="A312" s="17"/>
      <c r="B312" s="18"/>
      <c r="C312" s="17"/>
      <c r="D312" s="18"/>
      <c r="E312" s="17"/>
      <c r="F312" s="22"/>
      <c r="G312"/>
    </row>
    <row r="313" spans="1:7">
      <c r="A313" s="17"/>
      <c r="B313" s="18"/>
      <c r="C313" s="19"/>
      <c r="D313" s="18"/>
      <c r="E313" s="17"/>
      <c r="F313" s="22"/>
      <c r="G313"/>
    </row>
    <row r="314" spans="1:7">
      <c r="A314" s="17"/>
      <c r="B314" s="18"/>
      <c r="C314" s="19"/>
      <c r="D314" s="18"/>
      <c r="E314" s="17"/>
      <c r="F314" s="22"/>
      <c r="G314"/>
    </row>
    <row r="315" spans="1:7">
      <c r="A315" s="17"/>
      <c r="B315" s="18"/>
      <c r="C315" s="19"/>
      <c r="D315" s="18"/>
      <c r="E315" s="17"/>
      <c r="F315" s="22"/>
      <c r="G315"/>
    </row>
    <row r="316" spans="1:7">
      <c r="A316" s="17"/>
      <c r="B316" s="18"/>
      <c r="C316" s="19"/>
      <c r="D316" s="18"/>
      <c r="E316" s="17"/>
      <c r="F316" s="22"/>
      <c r="G316"/>
    </row>
    <row r="317" spans="1:7">
      <c r="A317" s="17"/>
      <c r="B317" s="18"/>
      <c r="C317" s="19"/>
      <c r="D317" s="18"/>
      <c r="E317" s="17"/>
      <c r="F317" s="22"/>
      <c r="G317"/>
    </row>
    <row r="318" spans="1:7">
      <c r="A318" s="17"/>
      <c r="B318" s="18"/>
      <c r="C318" s="19"/>
      <c r="D318" s="18"/>
      <c r="E318" s="17"/>
      <c r="F318" s="22"/>
      <c r="G318"/>
    </row>
    <row r="319" spans="1:7">
      <c r="A319" s="17"/>
      <c r="B319" s="18"/>
      <c r="C319" s="19"/>
      <c r="D319" s="18"/>
      <c r="E319" s="17"/>
      <c r="F319" s="22"/>
      <c r="G319"/>
    </row>
    <row r="320" spans="1:7">
      <c r="A320" s="17"/>
      <c r="B320" s="18"/>
      <c r="C320" s="19"/>
      <c r="D320" s="18"/>
      <c r="E320" s="17"/>
      <c r="F320" s="22"/>
      <c r="G320"/>
    </row>
    <row r="321" spans="1:7">
      <c r="A321" s="17"/>
      <c r="B321" s="18"/>
      <c r="C321" s="17"/>
      <c r="D321" s="18"/>
      <c r="E321" s="17"/>
      <c r="F321" s="22"/>
      <c r="G321"/>
    </row>
    <row r="322" spans="1:7">
      <c r="A322" s="17"/>
      <c r="B322" s="18"/>
      <c r="C322" s="17"/>
      <c r="D322" s="18"/>
      <c r="E322" s="17"/>
      <c r="F322" s="22"/>
      <c r="G322"/>
    </row>
    <row r="323" spans="1:7">
      <c r="A323" s="17"/>
      <c r="B323" s="18"/>
      <c r="C323" s="19"/>
      <c r="D323" s="18"/>
      <c r="E323" s="17"/>
      <c r="F323" s="22"/>
      <c r="G323"/>
    </row>
    <row r="324" spans="1:7">
      <c r="A324" s="17"/>
      <c r="B324" s="18"/>
      <c r="C324" s="17"/>
      <c r="D324" s="18"/>
      <c r="E324" s="17"/>
      <c r="F324" s="22"/>
      <c r="G324"/>
    </row>
    <row r="325" spans="1:7">
      <c r="A325" s="17"/>
      <c r="B325" s="18"/>
      <c r="C325" s="17"/>
      <c r="D325" s="18"/>
      <c r="E325" s="17"/>
      <c r="F325" s="22"/>
      <c r="G325"/>
    </row>
    <row r="326" spans="1:7">
      <c r="A326" s="17"/>
      <c r="B326" s="18"/>
      <c r="C326" s="17"/>
      <c r="D326" s="18"/>
      <c r="E326" s="17"/>
      <c r="F326" s="22"/>
      <c r="G326"/>
    </row>
    <row r="327" spans="1:7">
      <c r="A327" s="17"/>
      <c r="B327" s="18"/>
      <c r="C327" s="17"/>
      <c r="D327" s="18"/>
      <c r="E327" s="17"/>
      <c r="F327" s="22"/>
      <c r="G327"/>
    </row>
    <row r="328" spans="1:7">
      <c r="A328" s="17"/>
      <c r="B328" s="18"/>
      <c r="C328" s="17"/>
      <c r="D328" s="18"/>
      <c r="E328" s="17"/>
      <c r="F328" s="22"/>
      <c r="G328"/>
    </row>
    <row r="329" spans="1:7">
      <c r="A329" s="17"/>
      <c r="B329" s="18"/>
      <c r="C329" s="17"/>
      <c r="D329" s="18"/>
      <c r="E329" s="17"/>
      <c r="F329" s="22"/>
      <c r="G329"/>
    </row>
    <row r="330" spans="1:7">
      <c r="A330" s="17"/>
      <c r="B330" s="18"/>
      <c r="C330" s="17"/>
      <c r="D330" s="18"/>
      <c r="E330" s="17"/>
      <c r="F330" s="22"/>
      <c r="G330"/>
    </row>
    <row r="331" spans="1:7">
      <c r="A331" s="17"/>
      <c r="B331" s="18"/>
      <c r="C331" s="17"/>
      <c r="D331" s="18"/>
      <c r="E331" s="17"/>
      <c r="F331" s="22"/>
      <c r="G331"/>
    </row>
    <row r="332" spans="1:7">
      <c r="A332" s="17"/>
      <c r="B332" s="18"/>
      <c r="C332" s="19"/>
      <c r="D332" s="18"/>
      <c r="E332" s="17"/>
      <c r="F332" s="22"/>
      <c r="G332"/>
    </row>
    <row r="333" spans="1:7">
      <c r="A333" s="17"/>
      <c r="B333" s="18"/>
      <c r="C333" s="19"/>
      <c r="D333" s="18"/>
      <c r="E333" s="17"/>
      <c r="F333" s="22"/>
      <c r="G333"/>
    </row>
    <row r="334" spans="1:7">
      <c r="A334" s="17"/>
      <c r="B334" s="18"/>
      <c r="C334" s="19"/>
      <c r="D334" s="18"/>
      <c r="E334" s="17"/>
      <c r="F334" s="22"/>
      <c r="G334"/>
    </row>
    <row r="335" spans="1:7">
      <c r="A335" s="17"/>
      <c r="B335" s="18"/>
      <c r="C335" s="19"/>
      <c r="D335" s="18"/>
      <c r="E335" s="17"/>
      <c r="F335" s="22"/>
      <c r="G335"/>
    </row>
    <row r="336" spans="1:7">
      <c r="A336" s="17"/>
      <c r="B336" s="18"/>
      <c r="C336" s="17"/>
      <c r="D336" s="18"/>
      <c r="E336" s="17"/>
      <c r="F336" s="22"/>
      <c r="G336"/>
    </row>
    <row r="337" spans="1:7">
      <c r="A337" s="17"/>
      <c r="B337" s="18"/>
      <c r="C337" s="19"/>
      <c r="D337" s="18"/>
      <c r="E337" s="17"/>
      <c r="F337" s="22"/>
      <c r="G337"/>
    </row>
    <row r="338" spans="1:7">
      <c r="A338" s="17"/>
      <c r="B338" s="18"/>
      <c r="C338" s="19"/>
      <c r="D338" s="18"/>
      <c r="E338" s="17"/>
      <c r="F338" s="22"/>
      <c r="G338"/>
    </row>
    <row r="339" spans="1:7">
      <c r="A339" s="17"/>
      <c r="B339" s="18"/>
      <c r="C339" s="19"/>
      <c r="D339" s="18"/>
      <c r="E339" s="17"/>
      <c r="F339" s="22"/>
      <c r="G339"/>
    </row>
    <row r="340" spans="1:7">
      <c r="A340" s="17"/>
      <c r="B340" s="18"/>
      <c r="C340" s="19"/>
      <c r="D340" s="18"/>
      <c r="E340" s="17"/>
      <c r="F340" s="22"/>
      <c r="G340"/>
    </row>
    <row r="341" spans="1:7">
      <c r="A341" s="17"/>
      <c r="B341" s="18"/>
      <c r="C341" s="17"/>
      <c r="D341" s="18"/>
      <c r="E341" s="17"/>
      <c r="F341" s="22"/>
      <c r="G341"/>
    </row>
    <row r="342" spans="1:7">
      <c r="A342" s="17"/>
      <c r="B342" s="18"/>
      <c r="C342" s="19"/>
      <c r="D342" s="18"/>
      <c r="E342" s="17"/>
      <c r="F342" s="22"/>
      <c r="G342"/>
    </row>
    <row r="343" spans="1:7">
      <c r="A343" s="17"/>
      <c r="B343" s="18"/>
      <c r="C343" s="19"/>
      <c r="D343" s="18"/>
      <c r="E343" s="17"/>
      <c r="F343" s="22"/>
      <c r="G343"/>
    </row>
    <row r="344" spans="1:7">
      <c r="A344" s="17"/>
      <c r="B344" s="18"/>
      <c r="C344" s="19"/>
      <c r="D344" s="18"/>
      <c r="E344" s="17"/>
      <c r="F344" s="22"/>
      <c r="G344"/>
    </row>
    <row r="345" spans="1:7">
      <c r="A345" s="17"/>
      <c r="B345" s="18"/>
      <c r="C345" s="19"/>
      <c r="D345" s="18"/>
      <c r="E345" s="17"/>
      <c r="F345" s="22"/>
      <c r="G345"/>
    </row>
    <row r="346" spans="1:7">
      <c r="A346" s="17"/>
      <c r="B346" s="18"/>
      <c r="C346" s="19"/>
      <c r="D346" s="18"/>
      <c r="E346" s="17"/>
      <c r="F346" s="22"/>
      <c r="G346"/>
    </row>
    <row r="347" spans="1:7">
      <c r="A347" s="17"/>
      <c r="B347" s="18"/>
      <c r="C347" s="19"/>
      <c r="D347" s="18"/>
      <c r="E347" s="17"/>
      <c r="F347" s="22"/>
      <c r="G347"/>
    </row>
    <row r="348" spans="1:7">
      <c r="A348" s="17"/>
      <c r="B348" s="18"/>
      <c r="C348" s="19"/>
      <c r="D348" s="18"/>
      <c r="E348" s="17"/>
      <c r="F348" s="22"/>
      <c r="G348"/>
    </row>
    <row r="349" spans="1:7">
      <c r="A349" s="17"/>
      <c r="B349" s="18"/>
      <c r="C349" s="17"/>
      <c r="D349" s="18"/>
      <c r="E349" s="17"/>
      <c r="F349" s="22"/>
      <c r="G349"/>
    </row>
    <row r="350" spans="1:7">
      <c r="A350" s="17"/>
      <c r="B350" s="18"/>
      <c r="C350" s="19"/>
      <c r="D350" s="18"/>
      <c r="E350" s="17"/>
      <c r="F350" s="22"/>
      <c r="G350"/>
    </row>
    <row r="351" spans="1:7">
      <c r="A351" s="17"/>
      <c r="B351" s="18"/>
      <c r="C351" s="19"/>
      <c r="D351" s="18"/>
      <c r="E351" s="17"/>
      <c r="F351" s="22"/>
      <c r="G351"/>
    </row>
    <row r="352" spans="1:7">
      <c r="A352" s="17"/>
      <c r="B352" s="18"/>
      <c r="C352" s="17"/>
      <c r="D352" s="18"/>
      <c r="E352" s="17"/>
      <c r="F352" s="22"/>
      <c r="G352"/>
    </row>
    <row r="353" spans="1:7">
      <c r="A353" s="17"/>
      <c r="B353" s="18"/>
      <c r="C353" s="17"/>
      <c r="D353" s="18"/>
      <c r="E353" s="17"/>
      <c r="F353" s="22"/>
      <c r="G353"/>
    </row>
    <row r="354" spans="1:7">
      <c r="A354" s="17"/>
      <c r="B354" s="18"/>
      <c r="C354" s="17"/>
      <c r="D354" s="18"/>
      <c r="E354" s="17"/>
      <c r="F354" s="22"/>
      <c r="G354"/>
    </row>
    <row r="355" spans="1:7">
      <c r="A355" s="17"/>
      <c r="B355" s="18"/>
      <c r="C355" s="17"/>
      <c r="D355" s="18"/>
      <c r="E355" s="17"/>
      <c r="F355" s="22"/>
      <c r="G355"/>
    </row>
    <row r="356" spans="1:7">
      <c r="A356" s="17"/>
      <c r="B356" s="18"/>
      <c r="C356" s="17"/>
      <c r="D356" s="18"/>
      <c r="E356" s="17"/>
      <c r="F356" s="22"/>
      <c r="G356"/>
    </row>
    <row r="357" spans="1:7">
      <c r="A357" s="17"/>
      <c r="B357" s="18"/>
      <c r="C357" s="17"/>
      <c r="D357" s="18"/>
      <c r="E357" s="17"/>
      <c r="F357" s="22"/>
      <c r="G357"/>
    </row>
    <row r="358" spans="1:7">
      <c r="A358" s="17"/>
      <c r="B358" s="18"/>
      <c r="C358" s="17"/>
      <c r="D358" s="18"/>
      <c r="E358" s="17"/>
      <c r="F358" s="22"/>
      <c r="G358"/>
    </row>
    <row r="359" spans="1:7">
      <c r="A359" s="17"/>
      <c r="B359" s="18"/>
      <c r="C359" s="19"/>
      <c r="D359" s="18"/>
      <c r="E359" s="17"/>
      <c r="F359" s="22"/>
      <c r="G359"/>
    </row>
    <row r="360" spans="1:7">
      <c r="A360" s="17"/>
      <c r="B360" s="18"/>
      <c r="C360" s="19"/>
      <c r="D360" s="18"/>
      <c r="E360" s="17"/>
      <c r="F360" s="22"/>
      <c r="G360"/>
    </row>
    <row r="361" spans="1:7">
      <c r="A361" s="17"/>
      <c r="B361" s="18"/>
      <c r="C361" s="19"/>
      <c r="D361" s="18"/>
      <c r="E361" s="17"/>
      <c r="F361" s="22"/>
      <c r="G361"/>
    </row>
    <row r="362" spans="1:7">
      <c r="A362" s="17"/>
      <c r="B362" s="18"/>
      <c r="C362" s="19"/>
      <c r="D362" s="18"/>
      <c r="E362" s="17"/>
      <c r="F362" s="22"/>
      <c r="G362"/>
    </row>
    <row r="363" spans="1:7">
      <c r="A363" s="17"/>
      <c r="B363" s="18"/>
      <c r="C363" s="17"/>
      <c r="D363" s="18"/>
      <c r="E363" s="17"/>
      <c r="F363" s="22"/>
      <c r="G363"/>
    </row>
    <row r="364" spans="1:7">
      <c r="A364" s="17"/>
      <c r="B364" s="18"/>
      <c r="C364" s="19"/>
      <c r="D364" s="18"/>
      <c r="E364" s="17"/>
      <c r="F364" s="22"/>
      <c r="G364"/>
    </row>
    <row r="365" spans="1:7">
      <c r="A365" s="17"/>
      <c r="B365" s="18"/>
      <c r="C365" s="19"/>
      <c r="D365" s="18"/>
      <c r="E365" s="17"/>
      <c r="F365" s="22"/>
      <c r="G365"/>
    </row>
    <row r="366" spans="1:7">
      <c r="A366" s="17"/>
      <c r="B366" s="18"/>
      <c r="C366" s="17"/>
      <c r="D366" s="18"/>
      <c r="E366" s="17"/>
      <c r="F366" s="22"/>
      <c r="G366"/>
    </row>
    <row r="367" spans="1:7">
      <c r="A367" s="17"/>
      <c r="B367" s="18"/>
      <c r="C367" s="19"/>
      <c r="D367" s="18"/>
      <c r="E367" s="17"/>
      <c r="F367" s="22"/>
      <c r="G367"/>
    </row>
    <row r="368" spans="1:7">
      <c r="A368" s="17"/>
      <c r="B368" s="18"/>
      <c r="C368" s="19"/>
      <c r="D368" s="18"/>
      <c r="E368" s="17"/>
      <c r="F368" s="22"/>
      <c r="G368"/>
    </row>
    <row r="369" spans="1:7">
      <c r="A369" s="17"/>
      <c r="B369" s="18"/>
      <c r="C369" s="19"/>
      <c r="D369" s="18"/>
      <c r="E369" s="17"/>
      <c r="F369" s="22"/>
      <c r="G369"/>
    </row>
    <row r="370" spans="1:7">
      <c r="A370" s="17"/>
      <c r="B370" s="18"/>
      <c r="C370" s="17"/>
      <c r="D370" s="18"/>
      <c r="E370" s="17"/>
      <c r="F370" s="22"/>
      <c r="G370"/>
    </row>
    <row r="371" spans="1:7">
      <c r="A371" s="17"/>
      <c r="B371" s="18"/>
      <c r="C371" s="19"/>
      <c r="D371" s="18"/>
      <c r="E371" s="17"/>
      <c r="F371" s="22"/>
      <c r="G371"/>
    </row>
    <row r="372" spans="1:7">
      <c r="A372" s="17"/>
      <c r="B372" s="18"/>
      <c r="C372" s="19"/>
      <c r="D372" s="18"/>
      <c r="E372" s="17"/>
      <c r="F372" s="22"/>
      <c r="G372"/>
    </row>
    <row r="373" spans="1:7">
      <c r="A373" s="17"/>
      <c r="B373" s="18"/>
      <c r="C373" s="19"/>
      <c r="D373" s="18"/>
      <c r="E373" s="17"/>
      <c r="F373" s="22"/>
      <c r="G373"/>
    </row>
    <row r="374" spans="1:7">
      <c r="A374" s="17"/>
      <c r="B374" s="18"/>
      <c r="C374" s="19"/>
      <c r="D374" s="18"/>
      <c r="E374" s="17"/>
      <c r="F374" s="22"/>
      <c r="G374"/>
    </row>
    <row r="375" spans="1:7">
      <c r="A375" s="17"/>
      <c r="B375" s="18"/>
      <c r="C375" s="19"/>
      <c r="D375" s="18"/>
      <c r="E375" s="17"/>
      <c r="F375" s="22"/>
      <c r="G375"/>
    </row>
    <row r="376" spans="1:7">
      <c r="A376" s="17"/>
      <c r="B376" s="18"/>
      <c r="C376" s="17"/>
      <c r="D376" s="18"/>
      <c r="E376" s="17"/>
      <c r="F376" s="22"/>
      <c r="G376"/>
    </row>
    <row r="377" spans="1:7">
      <c r="A377" s="17"/>
      <c r="B377" s="18"/>
      <c r="C377" s="19"/>
      <c r="D377" s="18"/>
      <c r="E377" s="17"/>
      <c r="F377" s="22"/>
      <c r="G377"/>
    </row>
    <row r="378" spans="1:7">
      <c r="A378" s="17"/>
      <c r="B378" s="18"/>
      <c r="C378" s="17"/>
      <c r="D378" s="18"/>
      <c r="E378" s="17"/>
      <c r="F378" s="22"/>
      <c r="G378"/>
    </row>
    <row r="379" spans="1:7">
      <c r="A379" s="17"/>
      <c r="B379" s="18"/>
      <c r="C379" s="19"/>
      <c r="D379" s="18"/>
      <c r="E379" s="17"/>
      <c r="F379" s="22"/>
      <c r="G379"/>
    </row>
    <row r="380" spans="1:7">
      <c r="A380" s="17"/>
      <c r="B380" s="18"/>
      <c r="C380" s="17"/>
      <c r="D380" s="18"/>
      <c r="E380" s="17"/>
      <c r="F380" s="22"/>
      <c r="G380"/>
    </row>
    <row r="381" spans="1:7">
      <c r="A381" s="17"/>
      <c r="B381" s="18"/>
      <c r="C381" s="17"/>
      <c r="D381" s="18"/>
      <c r="E381" s="17"/>
      <c r="F381" s="22"/>
      <c r="G381"/>
    </row>
    <row r="382" spans="1:7">
      <c r="A382" s="17"/>
      <c r="B382" s="18"/>
      <c r="C382" s="17"/>
      <c r="D382" s="18"/>
      <c r="E382" s="17"/>
      <c r="F382" s="22"/>
      <c r="G382"/>
    </row>
    <row r="383" spans="1:7">
      <c r="A383" s="17"/>
      <c r="B383" s="18"/>
      <c r="C383" s="17"/>
      <c r="D383" s="18"/>
      <c r="E383" s="17"/>
      <c r="F383" s="22"/>
      <c r="G383"/>
    </row>
    <row r="384" spans="1:7">
      <c r="A384" s="17"/>
      <c r="B384" s="18"/>
      <c r="C384" s="17"/>
      <c r="D384" s="18"/>
      <c r="E384" s="17"/>
      <c r="F384" s="22"/>
      <c r="G384"/>
    </row>
    <row r="385" spans="1:7">
      <c r="A385" s="17"/>
      <c r="B385" s="18"/>
      <c r="C385" s="17"/>
      <c r="D385" s="18"/>
      <c r="E385" s="17"/>
      <c r="F385" s="22"/>
      <c r="G385"/>
    </row>
    <row r="386" spans="1:7">
      <c r="A386" s="17"/>
      <c r="B386" s="18"/>
      <c r="C386" s="19"/>
      <c r="D386" s="18"/>
      <c r="E386" s="17"/>
      <c r="F386" s="22"/>
      <c r="G386"/>
    </row>
    <row r="387" spans="1:7">
      <c r="A387" s="17"/>
      <c r="B387" s="18"/>
      <c r="C387" s="19"/>
      <c r="D387" s="18"/>
      <c r="E387" s="17"/>
      <c r="F387" s="22"/>
      <c r="G387"/>
    </row>
    <row r="388" spans="1:7">
      <c r="A388" s="17"/>
      <c r="B388" s="18"/>
      <c r="C388" s="17"/>
      <c r="D388" s="18"/>
      <c r="E388" s="17"/>
      <c r="F388" s="22"/>
      <c r="G388"/>
    </row>
    <row r="389" spans="1:7">
      <c r="A389" s="17"/>
      <c r="B389" s="18"/>
      <c r="C389" s="19"/>
      <c r="D389" s="18"/>
      <c r="E389" s="17"/>
      <c r="F389" s="22"/>
      <c r="G389"/>
    </row>
    <row r="390" spans="1:7">
      <c r="A390" s="17"/>
      <c r="B390" s="18"/>
      <c r="C390" s="19"/>
      <c r="D390" s="18"/>
      <c r="E390" s="17"/>
      <c r="F390" s="22"/>
      <c r="G390"/>
    </row>
    <row r="391" spans="1:7">
      <c r="A391" s="17"/>
      <c r="B391" s="18"/>
      <c r="C391" s="19"/>
      <c r="D391" s="18"/>
      <c r="E391" s="17"/>
      <c r="F391" s="22"/>
      <c r="G391"/>
    </row>
    <row r="392" spans="1:7">
      <c r="A392" s="17"/>
      <c r="B392" s="18"/>
      <c r="C392" s="17"/>
      <c r="D392" s="18"/>
      <c r="E392" s="17"/>
      <c r="F392" s="22"/>
      <c r="G392"/>
    </row>
    <row r="393" spans="1:7">
      <c r="A393" s="17"/>
      <c r="B393" s="18"/>
      <c r="C393" s="19"/>
      <c r="D393" s="18"/>
      <c r="E393" s="17"/>
      <c r="F393" s="22"/>
      <c r="G393"/>
    </row>
    <row r="394" spans="1:7">
      <c r="A394" s="17"/>
      <c r="B394" s="18"/>
      <c r="C394" s="19"/>
      <c r="D394" s="18"/>
      <c r="E394" s="17"/>
      <c r="F394" s="22"/>
      <c r="G394"/>
    </row>
    <row r="395" spans="1:7">
      <c r="A395" s="17"/>
      <c r="B395" s="18"/>
      <c r="C395" s="17"/>
      <c r="D395" s="18"/>
      <c r="E395" s="17"/>
      <c r="F395" s="22"/>
      <c r="G395"/>
    </row>
    <row r="396" spans="1:7">
      <c r="A396" s="17"/>
      <c r="B396" s="18"/>
      <c r="C396" s="19"/>
      <c r="D396" s="18"/>
      <c r="E396" s="17"/>
      <c r="F396" s="22"/>
      <c r="G396"/>
    </row>
    <row r="397" spans="1:7">
      <c r="A397" s="17"/>
      <c r="B397" s="18"/>
      <c r="C397" s="19"/>
      <c r="D397" s="18"/>
      <c r="E397" s="17"/>
      <c r="F397" s="22"/>
      <c r="G397"/>
    </row>
    <row r="398" spans="1:7">
      <c r="A398" s="17"/>
      <c r="B398" s="18"/>
      <c r="C398" s="19"/>
      <c r="D398" s="18"/>
      <c r="E398" s="17"/>
      <c r="F398" s="22"/>
      <c r="G398"/>
    </row>
    <row r="399" spans="1:7">
      <c r="A399" s="17"/>
      <c r="B399" s="18"/>
      <c r="C399" s="19"/>
      <c r="D399" s="18"/>
      <c r="E399" s="17"/>
      <c r="F399" s="22"/>
      <c r="G399"/>
    </row>
    <row r="400" spans="1:7">
      <c r="A400" s="17"/>
      <c r="B400" s="18"/>
      <c r="C400" s="19"/>
      <c r="D400" s="18"/>
      <c r="E400" s="17"/>
      <c r="F400" s="22"/>
      <c r="G400"/>
    </row>
    <row r="401" spans="1:7">
      <c r="A401" s="17"/>
      <c r="B401" s="18"/>
      <c r="C401" s="19"/>
      <c r="D401" s="18"/>
      <c r="E401" s="17"/>
      <c r="F401" s="22"/>
      <c r="G401"/>
    </row>
    <row r="402" spans="1:7">
      <c r="A402" s="17"/>
      <c r="B402" s="18"/>
      <c r="C402" s="19"/>
      <c r="D402" s="18"/>
      <c r="E402" s="17"/>
      <c r="F402" s="22"/>
      <c r="G402"/>
    </row>
    <row r="403" spans="1:7">
      <c r="A403" s="17"/>
      <c r="B403" s="18"/>
      <c r="C403" s="17"/>
      <c r="D403" s="18"/>
      <c r="E403" s="17"/>
      <c r="F403" s="22"/>
      <c r="G403"/>
    </row>
    <row r="404" spans="1:7">
      <c r="A404" s="17"/>
      <c r="B404" s="18"/>
      <c r="C404" s="19"/>
      <c r="D404" s="18"/>
      <c r="E404" s="17"/>
      <c r="F404" s="22"/>
      <c r="G404"/>
    </row>
    <row r="405" spans="1:7">
      <c r="A405" s="17"/>
      <c r="B405" s="18"/>
      <c r="C405" s="17"/>
      <c r="D405" s="18"/>
      <c r="E405" s="17"/>
      <c r="F405" s="22"/>
      <c r="G405"/>
    </row>
    <row r="406" spans="1:7">
      <c r="A406" s="17"/>
      <c r="B406" s="18"/>
      <c r="C406" s="19"/>
      <c r="D406" s="18"/>
      <c r="E406" s="17"/>
      <c r="F406" s="22"/>
      <c r="G406"/>
    </row>
    <row r="407" spans="1:7">
      <c r="A407" s="17"/>
      <c r="B407" s="18"/>
      <c r="C407" s="17"/>
      <c r="D407" s="18"/>
      <c r="E407" s="17"/>
      <c r="F407" s="22"/>
      <c r="G407"/>
    </row>
    <row r="408" spans="1:7">
      <c r="A408" s="17"/>
      <c r="B408" s="18"/>
      <c r="C408" s="17"/>
      <c r="D408" s="18"/>
      <c r="E408" s="17"/>
      <c r="F408" s="22"/>
      <c r="G408"/>
    </row>
    <row r="409" spans="1:7">
      <c r="A409" s="17"/>
      <c r="B409" s="18"/>
      <c r="C409" s="17"/>
      <c r="D409" s="18"/>
      <c r="E409" s="17"/>
      <c r="F409" s="22"/>
      <c r="G409"/>
    </row>
    <row r="410" spans="1:7">
      <c r="A410" s="17"/>
      <c r="B410" s="18"/>
      <c r="C410" s="17"/>
      <c r="D410" s="18"/>
      <c r="E410" s="17"/>
      <c r="F410" s="22"/>
      <c r="G410"/>
    </row>
    <row r="411" spans="1:7">
      <c r="A411" s="17"/>
      <c r="B411" s="18"/>
      <c r="C411" s="17"/>
      <c r="D411" s="18"/>
      <c r="E411" s="17"/>
      <c r="F411" s="22"/>
      <c r="G411"/>
    </row>
    <row r="412" spans="1:7">
      <c r="A412" s="17"/>
      <c r="B412" s="18"/>
      <c r="C412" s="17"/>
      <c r="D412" s="18"/>
      <c r="E412" s="17"/>
      <c r="F412" s="22"/>
      <c r="G412"/>
    </row>
    <row r="413" spans="1:7">
      <c r="A413" s="17"/>
      <c r="B413" s="18"/>
      <c r="C413" s="19"/>
      <c r="D413" s="18"/>
      <c r="E413" s="17"/>
      <c r="F413" s="22"/>
      <c r="G413"/>
    </row>
    <row r="414" spans="1:7">
      <c r="A414" s="17"/>
      <c r="B414" s="18"/>
      <c r="C414" s="19"/>
      <c r="D414" s="18"/>
      <c r="E414" s="17"/>
      <c r="F414" s="22"/>
      <c r="G414"/>
    </row>
    <row r="415" spans="1:7">
      <c r="A415" s="17"/>
      <c r="B415" s="18"/>
      <c r="C415" s="17"/>
      <c r="D415" s="18"/>
      <c r="E415" s="17"/>
      <c r="F415" s="22"/>
      <c r="G415"/>
    </row>
    <row r="416" spans="1:7">
      <c r="A416" s="17"/>
      <c r="B416" s="18"/>
      <c r="C416" s="17"/>
      <c r="D416" s="18"/>
      <c r="E416" s="17"/>
      <c r="F416" s="22"/>
      <c r="G416"/>
    </row>
    <row r="417" spans="1:7">
      <c r="A417" s="17"/>
      <c r="B417" s="18"/>
      <c r="C417" s="19"/>
      <c r="D417" s="18"/>
      <c r="E417" s="17"/>
      <c r="F417" s="22"/>
      <c r="G417"/>
    </row>
    <row r="418" spans="1:7">
      <c r="A418" s="17"/>
      <c r="B418" s="18"/>
      <c r="C418" s="19"/>
      <c r="D418" s="18"/>
      <c r="E418" s="17"/>
      <c r="F418" s="22"/>
      <c r="G418"/>
    </row>
    <row r="419" spans="1:7">
      <c r="A419" s="17"/>
      <c r="B419" s="18"/>
      <c r="C419" s="19"/>
      <c r="D419" s="18"/>
      <c r="E419" s="17"/>
      <c r="F419" s="22"/>
      <c r="G419"/>
    </row>
    <row r="420" spans="1:7">
      <c r="A420" s="17"/>
      <c r="B420" s="18"/>
      <c r="C420" s="17"/>
      <c r="D420" s="18"/>
      <c r="E420" s="17"/>
      <c r="F420" s="22"/>
      <c r="G420"/>
    </row>
    <row r="421" spans="1:7">
      <c r="A421" s="17"/>
      <c r="B421" s="18"/>
      <c r="C421" s="17"/>
      <c r="D421" s="18"/>
      <c r="E421" s="17"/>
      <c r="F421" s="22"/>
      <c r="G421"/>
    </row>
    <row r="422" spans="1:7">
      <c r="A422" s="17"/>
      <c r="B422" s="18"/>
      <c r="C422" s="19"/>
      <c r="D422" s="18"/>
      <c r="E422" s="17"/>
      <c r="F422" s="22"/>
      <c r="G422"/>
    </row>
    <row r="423" spans="1:7">
      <c r="A423" s="17"/>
      <c r="B423" s="18"/>
      <c r="C423" s="19"/>
      <c r="D423" s="18"/>
      <c r="E423" s="17"/>
      <c r="F423" s="22"/>
      <c r="G423"/>
    </row>
    <row r="424" spans="1:7">
      <c r="A424" s="17"/>
      <c r="B424" s="18"/>
      <c r="C424" s="17"/>
      <c r="D424" s="18"/>
      <c r="E424" s="17"/>
      <c r="F424" s="22"/>
      <c r="G424"/>
    </row>
    <row r="425" spans="1:7">
      <c r="A425" s="17"/>
      <c r="B425" s="18"/>
      <c r="C425" s="19"/>
      <c r="D425" s="18"/>
      <c r="E425" s="17"/>
      <c r="F425" s="22"/>
      <c r="G425"/>
    </row>
    <row r="426" spans="1:7">
      <c r="A426" s="17"/>
      <c r="B426" s="18"/>
      <c r="C426" s="19"/>
      <c r="D426" s="18"/>
      <c r="E426" s="17"/>
      <c r="F426" s="22"/>
      <c r="G426"/>
    </row>
    <row r="427" spans="1:7">
      <c r="A427" s="17"/>
      <c r="B427" s="18"/>
      <c r="C427" s="19"/>
      <c r="D427" s="18"/>
      <c r="E427" s="17"/>
      <c r="F427" s="22"/>
      <c r="G427"/>
    </row>
    <row r="428" spans="1:7">
      <c r="A428" s="17"/>
      <c r="B428" s="18"/>
      <c r="C428" s="19"/>
      <c r="D428" s="18"/>
      <c r="E428" s="17"/>
      <c r="F428" s="22"/>
      <c r="G428"/>
    </row>
    <row r="429" spans="1:7">
      <c r="A429" s="17"/>
      <c r="B429" s="18"/>
      <c r="C429" s="19"/>
      <c r="D429" s="18"/>
      <c r="E429" s="17"/>
      <c r="F429" s="22"/>
      <c r="G429"/>
    </row>
    <row r="430" spans="1:7">
      <c r="A430" s="17"/>
      <c r="B430" s="18"/>
      <c r="C430" s="19"/>
      <c r="D430" s="18"/>
      <c r="E430" s="17"/>
      <c r="F430" s="22"/>
      <c r="G430"/>
    </row>
    <row r="431" spans="1:7">
      <c r="A431" s="17"/>
      <c r="B431" s="18"/>
      <c r="C431" s="19"/>
      <c r="D431" s="18"/>
      <c r="E431" s="17"/>
      <c r="F431" s="22"/>
      <c r="G431"/>
    </row>
    <row r="432" spans="1:7">
      <c r="A432" s="17"/>
      <c r="B432" s="18"/>
      <c r="C432" s="17"/>
      <c r="D432" s="18"/>
      <c r="E432" s="17"/>
      <c r="F432" s="22"/>
      <c r="G432"/>
    </row>
    <row r="433" spans="1:7">
      <c r="A433" s="17"/>
      <c r="B433" s="18"/>
      <c r="C433" s="19"/>
      <c r="D433" s="18"/>
      <c r="E433" s="17"/>
      <c r="F433" s="22"/>
      <c r="G433"/>
    </row>
    <row r="434" spans="1:7">
      <c r="A434" s="17"/>
      <c r="B434" s="18"/>
      <c r="C434" s="17"/>
      <c r="D434" s="18"/>
      <c r="E434" s="17"/>
      <c r="F434" s="22"/>
      <c r="G434"/>
    </row>
    <row r="435" spans="1:7">
      <c r="A435" s="17"/>
      <c r="B435" s="18"/>
      <c r="C435" s="17"/>
      <c r="D435" s="18"/>
      <c r="E435" s="17"/>
      <c r="F435" s="22"/>
      <c r="G435"/>
    </row>
    <row r="436" spans="1:7">
      <c r="A436" s="17"/>
      <c r="B436" s="18"/>
      <c r="C436" s="17"/>
      <c r="D436" s="18"/>
      <c r="E436" s="17"/>
      <c r="F436" s="22"/>
      <c r="G436"/>
    </row>
    <row r="437" spans="1:7">
      <c r="A437" s="17"/>
      <c r="B437" s="18"/>
      <c r="C437" s="17"/>
      <c r="D437" s="18"/>
      <c r="E437" s="17"/>
      <c r="F437" s="22"/>
      <c r="G437"/>
    </row>
    <row r="438" spans="1:7">
      <c r="A438" s="17"/>
      <c r="B438" s="18"/>
      <c r="C438" s="17"/>
      <c r="D438" s="18"/>
      <c r="E438" s="17"/>
      <c r="F438" s="22"/>
      <c r="G438"/>
    </row>
    <row r="439" spans="1:7">
      <c r="A439" s="17"/>
      <c r="B439" s="18"/>
      <c r="C439" s="17"/>
      <c r="D439" s="18"/>
      <c r="E439" s="17"/>
      <c r="F439" s="22"/>
      <c r="G439"/>
    </row>
    <row r="440" spans="1:7">
      <c r="A440" s="17"/>
      <c r="B440" s="18"/>
      <c r="C440" s="19"/>
      <c r="D440" s="18"/>
      <c r="E440" s="17"/>
      <c r="F440" s="22"/>
      <c r="G440"/>
    </row>
    <row r="441" spans="1:7">
      <c r="A441" s="17"/>
      <c r="B441" s="18"/>
      <c r="C441" s="19"/>
      <c r="D441" s="18"/>
      <c r="E441" s="17"/>
      <c r="F441" s="22"/>
      <c r="G441"/>
    </row>
    <row r="442" spans="1:7">
      <c r="A442" s="17"/>
      <c r="B442" s="18"/>
      <c r="C442" s="17"/>
      <c r="D442" s="18"/>
      <c r="E442" s="17"/>
      <c r="F442" s="22"/>
      <c r="G442"/>
    </row>
    <row r="443" spans="1:7">
      <c r="A443" s="17"/>
      <c r="B443" s="18"/>
      <c r="C443" s="17"/>
      <c r="D443" s="18"/>
      <c r="E443" s="17"/>
      <c r="F443" s="22"/>
      <c r="G443"/>
    </row>
    <row r="444" spans="1:7">
      <c r="A444" s="17"/>
      <c r="B444" s="18"/>
      <c r="C444" s="19"/>
      <c r="D444" s="18"/>
      <c r="E444" s="17"/>
      <c r="F444" s="22"/>
      <c r="G444"/>
    </row>
    <row r="445" spans="1:7">
      <c r="A445" s="17"/>
      <c r="B445" s="18"/>
      <c r="C445" s="19"/>
      <c r="D445" s="18"/>
      <c r="E445" s="17"/>
      <c r="F445" s="22"/>
      <c r="G445"/>
    </row>
    <row r="446" spans="1:7">
      <c r="A446" s="17"/>
      <c r="B446" s="18"/>
      <c r="C446" s="17"/>
      <c r="D446" s="18"/>
      <c r="E446" s="17"/>
      <c r="F446" s="22"/>
      <c r="G446"/>
    </row>
    <row r="447" spans="1:7">
      <c r="A447" s="17"/>
      <c r="B447" s="18"/>
      <c r="C447" s="19"/>
      <c r="D447" s="18"/>
      <c r="E447" s="17"/>
      <c r="F447" s="22"/>
      <c r="G447"/>
    </row>
    <row r="448" spans="1:7">
      <c r="A448" s="17"/>
      <c r="B448" s="18"/>
      <c r="C448" s="19"/>
      <c r="D448" s="18"/>
      <c r="E448" s="17"/>
      <c r="F448" s="22"/>
      <c r="G448"/>
    </row>
    <row r="449" spans="1:7">
      <c r="A449" s="17"/>
      <c r="B449" s="18"/>
      <c r="C449" s="17"/>
      <c r="D449" s="18"/>
      <c r="E449" s="17"/>
      <c r="F449" s="22"/>
      <c r="G449"/>
    </row>
    <row r="450" spans="1:7">
      <c r="A450" s="17"/>
      <c r="B450" s="18"/>
      <c r="C450" s="17"/>
      <c r="D450" s="18"/>
      <c r="E450" s="17"/>
      <c r="F450" s="22"/>
      <c r="G450"/>
    </row>
    <row r="451" spans="1:7">
      <c r="A451" s="17"/>
      <c r="B451" s="18"/>
      <c r="C451" s="19"/>
      <c r="D451" s="18"/>
      <c r="E451" s="17"/>
      <c r="F451" s="22"/>
      <c r="G451"/>
    </row>
    <row r="452" spans="1:7">
      <c r="A452" s="17"/>
      <c r="B452" s="18"/>
      <c r="C452" s="19"/>
      <c r="D452" s="18"/>
      <c r="E452" s="17"/>
      <c r="F452" s="22"/>
      <c r="G452"/>
    </row>
    <row r="453" spans="1:7">
      <c r="A453" s="17"/>
      <c r="B453" s="18"/>
      <c r="C453" s="19"/>
      <c r="D453" s="18"/>
      <c r="E453" s="17"/>
      <c r="F453" s="22"/>
      <c r="G453"/>
    </row>
    <row r="454" spans="1:7">
      <c r="A454" s="17"/>
      <c r="B454" s="18"/>
      <c r="C454" s="19"/>
      <c r="D454" s="18"/>
      <c r="E454" s="17"/>
      <c r="F454" s="22"/>
      <c r="G454"/>
    </row>
    <row r="455" spans="1:7">
      <c r="A455" s="17"/>
      <c r="B455" s="18"/>
      <c r="C455" s="19"/>
      <c r="D455" s="18"/>
      <c r="E455" s="17"/>
      <c r="F455" s="22"/>
      <c r="G455"/>
    </row>
    <row r="456" spans="1:7">
      <c r="A456" s="17"/>
      <c r="B456" s="18"/>
      <c r="C456" s="19"/>
      <c r="D456" s="18"/>
      <c r="E456" s="17"/>
      <c r="F456" s="22"/>
      <c r="G456"/>
    </row>
    <row r="457" spans="1:7">
      <c r="A457" s="17"/>
      <c r="B457" s="18"/>
      <c r="C457" s="19"/>
      <c r="D457" s="18"/>
      <c r="E457" s="17"/>
      <c r="F457" s="22"/>
      <c r="G457"/>
    </row>
    <row r="458" spans="1:7">
      <c r="A458" s="17"/>
      <c r="B458" s="18"/>
      <c r="C458" s="19"/>
      <c r="D458" s="18"/>
      <c r="E458" s="17"/>
      <c r="F458" s="22"/>
      <c r="G458"/>
    </row>
    <row r="459" spans="1:7">
      <c r="A459" s="17"/>
      <c r="B459" s="18"/>
      <c r="C459" s="19"/>
      <c r="D459" s="18"/>
      <c r="E459" s="17"/>
      <c r="F459" s="22"/>
      <c r="G459"/>
    </row>
    <row r="460" spans="1:7">
      <c r="A460" s="17"/>
      <c r="B460" s="18"/>
      <c r="C460" s="19"/>
      <c r="D460" s="18"/>
      <c r="E460" s="17"/>
      <c r="F460" s="22"/>
      <c r="G460"/>
    </row>
    <row r="461" spans="1:7">
      <c r="A461" s="17"/>
      <c r="B461" s="18"/>
      <c r="C461" s="17"/>
      <c r="D461" s="18"/>
      <c r="E461" s="17"/>
      <c r="F461" s="22"/>
      <c r="G461"/>
    </row>
    <row r="462" spans="1:7">
      <c r="A462" s="17"/>
      <c r="B462" s="18"/>
      <c r="C462" s="19"/>
      <c r="D462" s="18"/>
      <c r="E462" s="17"/>
      <c r="F462" s="22"/>
      <c r="G462"/>
    </row>
    <row r="463" spans="1:7">
      <c r="A463" s="17"/>
      <c r="B463" s="18"/>
      <c r="C463" s="17"/>
      <c r="D463" s="18"/>
      <c r="E463" s="17"/>
      <c r="F463" s="22"/>
      <c r="G463"/>
    </row>
    <row r="464" spans="1:7">
      <c r="A464" s="17"/>
      <c r="B464" s="18"/>
      <c r="C464" s="17"/>
      <c r="D464" s="18"/>
      <c r="E464" s="17"/>
      <c r="F464" s="22"/>
      <c r="G464"/>
    </row>
    <row r="465" spans="1:7">
      <c r="A465" s="17"/>
      <c r="B465" s="18"/>
      <c r="C465" s="17"/>
      <c r="D465" s="18"/>
      <c r="E465" s="17"/>
      <c r="F465" s="22"/>
      <c r="G465"/>
    </row>
    <row r="466" spans="1:7">
      <c r="A466" s="17"/>
      <c r="B466" s="18"/>
      <c r="C466" s="17"/>
      <c r="D466" s="18"/>
      <c r="E466" s="17"/>
      <c r="F466" s="22"/>
      <c r="G466"/>
    </row>
    <row r="467" spans="1:7">
      <c r="A467" s="17"/>
      <c r="B467" s="18"/>
      <c r="C467" s="19"/>
      <c r="D467" s="18"/>
      <c r="E467" s="17"/>
      <c r="F467" s="22"/>
      <c r="G467"/>
    </row>
    <row r="468" spans="1:7">
      <c r="A468" s="17"/>
      <c r="B468" s="18"/>
      <c r="C468" s="17"/>
      <c r="D468" s="18"/>
      <c r="E468" s="17"/>
      <c r="F468" s="22"/>
      <c r="G468"/>
    </row>
    <row r="469" spans="1:7">
      <c r="A469" s="17"/>
      <c r="B469" s="18"/>
      <c r="C469" s="17"/>
      <c r="D469" s="18"/>
      <c r="E469" s="17"/>
      <c r="F469" s="22"/>
      <c r="G469"/>
    </row>
    <row r="470" spans="1:7">
      <c r="A470" s="17"/>
      <c r="B470" s="18"/>
      <c r="C470" s="19"/>
      <c r="D470" s="18"/>
      <c r="E470" s="17"/>
      <c r="F470" s="22"/>
      <c r="G470"/>
    </row>
    <row r="471" spans="1:7">
      <c r="A471" s="17"/>
      <c r="B471" s="18"/>
      <c r="C471" s="19"/>
      <c r="D471" s="18"/>
      <c r="E471" s="17"/>
      <c r="F471" s="22"/>
      <c r="G471"/>
    </row>
    <row r="472" spans="1:7">
      <c r="A472" s="17"/>
      <c r="B472" s="18"/>
      <c r="C472" s="19"/>
      <c r="D472" s="18"/>
      <c r="E472" s="17"/>
      <c r="F472" s="22"/>
      <c r="G472"/>
    </row>
    <row r="473" spans="1:7">
      <c r="A473" s="17"/>
      <c r="B473" s="18"/>
      <c r="C473" s="17"/>
      <c r="D473" s="18"/>
      <c r="E473" s="17"/>
      <c r="F473" s="22"/>
      <c r="G473"/>
    </row>
    <row r="474" spans="1:7">
      <c r="A474" s="17"/>
      <c r="B474" s="18"/>
      <c r="C474" s="17"/>
      <c r="D474" s="18"/>
      <c r="E474" s="17"/>
      <c r="F474" s="22"/>
      <c r="G474"/>
    </row>
    <row r="475" spans="1:7">
      <c r="A475" s="17"/>
      <c r="B475" s="18"/>
      <c r="C475" s="17"/>
      <c r="D475" s="18"/>
      <c r="E475" s="17"/>
      <c r="F475" s="22"/>
      <c r="G475"/>
    </row>
    <row r="476" spans="1:7">
      <c r="A476" s="17"/>
      <c r="B476" s="18"/>
      <c r="C476" s="19"/>
      <c r="D476" s="18"/>
      <c r="E476" s="17"/>
      <c r="F476" s="22"/>
      <c r="G476"/>
    </row>
    <row r="477" spans="1:7">
      <c r="A477" s="17"/>
      <c r="B477" s="18"/>
      <c r="C477" s="19"/>
      <c r="D477" s="18"/>
      <c r="E477" s="17"/>
      <c r="F477" s="22"/>
      <c r="G477"/>
    </row>
    <row r="478" spans="1:7">
      <c r="A478" s="17"/>
      <c r="B478" s="18"/>
      <c r="C478" s="17"/>
      <c r="D478" s="18"/>
      <c r="E478" s="17"/>
      <c r="F478" s="22"/>
      <c r="G478"/>
    </row>
    <row r="479" spans="1:7">
      <c r="A479" s="17"/>
      <c r="B479" s="18"/>
      <c r="C479" s="19"/>
      <c r="D479" s="18"/>
      <c r="E479" s="17"/>
      <c r="F479" s="22"/>
      <c r="G479"/>
    </row>
    <row r="480" spans="1:7">
      <c r="A480" s="17"/>
      <c r="B480" s="18"/>
      <c r="C480" s="19"/>
      <c r="D480" s="18"/>
      <c r="E480" s="17"/>
      <c r="F480" s="22"/>
      <c r="G480"/>
    </row>
    <row r="481" spans="1:7">
      <c r="A481" s="17"/>
      <c r="B481" s="18"/>
      <c r="C481" s="19"/>
      <c r="D481" s="18"/>
      <c r="E481" s="17"/>
      <c r="F481" s="22"/>
      <c r="G481"/>
    </row>
    <row r="482" spans="1:7">
      <c r="A482" s="17"/>
      <c r="B482" s="18"/>
      <c r="C482" s="19"/>
      <c r="D482" s="18"/>
      <c r="E482" s="17"/>
      <c r="F482" s="22"/>
      <c r="G482"/>
    </row>
    <row r="483" spans="1:7">
      <c r="A483" s="17"/>
      <c r="B483" s="18"/>
      <c r="C483" s="19"/>
      <c r="D483" s="18"/>
      <c r="E483" s="17"/>
      <c r="F483" s="22"/>
      <c r="G483"/>
    </row>
    <row r="484" spans="1:7">
      <c r="A484" s="17"/>
      <c r="B484" s="18"/>
      <c r="C484" s="19"/>
      <c r="D484" s="18"/>
      <c r="E484" s="17"/>
      <c r="F484" s="22"/>
      <c r="G484"/>
    </row>
    <row r="485" spans="1:7">
      <c r="A485" s="17"/>
      <c r="B485" s="18"/>
      <c r="C485" s="17"/>
      <c r="D485" s="18"/>
      <c r="E485" s="17"/>
      <c r="F485" s="22"/>
      <c r="G485"/>
    </row>
    <row r="486" spans="1:7">
      <c r="A486" s="17"/>
      <c r="B486" s="18"/>
      <c r="C486" s="19"/>
      <c r="D486" s="18"/>
      <c r="E486" s="17"/>
      <c r="F486" s="22"/>
      <c r="G486"/>
    </row>
    <row r="487" spans="1:7">
      <c r="A487" s="17"/>
      <c r="B487" s="18"/>
      <c r="C487" s="19"/>
      <c r="D487" s="18"/>
      <c r="E487" s="17"/>
      <c r="F487" s="22"/>
      <c r="G487"/>
    </row>
    <row r="488" spans="1:7">
      <c r="A488" s="17"/>
      <c r="B488" s="18"/>
      <c r="C488" s="19"/>
      <c r="D488" s="18"/>
      <c r="E488" s="17"/>
      <c r="F488" s="22"/>
      <c r="G488"/>
    </row>
    <row r="489" spans="1:7">
      <c r="A489" s="17"/>
      <c r="B489" s="18"/>
      <c r="C489" s="17"/>
      <c r="D489" s="18"/>
      <c r="E489" s="17"/>
      <c r="F489" s="22"/>
      <c r="G489"/>
    </row>
    <row r="490" spans="1:7">
      <c r="A490" s="17"/>
      <c r="B490" s="18"/>
      <c r="C490" s="17"/>
      <c r="D490" s="18"/>
      <c r="E490" s="17"/>
      <c r="F490" s="22"/>
      <c r="G490"/>
    </row>
    <row r="491" spans="1:7">
      <c r="A491" s="17"/>
      <c r="B491" s="18"/>
      <c r="C491" s="19"/>
      <c r="D491" s="18"/>
      <c r="E491" s="17"/>
      <c r="F491" s="22"/>
      <c r="G491"/>
    </row>
    <row r="492" spans="1:7">
      <c r="A492" s="17"/>
      <c r="B492" s="18"/>
      <c r="C492" s="17"/>
      <c r="D492" s="18"/>
      <c r="E492" s="17"/>
      <c r="F492" s="22"/>
      <c r="G492"/>
    </row>
    <row r="493" spans="1:7">
      <c r="A493" s="17"/>
      <c r="B493" s="18"/>
      <c r="C493" s="17"/>
      <c r="D493" s="18"/>
      <c r="E493" s="17"/>
      <c r="F493" s="22"/>
      <c r="G493"/>
    </row>
    <row r="494" spans="1:7">
      <c r="A494" s="17"/>
      <c r="B494" s="18"/>
      <c r="C494" s="17"/>
      <c r="D494" s="18"/>
      <c r="E494" s="17"/>
      <c r="F494" s="22"/>
      <c r="G494"/>
    </row>
    <row r="495" spans="1:7">
      <c r="A495" s="17"/>
      <c r="B495" s="18"/>
      <c r="C495" s="17"/>
      <c r="D495" s="18"/>
      <c r="E495" s="17"/>
      <c r="F495" s="22"/>
      <c r="G495"/>
    </row>
    <row r="496" spans="1:7">
      <c r="A496" s="17"/>
      <c r="B496" s="18"/>
      <c r="C496" s="19"/>
      <c r="D496" s="18"/>
      <c r="E496" s="17"/>
      <c r="F496" s="22"/>
      <c r="G496"/>
    </row>
    <row r="497" spans="1:7">
      <c r="A497" s="17"/>
      <c r="B497" s="18"/>
      <c r="C497" s="17"/>
      <c r="D497" s="18"/>
      <c r="E497" s="17"/>
      <c r="F497" s="22"/>
      <c r="G497"/>
    </row>
    <row r="498" spans="1:7">
      <c r="A498" s="17"/>
      <c r="B498" s="18"/>
      <c r="C498" s="19"/>
      <c r="D498" s="18"/>
      <c r="E498" s="17"/>
      <c r="F498" s="22"/>
      <c r="G498"/>
    </row>
    <row r="499" spans="1:7">
      <c r="A499" s="17"/>
      <c r="B499" s="18"/>
      <c r="C499" s="19"/>
      <c r="D499" s="18"/>
      <c r="E499" s="17"/>
      <c r="F499" s="22"/>
      <c r="G499"/>
    </row>
    <row r="500" spans="1:7">
      <c r="A500" s="17"/>
      <c r="B500" s="18"/>
      <c r="C500" s="17"/>
      <c r="D500" s="18"/>
      <c r="E500" s="17"/>
      <c r="F500" s="22"/>
      <c r="G500"/>
    </row>
    <row r="501" spans="1:7">
      <c r="A501" s="17"/>
      <c r="B501" s="18"/>
      <c r="C501" s="19"/>
      <c r="D501" s="18"/>
      <c r="E501" s="17"/>
      <c r="F501" s="22"/>
      <c r="G501"/>
    </row>
    <row r="502" spans="1:7">
      <c r="A502" s="17"/>
      <c r="B502" s="18"/>
      <c r="C502" s="17"/>
      <c r="D502" s="18"/>
      <c r="E502" s="17"/>
      <c r="F502" s="22"/>
      <c r="G502"/>
    </row>
    <row r="503" spans="1:7">
      <c r="A503" s="17"/>
      <c r="B503" s="18"/>
      <c r="C503" s="17"/>
      <c r="D503" s="18"/>
      <c r="E503" s="17"/>
      <c r="F503" s="22"/>
      <c r="G503"/>
    </row>
    <row r="504" spans="1:7">
      <c r="A504" s="17"/>
      <c r="B504" s="18"/>
      <c r="C504" s="17"/>
      <c r="D504" s="18"/>
      <c r="E504" s="17"/>
      <c r="F504" s="22"/>
      <c r="G504"/>
    </row>
    <row r="505" spans="1:7">
      <c r="A505" s="17"/>
      <c r="B505" s="18"/>
      <c r="C505" s="19"/>
      <c r="D505" s="18"/>
      <c r="E505" s="17"/>
      <c r="F505" s="22"/>
      <c r="G505"/>
    </row>
    <row r="506" spans="1:7">
      <c r="A506" s="17"/>
      <c r="B506" s="18"/>
      <c r="C506" s="19"/>
      <c r="D506" s="18"/>
      <c r="E506" s="17"/>
      <c r="F506" s="22"/>
      <c r="G506"/>
    </row>
    <row r="507" spans="1:7">
      <c r="A507" s="17"/>
      <c r="B507" s="18"/>
      <c r="C507" s="17"/>
      <c r="D507" s="18"/>
      <c r="E507" s="17"/>
      <c r="F507" s="22"/>
      <c r="G507"/>
    </row>
    <row r="508" spans="1:7">
      <c r="A508" s="17"/>
      <c r="B508" s="18"/>
      <c r="C508" s="19"/>
      <c r="D508" s="18"/>
      <c r="E508" s="17"/>
      <c r="F508" s="22"/>
      <c r="G508"/>
    </row>
    <row r="509" spans="1:7">
      <c r="A509" s="17"/>
      <c r="B509" s="18"/>
      <c r="C509" s="19"/>
      <c r="D509" s="18"/>
      <c r="E509" s="17"/>
      <c r="F509" s="22"/>
      <c r="G509"/>
    </row>
    <row r="510" spans="1:7">
      <c r="A510" s="17"/>
      <c r="B510" s="18"/>
      <c r="C510" s="19"/>
      <c r="D510" s="18"/>
      <c r="E510" s="17"/>
      <c r="F510" s="22"/>
      <c r="G510"/>
    </row>
    <row r="511" spans="1:7">
      <c r="A511" s="17"/>
      <c r="B511" s="18"/>
      <c r="C511" s="19"/>
      <c r="D511" s="18"/>
      <c r="E511" s="17"/>
      <c r="F511" s="22"/>
      <c r="G511"/>
    </row>
    <row r="512" spans="1:7">
      <c r="A512" s="17"/>
      <c r="B512" s="18"/>
      <c r="C512" s="19"/>
      <c r="D512" s="18"/>
      <c r="E512" s="17"/>
      <c r="F512" s="22"/>
      <c r="G512"/>
    </row>
    <row r="513" spans="1:7">
      <c r="A513" s="17"/>
      <c r="B513" s="18"/>
      <c r="C513" s="17"/>
      <c r="D513" s="18"/>
      <c r="E513" s="17"/>
      <c r="F513" s="22"/>
      <c r="G513"/>
    </row>
    <row r="514" spans="1:7">
      <c r="A514" s="17"/>
      <c r="B514" s="18"/>
      <c r="C514" s="19"/>
      <c r="D514" s="18"/>
      <c r="E514" s="17"/>
      <c r="F514" s="22"/>
      <c r="G514"/>
    </row>
    <row r="515" spans="1:7">
      <c r="A515" s="17"/>
      <c r="B515" s="18"/>
      <c r="C515" s="19"/>
      <c r="D515" s="18"/>
      <c r="E515" s="17"/>
      <c r="F515" s="22"/>
      <c r="G515"/>
    </row>
    <row r="516" spans="1:7">
      <c r="A516" s="17"/>
      <c r="B516" s="18"/>
      <c r="C516" s="19"/>
      <c r="D516" s="18"/>
      <c r="E516" s="17"/>
      <c r="F516" s="22"/>
      <c r="G516"/>
    </row>
    <row r="517" spans="1:7">
      <c r="A517" s="17"/>
      <c r="B517" s="18"/>
      <c r="C517" s="19"/>
      <c r="D517" s="18"/>
      <c r="E517" s="17"/>
      <c r="F517" s="22"/>
      <c r="G517"/>
    </row>
    <row r="518" spans="1:7">
      <c r="A518" s="17"/>
      <c r="B518" s="18"/>
      <c r="C518" s="17"/>
      <c r="D518" s="18"/>
      <c r="E518" s="17"/>
      <c r="F518" s="22"/>
      <c r="G518"/>
    </row>
    <row r="519" spans="1:7">
      <c r="A519" s="17"/>
      <c r="B519" s="18"/>
      <c r="C519" s="17"/>
      <c r="D519" s="18"/>
      <c r="E519" s="17"/>
      <c r="F519" s="22"/>
      <c r="G519"/>
    </row>
    <row r="520" spans="1:7">
      <c r="A520" s="17"/>
      <c r="B520" s="18"/>
      <c r="C520" s="17"/>
      <c r="D520" s="18"/>
      <c r="E520" s="17"/>
      <c r="F520" s="22"/>
      <c r="G520"/>
    </row>
    <row r="521" spans="1:7">
      <c r="A521" s="17"/>
      <c r="B521" s="18"/>
      <c r="C521" s="19"/>
      <c r="D521" s="18"/>
      <c r="E521" s="17"/>
      <c r="F521" s="22"/>
      <c r="G521"/>
    </row>
    <row r="522" spans="1:7">
      <c r="A522" s="17"/>
      <c r="B522" s="18"/>
      <c r="C522" s="17"/>
      <c r="D522" s="18"/>
      <c r="E522" s="17"/>
      <c r="F522" s="22"/>
      <c r="G522"/>
    </row>
    <row r="523" spans="1:7">
      <c r="A523" s="17"/>
      <c r="B523" s="18"/>
      <c r="C523" s="17"/>
      <c r="D523" s="18"/>
      <c r="E523" s="17"/>
      <c r="F523" s="22"/>
      <c r="G523"/>
    </row>
    <row r="524" spans="1:7">
      <c r="A524" s="17"/>
      <c r="B524" s="18"/>
      <c r="C524" s="17"/>
      <c r="D524" s="18"/>
      <c r="E524" s="17"/>
      <c r="F524" s="22"/>
      <c r="G524"/>
    </row>
    <row r="525" spans="1:7">
      <c r="A525" s="17"/>
      <c r="B525" s="18"/>
      <c r="C525" s="19"/>
      <c r="D525" s="18"/>
      <c r="E525" s="17"/>
      <c r="F525" s="22"/>
      <c r="G525"/>
    </row>
    <row r="526" spans="1:7">
      <c r="A526" s="17"/>
      <c r="B526" s="18"/>
      <c r="C526" s="17"/>
      <c r="D526" s="18"/>
      <c r="E526" s="17"/>
      <c r="F526" s="22"/>
      <c r="G526"/>
    </row>
    <row r="527" spans="1:7">
      <c r="A527" s="17"/>
      <c r="B527" s="18"/>
      <c r="C527" s="17"/>
      <c r="D527" s="18"/>
      <c r="E527" s="17"/>
      <c r="F527" s="22"/>
      <c r="G527"/>
    </row>
    <row r="528" spans="1:7">
      <c r="A528" s="17"/>
      <c r="B528" s="18"/>
      <c r="C528" s="19"/>
      <c r="D528" s="18"/>
      <c r="E528" s="17"/>
      <c r="F528" s="22"/>
      <c r="G528"/>
    </row>
    <row r="529" spans="1:7">
      <c r="A529" s="17"/>
      <c r="B529" s="18"/>
      <c r="C529" s="17"/>
      <c r="D529" s="18"/>
      <c r="E529" s="17"/>
      <c r="F529" s="22"/>
      <c r="G529"/>
    </row>
    <row r="530" spans="1:7">
      <c r="A530" s="17"/>
      <c r="B530" s="18"/>
      <c r="C530" s="19"/>
      <c r="D530" s="18"/>
      <c r="E530" s="17"/>
      <c r="F530" s="22"/>
      <c r="G530"/>
    </row>
    <row r="531" spans="1:7">
      <c r="A531" s="17"/>
      <c r="B531" s="18"/>
      <c r="C531" s="17"/>
      <c r="D531" s="18"/>
      <c r="E531" s="17"/>
      <c r="F531" s="22"/>
      <c r="G531"/>
    </row>
    <row r="532" spans="1:7">
      <c r="A532" s="17"/>
      <c r="B532" s="18"/>
      <c r="C532" s="17"/>
      <c r="D532" s="18"/>
      <c r="E532" s="17"/>
      <c r="F532" s="22"/>
      <c r="G532"/>
    </row>
    <row r="533" spans="1:7">
      <c r="A533" s="17"/>
      <c r="B533" s="18"/>
      <c r="C533" s="17"/>
      <c r="D533" s="18"/>
      <c r="E533" s="17"/>
      <c r="F533" s="22"/>
      <c r="G533"/>
    </row>
    <row r="534" spans="1:7">
      <c r="A534" s="17"/>
      <c r="B534" s="18"/>
      <c r="C534" s="19"/>
      <c r="D534" s="18"/>
      <c r="E534" s="17"/>
      <c r="F534" s="22"/>
      <c r="G534"/>
    </row>
    <row r="535" spans="1:7">
      <c r="A535" s="17"/>
      <c r="B535" s="18"/>
      <c r="C535" s="19"/>
      <c r="D535" s="18"/>
      <c r="E535" s="17"/>
      <c r="F535" s="22"/>
      <c r="G535"/>
    </row>
    <row r="536" spans="1:7">
      <c r="A536" s="17"/>
      <c r="B536" s="18"/>
      <c r="C536" s="17"/>
      <c r="D536" s="18"/>
      <c r="E536" s="17"/>
      <c r="F536" s="22"/>
      <c r="G536"/>
    </row>
    <row r="537" spans="1:7">
      <c r="A537" s="17"/>
      <c r="B537" s="18"/>
      <c r="C537" s="17"/>
      <c r="D537" s="18"/>
      <c r="E537" s="17"/>
      <c r="F537" s="22"/>
      <c r="G537"/>
    </row>
    <row r="538" spans="1:7">
      <c r="A538" s="17"/>
      <c r="B538" s="18"/>
      <c r="C538" s="19"/>
      <c r="D538" s="18"/>
      <c r="E538" s="17"/>
      <c r="F538" s="22"/>
      <c r="G538"/>
    </row>
    <row r="539" spans="1:7">
      <c r="A539" s="17"/>
      <c r="B539" s="18"/>
      <c r="C539" s="19"/>
      <c r="D539" s="18"/>
      <c r="E539" s="17"/>
      <c r="F539" s="22"/>
      <c r="G539"/>
    </row>
    <row r="540" spans="1:7">
      <c r="A540" s="17"/>
      <c r="B540" s="18"/>
      <c r="C540" s="19"/>
      <c r="D540" s="18"/>
      <c r="E540" s="17"/>
      <c r="F540" s="22"/>
      <c r="G540"/>
    </row>
    <row r="541" spans="1:7">
      <c r="A541" s="17"/>
      <c r="B541" s="18"/>
      <c r="C541" s="19"/>
      <c r="D541" s="18"/>
      <c r="E541" s="17"/>
      <c r="F541" s="22"/>
      <c r="G541"/>
    </row>
    <row r="542" spans="1:7">
      <c r="A542" s="17"/>
      <c r="B542" s="18"/>
      <c r="C542" s="17"/>
      <c r="D542" s="18"/>
      <c r="E542" s="17"/>
      <c r="F542" s="22"/>
      <c r="G542"/>
    </row>
    <row r="543" spans="1:7">
      <c r="A543" s="17"/>
      <c r="B543" s="18"/>
      <c r="C543" s="19"/>
      <c r="D543" s="18"/>
      <c r="E543" s="17"/>
      <c r="F543" s="22"/>
      <c r="G543"/>
    </row>
    <row r="544" spans="1:7">
      <c r="A544" s="17"/>
      <c r="B544" s="18"/>
      <c r="C544" s="19"/>
      <c r="D544" s="18"/>
      <c r="E544" s="17"/>
      <c r="F544" s="22"/>
      <c r="G544"/>
    </row>
    <row r="545" spans="1:7">
      <c r="A545" s="17"/>
      <c r="B545" s="18"/>
      <c r="C545" s="19"/>
      <c r="D545" s="18"/>
      <c r="E545" s="17"/>
      <c r="F545" s="22"/>
      <c r="G545"/>
    </row>
    <row r="546" spans="1:7">
      <c r="A546" s="17"/>
      <c r="B546" s="18"/>
      <c r="C546" s="17"/>
      <c r="D546" s="18"/>
      <c r="E546" s="17"/>
      <c r="F546" s="22"/>
      <c r="G546"/>
    </row>
    <row r="547" spans="1:7">
      <c r="A547" s="17"/>
      <c r="B547" s="18"/>
      <c r="C547" s="19"/>
      <c r="D547" s="18"/>
      <c r="E547" s="17"/>
      <c r="F547" s="22"/>
      <c r="G547"/>
    </row>
    <row r="548" spans="1:7">
      <c r="A548" s="17"/>
      <c r="B548" s="18"/>
      <c r="C548" s="17"/>
      <c r="D548" s="18"/>
      <c r="E548" s="17"/>
      <c r="F548" s="22"/>
      <c r="G548"/>
    </row>
    <row r="549" spans="1:7">
      <c r="A549" s="17"/>
      <c r="B549" s="18"/>
      <c r="C549" s="17"/>
      <c r="D549" s="18"/>
      <c r="E549" s="17"/>
      <c r="F549" s="22"/>
      <c r="G549"/>
    </row>
    <row r="550" spans="1:7">
      <c r="A550" s="17"/>
      <c r="B550" s="18"/>
      <c r="C550" s="19"/>
      <c r="D550" s="18"/>
      <c r="E550" s="17"/>
      <c r="F550" s="22"/>
      <c r="G550"/>
    </row>
    <row r="551" spans="1:7">
      <c r="A551" s="17"/>
      <c r="B551" s="18"/>
      <c r="C551" s="17"/>
      <c r="D551" s="18"/>
      <c r="E551" s="17"/>
      <c r="F551" s="22"/>
      <c r="G551"/>
    </row>
    <row r="552" spans="1:7">
      <c r="A552" s="17"/>
      <c r="B552" s="18"/>
      <c r="C552" s="17"/>
      <c r="D552" s="18"/>
      <c r="E552" s="17"/>
      <c r="F552" s="22"/>
      <c r="G552"/>
    </row>
    <row r="553" spans="1:7">
      <c r="A553" s="17"/>
      <c r="B553" s="18"/>
      <c r="C553" s="17"/>
      <c r="D553" s="18"/>
      <c r="E553" s="17"/>
      <c r="F553" s="22"/>
      <c r="G553"/>
    </row>
    <row r="554" spans="1:7">
      <c r="A554" s="17"/>
      <c r="B554" s="18"/>
      <c r="C554" s="19"/>
      <c r="D554" s="18"/>
      <c r="E554" s="17"/>
      <c r="F554" s="22"/>
      <c r="G554"/>
    </row>
    <row r="555" spans="1:7">
      <c r="A555" s="17"/>
      <c r="B555" s="18"/>
      <c r="C555" s="17"/>
      <c r="D555" s="18"/>
      <c r="E555" s="17"/>
      <c r="F555" s="22"/>
      <c r="G555"/>
    </row>
    <row r="556" spans="1:7">
      <c r="A556" s="17"/>
      <c r="B556" s="18"/>
      <c r="C556" s="17"/>
      <c r="D556" s="18"/>
      <c r="E556" s="17"/>
      <c r="F556" s="22"/>
      <c r="G556"/>
    </row>
    <row r="557" spans="1:7">
      <c r="A557" s="17"/>
      <c r="B557" s="18"/>
      <c r="C557" s="19"/>
      <c r="D557" s="18"/>
      <c r="E557" s="17"/>
      <c r="F557" s="22"/>
      <c r="G557"/>
    </row>
    <row r="558" spans="1:7">
      <c r="A558" s="17"/>
      <c r="B558" s="18"/>
      <c r="C558" s="17"/>
      <c r="D558" s="18"/>
      <c r="E558" s="17"/>
      <c r="F558" s="22"/>
      <c r="G558"/>
    </row>
    <row r="559" spans="1:7">
      <c r="A559" s="17"/>
      <c r="B559" s="18"/>
      <c r="C559" s="19"/>
      <c r="D559" s="18"/>
      <c r="E559" s="17"/>
      <c r="F559" s="22"/>
      <c r="G559"/>
    </row>
    <row r="560" spans="1:7">
      <c r="A560" s="17"/>
      <c r="B560" s="18"/>
      <c r="C560" s="17"/>
      <c r="D560" s="18"/>
      <c r="E560" s="17"/>
      <c r="F560" s="22"/>
      <c r="G560"/>
    </row>
    <row r="561" spans="1:7">
      <c r="A561" s="17"/>
      <c r="B561" s="18"/>
      <c r="C561" s="17"/>
      <c r="D561" s="18"/>
      <c r="E561" s="17"/>
      <c r="F561" s="22"/>
      <c r="G561"/>
    </row>
    <row r="562" spans="1:7">
      <c r="A562" s="17"/>
      <c r="B562" s="18"/>
      <c r="C562" s="17"/>
      <c r="D562" s="18"/>
      <c r="E562" s="17"/>
      <c r="F562" s="22"/>
      <c r="G562"/>
    </row>
    <row r="563" spans="1:7">
      <c r="A563" s="17"/>
      <c r="B563" s="18"/>
      <c r="C563" s="19"/>
      <c r="D563" s="18"/>
      <c r="E563" s="17"/>
      <c r="F563" s="22"/>
      <c r="G563"/>
    </row>
    <row r="564" spans="1:7">
      <c r="A564" s="17"/>
      <c r="B564" s="18"/>
      <c r="C564" s="19"/>
      <c r="D564" s="18"/>
      <c r="E564" s="17"/>
      <c r="F564" s="22"/>
      <c r="G564"/>
    </row>
    <row r="565" spans="1:7">
      <c r="A565" s="17"/>
      <c r="B565" s="18"/>
      <c r="C565" s="19"/>
      <c r="D565" s="18"/>
      <c r="E565" s="17"/>
      <c r="F565" s="22"/>
      <c r="G565"/>
    </row>
    <row r="566" spans="1:7">
      <c r="A566" s="17"/>
      <c r="B566" s="18"/>
      <c r="C566" s="17"/>
      <c r="D566" s="18"/>
      <c r="E566" s="17"/>
      <c r="F566" s="22"/>
      <c r="G566"/>
    </row>
    <row r="567" spans="1:7">
      <c r="A567" s="17"/>
      <c r="B567" s="18"/>
      <c r="C567" s="19"/>
      <c r="D567" s="18"/>
      <c r="E567" s="17"/>
      <c r="F567" s="22"/>
      <c r="G567"/>
    </row>
    <row r="568" spans="1:7">
      <c r="A568" s="17"/>
      <c r="B568" s="18"/>
      <c r="C568" s="19"/>
      <c r="D568" s="18"/>
      <c r="E568" s="17"/>
      <c r="F568" s="22"/>
      <c r="G568"/>
    </row>
    <row r="569" spans="1:7">
      <c r="A569" s="17"/>
      <c r="B569" s="18"/>
      <c r="C569" s="19"/>
      <c r="D569" s="18"/>
      <c r="E569" s="17"/>
      <c r="F569" s="22"/>
      <c r="G569"/>
    </row>
    <row r="570" spans="1:7">
      <c r="A570" s="17"/>
      <c r="B570" s="18"/>
      <c r="C570" s="19"/>
      <c r="D570" s="18"/>
      <c r="E570" s="17"/>
      <c r="F570" s="22"/>
      <c r="G570"/>
    </row>
    <row r="571" spans="1:7">
      <c r="A571" s="17"/>
      <c r="B571" s="18"/>
      <c r="C571" s="17"/>
      <c r="D571" s="18"/>
      <c r="E571" s="17"/>
      <c r="F571" s="22"/>
      <c r="G571"/>
    </row>
    <row r="572" spans="1:7">
      <c r="A572" s="17"/>
      <c r="B572" s="18"/>
      <c r="C572" s="19"/>
      <c r="D572" s="18"/>
      <c r="E572" s="17"/>
      <c r="F572" s="22"/>
      <c r="G572"/>
    </row>
    <row r="573" spans="1:7">
      <c r="A573" s="17"/>
      <c r="B573" s="18"/>
      <c r="C573" s="19"/>
      <c r="D573" s="18"/>
      <c r="E573" s="17"/>
      <c r="F573" s="22"/>
      <c r="G573"/>
    </row>
    <row r="574" spans="1:7">
      <c r="A574" s="17"/>
      <c r="B574" s="18"/>
      <c r="C574" s="19"/>
      <c r="D574" s="18"/>
      <c r="E574" s="17"/>
      <c r="F574" s="22"/>
      <c r="G574"/>
    </row>
    <row r="575" spans="1:7">
      <c r="A575" s="17"/>
      <c r="B575" s="18"/>
      <c r="C575" s="17"/>
      <c r="D575" s="18"/>
      <c r="E575" s="17"/>
      <c r="F575" s="22"/>
      <c r="G575"/>
    </row>
    <row r="576" spans="1:7">
      <c r="A576" s="17"/>
      <c r="B576" s="18"/>
      <c r="C576" s="19"/>
      <c r="D576" s="18"/>
      <c r="E576" s="17"/>
      <c r="F576" s="22"/>
      <c r="G576"/>
    </row>
    <row r="577" spans="1:7">
      <c r="A577" s="17"/>
      <c r="B577" s="18"/>
      <c r="C577" s="17"/>
      <c r="D577" s="18"/>
      <c r="E577" s="17"/>
      <c r="F577" s="22"/>
      <c r="G577"/>
    </row>
    <row r="578" spans="1:7">
      <c r="A578" s="17"/>
      <c r="B578" s="18"/>
      <c r="C578" s="17"/>
      <c r="D578" s="18"/>
      <c r="E578" s="17"/>
      <c r="F578" s="22"/>
      <c r="G578"/>
    </row>
    <row r="579" spans="1:7">
      <c r="A579" s="17"/>
      <c r="B579" s="18"/>
      <c r="C579" s="19"/>
      <c r="D579" s="18"/>
      <c r="E579" s="17"/>
      <c r="F579" s="22"/>
      <c r="G579"/>
    </row>
    <row r="580" spans="1:7">
      <c r="A580" s="17"/>
      <c r="B580" s="18"/>
      <c r="C580" s="17"/>
      <c r="D580" s="18"/>
      <c r="E580" s="17"/>
      <c r="F580" s="22"/>
      <c r="G580"/>
    </row>
    <row r="581" spans="1:7">
      <c r="A581" s="17"/>
      <c r="B581" s="18"/>
      <c r="C581" s="17"/>
      <c r="D581" s="18"/>
      <c r="E581" s="17"/>
      <c r="F581" s="22"/>
      <c r="G581"/>
    </row>
    <row r="582" spans="1:7">
      <c r="A582" s="17"/>
      <c r="B582" s="18"/>
      <c r="C582" s="17"/>
      <c r="D582" s="18"/>
      <c r="E582" s="17"/>
      <c r="F582" s="22"/>
      <c r="G582"/>
    </row>
    <row r="583" spans="1:7">
      <c r="A583" s="17"/>
      <c r="B583" s="18"/>
      <c r="C583" s="19"/>
      <c r="D583" s="18"/>
      <c r="E583" s="17"/>
      <c r="F583" s="22"/>
      <c r="G583"/>
    </row>
    <row r="584" spans="1:7">
      <c r="A584" s="17"/>
      <c r="B584" s="18"/>
      <c r="C584" s="17"/>
      <c r="D584" s="18"/>
      <c r="E584" s="17"/>
      <c r="F584" s="22"/>
      <c r="G584"/>
    </row>
    <row r="585" spans="1:7">
      <c r="A585" s="17"/>
      <c r="B585" s="18"/>
      <c r="C585" s="17"/>
      <c r="D585" s="18"/>
      <c r="E585" s="17"/>
      <c r="F585" s="22"/>
      <c r="G585"/>
    </row>
    <row r="586" spans="1:7">
      <c r="A586" s="17"/>
      <c r="B586" s="18"/>
      <c r="C586" s="19"/>
      <c r="D586" s="18"/>
      <c r="E586" s="17"/>
      <c r="F586" s="22"/>
      <c r="G586"/>
    </row>
    <row r="587" spans="1:7">
      <c r="A587" s="17"/>
      <c r="B587" s="18"/>
      <c r="C587" s="17"/>
      <c r="D587" s="18"/>
      <c r="E587" s="17"/>
      <c r="F587" s="22"/>
      <c r="G587"/>
    </row>
    <row r="588" spans="1:7">
      <c r="A588" s="17"/>
      <c r="B588" s="18"/>
      <c r="C588" s="19"/>
      <c r="D588" s="18"/>
      <c r="E588" s="17"/>
      <c r="F588" s="22"/>
      <c r="G588"/>
    </row>
    <row r="589" spans="1:7">
      <c r="A589" s="17"/>
      <c r="B589" s="18"/>
      <c r="C589" s="17"/>
      <c r="D589" s="18"/>
      <c r="E589" s="17"/>
      <c r="F589" s="22"/>
      <c r="G589"/>
    </row>
    <row r="590" spans="1:7">
      <c r="A590" s="17"/>
      <c r="B590" s="18"/>
      <c r="C590" s="17"/>
      <c r="D590" s="18"/>
      <c r="E590" s="17"/>
      <c r="F590" s="22"/>
      <c r="G590"/>
    </row>
    <row r="591" spans="1:7">
      <c r="A591" s="17"/>
      <c r="B591" s="18"/>
      <c r="C591" s="17"/>
      <c r="D591" s="18"/>
      <c r="E591" s="17"/>
      <c r="F591" s="22"/>
      <c r="G591"/>
    </row>
    <row r="592" spans="1:7">
      <c r="A592" s="17"/>
      <c r="B592" s="18"/>
      <c r="C592" s="19"/>
      <c r="D592" s="18"/>
      <c r="E592" s="17"/>
      <c r="F592" s="22"/>
      <c r="G592"/>
    </row>
    <row r="593" spans="1:7">
      <c r="A593" s="17"/>
      <c r="B593" s="18"/>
      <c r="C593" s="19"/>
      <c r="D593" s="18"/>
      <c r="E593" s="17"/>
      <c r="F593" s="22"/>
      <c r="G593"/>
    </row>
    <row r="594" spans="1:7">
      <c r="A594" s="17"/>
      <c r="B594" s="18"/>
      <c r="C594" s="19"/>
      <c r="D594" s="18"/>
      <c r="E594" s="17"/>
      <c r="F594" s="22"/>
      <c r="G594"/>
    </row>
    <row r="595" spans="1:7">
      <c r="A595" s="17"/>
      <c r="B595" s="18"/>
      <c r="C595" s="17"/>
      <c r="D595" s="18"/>
      <c r="E595" s="17"/>
      <c r="F595" s="22"/>
      <c r="G595"/>
    </row>
    <row r="596" spans="1:7">
      <c r="A596" s="17"/>
      <c r="B596" s="18"/>
      <c r="C596" s="17"/>
      <c r="D596" s="18"/>
      <c r="E596" s="17"/>
      <c r="F596" s="22"/>
      <c r="G596"/>
    </row>
    <row r="597" spans="1:7">
      <c r="A597" s="17"/>
      <c r="B597" s="18"/>
      <c r="C597" s="19"/>
      <c r="D597" s="18"/>
      <c r="E597" s="17"/>
      <c r="F597" s="22"/>
      <c r="G597"/>
    </row>
    <row r="598" spans="1:7">
      <c r="A598" s="17"/>
      <c r="B598" s="18"/>
      <c r="C598" s="19"/>
      <c r="D598" s="18"/>
      <c r="E598" s="17"/>
      <c r="F598" s="22"/>
      <c r="G598"/>
    </row>
    <row r="599" spans="1:7">
      <c r="A599" s="17"/>
      <c r="B599" s="18"/>
      <c r="C599" s="19"/>
      <c r="D599" s="18"/>
      <c r="E599" s="17"/>
      <c r="F599" s="22"/>
      <c r="G599"/>
    </row>
    <row r="600" spans="1:7">
      <c r="A600" s="17"/>
      <c r="B600" s="18"/>
      <c r="C600" s="17"/>
      <c r="D600" s="18"/>
      <c r="E600" s="17"/>
      <c r="F600" s="22"/>
      <c r="G600"/>
    </row>
    <row r="601" spans="1:7">
      <c r="A601" s="17"/>
      <c r="B601" s="18"/>
      <c r="C601" s="19"/>
      <c r="D601" s="18"/>
      <c r="E601" s="17"/>
      <c r="F601" s="22"/>
      <c r="G601"/>
    </row>
    <row r="602" spans="1:7">
      <c r="A602" s="17"/>
      <c r="B602" s="18"/>
      <c r="C602" s="19"/>
      <c r="D602" s="18"/>
      <c r="E602" s="17"/>
      <c r="F602" s="22"/>
      <c r="G602"/>
    </row>
    <row r="603" spans="1:7">
      <c r="A603" s="17"/>
      <c r="B603" s="18"/>
      <c r="C603" s="19"/>
      <c r="D603" s="18"/>
      <c r="E603" s="17"/>
      <c r="F603" s="22"/>
      <c r="G603"/>
    </row>
    <row r="604" spans="1:7">
      <c r="A604" s="17"/>
      <c r="B604" s="18"/>
      <c r="C604" s="17"/>
      <c r="D604" s="18"/>
      <c r="E604" s="17"/>
      <c r="F604" s="22"/>
      <c r="G604"/>
    </row>
    <row r="605" spans="1:7">
      <c r="A605" s="17"/>
      <c r="B605" s="18"/>
      <c r="C605" s="19"/>
      <c r="D605" s="18"/>
      <c r="E605" s="17"/>
      <c r="F605" s="22"/>
      <c r="G605"/>
    </row>
    <row r="606" spans="1:7">
      <c r="A606" s="17"/>
      <c r="B606" s="18"/>
      <c r="C606" s="17"/>
      <c r="D606" s="18"/>
      <c r="E606" s="17"/>
      <c r="F606" s="22"/>
      <c r="G606"/>
    </row>
    <row r="607" spans="1:7">
      <c r="A607" s="17"/>
      <c r="B607" s="18"/>
      <c r="C607" s="17"/>
      <c r="D607" s="18"/>
      <c r="E607" s="17"/>
      <c r="F607" s="22"/>
      <c r="G607"/>
    </row>
    <row r="608" spans="1:7">
      <c r="A608" s="17"/>
      <c r="B608" s="18"/>
      <c r="C608" s="17"/>
      <c r="D608" s="18"/>
      <c r="E608" s="17"/>
      <c r="F608" s="22"/>
      <c r="G608"/>
    </row>
    <row r="609" spans="1:7">
      <c r="A609" s="17"/>
      <c r="B609" s="18"/>
      <c r="C609" s="17"/>
      <c r="D609" s="18"/>
      <c r="E609" s="17"/>
      <c r="F609" s="22"/>
      <c r="G609"/>
    </row>
    <row r="610" spans="1:7">
      <c r="A610" s="17"/>
      <c r="B610" s="18"/>
      <c r="C610" s="17"/>
      <c r="D610" s="18"/>
      <c r="E610" s="17"/>
      <c r="F610" s="22"/>
      <c r="G610"/>
    </row>
    <row r="611" spans="1:7">
      <c r="A611" s="17"/>
      <c r="B611" s="18"/>
      <c r="C611" s="17"/>
      <c r="D611" s="18"/>
      <c r="E611" s="17"/>
      <c r="F611" s="22"/>
      <c r="G611"/>
    </row>
    <row r="612" spans="1:7">
      <c r="A612" s="17"/>
      <c r="B612" s="18"/>
      <c r="C612" s="19"/>
      <c r="D612" s="18"/>
      <c r="E612" s="17"/>
      <c r="F612" s="22"/>
      <c r="G612"/>
    </row>
    <row r="613" spans="1:7">
      <c r="A613" s="17"/>
      <c r="B613" s="18"/>
      <c r="C613" s="17"/>
      <c r="D613" s="18"/>
      <c r="E613" s="17"/>
      <c r="F613" s="22"/>
      <c r="G613"/>
    </row>
    <row r="614" spans="1:7">
      <c r="A614" s="17"/>
      <c r="B614" s="18"/>
      <c r="C614" s="17"/>
      <c r="D614" s="18"/>
      <c r="E614" s="17"/>
      <c r="F614" s="22"/>
      <c r="G614"/>
    </row>
    <row r="615" spans="1:7">
      <c r="A615" s="17"/>
      <c r="B615" s="18"/>
      <c r="C615" s="19"/>
      <c r="D615" s="18"/>
      <c r="E615" s="17"/>
      <c r="F615" s="22"/>
      <c r="G615"/>
    </row>
    <row r="616" spans="1:7">
      <c r="A616" s="17"/>
      <c r="B616" s="18"/>
      <c r="C616" s="17"/>
      <c r="D616" s="18"/>
      <c r="E616" s="17"/>
      <c r="F616" s="22"/>
      <c r="G616"/>
    </row>
    <row r="617" spans="1:7">
      <c r="A617" s="17"/>
      <c r="B617" s="18"/>
      <c r="C617" s="19"/>
      <c r="D617" s="18"/>
      <c r="E617" s="17"/>
      <c r="F617" s="22"/>
      <c r="G617"/>
    </row>
    <row r="618" spans="1:7">
      <c r="A618" s="17"/>
      <c r="B618" s="18"/>
      <c r="C618" s="17"/>
      <c r="D618" s="18"/>
      <c r="E618" s="17"/>
      <c r="F618" s="22"/>
      <c r="G618"/>
    </row>
    <row r="619" spans="1:7">
      <c r="A619" s="17"/>
      <c r="B619" s="18"/>
      <c r="C619" s="17"/>
      <c r="D619" s="18"/>
      <c r="E619" s="17"/>
      <c r="F619" s="22"/>
      <c r="G619"/>
    </row>
    <row r="620" spans="1:7">
      <c r="A620" s="17"/>
      <c r="B620" s="18"/>
      <c r="C620" s="17"/>
      <c r="D620" s="18"/>
      <c r="E620" s="17"/>
      <c r="F620" s="22"/>
      <c r="G620"/>
    </row>
    <row r="621" spans="1:7">
      <c r="A621" s="17"/>
      <c r="B621" s="18"/>
      <c r="C621" s="19"/>
      <c r="D621" s="18"/>
      <c r="E621" s="17"/>
      <c r="F621" s="22"/>
      <c r="G621"/>
    </row>
    <row r="622" spans="1:7">
      <c r="A622" s="17"/>
      <c r="B622" s="18"/>
      <c r="C622" s="19"/>
      <c r="D622" s="18"/>
      <c r="E622" s="17"/>
      <c r="F622" s="22"/>
      <c r="G622"/>
    </row>
    <row r="623" spans="1:7">
      <c r="A623" s="17"/>
      <c r="B623" s="18"/>
      <c r="C623" s="19"/>
      <c r="D623" s="18"/>
      <c r="E623" s="17"/>
      <c r="F623" s="22"/>
      <c r="G623"/>
    </row>
    <row r="624" spans="1:7">
      <c r="A624" s="17"/>
      <c r="B624" s="18"/>
      <c r="C624" s="17"/>
      <c r="D624" s="18"/>
      <c r="E624" s="17"/>
      <c r="F624" s="22"/>
      <c r="G624"/>
    </row>
    <row r="625" spans="1:7">
      <c r="A625" s="17"/>
      <c r="B625" s="18"/>
      <c r="C625" s="17"/>
      <c r="D625" s="18"/>
      <c r="E625" s="17"/>
      <c r="F625" s="22"/>
      <c r="G625"/>
    </row>
    <row r="626" spans="1:7">
      <c r="A626" s="17"/>
      <c r="B626" s="18"/>
      <c r="C626" s="19"/>
      <c r="D626" s="18"/>
      <c r="E626" s="17"/>
      <c r="F626" s="22"/>
      <c r="G626"/>
    </row>
    <row r="627" spans="1:7">
      <c r="A627" s="17"/>
      <c r="B627" s="18"/>
      <c r="C627" s="19"/>
      <c r="D627" s="18"/>
      <c r="E627" s="17"/>
      <c r="F627" s="22"/>
      <c r="G627"/>
    </row>
    <row r="628" spans="1:7">
      <c r="A628" s="17"/>
      <c r="B628" s="18"/>
      <c r="C628" s="19"/>
      <c r="D628" s="18"/>
      <c r="E628" s="17"/>
      <c r="F628" s="22"/>
      <c r="G628"/>
    </row>
    <row r="629" spans="1:7">
      <c r="A629" s="17"/>
      <c r="B629" s="18"/>
      <c r="C629" s="17"/>
      <c r="D629" s="18"/>
      <c r="E629" s="17"/>
      <c r="F629" s="22"/>
      <c r="G629"/>
    </row>
    <row r="630" spans="1:7">
      <c r="A630" s="17"/>
      <c r="B630" s="18"/>
      <c r="C630" s="19"/>
      <c r="D630" s="18"/>
      <c r="E630" s="17"/>
      <c r="F630" s="22"/>
      <c r="G630"/>
    </row>
    <row r="631" spans="1:7">
      <c r="A631" s="17"/>
      <c r="B631" s="18"/>
      <c r="C631" s="19"/>
      <c r="D631" s="18"/>
      <c r="E631" s="17"/>
      <c r="F631" s="22"/>
      <c r="G631"/>
    </row>
    <row r="632" spans="1:7">
      <c r="A632" s="17"/>
      <c r="B632" s="18"/>
      <c r="C632" s="19"/>
      <c r="D632" s="18"/>
      <c r="E632" s="17"/>
      <c r="F632" s="22"/>
      <c r="G632"/>
    </row>
    <row r="633" spans="1:7">
      <c r="A633" s="17"/>
      <c r="B633" s="18"/>
      <c r="C633" s="17"/>
      <c r="D633" s="18"/>
      <c r="E633" s="17"/>
      <c r="F633" s="22"/>
      <c r="G633"/>
    </row>
    <row r="634" spans="1:7">
      <c r="A634" s="17"/>
      <c r="B634" s="18"/>
      <c r="C634" s="17"/>
      <c r="D634" s="18"/>
      <c r="E634" s="17"/>
      <c r="F634" s="22"/>
      <c r="G634"/>
    </row>
    <row r="635" spans="1:7">
      <c r="A635" s="17"/>
      <c r="B635" s="18"/>
      <c r="C635" s="17"/>
      <c r="D635" s="18"/>
      <c r="E635" s="17"/>
      <c r="F635" s="22"/>
      <c r="G635"/>
    </row>
    <row r="636" spans="1:7">
      <c r="A636" s="17"/>
      <c r="B636" s="18"/>
      <c r="C636" s="17"/>
      <c r="D636" s="18"/>
      <c r="E636" s="17"/>
      <c r="F636" s="22"/>
      <c r="G636"/>
    </row>
    <row r="637" spans="1:7">
      <c r="A637" s="17"/>
      <c r="B637" s="18"/>
      <c r="C637" s="17"/>
      <c r="D637" s="18"/>
      <c r="E637" s="17"/>
      <c r="F637" s="22"/>
      <c r="G637"/>
    </row>
    <row r="638" spans="1:7">
      <c r="A638" s="17"/>
      <c r="B638" s="18"/>
      <c r="C638" s="17"/>
      <c r="D638" s="18"/>
      <c r="E638" s="17"/>
      <c r="F638" s="22"/>
      <c r="G638"/>
    </row>
    <row r="639" spans="1:7">
      <c r="A639" s="17"/>
      <c r="B639" s="18"/>
      <c r="C639" s="17"/>
      <c r="D639" s="18"/>
      <c r="E639" s="17"/>
      <c r="F639" s="22"/>
      <c r="G639"/>
    </row>
    <row r="640" spans="1:7">
      <c r="A640" s="17"/>
      <c r="B640" s="18"/>
      <c r="C640" s="17"/>
      <c r="D640" s="18"/>
      <c r="E640" s="17"/>
      <c r="F640" s="22"/>
      <c r="G640"/>
    </row>
    <row r="641" spans="1:7">
      <c r="A641" s="17"/>
      <c r="B641" s="18"/>
      <c r="C641" s="19"/>
      <c r="D641" s="18"/>
      <c r="E641" s="17"/>
      <c r="F641" s="22"/>
      <c r="G641"/>
    </row>
    <row r="642" spans="1:7">
      <c r="A642" s="17"/>
      <c r="B642" s="18"/>
      <c r="C642" s="17"/>
      <c r="D642" s="18"/>
      <c r="E642" s="17"/>
      <c r="F642" s="22"/>
      <c r="G642"/>
    </row>
    <row r="643" spans="1:7">
      <c r="A643" s="17"/>
      <c r="B643" s="18"/>
      <c r="C643" s="17"/>
      <c r="D643" s="18"/>
      <c r="E643" s="17"/>
      <c r="F643" s="22"/>
      <c r="G643"/>
    </row>
    <row r="644" spans="1:7">
      <c r="A644" s="17"/>
      <c r="B644" s="18"/>
      <c r="C644" s="19"/>
      <c r="D644" s="18"/>
      <c r="E644" s="17"/>
      <c r="F644" s="22"/>
      <c r="G644"/>
    </row>
    <row r="645" spans="1:7">
      <c r="A645" s="17"/>
      <c r="B645" s="18"/>
      <c r="C645" s="17"/>
      <c r="D645" s="18"/>
      <c r="E645" s="17"/>
      <c r="F645" s="22"/>
      <c r="G645"/>
    </row>
    <row r="646" spans="1:7">
      <c r="A646" s="17"/>
      <c r="B646" s="18"/>
      <c r="C646" s="19"/>
      <c r="D646" s="18"/>
      <c r="E646" s="17"/>
      <c r="F646" s="22"/>
      <c r="G646"/>
    </row>
    <row r="647" spans="1:7">
      <c r="A647" s="17"/>
      <c r="B647" s="18"/>
      <c r="C647" s="17"/>
      <c r="D647" s="18"/>
      <c r="E647" s="17"/>
      <c r="F647" s="22"/>
      <c r="G647"/>
    </row>
    <row r="648" spans="1:7">
      <c r="A648" s="17"/>
      <c r="B648" s="18"/>
      <c r="C648" s="17"/>
      <c r="D648" s="18"/>
      <c r="E648" s="17"/>
      <c r="F648" s="22"/>
      <c r="G648"/>
    </row>
    <row r="649" spans="1:7">
      <c r="A649" s="17"/>
      <c r="B649" s="18"/>
      <c r="C649" s="17"/>
      <c r="D649" s="18"/>
      <c r="E649" s="17"/>
      <c r="F649" s="22"/>
      <c r="G649"/>
    </row>
    <row r="650" spans="1:7">
      <c r="A650" s="17"/>
      <c r="B650" s="18"/>
      <c r="C650" s="17"/>
      <c r="D650" s="18"/>
      <c r="E650" s="17"/>
      <c r="F650" s="22"/>
      <c r="G650"/>
    </row>
    <row r="651" spans="1:7">
      <c r="A651" s="17"/>
      <c r="B651" s="18"/>
      <c r="C651" s="19"/>
      <c r="D651" s="18"/>
      <c r="E651" s="17"/>
      <c r="F651" s="22"/>
      <c r="G651"/>
    </row>
    <row r="652" spans="1:7">
      <c r="A652" s="17"/>
      <c r="B652" s="18"/>
      <c r="C652" s="17"/>
      <c r="D652" s="18"/>
      <c r="E652" s="17"/>
      <c r="F652" s="22"/>
      <c r="G652"/>
    </row>
    <row r="653" spans="1:7">
      <c r="A653" s="17"/>
      <c r="B653" s="18"/>
      <c r="C653" s="17"/>
      <c r="D653" s="18"/>
      <c r="E653" s="17"/>
      <c r="F653" s="22"/>
      <c r="G653"/>
    </row>
    <row r="654" spans="1:7">
      <c r="A654" s="17"/>
      <c r="B654" s="18"/>
      <c r="C654" s="17"/>
      <c r="D654" s="18"/>
      <c r="E654" s="17"/>
      <c r="F654" s="22"/>
      <c r="G654"/>
    </row>
    <row r="655" spans="1:7">
      <c r="A655" s="17"/>
      <c r="B655" s="18"/>
      <c r="C655" s="19"/>
      <c r="D655" s="18"/>
      <c r="E655" s="17"/>
      <c r="F655" s="22"/>
      <c r="G655"/>
    </row>
    <row r="656" spans="1:7">
      <c r="A656" s="17"/>
      <c r="B656" s="18"/>
      <c r="C656" s="19"/>
      <c r="D656" s="18"/>
      <c r="E656" s="17"/>
      <c r="F656" s="22"/>
      <c r="G656"/>
    </row>
    <row r="657" spans="1:7">
      <c r="A657" s="17"/>
      <c r="B657" s="18"/>
      <c r="C657" s="19"/>
      <c r="D657" s="18"/>
      <c r="E657" s="17"/>
      <c r="F657" s="22"/>
      <c r="G657"/>
    </row>
    <row r="658" spans="1:7">
      <c r="A658" s="17"/>
      <c r="B658" s="18"/>
      <c r="C658" s="17"/>
      <c r="D658" s="18"/>
      <c r="E658" s="17"/>
      <c r="F658" s="22"/>
      <c r="G658"/>
    </row>
    <row r="659" spans="1:7">
      <c r="A659" s="17"/>
      <c r="B659" s="18"/>
      <c r="C659" s="19"/>
      <c r="D659" s="18"/>
      <c r="E659" s="17"/>
      <c r="F659" s="22"/>
      <c r="G659"/>
    </row>
    <row r="660" spans="1:7">
      <c r="A660" s="17"/>
      <c r="B660" s="18"/>
      <c r="C660" s="19"/>
      <c r="D660" s="18"/>
      <c r="E660" s="17"/>
      <c r="F660" s="22"/>
      <c r="G660"/>
    </row>
    <row r="661" spans="1:7">
      <c r="A661" s="17"/>
      <c r="B661" s="18"/>
      <c r="C661" s="19"/>
      <c r="D661" s="18"/>
      <c r="E661" s="17"/>
      <c r="F661" s="22"/>
      <c r="G661"/>
    </row>
    <row r="662" spans="1:7">
      <c r="A662" s="17"/>
      <c r="B662" s="18"/>
      <c r="C662" s="19"/>
      <c r="D662" s="18"/>
      <c r="E662" s="17"/>
      <c r="F662" s="22"/>
      <c r="G662"/>
    </row>
    <row r="663" spans="1:7">
      <c r="A663" s="17"/>
      <c r="B663" s="18"/>
      <c r="C663" s="17"/>
      <c r="D663" s="18"/>
      <c r="E663" s="17"/>
      <c r="F663" s="22"/>
      <c r="G663"/>
    </row>
    <row r="664" spans="1:7">
      <c r="A664" s="17"/>
      <c r="B664" s="18"/>
      <c r="C664" s="17"/>
      <c r="D664" s="18"/>
      <c r="E664" s="17"/>
      <c r="F664" s="22"/>
      <c r="G664"/>
    </row>
    <row r="665" spans="1:7">
      <c r="A665" s="17"/>
      <c r="B665" s="18"/>
      <c r="C665" s="17"/>
      <c r="D665" s="18"/>
      <c r="E665" s="17"/>
      <c r="F665" s="22"/>
      <c r="G665"/>
    </row>
    <row r="666" spans="1:7">
      <c r="A666" s="17"/>
      <c r="B666" s="18"/>
      <c r="C666" s="17"/>
      <c r="D666" s="18"/>
      <c r="E666" s="17"/>
      <c r="F666" s="22"/>
      <c r="G666"/>
    </row>
    <row r="667" spans="1:7">
      <c r="A667" s="17"/>
      <c r="B667" s="18"/>
      <c r="C667" s="17"/>
      <c r="D667" s="18"/>
      <c r="E667" s="17"/>
      <c r="F667" s="22"/>
      <c r="G667"/>
    </row>
    <row r="668" spans="1:7">
      <c r="A668" s="17"/>
      <c r="B668" s="18"/>
      <c r="C668" s="17"/>
      <c r="D668" s="18"/>
      <c r="E668" s="17"/>
      <c r="F668" s="22"/>
      <c r="G668"/>
    </row>
    <row r="669" spans="1:7">
      <c r="A669" s="17"/>
      <c r="B669" s="18"/>
      <c r="C669" s="17"/>
      <c r="D669" s="18"/>
      <c r="E669" s="17"/>
      <c r="F669" s="22"/>
      <c r="G669"/>
    </row>
    <row r="670" spans="1:7">
      <c r="A670" s="17"/>
      <c r="B670" s="18"/>
      <c r="C670" s="19"/>
      <c r="D670" s="18"/>
      <c r="E670" s="17"/>
      <c r="F670" s="22"/>
      <c r="G670"/>
    </row>
    <row r="671" spans="1:7">
      <c r="A671" s="17"/>
      <c r="B671" s="18"/>
      <c r="C671" s="17"/>
      <c r="D671" s="18"/>
      <c r="E671" s="17"/>
      <c r="F671" s="22"/>
      <c r="G671"/>
    </row>
    <row r="672" spans="1:7">
      <c r="A672" s="17"/>
      <c r="B672" s="18"/>
      <c r="C672" s="17"/>
      <c r="D672" s="18"/>
      <c r="E672" s="17"/>
      <c r="F672" s="22"/>
      <c r="G672"/>
    </row>
    <row r="673" spans="1:7">
      <c r="A673" s="17"/>
      <c r="B673" s="18"/>
      <c r="C673" s="19"/>
      <c r="D673" s="18"/>
      <c r="E673" s="17"/>
      <c r="F673" s="22"/>
      <c r="G673"/>
    </row>
    <row r="674" spans="1:7">
      <c r="A674" s="17"/>
      <c r="B674" s="18"/>
      <c r="C674" s="17"/>
      <c r="D674" s="18"/>
      <c r="E674" s="17"/>
      <c r="F674" s="22"/>
      <c r="G674"/>
    </row>
    <row r="675" spans="1:7">
      <c r="A675" s="17"/>
      <c r="B675" s="18"/>
      <c r="C675" s="19"/>
      <c r="D675" s="18"/>
      <c r="E675" s="17"/>
      <c r="F675" s="22"/>
      <c r="G675"/>
    </row>
    <row r="676" spans="1:7">
      <c r="A676" s="17"/>
      <c r="B676" s="18"/>
      <c r="C676" s="17"/>
      <c r="D676" s="18"/>
      <c r="E676" s="17"/>
      <c r="F676" s="22"/>
      <c r="G676"/>
    </row>
    <row r="677" spans="1:7">
      <c r="A677" s="17"/>
      <c r="B677" s="18"/>
      <c r="C677" s="17"/>
      <c r="D677" s="18"/>
      <c r="E677" s="17"/>
      <c r="F677" s="22"/>
      <c r="G677"/>
    </row>
    <row r="678" spans="1:7">
      <c r="A678" s="17"/>
      <c r="B678" s="18"/>
      <c r="C678" s="17"/>
      <c r="D678" s="18"/>
      <c r="E678" s="17"/>
      <c r="F678" s="22"/>
      <c r="G678"/>
    </row>
    <row r="679" spans="1:7">
      <c r="A679" s="17"/>
      <c r="B679" s="18"/>
      <c r="C679" s="17"/>
      <c r="D679" s="18"/>
      <c r="E679" s="17"/>
      <c r="F679" s="22"/>
      <c r="G679"/>
    </row>
    <row r="680" spans="1:7">
      <c r="A680" s="17"/>
      <c r="B680" s="18"/>
      <c r="C680" s="19"/>
      <c r="D680" s="18"/>
      <c r="E680" s="17"/>
      <c r="F680" s="22"/>
      <c r="G680"/>
    </row>
    <row r="681" spans="1:7">
      <c r="A681" s="17"/>
      <c r="B681" s="18"/>
      <c r="C681" s="17"/>
      <c r="D681" s="18"/>
      <c r="E681" s="17"/>
      <c r="F681" s="22"/>
      <c r="G681"/>
    </row>
    <row r="682" spans="1:7">
      <c r="A682" s="17"/>
      <c r="B682" s="18"/>
      <c r="C682" s="17"/>
      <c r="D682" s="18"/>
      <c r="E682" s="17"/>
      <c r="F682" s="22"/>
      <c r="G682"/>
    </row>
    <row r="683" spans="1:7">
      <c r="A683" s="17"/>
      <c r="B683" s="18"/>
      <c r="C683" s="17"/>
      <c r="D683" s="18"/>
      <c r="E683" s="17"/>
      <c r="F683" s="22"/>
      <c r="G683"/>
    </row>
    <row r="684" spans="1:7">
      <c r="A684" s="17"/>
      <c r="B684" s="18"/>
      <c r="C684" s="19"/>
      <c r="D684" s="18"/>
      <c r="E684" s="17"/>
      <c r="F684" s="22"/>
      <c r="G684"/>
    </row>
    <row r="685" spans="1:7">
      <c r="A685" s="17"/>
      <c r="B685" s="18"/>
      <c r="C685" s="19"/>
      <c r="D685" s="18"/>
      <c r="E685" s="17"/>
      <c r="F685" s="22"/>
      <c r="G685"/>
    </row>
    <row r="686" spans="1:7">
      <c r="A686" s="17"/>
      <c r="B686" s="18"/>
      <c r="C686" s="19"/>
      <c r="D686" s="18"/>
      <c r="E686" s="17"/>
      <c r="F686" s="22"/>
      <c r="G686"/>
    </row>
    <row r="687" spans="1:7">
      <c r="A687" s="17"/>
      <c r="B687" s="18"/>
      <c r="C687" s="17"/>
      <c r="D687" s="18"/>
      <c r="E687" s="17"/>
      <c r="F687" s="22"/>
      <c r="G687"/>
    </row>
    <row r="688" spans="1:7">
      <c r="A688" s="17"/>
      <c r="B688" s="18"/>
      <c r="C688" s="19"/>
      <c r="D688" s="18"/>
      <c r="E688" s="17"/>
      <c r="F688" s="22"/>
      <c r="G688"/>
    </row>
    <row r="689" spans="1:7">
      <c r="A689" s="17"/>
      <c r="B689" s="18"/>
      <c r="C689" s="17"/>
      <c r="D689" s="18"/>
      <c r="E689" s="17"/>
      <c r="F689" s="22"/>
      <c r="G689"/>
    </row>
    <row r="690" spans="1:7">
      <c r="A690" s="17"/>
      <c r="B690" s="18"/>
      <c r="C690" s="19"/>
      <c r="D690" s="18"/>
      <c r="E690" s="17"/>
      <c r="F690" s="22"/>
      <c r="G690"/>
    </row>
    <row r="691" spans="1:7">
      <c r="A691" s="17"/>
      <c r="B691" s="18"/>
      <c r="C691" s="19"/>
      <c r="D691" s="18"/>
      <c r="E691" s="17"/>
      <c r="F691" s="22"/>
      <c r="G691"/>
    </row>
    <row r="692" spans="1:7">
      <c r="A692" s="17"/>
      <c r="B692" s="18"/>
      <c r="C692" s="17"/>
      <c r="D692" s="18"/>
      <c r="E692" s="17"/>
      <c r="F692" s="22"/>
      <c r="G692"/>
    </row>
    <row r="693" spans="1:7">
      <c r="A693" s="17"/>
      <c r="B693" s="18"/>
      <c r="C693" s="17"/>
      <c r="D693" s="18"/>
      <c r="E693" s="17"/>
      <c r="F693" s="22"/>
      <c r="G693"/>
    </row>
    <row r="694" spans="1:7">
      <c r="A694" s="17"/>
      <c r="B694" s="18"/>
      <c r="C694" s="17"/>
      <c r="D694" s="18"/>
      <c r="E694" s="17"/>
      <c r="F694" s="22"/>
      <c r="G694"/>
    </row>
    <row r="695" spans="1:7">
      <c r="A695" s="17"/>
      <c r="B695" s="18"/>
      <c r="C695" s="17"/>
      <c r="D695" s="18"/>
      <c r="E695" s="17"/>
      <c r="F695" s="22"/>
      <c r="G695"/>
    </row>
    <row r="696" spans="1:7">
      <c r="A696" s="17"/>
      <c r="B696" s="18"/>
      <c r="C696" s="17"/>
      <c r="D696" s="18"/>
      <c r="E696" s="17"/>
      <c r="F696" s="22"/>
      <c r="G696"/>
    </row>
    <row r="697" spans="1:7">
      <c r="A697" s="17"/>
      <c r="B697" s="18"/>
      <c r="C697" s="17"/>
      <c r="D697" s="18"/>
      <c r="E697" s="17"/>
      <c r="F697" s="22"/>
      <c r="G697"/>
    </row>
    <row r="698" spans="1:7">
      <c r="A698" s="17"/>
      <c r="B698" s="18"/>
      <c r="C698" s="17"/>
      <c r="D698" s="18"/>
      <c r="E698" s="17"/>
      <c r="F698" s="22"/>
      <c r="G698"/>
    </row>
    <row r="699" spans="1:7">
      <c r="A699" s="17"/>
      <c r="B699" s="18"/>
      <c r="C699" s="19"/>
      <c r="D699" s="18"/>
      <c r="E699" s="17"/>
      <c r="F699" s="22"/>
      <c r="G699"/>
    </row>
    <row r="700" spans="1:7">
      <c r="A700" s="17"/>
      <c r="B700" s="18"/>
      <c r="C700" s="17"/>
      <c r="D700" s="18"/>
      <c r="E700" s="17"/>
      <c r="F700" s="22"/>
      <c r="G700"/>
    </row>
    <row r="701" spans="1:7">
      <c r="A701" s="17"/>
      <c r="B701" s="18"/>
      <c r="C701" s="17"/>
      <c r="D701" s="18"/>
      <c r="E701" s="17"/>
      <c r="F701" s="22"/>
      <c r="G701"/>
    </row>
    <row r="702" spans="1:7">
      <c r="A702" s="17"/>
      <c r="B702" s="18"/>
      <c r="C702" s="17"/>
      <c r="D702" s="18"/>
      <c r="E702" s="17"/>
      <c r="F702" s="22"/>
      <c r="G702"/>
    </row>
    <row r="703" spans="1:7">
      <c r="A703" s="17"/>
      <c r="B703" s="18"/>
      <c r="C703" s="19"/>
      <c r="D703" s="18"/>
      <c r="E703" s="17"/>
      <c r="F703" s="22"/>
      <c r="G703"/>
    </row>
    <row r="704" spans="1:7">
      <c r="A704" s="17"/>
      <c r="B704" s="18"/>
      <c r="C704" s="19"/>
      <c r="D704" s="18"/>
      <c r="E704" s="17"/>
      <c r="F704" s="22"/>
      <c r="G704"/>
    </row>
    <row r="705" spans="1:7">
      <c r="A705" s="17"/>
      <c r="B705" s="18"/>
      <c r="C705" s="17"/>
      <c r="D705" s="18"/>
      <c r="E705" s="17"/>
      <c r="F705" s="22"/>
      <c r="G705"/>
    </row>
    <row r="706" spans="1:7">
      <c r="A706" s="17"/>
      <c r="B706" s="18"/>
      <c r="C706" s="17"/>
      <c r="D706" s="18"/>
      <c r="E706" s="17"/>
      <c r="F706" s="22"/>
      <c r="G706"/>
    </row>
    <row r="707" spans="1:7">
      <c r="A707" s="17"/>
      <c r="B707" s="18"/>
      <c r="C707" s="17"/>
      <c r="D707" s="18"/>
      <c r="E707" s="17"/>
      <c r="F707" s="22"/>
      <c r="G707"/>
    </row>
    <row r="708" spans="1:7">
      <c r="A708" s="17"/>
      <c r="B708" s="18"/>
      <c r="C708" s="17"/>
      <c r="D708" s="18"/>
      <c r="E708" s="17"/>
      <c r="F708" s="22"/>
      <c r="G708"/>
    </row>
    <row r="709" spans="1:7">
      <c r="A709" s="17"/>
      <c r="B709" s="18"/>
      <c r="C709" s="19"/>
      <c r="D709" s="18"/>
      <c r="E709" s="17"/>
      <c r="F709" s="22"/>
      <c r="G709"/>
    </row>
    <row r="710" spans="1:7">
      <c r="A710" s="17"/>
      <c r="B710" s="18"/>
      <c r="C710" s="17"/>
      <c r="D710" s="18"/>
      <c r="E710" s="17"/>
      <c r="F710" s="22"/>
      <c r="G710"/>
    </row>
    <row r="711" spans="1:7">
      <c r="A711" s="17"/>
      <c r="B711" s="18"/>
      <c r="C711" s="17"/>
      <c r="D711" s="18"/>
      <c r="E711" s="17"/>
      <c r="F711" s="22"/>
      <c r="G711"/>
    </row>
    <row r="712" spans="1:7">
      <c r="A712" s="17"/>
      <c r="B712" s="18"/>
      <c r="C712" s="17"/>
      <c r="D712" s="18"/>
      <c r="E712" s="17"/>
      <c r="F712" s="22"/>
      <c r="G712"/>
    </row>
    <row r="713" spans="1:7">
      <c r="A713" s="17"/>
      <c r="B713" s="18"/>
      <c r="C713" s="19"/>
      <c r="D713" s="18"/>
      <c r="E713" s="17"/>
      <c r="F713" s="22"/>
      <c r="G713"/>
    </row>
    <row r="714" spans="1:7">
      <c r="A714" s="17"/>
      <c r="B714" s="18"/>
      <c r="C714" s="19"/>
      <c r="D714" s="18"/>
      <c r="E714" s="17"/>
      <c r="F714" s="22"/>
      <c r="G714"/>
    </row>
    <row r="715" spans="1:7">
      <c r="A715" s="17"/>
      <c r="B715" s="18"/>
      <c r="C715" s="19"/>
      <c r="D715" s="18"/>
      <c r="E715" s="17"/>
      <c r="F715" s="22"/>
      <c r="G715"/>
    </row>
    <row r="716" spans="1:7">
      <c r="A716" s="17"/>
      <c r="B716" s="18"/>
      <c r="C716" s="17"/>
      <c r="D716" s="18"/>
      <c r="E716" s="17"/>
      <c r="F716" s="22"/>
      <c r="G716"/>
    </row>
    <row r="717" spans="1:7">
      <c r="A717" s="17"/>
      <c r="B717" s="18"/>
      <c r="C717" s="19"/>
      <c r="D717" s="18"/>
      <c r="E717" s="17"/>
      <c r="F717" s="22"/>
      <c r="G717"/>
    </row>
    <row r="718" spans="1:7">
      <c r="A718" s="17"/>
      <c r="B718" s="18"/>
      <c r="C718" s="17"/>
      <c r="D718" s="18"/>
      <c r="E718" s="17"/>
      <c r="F718" s="22"/>
      <c r="G718"/>
    </row>
    <row r="719" spans="1:7">
      <c r="A719" s="17"/>
      <c r="B719" s="18"/>
      <c r="C719" s="19"/>
      <c r="D719" s="18"/>
      <c r="E719" s="17"/>
      <c r="F719" s="22"/>
      <c r="G719"/>
    </row>
    <row r="720" spans="1:7">
      <c r="A720" s="17"/>
      <c r="B720" s="18"/>
      <c r="C720" s="19"/>
      <c r="D720" s="18"/>
      <c r="E720" s="17"/>
      <c r="F720" s="22"/>
      <c r="G720"/>
    </row>
    <row r="721" spans="1:7">
      <c r="A721" s="17"/>
      <c r="B721" s="18"/>
      <c r="C721" s="17"/>
      <c r="D721" s="18"/>
      <c r="E721" s="17"/>
      <c r="F721" s="22"/>
      <c r="G721"/>
    </row>
    <row r="722" spans="1:7">
      <c r="A722" s="17"/>
      <c r="B722" s="18"/>
      <c r="C722" s="17"/>
      <c r="D722" s="18"/>
      <c r="E722" s="17"/>
      <c r="F722" s="22"/>
      <c r="G722"/>
    </row>
    <row r="723" spans="1:7">
      <c r="A723" s="17"/>
      <c r="B723" s="18"/>
      <c r="C723" s="17"/>
      <c r="D723" s="18"/>
      <c r="E723" s="17"/>
      <c r="F723" s="22"/>
      <c r="G723"/>
    </row>
    <row r="724" spans="1:7">
      <c r="A724" s="17"/>
      <c r="B724" s="18"/>
      <c r="C724" s="17"/>
      <c r="D724" s="18"/>
      <c r="E724" s="17"/>
      <c r="F724" s="22"/>
      <c r="G724"/>
    </row>
    <row r="725" spans="1:7">
      <c r="A725" s="17"/>
      <c r="B725" s="18"/>
      <c r="C725" s="17"/>
      <c r="D725" s="18"/>
      <c r="E725" s="17"/>
      <c r="F725" s="22"/>
      <c r="G725"/>
    </row>
    <row r="726" spans="1:7">
      <c r="A726" s="17"/>
      <c r="B726" s="18"/>
      <c r="C726" s="17"/>
      <c r="D726" s="18"/>
      <c r="E726" s="17"/>
      <c r="F726" s="22"/>
      <c r="G726"/>
    </row>
    <row r="727" spans="1:7">
      <c r="A727" s="17"/>
      <c r="B727" s="18"/>
      <c r="C727" s="17"/>
      <c r="D727" s="18"/>
      <c r="E727" s="17"/>
      <c r="F727" s="22"/>
      <c r="G727"/>
    </row>
    <row r="728" spans="1:7">
      <c r="A728" s="17"/>
      <c r="B728" s="18"/>
      <c r="C728" s="19"/>
      <c r="D728" s="18"/>
      <c r="E728" s="17"/>
      <c r="F728" s="22"/>
      <c r="G728"/>
    </row>
    <row r="729" spans="1:7">
      <c r="A729" s="17"/>
      <c r="B729" s="18"/>
      <c r="C729" s="19"/>
      <c r="D729" s="18"/>
      <c r="E729" s="17"/>
      <c r="F729" s="22"/>
      <c r="G729"/>
    </row>
    <row r="730" spans="1:7">
      <c r="A730" s="17"/>
      <c r="B730" s="18"/>
      <c r="C730" s="17"/>
      <c r="D730" s="18"/>
      <c r="E730" s="17"/>
      <c r="F730" s="22"/>
      <c r="G730"/>
    </row>
    <row r="731" spans="1:7">
      <c r="A731" s="17"/>
      <c r="B731" s="18"/>
      <c r="C731" s="17"/>
      <c r="D731" s="18"/>
      <c r="E731" s="17"/>
      <c r="F731" s="22"/>
      <c r="G731"/>
    </row>
    <row r="732" spans="1:7">
      <c r="A732" s="17"/>
      <c r="B732" s="18"/>
      <c r="C732" s="19"/>
      <c r="D732" s="18"/>
      <c r="E732" s="17"/>
      <c r="F732" s="22"/>
      <c r="G732"/>
    </row>
    <row r="733" spans="1:7">
      <c r="A733" s="17"/>
      <c r="B733" s="18"/>
      <c r="C733" s="17"/>
      <c r="D733" s="18"/>
      <c r="E733" s="17"/>
      <c r="F733" s="22"/>
      <c r="G733"/>
    </row>
    <row r="734" spans="1:7">
      <c r="A734" s="17"/>
      <c r="B734" s="18"/>
      <c r="C734" s="19"/>
      <c r="D734" s="18"/>
      <c r="E734" s="17"/>
      <c r="F734" s="22"/>
      <c r="G734"/>
    </row>
    <row r="735" spans="1:7">
      <c r="A735" s="17"/>
      <c r="B735" s="18"/>
      <c r="C735" s="17"/>
      <c r="D735" s="18"/>
      <c r="E735" s="17"/>
      <c r="F735" s="22"/>
      <c r="G735"/>
    </row>
    <row r="736" spans="1:7">
      <c r="A736" s="17"/>
      <c r="B736" s="18"/>
      <c r="C736" s="17"/>
      <c r="D736" s="18"/>
      <c r="E736" s="17"/>
      <c r="F736" s="22"/>
      <c r="G736"/>
    </row>
    <row r="737" spans="1:7">
      <c r="A737" s="17"/>
      <c r="B737" s="18"/>
      <c r="C737" s="17"/>
      <c r="D737" s="18"/>
      <c r="E737" s="17"/>
      <c r="F737" s="22"/>
      <c r="G737"/>
    </row>
    <row r="738" spans="1:7">
      <c r="A738" s="17"/>
      <c r="B738" s="18"/>
      <c r="C738" s="19"/>
      <c r="D738" s="18"/>
      <c r="E738" s="17"/>
      <c r="F738" s="22"/>
      <c r="G738"/>
    </row>
    <row r="739" spans="1:7">
      <c r="A739" s="17"/>
      <c r="B739" s="18"/>
      <c r="C739" s="17"/>
      <c r="D739" s="18"/>
      <c r="E739" s="17"/>
      <c r="F739" s="22"/>
      <c r="G739"/>
    </row>
    <row r="740" spans="1:7">
      <c r="A740" s="17"/>
      <c r="B740" s="18"/>
      <c r="C740" s="17"/>
      <c r="D740" s="18"/>
      <c r="E740" s="17"/>
      <c r="F740" s="22"/>
      <c r="G740"/>
    </row>
    <row r="741" spans="1:7">
      <c r="A741" s="17"/>
      <c r="B741" s="18"/>
      <c r="C741" s="17"/>
      <c r="D741" s="18"/>
      <c r="E741" s="17"/>
      <c r="F741" s="22"/>
      <c r="G741"/>
    </row>
    <row r="742" spans="1:7">
      <c r="A742" s="17"/>
      <c r="B742" s="18"/>
      <c r="C742" s="19"/>
      <c r="D742" s="18"/>
      <c r="E742" s="17"/>
      <c r="F742" s="22"/>
      <c r="G742"/>
    </row>
    <row r="743" spans="1:7">
      <c r="A743" s="17"/>
      <c r="B743" s="18"/>
      <c r="C743" s="19"/>
      <c r="D743" s="18"/>
      <c r="E743" s="17"/>
      <c r="F743" s="22"/>
      <c r="G743"/>
    </row>
    <row r="744" spans="1:7">
      <c r="A744" s="17"/>
      <c r="B744" s="18"/>
      <c r="C744" s="19"/>
      <c r="D744" s="18"/>
      <c r="E744" s="17"/>
      <c r="F744" s="22"/>
      <c r="G744"/>
    </row>
    <row r="745" spans="1:7">
      <c r="A745" s="17"/>
      <c r="B745" s="18"/>
      <c r="C745" s="19"/>
      <c r="D745" s="18"/>
      <c r="E745" s="17"/>
      <c r="F745" s="22"/>
      <c r="G745"/>
    </row>
    <row r="746" spans="1:7">
      <c r="A746" s="17"/>
      <c r="B746" s="18"/>
      <c r="C746" s="19"/>
      <c r="D746" s="18"/>
      <c r="E746" s="17"/>
      <c r="F746" s="22"/>
      <c r="G746"/>
    </row>
    <row r="747" spans="1:7">
      <c r="A747" s="17"/>
      <c r="B747" s="18"/>
      <c r="C747" s="17"/>
      <c r="D747" s="18"/>
      <c r="E747" s="17"/>
      <c r="F747" s="22"/>
      <c r="G747"/>
    </row>
    <row r="748" spans="1:7">
      <c r="A748" s="17"/>
      <c r="B748" s="18"/>
      <c r="C748" s="19"/>
      <c r="D748" s="18"/>
      <c r="E748" s="17"/>
      <c r="F748" s="22"/>
      <c r="G748"/>
    </row>
    <row r="749" spans="1:7">
      <c r="A749" s="17"/>
      <c r="B749" s="18"/>
      <c r="C749" s="19"/>
      <c r="D749" s="18"/>
      <c r="E749" s="17"/>
      <c r="F749" s="22"/>
      <c r="G749"/>
    </row>
    <row r="750" spans="1:7">
      <c r="A750" s="17"/>
      <c r="B750" s="18"/>
      <c r="C750" s="17"/>
      <c r="D750" s="18"/>
      <c r="E750" s="17"/>
      <c r="F750" s="22"/>
      <c r="G750"/>
    </row>
    <row r="751" spans="1:7">
      <c r="A751" s="17"/>
      <c r="B751" s="18"/>
      <c r="C751" s="17"/>
      <c r="D751" s="18"/>
      <c r="E751" s="17"/>
      <c r="F751" s="22"/>
      <c r="G751"/>
    </row>
    <row r="752" spans="1:7">
      <c r="A752" s="17"/>
      <c r="B752" s="18"/>
      <c r="C752" s="17"/>
      <c r="D752" s="18"/>
      <c r="E752" s="17"/>
      <c r="F752" s="22"/>
      <c r="G752"/>
    </row>
    <row r="753" spans="1:7">
      <c r="A753" s="17"/>
      <c r="B753" s="18"/>
      <c r="C753" s="17"/>
      <c r="D753" s="18"/>
      <c r="E753" s="17"/>
      <c r="F753" s="22"/>
      <c r="G753"/>
    </row>
    <row r="754" spans="1:7">
      <c r="A754" s="17"/>
      <c r="B754" s="18"/>
      <c r="C754" s="17"/>
      <c r="D754" s="18"/>
      <c r="E754" s="17"/>
      <c r="F754" s="22"/>
      <c r="G754"/>
    </row>
    <row r="755" spans="1:7">
      <c r="A755" s="17"/>
      <c r="B755" s="18"/>
      <c r="C755" s="17"/>
      <c r="D755" s="18"/>
      <c r="E755" s="17"/>
      <c r="F755" s="22"/>
      <c r="G755"/>
    </row>
    <row r="756" spans="1:7">
      <c r="A756" s="17"/>
      <c r="B756" s="18"/>
      <c r="C756" s="17"/>
      <c r="D756" s="18"/>
      <c r="E756" s="17"/>
      <c r="F756" s="22"/>
      <c r="G756"/>
    </row>
    <row r="757" spans="1:7">
      <c r="A757" s="17"/>
      <c r="B757" s="18"/>
      <c r="C757" s="19"/>
      <c r="D757" s="18"/>
      <c r="E757" s="17"/>
      <c r="F757" s="22"/>
      <c r="G757"/>
    </row>
    <row r="758" spans="1:7">
      <c r="A758" s="17"/>
      <c r="B758" s="18"/>
      <c r="C758" s="19"/>
      <c r="D758" s="18"/>
      <c r="E758" s="17"/>
      <c r="F758" s="22"/>
      <c r="G758"/>
    </row>
    <row r="759" spans="1:7">
      <c r="A759" s="17"/>
      <c r="B759" s="18"/>
      <c r="C759" s="17"/>
      <c r="D759" s="18"/>
      <c r="E759" s="17"/>
      <c r="F759" s="22"/>
      <c r="G759"/>
    </row>
    <row r="760" spans="1:7">
      <c r="A760" s="17"/>
      <c r="B760" s="18"/>
      <c r="C760" s="17"/>
      <c r="D760" s="18"/>
      <c r="E760" s="17"/>
      <c r="F760" s="22"/>
      <c r="G760"/>
    </row>
    <row r="761" spans="1:7">
      <c r="A761" s="17"/>
      <c r="B761" s="18"/>
      <c r="C761" s="19"/>
      <c r="D761" s="18"/>
      <c r="E761" s="17"/>
      <c r="F761" s="22"/>
      <c r="G761"/>
    </row>
    <row r="762" spans="1:7">
      <c r="A762" s="17"/>
      <c r="B762" s="18"/>
      <c r="C762" s="17"/>
      <c r="D762" s="18"/>
      <c r="E762" s="17"/>
      <c r="F762" s="22"/>
      <c r="G762"/>
    </row>
    <row r="763" spans="1:7">
      <c r="A763" s="17"/>
      <c r="B763" s="18"/>
      <c r="C763" s="19"/>
      <c r="D763" s="18"/>
      <c r="E763" s="17"/>
      <c r="F763" s="22"/>
      <c r="G763"/>
    </row>
    <row r="764" spans="1:7">
      <c r="A764" s="17"/>
      <c r="B764" s="18"/>
      <c r="C764" s="17"/>
      <c r="D764" s="18"/>
      <c r="E764" s="17"/>
      <c r="F764" s="22"/>
      <c r="G764"/>
    </row>
    <row r="765" spans="1:7">
      <c r="A765" s="17"/>
      <c r="B765" s="18"/>
      <c r="C765" s="17"/>
      <c r="D765" s="18"/>
      <c r="E765" s="17"/>
      <c r="F765" s="22"/>
      <c r="G765"/>
    </row>
    <row r="766" spans="1:7">
      <c r="A766" s="17"/>
      <c r="B766" s="18"/>
      <c r="C766" s="17"/>
      <c r="D766" s="18"/>
      <c r="E766" s="17"/>
      <c r="F766" s="22"/>
      <c r="G766"/>
    </row>
    <row r="767" spans="1:7">
      <c r="A767" s="17"/>
      <c r="B767" s="18"/>
      <c r="C767" s="19"/>
      <c r="D767" s="18"/>
      <c r="E767" s="17"/>
      <c r="F767" s="22"/>
      <c r="G767"/>
    </row>
    <row r="768" spans="1:7">
      <c r="A768" s="17"/>
      <c r="B768" s="18"/>
      <c r="C768" s="19"/>
      <c r="D768" s="18"/>
      <c r="E768" s="17"/>
      <c r="F768" s="22"/>
      <c r="G768"/>
    </row>
    <row r="769" spans="1:7">
      <c r="A769" s="17"/>
      <c r="B769" s="18"/>
      <c r="C769" s="17"/>
      <c r="D769" s="18"/>
      <c r="E769" s="17"/>
      <c r="F769" s="22"/>
      <c r="G769"/>
    </row>
    <row r="770" spans="1:7">
      <c r="A770" s="17"/>
      <c r="B770" s="18"/>
      <c r="C770" s="17"/>
      <c r="D770" s="18"/>
      <c r="E770" s="17"/>
      <c r="F770" s="22"/>
      <c r="G770"/>
    </row>
    <row r="771" spans="1:7">
      <c r="A771" s="17"/>
      <c r="B771" s="18"/>
      <c r="C771" s="17"/>
      <c r="D771" s="18"/>
      <c r="E771" s="17"/>
      <c r="F771" s="22"/>
      <c r="G771"/>
    </row>
    <row r="772" spans="1:7">
      <c r="A772" s="17"/>
      <c r="B772" s="18"/>
      <c r="C772" s="19"/>
      <c r="D772" s="18"/>
      <c r="E772" s="17"/>
      <c r="F772" s="22"/>
      <c r="G772"/>
    </row>
    <row r="773" spans="1:7">
      <c r="A773" s="17"/>
      <c r="B773" s="18"/>
      <c r="C773" s="19"/>
      <c r="D773" s="18"/>
      <c r="E773" s="17"/>
      <c r="F773" s="22"/>
      <c r="G773"/>
    </row>
    <row r="774" spans="1:7">
      <c r="A774" s="17"/>
      <c r="B774" s="18"/>
      <c r="C774" s="19"/>
      <c r="D774" s="18"/>
      <c r="E774" s="17"/>
      <c r="F774" s="22"/>
      <c r="G774"/>
    </row>
    <row r="775" spans="1:7">
      <c r="A775" s="17"/>
      <c r="B775" s="18"/>
      <c r="C775" s="17"/>
      <c r="D775" s="18"/>
      <c r="E775" s="17"/>
      <c r="F775" s="22"/>
      <c r="G775"/>
    </row>
    <row r="776" spans="1:7">
      <c r="A776" s="17"/>
      <c r="B776" s="18"/>
      <c r="C776" s="19"/>
      <c r="D776" s="18"/>
      <c r="E776" s="17"/>
      <c r="F776" s="22"/>
      <c r="G776"/>
    </row>
    <row r="777" spans="1:7">
      <c r="A777" s="17"/>
      <c r="B777" s="18"/>
      <c r="C777" s="17"/>
      <c r="D777" s="18"/>
      <c r="E777" s="17"/>
      <c r="F777" s="22"/>
      <c r="G777"/>
    </row>
    <row r="778" spans="1:7">
      <c r="A778" s="17"/>
      <c r="B778" s="18"/>
      <c r="C778" s="19"/>
      <c r="D778" s="18"/>
      <c r="E778" s="17"/>
      <c r="F778" s="22"/>
      <c r="G778"/>
    </row>
    <row r="779" spans="1:7">
      <c r="A779" s="17"/>
      <c r="B779" s="18"/>
      <c r="C779" s="17"/>
      <c r="D779" s="18"/>
      <c r="E779" s="17"/>
      <c r="F779" s="22"/>
      <c r="G779"/>
    </row>
    <row r="780" spans="1:7">
      <c r="A780" s="17"/>
      <c r="B780" s="18"/>
      <c r="C780" s="17"/>
      <c r="D780" s="18"/>
      <c r="E780" s="17"/>
      <c r="F780" s="22"/>
      <c r="G780"/>
    </row>
    <row r="781" spans="1:7">
      <c r="A781" s="17"/>
      <c r="B781" s="18"/>
      <c r="C781" s="17"/>
      <c r="D781" s="18"/>
      <c r="E781" s="17"/>
      <c r="F781" s="22"/>
      <c r="G781"/>
    </row>
    <row r="782" spans="1:7">
      <c r="A782" s="17"/>
      <c r="B782" s="18"/>
      <c r="C782" s="17"/>
      <c r="D782" s="18"/>
      <c r="E782" s="17"/>
      <c r="F782" s="22"/>
      <c r="G782"/>
    </row>
    <row r="783" spans="1:7">
      <c r="A783" s="17"/>
      <c r="B783" s="18"/>
      <c r="C783" s="17"/>
      <c r="D783" s="18"/>
      <c r="E783" s="17"/>
      <c r="F783" s="22"/>
      <c r="G783"/>
    </row>
    <row r="784" spans="1:7">
      <c r="A784" s="17"/>
      <c r="B784" s="18"/>
      <c r="C784" s="17"/>
      <c r="D784" s="18"/>
      <c r="E784" s="17"/>
      <c r="F784" s="22"/>
      <c r="G784"/>
    </row>
    <row r="785" spans="1:7">
      <c r="A785" s="17"/>
      <c r="B785" s="18"/>
      <c r="C785" s="17"/>
      <c r="D785" s="18"/>
      <c r="E785" s="17"/>
      <c r="F785" s="22"/>
      <c r="G785"/>
    </row>
    <row r="786" spans="1:7">
      <c r="A786" s="17"/>
      <c r="B786" s="18"/>
      <c r="C786" s="17"/>
      <c r="D786" s="18"/>
      <c r="E786" s="17"/>
      <c r="F786" s="22"/>
      <c r="G786"/>
    </row>
    <row r="787" spans="1:7">
      <c r="A787" s="17"/>
      <c r="B787" s="18"/>
      <c r="C787" s="19"/>
      <c r="D787" s="18"/>
      <c r="E787" s="17"/>
      <c r="F787" s="22"/>
      <c r="G787"/>
    </row>
    <row r="788" spans="1:7">
      <c r="A788" s="17"/>
      <c r="B788" s="18"/>
      <c r="C788" s="17"/>
      <c r="D788" s="18"/>
      <c r="E788" s="17"/>
      <c r="F788" s="22"/>
      <c r="G788"/>
    </row>
    <row r="789" spans="1:7">
      <c r="A789" s="17"/>
      <c r="B789" s="18"/>
      <c r="C789" s="17"/>
      <c r="D789" s="18"/>
      <c r="E789" s="17"/>
      <c r="F789" s="22"/>
      <c r="G789"/>
    </row>
    <row r="790" spans="1:7">
      <c r="A790" s="17"/>
      <c r="B790" s="18"/>
      <c r="C790" s="17"/>
      <c r="D790" s="18"/>
      <c r="E790" s="17"/>
      <c r="F790" s="22"/>
      <c r="G790"/>
    </row>
    <row r="791" spans="1:7">
      <c r="A791" s="17"/>
      <c r="B791" s="18"/>
      <c r="C791" s="17"/>
      <c r="D791" s="18"/>
      <c r="E791" s="17"/>
      <c r="F791" s="22"/>
      <c r="G791"/>
    </row>
    <row r="792" spans="1:7">
      <c r="A792" s="17"/>
      <c r="B792" s="18"/>
      <c r="C792" s="19"/>
      <c r="D792" s="18"/>
      <c r="E792" s="17"/>
      <c r="F792" s="22"/>
      <c r="G792"/>
    </row>
    <row r="793" spans="1:7">
      <c r="A793" s="17"/>
      <c r="B793" s="18"/>
      <c r="C793" s="17"/>
      <c r="D793" s="18"/>
      <c r="E793" s="17"/>
      <c r="F793" s="22"/>
      <c r="G793"/>
    </row>
    <row r="794" spans="1:7">
      <c r="A794" s="17"/>
      <c r="B794" s="18"/>
      <c r="C794" s="17"/>
      <c r="D794" s="18"/>
      <c r="E794" s="17"/>
      <c r="F794" s="22"/>
      <c r="G794"/>
    </row>
    <row r="795" spans="1:7">
      <c r="A795" s="17"/>
      <c r="B795" s="18"/>
      <c r="C795" s="17"/>
      <c r="D795" s="18"/>
      <c r="E795" s="17"/>
      <c r="F795" s="22"/>
      <c r="G795"/>
    </row>
    <row r="796" spans="1:7">
      <c r="A796" s="17"/>
      <c r="B796" s="18"/>
      <c r="C796" s="17"/>
      <c r="D796" s="18"/>
      <c r="E796" s="17"/>
      <c r="F796" s="22"/>
      <c r="G796"/>
    </row>
    <row r="797" spans="1:7">
      <c r="A797" s="17"/>
      <c r="B797" s="18"/>
      <c r="C797" s="19"/>
      <c r="D797" s="18"/>
      <c r="E797" s="17"/>
      <c r="F797" s="22"/>
      <c r="G797"/>
    </row>
    <row r="798" spans="1:7">
      <c r="A798" s="17"/>
      <c r="B798" s="18"/>
      <c r="C798" s="17"/>
      <c r="D798" s="18"/>
      <c r="E798" s="17"/>
      <c r="F798" s="22"/>
      <c r="G798"/>
    </row>
    <row r="799" spans="1:7">
      <c r="A799" s="17"/>
      <c r="B799" s="18"/>
      <c r="C799" s="17"/>
      <c r="D799" s="18"/>
      <c r="E799" s="17"/>
      <c r="F799" s="22"/>
      <c r="G799"/>
    </row>
    <row r="800" spans="1:7">
      <c r="A800" s="17"/>
      <c r="B800" s="18"/>
      <c r="C800" s="17"/>
      <c r="D800" s="18"/>
      <c r="E800" s="17"/>
      <c r="F800" s="22"/>
      <c r="G800"/>
    </row>
    <row r="801" spans="1:7">
      <c r="A801" s="17"/>
      <c r="B801" s="18"/>
      <c r="C801" s="19"/>
      <c r="D801" s="18"/>
      <c r="E801" s="17"/>
      <c r="F801" s="22"/>
      <c r="G801"/>
    </row>
    <row r="802" spans="1:7">
      <c r="A802" s="17"/>
      <c r="B802" s="18"/>
      <c r="C802" s="17"/>
      <c r="D802" s="18"/>
      <c r="E802" s="17"/>
      <c r="F802" s="22"/>
      <c r="G802"/>
    </row>
    <row r="803" spans="1:7">
      <c r="A803" s="17"/>
      <c r="B803" s="18"/>
      <c r="C803" s="19"/>
      <c r="D803" s="18"/>
      <c r="E803" s="17"/>
      <c r="F803" s="22"/>
      <c r="G803"/>
    </row>
    <row r="804" spans="1:7">
      <c r="A804" s="17"/>
      <c r="B804" s="18"/>
      <c r="C804" s="17"/>
      <c r="D804" s="18"/>
      <c r="E804" s="17"/>
      <c r="F804" s="22"/>
      <c r="G804"/>
    </row>
    <row r="805" spans="1:7">
      <c r="A805" s="17"/>
      <c r="B805" s="18"/>
      <c r="C805" s="19"/>
      <c r="D805" s="18"/>
      <c r="E805" s="17"/>
      <c r="F805" s="22"/>
      <c r="G805"/>
    </row>
    <row r="806" spans="1:7">
      <c r="A806" s="17"/>
      <c r="B806" s="18"/>
      <c r="C806" s="17"/>
      <c r="D806" s="18"/>
      <c r="E806" s="17"/>
      <c r="F806" s="22"/>
      <c r="G806"/>
    </row>
    <row r="807" spans="1:7">
      <c r="A807" s="17"/>
      <c r="B807" s="18"/>
      <c r="C807" s="17"/>
      <c r="D807" s="18"/>
      <c r="E807" s="17"/>
      <c r="F807" s="22"/>
      <c r="G807"/>
    </row>
    <row r="808" spans="1:7">
      <c r="A808" s="17"/>
      <c r="B808" s="18"/>
      <c r="C808" s="17"/>
      <c r="D808" s="18"/>
      <c r="E808" s="17"/>
      <c r="F808" s="22"/>
      <c r="G808"/>
    </row>
    <row r="809" spans="1:7">
      <c r="A809" s="17"/>
      <c r="B809" s="18"/>
      <c r="C809" s="17"/>
      <c r="D809" s="18"/>
      <c r="E809" s="17"/>
      <c r="F809" s="22"/>
      <c r="G809"/>
    </row>
    <row r="810" spans="1:7">
      <c r="A810" s="17"/>
      <c r="B810" s="18"/>
      <c r="C810" s="17"/>
      <c r="D810" s="18"/>
      <c r="E810" s="17"/>
      <c r="F810" s="22"/>
      <c r="G810"/>
    </row>
    <row r="811" spans="1:7">
      <c r="A811" s="17"/>
      <c r="B811" s="18"/>
      <c r="C811" s="17"/>
      <c r="D811" s="18"/>
      <c r="E811" s="17"/>
      <c r="F811" s="22"/>
      <c r="G811"/>
    </row>
    <row r="812" spans="1:7">
      <c r="A812" s="17"/>
      <c r="B812" s="18"/>
      <c r="C812" s="17"/>
      <c r="D812" s="18"/>
      <c r="E812" s="17"/>
      <c r="F812" s="22"/>
      <c r="G812"/>
    </row>
    <row r="813" spans="1:7">
      <c r="A813" s="17"/>
      <c r="B813" s="18"/>
      <c r="C813" s="17"/>
      <c r="D813" s="18"/>
      <c r="E813" s="17"/>
      <c r="F813" s="22"/>
      <c r="G813"/>
    </row>
    <row r="814" spans="1:7">
      <c r="A814" s="17"/>
      <c r="B814" s="18"/>
      <c r="C814" s="17"/>
      <c r="D814" s="18"/>
      <c r="E814" s="17"/>
      <c r="F814" s="22"/>
      <c r="G814"/>
    </row>
    <row r="815" spans="1:7">
      <c r="A815" s="17"/>
      <c r="B815" s="18"/>
      <c r="C815" s="17"/>
      <c r="D815" s="18"/>
      <c r="E815" s="17"/>
      <c r="F815" s="22"/>
      <c r="G815"/>
    </row>
    <row r="816" spans="1:7">
      <c r="A816" s="17"/>
      <c r="B816" s="18"/>
      <c r="C816" s="19"/>
      <c r="D816" s="18"/>
      <c r="E816" s="17"/>
      <c r="F816" s="22"/>
      <c r="G816"/>
    </row>
    <row r="817" spans="1:7">
      <c r="A817" s="17"/>
      <c r="B817" s="18"/>
      <c r="C817" s="17"/>
      <c r="D817" s="18"/>
      <c r="E817" s="17"/>
      <c r="F817" s="22"/>
      <c r="G817"/>
    </row>
    <row r="818" spans="1:7">
      <c r="A818" s="17"/>
      <c r="B818" s="18"/>
      <c r="C818" s="17"/>
      <c r="D818" s="18"/>
      <c r="E818" s="17"/>
      <c r="F818" s="22"/>
      <c r="G818"/>
    </row>
    <row r="819" spans="1:7">
      <c r="A819" s="17"/>
      <c r="B819" s="18"/>
      <c r="C819" s="17"/>
      <c r="D819" s="18"/>
      <c r="E819" s="17"/>
      <c r="F819" s="22"/>
      <c r="G819"/>
    </row>
    <row r="820" spans="1:7">
      <c r="A820" s="17"/>
      <c r="B820" s="18"/>
      <c r="C820" s="17"/>
      <c r="D820" s="18"/>
      <c r="E820" s="17"/>
      <c r="F820" s="22"/>
      <c r="G820"/>
    </row>
    <row r="821" spans="1:7">
      <c r="A821" s="17"/>
      <c r="B821" s="18"/>
      <c r="C821" s="17"/>
      <c r="D821" s="18"/>
      <c r="E821" s="17"/>
      <c r="F821" s="22"/>
      <c r="G821"/>
    </row>
    <row r="822" spans="1:7">
      <c r="A822" s="17"/>
      <c r="B822" s="18"/>
      <c r="C822" s="17"/>
      <c r="D822" s="18"/>
      <c r="E822" s="17"/>
      <c r="F822" s="22"/>
      <c r="G822"/>
    </row>
    <row r="823" spans="1:7">
      <c r="A823" s="17"/>
      <c r="B823" s="18"/>
      <c r="C823" s="17"/>
      <c r="D823" s="18"/>
      <c r="E823" s="17"/>
      <c r="F823" s="22"/>
      <c r="G823"/>
    </row>
    <row r="824" spans="1:7">
      <c r="A824" s="17"/>
      <c r="B824" s="18"/>
      <c r="C824" s="17"/>
      <c r="D824" s="18"/>
      <c r="E824" s="17"/>
      <c r="F824" s="22"/>
      <c r="G824"/>
    </row>
    <row r="825" spans="1:7">
      <c r="A825" s="17"/>
      <c r="B825" s="18"/>
      <c r="C825" s="17"/>
      <c r="D825" s="18"/>
      <c r="E825" s="17"/>
      <c r="F825" s="22"/>
      <c r="G825"/>
    </row>
    <row r="826" spans="1:7">
      <c r="A826" s="17"/>
      <c r="B826" s="18"/>
      <c r="C826" s="19"/>
      <c r="D826" s="18"/>
      <c r="E826" s="17"/>
      <c r="F826" s="22"/>
      <c r="G826"/>
    </row>
    <row r="827" spans="1:7">
      <c r="A827" s="17"/>
      <c r="B827" s="18"/>
      <c r="C827" s="17"/>
      <c r="D827" s="18"/>
      <c r="E827" s="17"/>
      <c r="F827" s="22"/>
      <c r="G827"/>
    </row>
    <row r="828" spans="1:7">
      <c r="A828" s="17"/>
      <c r="B828" s="18"/>
      <c r="C828" s="17"/>
      <c r="D828" s="18"/>
      <c r="E828" s="17"/>
      <c r="F828" s="22"/>
      <c r="G828"/>
    </row>
    <row r="829" spans="1:7">
      <c r="A829" s="17"/>
      <c r="B829" s="18"/>
      <c r="C829" s="17"/>
      <c r="D829" s="18"/>
      <c r="E829" s="17"/>
      <c r="F829" s="22"/>
      <c r="G829"/>
    </row>
    <row r="830" spans="1:7">
      <c r="A830" s="17"/>
      <c r="B830" s="18"/>
      <c r="C830" s="19"/>
      <c r="D830" s="18"/>
      <c r="E830" s="17"/>
      <c r="F830" s="22"/>
      <c r="G830"/>
    </row>
    <row r="831" spans="1:7">
      <c r="A831" s="17"/>
      <c r="B831" s="18"/>
      <c r="C831" s="17"/>
      <c r="D831" s="18"/>
      <c r="E831" s="17"/>
      <c r="F831" s="22"/>
      <c r="G831"/>
    </row>
    <row r="832" spans="1:7">
      <c r="A832" s="17"/>
      <c r="B832" s="18"/>
      <c r="C832" s="17"/>
      <c r="D832" s="18"/>
      <c r="E832" s="17"/>
      <c r="F832" s="22"/>
      <c r="G832"/>
    </row>
    <row r="833" spans="1:7">
      <c r="A833" s="17"/>
      <c r="B833" s="18"/>
      <c r="C833" s="17"/>
      <c r="D833" s="18"/>
      <c r="E833" s="17"/>
      <c r="F833" s="22"/>
      <c r="G833"/>
    </row>
    <row r="834" spans="1:7">
      <c r="A834" s="17"/>
      <c r="B834" s="18"/>
      <c r="C834" s="19"/>
      <c r="D834" s="18"/>
      <c r="E834" s="17"/>
      <c r="F834" s="22"/>
      <c r="G834"/>
    </row>
    <row r="835" spans="1:7">
      <c r="A835" s="17"/>
      <c r="B835" s="18"/>
      <c r="C835" s="17"/>
      <c r="D835" s="18"/>
      <c r="E835" s="17"/>
      <c r="F835" s="22"/>
      <c r="G835"/>
    </row>
    <row r="836" spans="1:7">
      <c r="A836" s="17"/>
      <c r="B836" s="18"/>
      <c r="C836" s="17"/>
      <c r="D836" s="18"/>
      <c r="E836" s="17"/>
      <c r="F836" s="22"/>
      <c r="G836"/>
    </row>
    <row r="837" spans="1:7">
      <c r="A837" s="17"/>
      <c r="B837" s="18"/>
      <c r="C837" s="17"/>
      <c r="D837" s="18"/>
      <c r="E837" s="17"/>
      <c r="F837" s="22"/>
      <c r="G837"/>
    </row>
    <row r="838" spans="1:7">
      <c r="A838" s="17"/>
      <c r="B838" s="18"/>
      <c r="C838" s="17"/>
      <c r="D838" s="18"/>
      <c r="E838" s="17"/>
      <c r="F838" s="22"/>
      <c r="G838"/>
    </row>
    <row r="839" spans="1:7">
      <c r="A839" s="17"/>
      <c r="B839" s="18"/>
      <c r="C839" s="17"/>
      <c r="D839" s="18"/>
      <c r="E839" s="17"/>
      <c r="F839" s="22"/>
      <c r="G839"/>
    </row>
    <row r="840" spans="1:7">
      <c r="A840" s="17"/>
      <c r="B840" s="18"/>
      <c r="C840" s="17"/>
      <c r="D840" s="18"/>
      <c r="E840" s="17"/>
      <c r="F840" s="22"/>
      <c r="G840"/>
    </row>
    <row r="841" spans="1:7">
      <c r="A841" s="17"/>
      <c r="B841" s="18"/>
      <c r="C841" s="17"/>
      <c r="D841" s="18"/>
      <c r="E841" s="17"/>
      <c r="F841" s="22"/>
      <c r="G841"/>
    </row>
    <row r="842" spans="1:7">
      <c r="A842" s="17"/>
      <c r="B842" s="18"/>
      <c r="C842" s="17"/>
      <c r="D842" s="18"/>
      <c r="E842" s="17"/>
      <c r="F842" s="22"/>
      <c r="G842"/>
    </row>
    <row r="843" spans="1:7">
      <c r="A843" s="17"/>
      <c r="B843" s="18"/>
      <c r="C843" s="17"/>
      <c r="D843" s="18"/>
      <c r="E843" s="17"/>
      <c r="F843" s="22"/>
      <c r="G843"/>
    </row>
    <row r="844" spans="1:7">
      <c r="A844" s="17"/>
      <c r="B844" s="18"/>
      <c r="C844" s="17"/>
      <c r="D844" s="18"/>
      <c r="E844" s="17"/>
      <c r="F844" s="22"/>
      <c r="G844"/>
    </row>
    <row r="845" spans="1:7">
      <c r="A845" s="17"/>
      <c r="B845" s="18"/>
      <c r="C845" s="19"/>
      <c r="D845" s="18"/>
      <c r="E845" s="17"/>
      <c r="F845" s="22"/>
      <c r="G845"/>
    </row>
    <row r="846" spans="1:7">
      <c r="A846" s="17"/>
      <c r="B846" s="18"/>
      <c r="C846" s="17"/>
      <c r="D846" s="18"/>
      <c r="E846" s="17"/>
      <c r="F846" s="22"/>
      <c r="G846"/>
    </row>
    <row r="847" spans="1:7">
      <c r="A847" s="17"/>
      <c r="B847" s="18"/>
      <c r="C847" s="17"/>
      <c r="D847" s="18"/>
      <c r="E847" s="17"/>
      <c r="F847" s="22"/>
      <c r="G847"/>
    </row>
    <row r="848" spans="1:7">
      <c r="A848" s="17"/>
      <c r="B848" s="18"/>
      <c r="C848" s="17"/>
      <c r="D848" s="18"/>
      <c r="E848" s="17"/>
      <c r="F848" s="22"/>
      <c r="G848"/>
    </row>
    <row r="849" spans="1:7">
      <c r="A849" s="17"/>
      <c r="B849" s="18"/>
      <c r="C849" s="17"/>
      <c r="D849" s="18"/>
      <c r="E849" s="17"/>
      <c r="F849" s="22"/>
      <c r="G849"/>
    </row>
    <row r="850" spans="1:7">
      <c r="A850" s="17"/>
      <c r="B850" s="18"/>
      <c r="C850" s="17"/>
      <c r="D850" s="18"/>
      <c r="E850" s="17"/>
      <c r="F850" s="22"/>
      <c r="G850"/>
    </row>
    <row r="851" spans="1:7">
      <c r="A851" s="17"/>
      <c r="B851" s="18"/>
      <c r="C851" s="17"/>
      <c r="D851" s="18"/>
      <c r="E851" s="17"/>
      <c r="F851" s="22"/>
      <c r="G851"/>
    </row>
    <row r="852" spans="1:7">
      <c r="A852" s="17"/>
      <c r="B852" s="18"/>
      <c r="C852" s="17"/>
      <c r="D852" s="18"/>
      <c r="E852" s="17"/>
      <c r="F852" s="22"/>
      <c r="G852"/>
    </row>
    <row r="853" spans="1:7">
      <c r="A853" s="17"/>
      <c r="B853" s="18"/>
      <c r="C853" s="17"/>
      <c r="D853" s="18"/>
      <c r="E853" s="17"/>
      <c r="F853" s="22"/>
      <c r="G853"/>
    </row>
    <row r="854" spans="1:7">
      <c r="A854" s="17"/>
      <c r="B854" s="18"/>
      <c r="C854" s="17"/>
      <c r="D854" s="18"/>
      <c r="E854" s="17"/>
      <c r="F854" s="22"/>
      <c r="G854"/>
    </row>
    <row r="855" spans="1:7">
      <c r="A855" s="17"/>
      <c r="B855" s="18"/>
      <c r="C855" s="19"/>
      <c r="D855" s="18"/>
      <c r="E855" s="17"/>
      <c r="F855" s="22"/>
      <c r="G855"/>
    </row>
    <row r="856" spans="1:7">
      <c r="A856" s="17"/>
      <c r="B856" s="18"/>
      <c r="C856" s="17"/>
      <c r="D856" s="18"/>
      <c r="E856" s="17"/>
      <c r="F856" s="22"/>
      <c r="G856"/>
    </row>
    <row r="857" spans="1:7">
      <c r="A857" s="17"/>
      <c r="B857" s="18"/>
      <c r="C857" s="17"/>
      <c r="D857" s="18"/>
      <c r="E857" s="17"/>
      <c r="F857" s="22"/>
      <c r="G857"/>
    </row>
    <row r="858" spans="1:7">
      <c r="A858" s="17"/>
      <c r="B858" s="18"/>
      <c r="C858" s="17"/>
      <c r="D858" s="18"/>
      <c r="E858" s="17"/>
      <c r="F858" s="22"/>
      <c r="G858"/>
    </row>
    <row r="859" spans="1:7">
      <c r="A859" s="17"/>
      <c r="B859" s="18"/>
      <c r="C859" s="17"/>
      <c r="D859" s="18"/>
      <c r="E859" s="17"/>
      <c r="F859" s="22"/>
      <c r="G859"/>
    </row>
    <row r="860" spans="1:7">
      <c r="A860" s="17"/>
      <c r="B860" s="18"/>
      <c r="C860" s="17"/>
      <c r="D860" s="18"/>
      <c r="E860" s="17"/>
      <c r="F860" s="22"/>
      <c r="G860"/>
    </row>
    <row r="861" spans="1:7">
      <c r="A861" s="17"/>
      <c r="B861" s="18"/>
      <c r="C861" s="17"/>
      <c r="D861" s="18"/>
      <c r="E861" s="17"/>
      <c r="F861" s="22"/>
      <c r="G861"/>
    </row>
    <row r="862" spans="1:7">
      <c r="A862" s="17"/>
      <c r="B862" s="18"/>
      <c r="C862" s="17"/>
      <c r="D862" s="18"/>
      <c r="E862" s="17"/>
      <c r="F862" s="22"/>
      <c r="G862"/>
    </row>
    <row r="863" spans="1:7">
      <c r="A863" s="17"/>
      <c r="B863" s="18"/>
      <c r="C863" s="17"/>
      <c r="D863" s="18"/>
      <c r="E863" s="17"/>
      <c r="F863" s="22"/>
      <c r="G863"/>
    </row>
    <row r="864" spans="1:7">
      <c r="A864" s="17"/>
      <c r="B864" s="18"/>
      <c r="C864" s="17"/>
      <c r="D864" s="18"/>
      <c r="E864" s="17"/>
      <c r="F864" s="22"/>
      <c r="G864"/>
    </row>
    <row r="865" spans="1:7">
      <c r="A865" s="17"/>
      <c r="B865" s="18"/>
      <c r="C865" s="17"/>
      <c r="D865" s="18"/>
      <c r="E865" s="17"/>
      <c r="F865" s="22"/>
      <c r="G865"/>
    </row>
    <row r="866" spans="1:7">
      <c r="A866" s="17"/>
      <c r="B866" s="18"/>
      <c r="C866" s="17"/>
      <c r="D866" s="18"/>
      <c r="E866" s="17"/>
      <c r="F866" s="22"/>
      <c r="G866"/>
    </row>
    <row r="867" spans="1:7">
      <c r="A867" s="17"/>
      <c r="B867" s="18"/>
      <c r="C867" s="17"/>
      <c r="D867" s="18"/>
      <c r="E867" s="17"/>
      <c r="F867" s="22"/>
      <c r="G867"/>
    </row>
    <row r="868" spans="1:7">
      <c r="A868" s="17"/>
      <c r="B868" s="18"/>
      <c r="C868" s="17"/>
      <c r="D868" s="18"/>
      <c r="E868" s="17"/>
      <c r="F868" s="22"/>
      <c r="G868"/>
    </row>
    <row r="869" spans="1:7">
      <c r="A869" s="17"/>
      <c r="B869" s="18"/>
      <c r="C869" s="17"/>
      <c r="D869" s="18"/>
      <c r="E869" s="17"/>
      <c r="F869" s="22"/>
      <c r="G869"/>
    </row>
    <row r="870" spans="1:7">
      <c r="A870" s="17"/>
      <c r="B870" s="18"/>
      <c r="C870" s="17"/>
      <c r="D870" s="18"/>
      <c r="E870" s="17"/>
      <c r="F870" s="22"/>
      <c r="G870"/>
    </row>
    <row r="871" spans="1:7">
      <c r="A871" s="17"/>
      <c r="B871" s="18"/>
      <c r="C871" s="17"/>
      <c r="D871" s="18"/>
      <c r="E871" s="17"/>
      <c r="F871" s="22"/>
      <c r="G871"/>
    </row>
    <row r="872" spans="1:7">
      <c r="A872" s="17"/>
      <c r="B872" s="18"/>
      <c r="C872" s="17"/>
      <c r="D872" s="18"/>
      <c r="E872" s="17"/>
      <c r="F872" s="22"/>
      <c r="G872"/>
    </row>
    <row r="873" spans="1:7">
      <c r="A873" s="17"/>
      <c r="B873" s="18"/>
      <c r="C873" s="17"/>
      <c r="D873" s="18"/>
      <c r="E873" s="17"/>
      <c r="F873" s="22"/>
      <c r="G873"/>
    </row>
    <row r="874" spans="1:7">
      <c r="A874" s="17"/>
      <c r="B874" s="18"/>
      <c r="C874" s="17"/>
      <c r="D874" s="18"/>
      <c r="E874" s="17"/>
      <c r="F874" s="22"/>
      <c r="G874"/>
    </row>
    <row r="875" spans="1:7">
      <c r="A875" s="17"/>
      <c r="B875" s="18"/>
      <c r="C875" s="17"/>
      <c r="D875" s="18"/>
      <c r="E875" s="17"/>
      <c r="F875" s="22"/>
      <c r="G875"/>
    </row>
    <row r="876" spans="1:7">
      <c r="A876" s="17"/>
      <c r="B876" s="18"/>
      <c r="C876" s="17"/>
      <c r="D876" s="18"/>
      <c r="E876" s="17"/>
      <c r="F876" s="22"/>
      <c r="G876"/>
    </row>
    <row r="877" spans="1:7">
      <c r="A877" s="17"/>
      <c r="B877" s="18"/>
      <c r="C877" s="17"/>
      <c r="D877" s="18"/>
      <c r="E877" s="17"/>
      <c r="F877" s="22"/>
      <c r="G877"/>
    </row>
    <row r="878" spans="1:7">
      <c r="A878" s="17"/>
      <c r="B878" s="18"/>
      <c r="C878" s="17"/>
      <c r="D878" s="18"/>
      <c r="E878" s="17"/>
      <c r="F878" s="22"/>
      <c r="G878"/>
    </row>
    <row r="879" spans="1:7">
      <c r="A879" s="17"/>
      <c r="B879" s="18"/>
      <c r="C879" s="17"/>
      <c r="D879" s="18"/>
      <c r="E879" s="17"/>
      <c r="F879" s="22"/>
      <c r="G879"/>
    </row>
    <row r="880" spans="1:7">
      <c r="A880" s="17"/>
      <c r="B880" s="18"/>
      <c r="C880" s="17"/>
      <c r="D880" s="18"/>
      <c r="E880" s="17"/>
      <c r="F880" s="22"/>
      <c r="G880"/>
    </row>
    <row r="881" spans="1:7">
      <c r="A881" s="17"/>
      <c r="B881" s="18"/>
      <c r="C881" s="17"/>
      <c r="D881" s="18"/>
      <c r="E881" s="17"/>
      <c r="F881" s="22"/>
      <c r="G881"/>
    </row>
    <row r="882" spans="1:7">
      <c r="A882" s="17"/>
      <c r="B882" s="18"/>
      <c r="C882" s="17"/>
      <c r="D882" s="18"/>
      <c r="E882" s="17"/>
      <c r="F882" s="22"/>
      <c r="G882"/>
    </row>
    <row r="883" spans="1:7">
      <c r="A883" s="17"/>
      <c r="B883" s="18"/>
      <c r="C883" s="17"/>
      <c r="D883" s="18"/>
      <c r="E883" s="17"/>
      <c r="F883" s="22"/>
      <c r="G883"/>
    </row>
    <row r="884" spans="1:7">
      <c r="A884" s="17"/>
      <c r="B884" s="18"/>
      <c r="C884" s="17"/>
      <c r="D884" s="18"/>
      <c r="E884" s="17"/>
      <c r="F884" s="22"/>
      <c r="G884"/>
    </row>
    <row r="885" spans="1:7">
      <c r="A885" s="17"/>
      <c r="B885" s="18"/>
      <c r="C885" s="17"/>
      <c r="D885" s="18"/>
      <c r="E885" s="17"/>
      <c r="F885" s="22"/>
      <c r="G885"/>
    </row>
    <row r="886" spans="1:7">
      <c r="A886" s="17"/>
      <c r="B886" s="18"/>
      <c r="C886" s="17"/>
      <c r="D886" s="18"/>
      <c r="E886" s="17"/>
      <c r="F886" s="22"/>
      <c r="G886"/>
    </row>
    <row r="887" spans="1:7">
      <c r="A887" s="17"/>
      <c r="B887" s="18"/>
      <c r="C887" s="17"/>
      <c r="D887" s="18"/>
      <c r="E887" s="17"/>
      <c r="F887" s="22"/>
      <c r="G887"/>
    </row>
    <row r="888" spans="1:7">
      <c r="A888" s="17"/>
      <c r="B888" s="18"/>
      <c r="C888" s="17"/>
      <c r="D888" s="18"/>
      <c r="E888" s="17"/>
      <c r="F888" s="22"/>
      <c r="G888"/>
    </row>
    <row r="889" spans="1:7">
      <c r="A889" s="17"/>
      <c r="B889" s="18"/>
      <c r="C889" s="17"/>
      <c r="D889" s="18"/>
      <c r="E889" s="17"/>
      <c r="F889" s="22"/>
      <c r="G889"/>
    </row>
    <row r="890" spans="1:7">
      <c r="A890" s="17"/>
      <c r="B890" s="18"/>
      <c r="C890" s="17"/>
      <c r="D890" s="18"/>
      <c r="E890" s="17"/>
      <c r="F890" s="22"/>
      <c r="G890"/>
    </row>
    <row r="891" spans="1:7">
      <c r="A891" s="17"/>
      <c r="B891" s="18"/>
      <c r="C891" s="17"/>
      <c r="D891" s="18"/>
      <c r="E891" s="17"/>
      <c r="F891" s="22"/>
      <c r="G891"/>
    </row>
    <row r="892" spans="1:7">
      <c r="A892" s="17"/>
      <c r="B892" s="18"/>
      <c r="C892" s="17"/>
      <c r="D892" s="18"/>
      <c r="E892" s="17"/>
      <c r="F892" s="22"/>
      <c r="G892"/>
    </row>
    <row r="893" spans="1:7">
      <c r="A893" s="17"/>
      <c r="B893" s="18"/>
      <c r="C893" s="17"/>
      <c r="D893" s="18"/>
      <c r="E893" s="17"/>
      <c r="F893" s="22"/>
      <c r="G893"/>
    </row>
    <row r="894" spans="1:7">
      <c r="A894" s="17"/>
      <c r="B894" s="18"/>
      <c r="C894" s="17"/>
      <c r="D894" s="18"/>
      <c r="E894" s="17"/>
      <c r="F894" s="22"/>
      <c r="G894"/>
    </row>
    <row r="895" spans="1:7">
      <c r="A895" s="17"/>
      <c r="B895" s="18"/>
      <c r="C895" s="17"/>
      <c r="D895" s="18"/>
      <c r="E895" s="17"/>
      <c r="F895" s="22"/>
      <c r="G895"/>
    </row>
    <row r="896" spans="1:7">
      <c r="A896" s="17"/>
      <c r="B896" s="18"/>
      <c r="C896" s="17"/>
      <c r="D896" s="18"/>
      <c r="E896" s="17"/>
      <c r="F896" s="22"/>
      <c r="G896"/>
    </row>
    <row r="897" spans="1:7">
      <c r="A897" s="17"/>
      <c r="B897" s="18"/>
      <c r="C897" s="17"/>
      <c r="D897" s="18"/>
      <c r="E897" s="17"/>
      <c r="F897" s="22"/>
      <c r="G897"/>
    </row>
    <row r="898" spans="1:7">
      <c r="A898" s="17"/>
      <c r="B898" s="18"/>
      <c r="C898" s="17"/>
      <c r="D898" s="18"/>
      <c r="E898" s="17"/>
      <c r="F898" s="22"/>
      <c r="G898"/>
    </row>
    <row r="899" spans="1:7">
      <c r="A899" s="17"/>
      <c r="B899" s="18"/>
      <c r="C899" s="17"/>
      <c r="D899" s="18"/>
      <c r="E899" s="17"/>
      <c r="F899" s="22"/>
      <c r="G899"/>
    </row>
    <row r="900" spans="1:7">
      <c r="A900" s="17"/>
      <c r="B900" s="18"/>
      <c r="C900" s="17"/>
      <c r="D900" s="18"/>
      <c r="E900" s="17"/>
      <c r="F900" s="22"/>
      <c r="G900"/>
    </row>
    <row r="901" spans="1:7">
      <c r="A901" s="17"/>
      <c r="B901" s="18"/>
      <c r="C901" s="17"/>
      <c r="D901" s="18"/>
      <c r="E901" s="17"/>
      <c r="F901" s="22"/>
      <c r="G901"/>
    </row>
    <row r="902" spans="1:7">
      <c r="A902" s="17"/>
      <c r="B902" s="18"/>
      <c r="C902" s="17"/>
      <c r="D902" s="18"/>
      <c r="E902" s="17"/>
      <c r="F902" s="22"/>
      <c r="G902"/>
    </row>
    <row r="903" spans="1:7">
      <c r="A903" s="17"/>
      <c r="B903" s="18"/>
      <c r="C903" s="17"/>
      <c r="D903" s="18"/>
      <c r="E903" s="17"/>
      <c r="F903" s="22"/>
      <c r="G903"/>
    </row>
    <row r="904" spans="1:7">
      <c r="A904" s="17"/>
      <c r="B904" s="18"/>
      <c r="C904" s="17"/>
      <c r="D904" s="18"/>
      <c r="E904" s="17"/>
      <c r="F904" s="22"/>
      <c r="G904"/>
    </row>
    <row r="905" spans="1:7">
      <c r="A905" s="17"/>
      <c r="B905" s="18"/>
      <c r="C905" s="17"/>
      <c r="D905" s="18"/>
      <c r="E905" s="17"/>
      <c r="F905" s="22"/>
      <c r="G905"/>
    </row>
    <row r="906" spans="1:7">
      <c r="A906" s="17"/>
      <c r="B906" s="18"/>
      <c r="C906" s="17"/>
      <c r="D906" s="18"/>
      <c r="E906" s="17"/>
      <c r="F906" s="22"/>
      <c r="G906"/>
    </row>
    <row r="907" spans="1:7">
      <c r="A907" s="17"/>
      <c r="B907" s="18"/>
      <c r="C907" s="17"/>
      <c r="D907" s="18"/>
      <c r="E907" s="17"/>
      <c r="F907" s="22"/>
      <c r="G907"/>
    </row>
    <row r="908" spans="1:7">
      <c r="A908" s="17"/>
      <c r="B908" s="18"/>
      <c r="C908" s="17"/>
      <c r="D908" s="18"/>
      <c r="E908" s="17"/>
      <c r="F908" s="22"/>
      <c r="G908"/>
    </row>
    <row r="909" spans="1:7">
      <c r="A909" s="17"/>
      <c r="B909" s="18"/>
      <c r="C909" s="17"/>
      <c r="D909" s="18"/>
      <c r="E909" s="17"/>
      <c r="F909" s="22"/>
      <c r="G909"/>
    </row>
    <row r="910" spans="1:7">
      <c r="A910" s="17"/>
      <c r="B910" s="18"/>
      <c r="C910" s="17"/>
      <c r="D910" s="18"/>
      <c r="E910" s="17"/>
      <c r="F910" s="22"/>
      <c r="G910"/>
    </row>
    <row r="911" spans="1:7">
      <c r="A911" s="17"/>
      <c r="B911" s="18"/>
      <c r="C911" s="17"/>
      <c r="D911" s="18"/>
      <c r="E911" s="17"/>
      <c r="F911" s="22"/>
      <c r="G911"/>
    </row>
    <row r="912" spans="1:7">
      <c r="A912" s="17"/>
      <c r="B912" s="18"/>
      <c r="C912" s="17"/>
      <c r="D912" s="18"/>
      <c r="E912" s="17"/>
      <c r="F912" s="22"/>
      <c r="G912"/>
    </row>
    <row r="913" spans="1:7">
      <c r="A913" s="17"/>
      <c r="B913" s="18"/>
      <c r="C913" s="17"/>
      <c r="D913" s="18"/>
      <c r="E913" s="17"/>
      <c r="F913" s="22"/>
      <c r="G913"/>
    </row>
    <row r="914" spans="1:7">
      <c r="A914" s="17"/>
      <c r="B914" s="18"/>
      <c r="C914" s="17"/>
      <c r="D914" s="18"/>
      <c r="E914" s="17"/>
      <c r="F914" s="22"/>
      <c r="G914"/>
    </row>
    <row r="915" spans="1:7">
      <c r="A915" s="17"/>
      <c r="B915" s="18"/>
      <c r="C915" s="17"/>
      <c r="D915" s="18"/>
      <c r="E915" s="17"/>
      <c r="F915" s="22"/>
      <c r="G915"/>
    </row>
    <row r="916" spans="1:7">
      <c r="A916" s="17"/>
      <c r="B916" s="18"/>
      <c r="C916" s="17"/>
      <c r="D916" s="18"/>
      <c r="E916" s="17"/>
      <c r="F916" s="22"/>
      <c r="G916"/>
    </row>
    <row r="917" spans="1:7">
      <c r="A917" s="17"/>
      <c r="B917" s="18"/>
      <c r="C917" s="17"/>
      <c r="D917" s="18"/>
      <c r="E917" s="17"/>
      <c r="F917" s="22"/>
      <c r="G917"/>
    </row>
    <row r="918" spans="1:7">
      <c r="A918" s="17"/>
      <c r="B918" s="18"/>
      <c r="C918" s="17"/>
      <c r="D918" s="18"/>
      <c r="E918" s="17"/>
      <c r="F918" s="22"/>
      <c r="G918"/>
    </row>
    <row r="919" spans="1:7">
      <c r="A919" s="17"/>
      <c r="B919" s="18"/>
      <c r="C919" s="17"/>
      <c r="D919" s="18"/>
      <c r="E919" s="17"/>
      <c r="F919" s="22"/>
      <c r="G919"/>
    </row>
    <row r="920" spans="1:7">
      <c r="A920" s="17"/>
      <c r="B920" s="18"/>
      <c r="C920" s="17"/>
      <c r="D920" s="18"/>
      <c r="E920" s="17"/>
      <c r="F920" s="22"/>
      <c r="G920"/>
    </row>
    <row r="921" spans="1:7">
      <c r="A921" s="17"/>
      <c r="B921" s="18"/>
      <c r="C921" s="17"/>
      <c r="D921" s="18"/>
      <c r="E921" s="17"/>
      <c r="F921" s="22"/>
      <c r="G921"/>
    </row>
    <row r="922" spans="1:7">
      <c r="A922" s="17"/>
      <c r="B922" s="18"/>
      <c r="C922" s="17"/>
      <c r="D922" s="18"/>
      <c r="E922" s="17"/>
      <c r="F922" s="22"/>
      <c r="G922"/>
    </row>
    <row r="923" spans="1:7">
      <c r="A923" s="17"/>
      <c r="B923" s="18"/>
      <c r="C923" s="17"/>
      <c r="D923" s="18"/>
      <c r="E923" s="17"/>
      <c r="F923" s="22"/>
      <c r="G923"/>
    </row>
    <row r="924" spans="1:7">
      <c r="A924" s="17"/>
      <c r="B924" s="18"/>
      <c r="C924" s="17"/>
      <c r="D924" s="18"/>
      <c r="E924" s="17"/>
      <c r="F924" s="22"/>
      <c r="G924"/>
    </row>
    <row r="925" spans="1:7">
      <c r="A925" s="17"/>
      <c r="B925" s="18"/>
      <c r="C925" s="17"/>
      <c r="D925" s="18"/>
      <c r="E925" s="17"/>
      <c r="F925" s="22"/>
      <c r="G925"/>
    </row>
    <row r="926" spans="1:7">
      <c r="A926" s="17"/>
      <c r="B926" s="18"/>
      <c r="C926" s="17"/>
      <c r="D926" s="18"/>
      <c r="E926" s="17"/>
      <c r="F926" s="22"/>
      <c r="G926"/>
    </row>
    <row r="927" spans="1:7">
      <c r="A927" s="17"/>
      <c r="B927" s="18"/>
      <c r="C927" s="17"/>
      <c r="D927" s="18"/>
      <c r="E927" s="17"/>
      <c r="F927" s="22"/>
      <c r="G927"/>
    </row>
    <row r="928" spans="1:7">
      <c r="A928" s="17"/>
      <c r="B928" s="18"/>
      <c r="C928" s="17"/>
      <c r="D928" s="18"/>
      <c r="E928" s="17"/>
      <c r="F928" s="22"/>
      <c r="G928"/>
    </row>
    <row r="929" spans="1:7">
      <c r="A929" s="17"/>
      <c r="B929" s="18"/>
      <c r="C929" s="17"/>
      <c r="D929" s="18"/>
      <c r="E929" s="17"/>
      <c r="F929" s="22"/>
      <c r="G929"/>
    </row>
    <row r="930" spans="1:7">
      <c r="A930" s="17"/>
      <c r="B930" s="18"/>
      <c r="C930" s="17"/>
      <c r="D930" s="18"/>
      <c r="E930" s="17"/>
      <c r="F930" s="22"/>
      <c r="G930"/>
    </row>
    <row r="931" spans="1:7">
      <c r="A931" s="17"/>
      <c r="B931" s="18"/>
      <c r="C931" s="17"/>
      <c r="D931" s="18"/>
      <c r="E931" s="17"/>
      <c r="F931" s="22"/>
      <c r="G931"/>
    </row>
    <row r="932" spans="1:7">
      <c r="A932" s="17"/>
      <c r="B932" s="18"/>
      <c r="C932" s="17"/>
      <c r="D932" s="18"/>
      <c r="E932" s="17"/>
      <c r="F932" s="22"/>
      <c r="G932"/>
    </row>
    <row r="933" spans="1:7">
      <c r="A933" s="17"/>
      <c r="B933" s="18"/>
      <c r="C933" s="17"/>
      <c r="D933" s="18"/>
      <c r="E933" s="17"/>
      <c r="F933" s="22"/>
      <c r="G933"/>
    </row>
    <row r="934" spans="1:7">
      <c r="A934" s="17"/>
      <c r="B934" s="18"/>
      <c r="C934" s="17"/>
      <c r="D934" s="18"/>
      <c r="E934" s="17"/>
      <c r="F934" s="22"/>
      <c r="G934"/>
    </row>
    <row r="935" spans="1:7">
      <c r="A935" s="17"/>
      <c r="B935" s="18"/>
      <c r="C935" s="17"/>
      <c r="D935" s="18"/>
      <c r="E935" s="17"/>
      <c r="F935" s="22"/>
      <c r="G935"/>
    </row>
    <row r="936" spans="1:7">
      <c r="A936" s="17"/>
      <c r="B936" s="18"/>
      <c r="C936" s="17"/>
      <c r="D936" s="18"/>
      <c r="E936" s="17"/>
      <c r="F936" s="22"/>
      <c r="G936"/>
    </row>
    <row r="937" spans="1:7">
      <c r="A937" s="17"/>
      <c r="B937" s="18"/>
      <c r="C937" s="17"/>
      <c r="D937" s="18"/>
      <c r="E937" s="17"/>
      <c r="F937" s="22"/>
      <c r="G937"/>
    </row>
    <row r="938" spans="1:7">
      <c r="A938" s="17"/>
      <c r="B938" s="18"/>
      <c r="C938" s="17"/>
      <c r="D938" s="18"/>
      <c r="E938" s="17"/>
      <c r="F938" s="22"/>
      <c r="G938"/>
    </row>
    <row r="939" spans="1:7">
      <c r="A939" s="17"/>
      <c r="B939" s="18"/>
      <c r="C939" s="17"/>
      <c r="D939" s="18"/>
      <c r="E939" s="17"/>
      <c r="F939" s="22"/>
      <c r="G939"/>
    </row>
    <row r="940" spans="1:7">
      <c r="A940" s="17"/>
      <c r="B940" s="18"/>
      <c r="C940" s="17"/>
      <c r="D940" s="18"/>
      <c r="E940" s="17"/>
      <c r="F940" s="22"/>
      <c r="G940"/>
    </row>
    <row r="941" spans="1:7">
      <c r="A941" s="17"/>
      <c r="B941" s="18"/>
      <c r="C941" s="17"/>
      <c r="D941" s="18"/>
      <c r="E941" s="17"/>
      <c r="F941" s="22"/>
      <c r="G941"/>
    </row>
    <row r="942" spans="1:7">
      <c r="A942" s="17"/>
      <c r="B942" s="18"/>
      <c r="C942" s="17"/>
      <c r="D942" s="18"/>
      <c r="E942" s="17"/>
      <c r="F942" s="22"/>
      <c r="G942"/>
    </row>
    <row r="943" spans="1:7">
      <c r="A943" s="17"/>
      <c r="B943" s="18"/>
      <c r="C943" s="17"/>
      <c r="D943" s="18"/>
      <c r="E943" s="17"/>
      <c r="F943" s="22"/>
      <c r="G943"/>
    </row>
    <row r="944" spans="1:7">
      <c r="A944" s="17"/>
      <c r="B944" s="18"/>
      <c r="C944" s="17"/>
      <c r="D944" s="18"/>
      <c r="E944" s="17"/>
      <c r="F944" s="22"/>
      <c r="G944"/>
    </row>
    <row r="945" spans="1:7">
      <c r="A945" s="17"/>
      <c r="B945" s="18"/>
      <c r="C945" s="17"/>
      <c r="D945" s="18"/>
      <c r="E945" s="17"/>
      <c r="F945" s="22"/>
      <c r="G945"/>
    </row>
    <row r="946" spans="1:7">
      <c r="A946" s="17"/>
      <c r="B946" s="18"/>
      <c r="C946" s="17"/>
      <c r="D946" s="18"/>
      <c r="E946" s="17"/>
      <c r="F946" s="22"/>
      <c r="G946"/>
    </row>
    <row r="947" spans="1:7">
      <c r="A947" s="17"/>
      <c r="B947" s="18"/>
      <c r="C947" s="17"/>
      <c r="D947" s="18"/>
      <c r="E947" s="17"/>
      <c r="F947" s="22"/>
      <c r="G947"/>
    </row>
    <row r="948" spans="1:7">
      <c r="A948" s="17"/>
      <c r="B948" s="18"/>
      <c r="C948" s="17"/>
      <c r="D948" s="18"/>
      <c r="E948" s="17"/>
      <c r="F948" s="22"/>
      <c r="G948"/>
    </row>
    <row r="949" spans="1:7">
      <c r="A949" s="17"/>
      <c r="B949" s="18"/>
      <c r="C949" s="17"/>
      <c r="D949" s="18"/>
      <c r="E949" s="17"/>
      <c r="F949" s="22"/>
      <c r="G949"/>
    </row>
    <row r="950" spans="1:7">
      <c r="A950" s="17"/>
      <c r="B950" s="18"/>
      <c r="C950" s="17"/>
      <c r="D950" s="18"/>
      <c r="E950" s="17"/>
      <c r="F950" s="22"/>
      <c r="G950"/>
    </row>
    <row r="951" spans="1:7">
      <c r="A951" s="17"/>
      <c r="B951" s="18"/>
      <c r="C951" s="17"/>
      <c r="D951" s="18"/>
      <c r="E951" s="17"/>
      <c r="F951" s="22"/>
      <c r="G951"/>
    </row>
    <row r="952" spans="1:7">
      <c r="A952" s="17"/>
      <c r="B952" s="18"/>
      <c r="C952" s="17"/>
      <c r="D952" s="18"/>
      <c r="E952" s="17"/>
      <c r="F952" s="22"/>
      <c r="G952"/>
    </row>
    <row r="953" spans="1:7">
      <c r="A953" s="17"/>
      <c r="B953" s="18"/>
      <c r="C953" s="17"/>
      <c r="D953" s="18"/>
      <c r="E953" s="17"/>
      <c r="F953" s="22"/>
      <c r="G953"/>
    </row>
    <row r="954" spans="1:7">
      <c r="A954" s="17"/>
      <c r="B954" s="18"/>
      <c r="C954" s="17"/>
      <c r="D954" s="18"/>
      <c r="E954" s="17"/>
      <c r="F954" s="22"/>
      <c r="G954"/>
    </row>
    <row r="955" spans="1:7">
      <c r="A955" s="17"/>
      <c r="B955" s="18"/>
      <c r="C955" s="17"/>
      <c r="D955" s="18"/>
      <c r="E955" s="17"/>
      <c r="F955" s="22"/>
      <c r="G955"/>
    </row>
    <row r="956" spans="1:7">
      <c r="A956" s="17"/>
      <c r="B956" s="18"/>
      <c r="C956" s="17"/>
      <c r="D956" s="18"/>
      <c r="E956" s="17"/>
      <c r="F956" s="22"/>
      <c r="G956"/>
    </row>
    <row r="957" spans="1:7">
      <c r="A957" s="17"/>
      <c r="B957" s="18"/>
      <c r="C957" s="17"/>
      <c r="D957" s="18"/>
      <c r="E957" s="17"/>
      <c r="F957" s="22"/>
      <c r="G957"/>
    </row>
    <row r="958" spans="1:7">
      <c r="A958" s="17"/>
      <c r="B958" s="18"/>
      <c r="C958" s="17"/>
      <c r="D958" s="18"/>
      <c r="E958" s="17"/>
      <c r="F958" s="22"/>
      <c r="G958"/>
    </row>
    <row r="959" spans="1:7">
      <c r="A959" s="17"/>
      <c r="B959" s="18"/>
      <c r="C959" s="17"/>
      <c r="D959" s="18"/>
      <c r="E959" s="17"/>
      <c r="F959" s="22"/>
      <c r="G959"/>
    </row>
    <row r="960" spans="1:7">
      <c r="A960" s="17"/>
      <c r="B960" s="18"/>
      <c r="C960" s="17"/>
      <c r="D960" s="18"/>
      <c r="E960" s="17"/>
      <c r="F960" s="22"/>
      <c r="G960"/>
    </row>
    <row r="961" spans="1:7">
      <c r="A961" s="17"/>
      <c r="B961" s="18"/>
      <c r="C961" s="17"/>
      <c r="D961" s="18"/>
      <c r="E961" s="17"/>
      <c r="F961" s="22"/>
      <c r="G961"/>
    </row>
    <row r="962" spans="1:7">
      <c r="A962" s="17"/>
      <c r="B962" s="18"/>
      <c r="C962" s="17"/>
      <c r="D962" s="18"/>
      <c r="E962" s="17"/>
      <c r="F962" s="22"/>
      <c r="G962"/>
    </row>
    <row r="963" spans="1:7">
      <c r="A963" s="17"/>
      <c r="B963" s="18"/>
      <c r="C963" s="17"/>
      <c r="D963" s="18"/>
      <c r="E963" s="17"/>
      <c r="F963" s="22"/>
      <c r="G963"/>
    </row>
    <row r="964" spans="1:7">
      <c r="A964" s="17"/>
      <c r="B964" s="18"/>
      <c r="C964" s="17"/>
      <c r="D964" s="18"/>
      <c r="E964" s="17"/>
      <c r="F964" s="22"/>
      <c r="G964"/>
    </row>
    <row r="965" spans="1:7">
      <c r="A965" s="17"/>
      <c r="B965" s="18"/>
      <c r="C965" s="17"/>
      <c r="D965" s="18"/>
      <c r="E965" s="17"/>
      <c r="F965" s="22"/>
      <c r="G965"/>
    </row>
    <row r="966" spans="1:7">
      <c r="A966" s="17"/>
      <c r="B966" s="18"/>
      <c r="C966" s="17"/>
      <c r="D966" s="18"/>
      <c r="E966" s="17"/>
      <c r="F966" s="22"/>
      <c r="G966"/>
    </row>
    <row r="967" spans="1:7">
      <c r="A967" s="17"/>
      <c r="B967" s="18"/>
      <c r="C967" s="17"/>
      <c r="D967" s="18"/>
      <c r="E967" s="17"/>
      <c r="F967" s="22"/>
      <c r="G967"/>
    </row>
    <row r="968" spans="1:7">
      <c r="A968" s="17"/>
      <c r="B968" s="18"/>
      <c r="C968" s="17"/>
      <c r="D968" s="18"/>
      <c r="E968" s="17"/>
      <c r="F968" s="22"/>
      <c r="G968"/>
    </row>
    <row r="969" spans="1:7">
      <c r="A969" s="17"/>
      <c r="B969" s="18"/>
      <c r="C969" s="17"/>
      <c r="D969" s="18"/>
      <c r="E969" s="17"/>
      <c r="F969" s="22"/>
      <c r="G969"/>
    </row>
    <row r="970" spans="1:7">
      <c r="A970" s="17"/>
      <c r="B970" s="18"/>
      <c r="C970" s="17"/>
      <c r="D970" s="18"/>
      <c r="E970" s="17"/>
      <c r="F970" s="22"/>
      <c r="G970"/>
    </row>
    <row r="971" spans="1:7">
      <c r="A971" s="17"/>
      <c r="B971" s="18"/>
      <c r="C971" s="17"/>
      <c r="D971" s="18"/>
      <c r="E971" s="17"/>
      <c r="F971" s="22"/>
      <c r="G971"/>
    </row>
    <row r="972" spans="1:7">
      <c r="A972" s="17"/>
      <c r="B972" s="18"/>
      <c r="C972" s="17"/>
      <c r="D972" s="18"/>
      <c r="E972" s="17"/>
      <c r="F972" s="22"/>
      <c r="G972"/>
    </row>
    <row r="973" spans="1:7">
      <c r="A973" s="17"/>
      <c r="B973" s="18"/>
      <c r="C973" s="17"/>
      <c r="D973" s="18"/>
      <c r="E973" s="17"/>
      <c r="F973" s="22"/>
      <c r="G973"/>
    </row>
    <row r="974" spans="1:7">
      <c r="A974" s="17"/>
      <c r="B974" s="18"/>
      <c r="C974" s="17"/>
      <c r="D974" s="18"/>
      <c r="E974" s="17"/>
      <c r="F974" s="22"/>
      <c r="G974"/>
    </row>
    <row r="975" spans="1:7">
      <c r="A975" s="17"/>
      <c r="B975" s="18"/>
      <c r="C975" s="17"/>
      <c r="D975" s="18"/>
      <c r="E975" s="17"/>
      <c r="F975" s="22"/>
      <c r="G975"/>
    </row>
    <row r="976" spans="1:7">
      <c r="A976" s="17"/>
      <c r="B976" s="18"/>
      <c r="C976" s="17"/>
      <c r="D976" s="18"/>
      <c r="E976" s="17"/>
      <c r="F976" s="22"/>
      <c r="G976"/>
    </row>
    <row r="977" spans="1:7">
      <c r="A977" s="17"/>
      <c r="B977" s="18"/>
      <c r="C977" s="17"/>
      <c r="D977" s="18"/>
      <c r="E977" s="17"/>
      <c r="F977" s="22"/>
      <c r="G977"/>
    </row>
    <row r="978" spans="1:7">
      <c r="A978" s="17"/>
      <c r="B978" s="18"/>
      <c r="C978" s="17"/>
      <c r="D978" s="18"/>
      <c r="E978" s="17"/>
      <c r="F978" s="22"/>
      <c r="G978"/>
    </row>
    <row r="979" spans="1:7">
      <c r="A979" s="17"/>
      <c r="B979" s="18"/>
      <c r="C979" s="17"/>
      <c r="D979" s="18"/>
      <c r="E979" s="17"/>
      <c r="F979" s="22"/>
      <c r="G979"/>
    </row>
    <row r="980" spans="1:7">
      <c r="A980" s="17"/>
      <c r="B980" s="18"/>
      <c r="C980" s="17"/>
      <c r="D980" s="18"/>
      <c r="E980" s="17"/>
      <c r="F980" s="22"/>
      <c r="G980"/>
    </row>
    <row r="981" spans="1:7">
      <c r="A981" s="17"/>
      <c r="B981" s="18"/>
      <c r="C981" s="17"/>
      <c r="D981" s="18"/>
      <c r="E981" s="17"/>
      <c r="F981" s="22"/>
      <c r="G981"/>
    </row>
    <row r="982" spans="1:7">
      <c r="A982" s="17"/>
      <c r="B982" s="18"/>
      <c r="C982" s="17"/>
      <c r="D982" s="18"/>
      <c r="E982" s="17"/>
      <c r="F982" s="22"/>
      <c r="G982"/>
    </row>
    <row r="983" spans="1:7">
      <c r="A983" s="17"/>
      <c r="B983" s="18"/>
      <c r="C983" s="17"/>
      <c r="D983" s="18"/>
      <c r="E983" s="17"/>
      <c r="F983" s="22"/>
      <c r="G983"/>
    </row>
    <row r="984" spans="1:7">
      <c r="A984" s="17"/>
      <c r="B984" s="18"/>
      <c r="C984" s="17"/>
      <c r="D984" s="18"/>
      <c r="E984" s="17"/>
      <c r="F984" s="22"/>
      <c r="G984"/>
    </row>
    <row r="985" spans="1:7">
      <c r="A985" s="17"/>
      <c r="B985" s="18"/>
      <c r="C985" s="17"/>
      <c r="D985" s="18"/>
      <c r="E985" s="17"/>
      <c r="F985" s="22"/>
      <c r="G985"/>
    </row>
    <row r="986" spans="1:7">
      <c r="A986" s="17"/>
      <c r="B986" s="18"/>
      <c r="C986" s="17"/>
      <c r="D986" s="18"/>
      <c r="E986" s="17"/>
      <c r="F986" s="22"/>
      <c r="G986"/>
    </row>
    <row r="987" spans="1:7">
      <c r="A987" s="17"/>
      <c r="B987" s="18"/>
      <c r="C987" s="17"/>
      <c r="D987" s="18"/>
      <c r="E987" s="17"/>
      <c r="F987" s="22"/>
      <c r="G987"/>
    </row>
    <row r="988" spans="1:7">
      <c r="A988" s="17"/>
      <c r="B988" s="18"/>
      <c r="C988" s="17"/>
      <c r="D988" s="18"/>
      <c r="E988" s="17"/>
      <c r="F988" s="22"/>
      <c r="G988"/>
    </row>
    <row r="989" spans="1:7">
      <c r="A989" s="17"/>
      <c r="B989" s="18"/>
      <c r="C989" s="17"/>
      <c r="D989" s="18"/>
      <c r="E989" s="17"/>
      <c r="F989" s="22"/>
      <c r="G989"/>
    </row>
    <row r="990" spans="1:7">
      <c r="A990" s="17"/>
      <c r="B990" s="18"/>
      <c r="C990" s="17"/>
      <c r="D990" s="18"/>
      <c r="E990" s="17"/>
      <c r="F990" s="22"/>
      <c r="G990"/>
    </row>
    <row r="991" spans="1:7">
      <c r="A991" s="17"/>
      <c r="B991" s="18"/>
      <c r="C991" s="17"/>
      <c r="D991" s="18"/>
      <c r="E991" s="17"/>
      <c r="F991" s="22"/>
      <c r="G991"/>
    </row>
    <row r="992" spans="1:7">
      <c r="A992" s="17"/>
      <c r="B992" s="18"/>
      <c r="C992" s="17"/>
      <c r="D992" s="18"/>
      <c r="E992" s="17"/>
      <c r="F992" s="22"/>
      <c r="G992"/>
    </row>
    <row r="993" spans="1:7">
      <c r="A993" s="17"/>
      <c r="B993" s="18"/>
      <c r="C993" s="17"/>
      <c r="D993" s="18"/>
      <c r="E993" s="17"/>
      <c r="F993" s="22"/>
      <c r="G993"/>
    </row>
    <row r="994" spans="1:7">
      <c r="A994" s="17"/>
      <c r="B994" s="18"/>
      <c r="C994" s="17"/>
      <c r="D994" s="18"/>
      <c r="E994" s="17"/>
      <c r="F994" s="22"/>
      <c r="G994"/>
    </row>
    <row r="995" spans="1:7">
      <c r="A995" s="17"/>
      <c r="B995" s="18"/>
      <c r="C995" s="17"/>
      <c r="D995" s="18"/>
      <c r="E995" s="17"/>
      <c r="F995" s="22"/>
      <c r="G995"/>
    </row>
    <row r="996" spans="1:7">
      <c r="A996" s="17"/>
      <c r="B996" s="18"/>
      <c r="C996" s="17"/>
      <c r="D996" s="18"/>
      <c r="E996" s="17"/>
      <c r="F996" s="22"/>
      <c r="G996"/>
    </row>
    <row r="997" spans="1:7">
      <c r="A997" s="17"/>
      <c r="B997" s="18"/>
      <c r="C997" s="17"/>
      <c r="D997" s="18"/>
      <c r="E997" s="17"/>
      <c r="F997" s="22"/>
      <c r="G997"/>
    </row>
    <row r="998" spans="1:7">
      <c r="A998" s="17"/>
      <c r="B998" s="18"/>
      <c r="C998" s="17"/>
      <c r="D998" s="18"/>
      <c r="E998" s="17"/>
      <c r="F998" s="22"/>
      <c r="G998"/>
    </row>
    <row r="999" spans="1:7">
      <c r="A999" s="17"/>
      <c r="B999" s="18"/>
      <c r="C999" s="17"/>
      <c r="D999" s="18"/>
      <c r="E999" s="17"/>
      <c r="F999" s="22"/>
      <c r="G999"/>
    </row>
    <row r="1000" spans="1:7">
      <c r="A1000" s="17"/>
      <c r="B1000" s="18"/>
      <c r="C1000" s="17"/>
      <c r="D1000" s="18"/>
      <c r="E1000" s="17"/>
      <c r="F1000" s="22"/>
      <c r="G1000"/>
    </row>
    <row r="1001" spans="1:7">
      <c r="A1001" s="17"/>
      <c r="B1001" s="18"/>
      <c r="C1001" s="17"/>
      <c r="D1001" s="18"/>
      <c r="E1001" s="17"/>
      <c r="F1001" s="22"/>
      <c r="G1001"/>
    </row>
    <row r="1002" spans="1:7">
      <c r="A1002" s="17"/>
      <c r="B1002" s="18"/>
      <c r="C1002" s="17"/>
      <c r="D1002" s="18"/>
      <c r="E1002" s="17"/>
      <c r="F1002" s="22"/>
      <c r="G1002"/>
    </row>
    <row r="1003" spans="1:7">
      <c r="A1003" s="17"/>
      <c r="B1003" s="18"/>
      <c r="C1003" s="17"/>
      <c r="D1003" s="18"/>
      <c r="E1003" s="17"/>
      <c r="F1003" s="22"/>
      <c r="G1003"/>
    </row>
    <row r="1004" spans="1:7">
      <c r="A1004" s="17"/>
      <c r="B1004" s="18"/>
      <c r="C1004" s="17"/>
      <c r="D1004" s="18"/>
      <c r="E1004" s="17"/>
      <c r="F1004" s="22"/>
      <c r="G1004"/>
    </row>
    <row r="1005" spans="1:7">
      <c r="A1005" s="17"/>
      <c r="B1005" s="18"/>
      <c r="C1005" s="17"/>
      <c r="D1005" s="18"/>
      <c r="E1005" s="17"/>
      <c r="F1005" s="22"/>
      <c r="G1005"/>
    </row>
    <row r="1006" spans="1:7">
      <c r="A1006" s="17"/>
      <c r="B1006" s="18"/>
      <c r="C1006" s="17"/>
      <c r="D1006" s="18"/>
      <c r="E1006" s="17"/>
      <c r="F1006" s="22"/>
      <c r="G1006"/>
    </row>
    <row r="1007" spans="1:7">
      <c r="A1007" s="17"/>
      <c r="B1007" s="18"/>
      <c r="C1007" s="17"/>
      <c r="D1007" s="18"/>
      <c r="E1007" s="17"/>
      <c r="F1007" s="22"/>
      <c r="G1007"/>
    </row>
    <row r="1008" spans="1:7">
      <c r="A1008" s="17"/>
      <c r="B1008" s="18"/>
      <c r="C1008" s="17"/>
      <c r="D1008" s="18"/>
      <c r="E1008" s="17"/>
      <c r="F1008" s="22"/>
      <c r="G1008"/>
    </row>
    <row r="1009" spans="1:7">
      <c r="A1009" s="17"/>
      <c r="B1009" s="18"/>
      <c r="C1009" s="17"/>
      <c r="D1009" s="18"/>
      <c r="E1009" s="17"/>
      <c r="F1009" s="22"/>
      <c r="G1009"/>
    </row>
    <row r="1010" spans="1:7">
      <c r="A1010" s="17"/>
      <c r="B1010" s="18"/>
      <c r="C1010" s="17"/>
      <c r="D1010" s="18"/>
      <c r="E1010" s="17"/>
      <c r="F1010" s="22"/>
      <c r="G1010"/>
    </row>
    <row r="1011" spans="1:7">
      <c r="A1011" s="17"/>
      <c r="B1011" s="18"/>
      <c r="C1011" s="17"/>
      <c r="D1011" s="18"/>
      <c r="E1011" s="17"/>
      <c r="F1011" s="22"/>
      <c r="G1011"/>
    </row>
    <row r="1012" spans="1:7">
      <c r="A1012" s="17"/>
      <c r="B1012" s="18"/>
      <c r="C1012" s="17"/>
      <c r="D1012" s="18"/>
      <c r="E1012" s="17"/>
      <c r="F1012" s="22"/>
      <c r="G1012"/>
    </row>
    <row r="1013" spans="1:7">
      <c r="A1013" s="17"/>
      <c r="B1013" s="18"/>
      <c r="C1013" s="17"/>
      <c r="D1013" s="18"/>
      <c r="E1013" s="17"/>
      <c r="F1013" s="22"/>
      <c r="G1013"/>
    </row>
    <row r="1014" spans="1:7">
      <c r="A1014" s="17"/>
      <c r="B1014" s="18"/>
      <c r="C1014" s="17"/>
      <c r="D1014" s="18"/>
      <c r="E1014" s="17"/>
      <c r="F1014" s="22"/>
      <c r="G1014"/>
    </row>
    <row r="1015" spans="1:7">
      <c r="A1015" s="17"/>
      <c r="B1015" s="18"/>
      <c r="C1015" s="17"/>
      <c r="D1015" s="18"/>
      <c r="E1015" s="17"/>
      <c r="F1015" s="22"/>
      <c r="G1015"/>
    </row>
    <row r="1016" spans="1:7">
      <c r="A1016" s="17"/>
      <c r="B1016" s="18"/>
      <c r="C1016" s="17"/>
      <c r="D1016" s="18"/>
      <c r="E1016" s="17"/>
      <c r="F1016" s="22"/>
      <c r="G1016"/>
    </row>
    <row r="1017" spans="1:7">
      <c r="A1017" s="17"/>
      <c r="B1017" s="18"/>
      <c r="C1017" s="17"/>
      <c r="D1017" s="18"/>
      <c r="E1017" s="17"/>
      <c r="F1017" s="22"/>
      <c r="G1017"/>
    </row>
    <row r="1018" spans="1:7">
      <c r="A1018" s="17"/>
      <c r="B1018" s="18"/>
      <c r="C1018" s="17"/>
      <c r="D1018" s="18"/>
      <c r="E1018" s="17"/>
      <c r="F1018" s="22"/>
      <c r="G1018"/>
    </row>
    <row r="1019" spans="1:7">
      <c r="A1019" s="17"/>
      <c r="B1019" s="18"/>
      <c r="C1019" s="17"/>
      <c r="D1019" s="18"/>
      <c r="E1019" s="17"/>
      <c r="F1019" s="22"/>
      <c r="G1019"/>
    </row>
    <row r="1020" spans="1:7">
      <c r="A1020" s="17"/>
      <c r="B1020" s="18"/>
      <c r="C1020" s="17"/>
      <c r="D1020" s="18"/>
      <c r="E1020" s="17"/>
      <c r="F1020" s="22"/>
      <c r="G1020"/>
    </row>
    <row r="1021" spans="1:7">
      <c r="A1021" s="17"/>
      <c r="B1021" s="18"/>
      <c r="C1021" s="17"/>
      <c r="D1021" s="18"/>
      <c r="E1021" s="17"/>
      <c r="F1021" s="22"/>
      <c r="G1021"/>
    </row>
    <row r="1022" spans="1:7">
      <c r="A1022" s="17"/>
      <c r="B1022" s="18"/>
      <c r="C1022" s="17"/>
      <c r="D1022" s="18"/>
      <c r="E1022" s="17"/>
      <c r="F1022" s="22"/>
      <c r="G1022"/>
    </row>
    <row r="1023" spans="1:7">
      <c r="A1023" s="17"/>
      <c r="B1023" s="18"/>
      <c r="C1023" s="17"/>
      <c r="D1023" s="18"/>
      <c r="E1023" s="17"/>
      <c r="F1023" s="22"/>
      <c r="G1023"/>
    </row>
    <row r="1024" spans="1:7">
      <c r="A1024" s="17"/>
      <c r="B1024" s="18"/>
      <c r="C1024" s="17"/>
      <c r="D1024" s="18"/>
      <c r="E1024" s="17"/>
      <c r="F1024" s="22"/>
      <c r="G1024"/>
    </row>
    <row r="1025" spans="1:7">
      <c r="A1025" s="17"/>
      <c r="B1025" s="18"/>
      <c r="C1025" s="17"/>
      <c r="D1025" s="18"/>
      <c r="E1025" s="17"/>
      <c r="F1025" s="22"/>
      <c r="G1025"/>
    </row>
    <row r="1026" spans="1:7">
      <c r="A1026" s="17"/>
      <c r="B1026" s="18"/>
      <c r="C1026" s="17"/>
      <c r="D1026" s="18"/>
      <c r="E1026" s="17"/>
      <c r="F1026" s="22"/>
      <c r="G1026"/>
    </row>
    <row r="1027" spans="1:7">
      <c r="A1027" s="17"/>
      <c r="B1027" s="18"/>
      <c r="C1027" s="17"/>
      <c r="D1027" s="18"/>
      <c r="E1027" s="17"/>
      <c r="F1027" s="22"/>
      <c r="G1027"/>
    </row>
    <row r="1028" spans="1:7">
      <c r="A1028" s="17"/>
      <c r="B1028" s="18"/>
      <c r="C1028" s="17"/>
      <c r="D1028" s="18"/>
      <c r="E1028" s="17"/>
      <c r="F1028" s="22"/>
      <c r="G1028"/>
    </row>
    <row r="1029" spans="1:7">
      <c r="A1029" s="17"/>
      <c r="B1029" s="18"/>
      <c r="C1029" s="17"/>
      <c r="D1029" s="18"/>
      <c r="E1029" s="17"/>
      <c r="F1029" s="22"/>
      <c r="G1029"/>
    </row>
    <row r="1030" spans="1:7">
      <c r="A1030" s="17"/>
      <c r="B1030" s="18"/>
      <c r="C1030" s="17"/>
      <c r="D1030" s="18"/>
      <c r="E1030" s="17"/>
      <c r="F1030" s="22"/>
      <c r="G1030"/>
    </row>
    <row r="1031" spans="1:7">
      <c r="A1031" s="17"/>
      <c r="B1031" s="18"/>
      <c r="C1031" s="17"/>
      <c r="D1031" s="18"/>
      <c r="E1031" s="17"/>
      <c r="F1031" s="22"/>
      <c r="G1031"/>
    </row>
    <row r="1032" spans="1:7">
      <c r="A1032" s="17"/>
      <c r="B1032" s="18"/>
      <c r="C1032" s="17"/>
      <c r="D1032" s="18"/>
      <c r="E1032" s="17"/>
      <c r="F1032" s="22"/>
      <c r="G1032"/>
    </row>
    <row r="1033" spans="1:7">
      <c r="A1033" s="17"/>
      <c r="B1033" s="18"/>
      <c r="C1033" s="17"/>
      <c r="D1033" s="18"/>
      <c r="E1033" s="17"/>
      <c r="F1033" s="22"/>
      <c r="G1033"/>
    </row>
    <row r="1034" spans="1:7">
      <c r="A1034" s="17"/>
      <c r="B1034" s="18"/>
      <c r="C1034" s="17"/>
      <c r="D1034" s="18"/>
      <c r="E1034" s="17"/>
      <c r="F1034" s="22"/>
      <c r="G1034"/>
    </row>
    <row r="1035" spans="1:7">
      <c r="A1035" s="17"/>
      <c r="B1035" s="18"/>
      <c r="C1035" s="17"/>
      <c r="D1035" s="18"/>
      <c r="E1035" s="17"/>
      <c r="F1035" s="22"/>
      <c r="G1035"/>
    </row>
    <row r="1036" spans="1:7">
      <c r="A1036" s="17"/>
      <c r="B1036" s="18"/>
      <c r="C1036" s="17"/>
      <c r="D1036" s="18"/>
      <c r="E1036" s="17"/>
      <c r="F1036" s="22"/>
      <c r="G1036"/>
    </row>
    <row r="1037" spans="1:7">
      <c r="A1037" s="17"/>
      <c r="B1037" s="18"/>
      <c r="C1037" s="17"/>
      <c r="D1037" s="18"/>
      <c r="E1037" s="17"/>
      <c r="F1037" s="22"/>
      <c r="G1037"/>
    </row>
    <row r="1038" spans="1:7">
      <c r="A1038" s="17"/>
      <c r="B1038" s="18"/>
      <c r="C1038" s="17"/>
      <c r="D1038" s="18"/>
      <c r="E1038" s="17"/>
      <c r="F1038" s="22"/>
      <c r="G1038"/>
    </row>
    <row r="1039" spans="1:7">
      <c r="A1039" s="17"/>
      <c r="B1039" s="18"/>
      <c r="C1039" s="17"/>
      <c r="D1039" s="18"/>
      <c r="E1039" s="17"/>
      <c r="F1039" s="22"/>
      <c r="G1039"/>
    </row>
    <row r="1040" spans="1:7">
      <c r="A1040" s="17"/>
      <c r="B1040" s="18"/>
      <c r="C1040" s="17"/>
      <c r="D1040" s="18"/>
      <c r="E1040" s="17"/>
      <c r="F1040" s="22"/>
      <c r="G1040"/>
    </row>
    <row r="1041" spans="1:7">
      <c r="A1041" s="17"/>
      <c r="B1041" s="18"/>
      <c r="C1041" s="17"/>
      <c r="D1041" s="18"/>
      <c r="E1041" s="17"/>
      <c r="F1041" s="22"/>
      <c r="G1041"/>
    </row>
    <row r="1042" spans="1:7">
      <c r="A1042" s="17"/>
      <c r="B1042" s="18"/>
      <c r="C1042" s="17"/>
      <c r="D1042" s="18"/>
      <c r="E1042" s="17"/>
      <c r="F1042" s="22"/>
      <c r="G1042"/>
    </row>
    <row r="1043" spans="1:7">
      <c r="A1043" s="17"/>
      <c r="B1043" s="18"/>
      <c r="C1043" s="17"/>
      <c r="D1043" s="18"/>
      <c r="E1043" s="17"/>
      <c r="F1043" s="22"/>
      <c r="G1043"/>
    </row>
    <row r="1044" spans="1:7">
      <c r="A1044" s="17"/>
      <c r="B1044" s="18"/>
      <c r="C1044" s="17"/>
      <c r="D1044" s="18"/>
      <c r="E1044" s="17"/>
      <c r="F1044" s="22"/>
      <c r="G1044"/>
    </row>
    <row r="1045" spans="1:7">
      <c r="A1045" s="17"/>
      <c r="B1045" s="18"/>
      <c r="C1045" s="17"/>
      <c r="D1045" s="18"/>
      <c r="E1045" s="17"/>
      <c r="F1045" s="22"/>
      <c r="G1045"/>
    </row>
    <row r="1046" spans="1:7">
      <c r="A1046" s="17"/>
      <c r="B1046" s="18"/>
      <c r="C1046" s="17"/>
      <c r="D1046" s="18"/>
      <c r="E1046" s="17"/>
      <c r="F1046" s="22"/>
      <c r="G1046"/>
    </row>
    <row r="1047" spans="1:7">
      <c r="A1047" s="17"/>
      <c r="B1047" s="18"/>
      <c r="C1047" s="17"/>
      <c r="D1047" s="18"/>
      <c r="E1047" s="17"/>
      <c r="F1047" s="22"/>
      <c r="G1047"/>
    </row>
    <row r="1048" spans="1:7">
      <c r="A1048" s="17"/>
      <c r="B1048" s="18"/>
      <c r="C1048" s="17"/>
      <c r="D1048" s="18"/>
      <c r="E1048" s="17"/>
      <c r="F1048" s="22"/>
      <c r="G1048"/>
    </row>
    <row r="1049" spans="1:7">
      <c r="A1049" s="17"/>
      <c r="B1049" s="18"/>
      <c r="C1049" s="17"/>
      <c r="D1049" s="18"/>
      <c r="E1049" s="17"/>
      <c r="F1049" s="22"/>
      <c r="G1049"/>
    </row>
    <row r="1050" spans="1:7">
      <c r="A1050" s="17"/>
      <c r="B1050" s="18"/>
      <c r="C1050" s="17"/>
      <c r="D1050" s="18"/>
      <c r="E1050" s="17"/>
      <c r="F1050" s="22"/>
      <c r="G1050"/>
    </row>
    <row r="1051" spans="1:7">
      <c r="A1051" s="17"/>
      <c r="B1051" s="18"/>
      <c r="C1051" s="17"/>
      <c r="D1051" s="18"/>
      <c r="E1051" s="17"/>
      <c r="F1051" s="22"/>
      <c r="G1051"/>
    </row>
    <row r="1052" spans="1:7">
      <c r="A1052" s="17"/>
      <c r="B1052" s="18"/>
      <c r="C1052" s="17"/>
      <c r="D1052" s="18"/>
      <c r="E1052" s="17"/>
      <c r="F1052" s="22"/>
      <c r="G1052"/>
    </row>
    <row r="1053" spans="1:7">
      <c r="A1053" s="17"/>
      <c r="B1053" s="18"/>
      <c r="C1053" s="17"/>
      <c r="D1053" s="18"/>
      <c r="E1053" s="17"/>
      <c r="F1053" s="22"/>
      <c r="G1053"/>
    </row>
    <row r="1054" spans="1:7">
      <c r="A1054" s="17"/>
      <c r="B1054" s="18"/>
      <c r="C1054" s="17"/>
      <c r="D1054" s="18"/>
      <c r="E1054" s="17"/>
      <c r="F1054" s="22"/>
      <c r="G1054"/>
    </row>
    <row r="1055" spans="1:7">
      <c r="A1055" s="17"/>
      <c r="B1055" s="18"/>
      <c r="C1055" s="17"/>
      <c r="D1055" s="18"/>
      <c r="E1055" s="17"/>
      <c r="F1055" s="22"/>
      <c r="G1055"/>
    </row>
    <row r="1056" spans="1:7">
      <c r="A1056" s="17"/>
      <c r="B1056" s="18"/>
      <c r="C1056" s="17"/>
      <c r="D1056" s="18"/>
      <c r="E1056" s="17"/>
      <c r="F1056" s="22"/>
      <c r="G1056"/>
    </row>
    <row r="1057" spans="1:7">
      <c r="A1057" s="17"/>
      <c r="B1057" s="18"/>
      <c r="C1057" s="17"/>
      <c r="D1057" s="18"/>
      <c r="E1057" s="17"/>
      <c r="F1057" s="22"/>
      <c r="G1057"/>
    </row>
    <row r="1058" spans="1:7">
      <c r="A1058" s="17"/>
      <c r="B1058" s="18"/>
      <c r="C1058" s="17"/>
      <c r="D1058" s="18"/>
      <c r="E1058" s="17"/>
      <c r="F1058" s="22"/>
      <c r="G1058"/>
    </row>
    <row r="1059" spans="1:7">
      <c r="A1059" s="17"/>
      <c r="B1059" s="18"/>
      <c r="C1059" s="17"/>
      <c r="D1059" s="18"/>
      <c r="E1059" s="17"/>
      <c r="F1059" s="22"/>
      <c r="G1059"/>
    </row>
    <row r="1060" spans="1:7">
      <c r="A1060" s="17"/>
      <c r="B1060" s="18"/>
      <c r="C1060" s="17"/>
      <c r="D1060" s="18"/>
      <c r="E1060" s="17"/>
      <c r="F1060" s="22"/>
      <c r="G1060"/>
    </row>
    <row r="1061" spans="1:7">
      <c r="A1061" s="17"/>
      <c r="B1061" s="18"/>
      <c r="C1061" s="17"/>
      <c r="D1061" s="18"/>
      <c r="E1061" s="17"/>
      <c r="F1061" s="22"/>
      <c r="G1061"/>
    </row>
    <row r="1062" spans="1:7">
      <c r="A1062" s="17"/>
      <c r="B1062" s="18"/>
      <c r="C1062" s="17"/>
      <c r="D1062" s="18"/>
      <c r="E1062" s="17"/>
      <c r="F1062" s="22"/>
      <c r="G1062"/>
    </row>
    <row r="1063" spans="1:7">
      <c r="A1063" s="17"/>
      <c r="B1063" s="18"/>
      <c r="C1063" s="17"/>
      <c r="D1063" s="18"/>
      <c r="E1063" s="17"/>
      <c r="F1063" s="22"/>
      <c r="G1063"/>
    </row>
    <row r="1064" spans="1:7">
      <c r="A1064" s="17"/>
      <c r="B1064" s="18"/>
      <c r="C1064" s="17"/>
      <c r="D1064" s="18"/>
      <c r="E1064" s="17"/>
      <c r="F1064" s="22"/>
      <c r="G1064"/>
    </row>
    <row r="1065" spans="1:7">
      <c r="A1065" s="17"/>
      <c r="B1065" s="18"/>
      <c r="C1065" s="17"/>
      <c r="D1065" s="18"/>
      <c r="E1065" s="17"/>
      <c r="F1065" s="22"/>
      <c r="G1065"/>
    </row>
    <row r="1066" spans="1:7">
      <c r="A1066" s="17"/>
      <c r="B1066" s="18"/>
      <c r="C1066" s="17"/>
      <c r="D1066" s="18"/>
      <c r="E1066" s="17"/>
      <c r="F1066" s="22"/>
      <c r="G1066"/>
    </row>
    <row r="1067" spans="1:7">
      <c r="A1067" s="17"/>
      <c r="B1067" s="18"/>
      <c r="C1067" s="17"/>
      <c r="D1067" s="18"/>
      <c r="E1067" s="17"/>
      <c r="F1067" s="22"/>
      <c r="G1067"/>
    </row>
    <row r="1068" spans="1:7">
      <c r="A1068" s="17"/>
      <c r="B1068" s="18"/>
      <c r="C1068" s="17"/>
      <c r="D1068" s="18"/>
      <c r="E1068" s="17"/>
      <c r="F1068" s="22"/>
      <c r="G1068"/>
    </row>
    <row r="1069" spans="1:7">
      <c r="A1069" s="17"/>
      <c r="B1069" s="18"/>
      <c r="C1069" s="17"/>
      <c r="D1069" s="18"/>
      <c r="E1069" s="17"/>
      <c r="F1069" s="22"/>
      <c r="G1069"/>
    </row>
    <row r="1070" spans="1:7">
      <c r="A1070" s="17"/>
      <c r="B1070" s="18"/>
      <c r="C1070" s="17"/>
      <c r="D1070" s="18"/>
      <c r="E1070" s="17"/>
      <c r="F1070" s="22"/>
      <c r="G1070"/>
    </row>
    <row r="1071" spans="1:7">
      <c r="A1071" s="17"/>
      <c r="B1071" s="18"/>
      <c r="C1071" s="17"/>
      <c r="D1071" s="18"/>
      <c r="E1071" s="17"/>
      <c r="F1071" s="22"/>
      <c r="G1071"/>
    </row>
    <row r="1072" spans="1:7">
      <c r="A1072" s="17"/>
      <c r="B1072" s="18"/>
      <c r="C1072" s="17"/>
      <c r="D1072" s="18"/>
      <c r="E1072" s="17"/>
      <c r="F1072" s="22"/>
      <c r="G1072"/>
    </row>
    <row r="1073" spans="1:7">
      <c r="A1073" s="17"/>
      <c r="B1073" s="18"/>
      <c r="C1073" s="17"/>
      <c r="D1073" s="18"/>
      <c r="E1073" s="17"/>
      <c r="F1073" s="22"/>
      <c r="G1073"/>
    </row>
    <row r="1074" spans="1:7">
      <c r="A1074" s="17"/>
      <c r="B1074" s="18"/>
      <c r="C1074" s="17"/>
      <c r="D1074" s="18"/>
      <c r="E1074" s="17"/>
      <c r="F1074" s="22"/>
      <c r="G1074"/>
    </row>
    <row r="1075" spans="1:7">
      <c r="A1075" s="17"/>
      <c r="B1075" s="18"/>
      <c r="C1075" s="17"/>
      <c r="D1075" s="18"/>
      <c r="E1075" s="17"/>
      <c r="F1075" s="22"/>
      <c r="G1075"/>
    </row>
    <row r="1076" spans="1:7">
      <c r="A1076" s="17"/>
      <c r="B1076" s="18"/>
      <c r="C1076" s="17"/>
      <c r="D1076" s="18"/>
      <c r="E1076" s="17"/>
      <c r="F1076" s="22"/>
      <c r="G1076"/>
    </row>
    <row r="1077" spans="1:7">
      <c r="A1077" s="17"/>
      <c r="B1077" s="18"/>
      <c r="C1077" s="17"/>
      <c r="D1077" s="18"/>
      <c r="E1077" s="17"/>
      <c r="F1077" s="22"/>
      <c r="G1077"/>
    </row>
    <row r="1078" spans="1:7">
      <c r="A1078" s="17"/>
      <c r="B1078" s="18"/>
      <c r="C1078" s="17"/>
      <c r="D1078" s="18"/>
      <c r="E1078" s="17"/>
      <c r="F1078" s="22"/>
      <c r="G1078"/>
    </row>
    <row r="1079" spans="1:7">
      <c r="A1079" s="17"/>
      <c r="B1079" s="18"/>
      <c r="C1079" s="17"/>
      <c r="D1079" s="18"/>
      <c r="E1079" s="17"/>
      <c r="F1079" s="22"/>
      <c r="G1079"/>
    </row>
    <row r="1080" spans="1:7">
      <c r="A1080" s="17"/>
      <c r="B1080" s="18"/>
      <c r="C1080" s="17"/>
      <c r="D1080" s="18"/>
      <c r="E1080" s="17"/>
      <c r="F1080" s="22"/>
      <c r="G1080"/>
    </row>
    <row r="1081" spans="1:7">
      <c r="A1081" s="17"/>
      <c r="B1081" s="18"/>
      <c r="C1081" s="17"/>
      <c r="D1081" s="18"/>
      <c r="E1081" s="17"/>
      <c r="F1081" s="22"/>
      <c r="G1081"/>
    </row>
    <row r="1082" spans="1:7">
      <c r="A1082" s="17"/>
      <c r="B1082" s="18"/>
      <c r="C1082" s="17"/>
      <c r="D1082" s="18"/>
      <c r="E1082" s="17"/>
      <c r="F1082" s="22"/>
      <c r="G1082"/>
    </row>
    <row r="1083" spans="1:7">
      <c r="A1083" s="17"/>
      <c r="B1083" s="18"/>
      <c r="C1083" s="17"/>
      <c r="D1083" s="18"/>
      <c r="E1083" s="17"/>
      <c r="F1083" s="22"/>
      <c r="G1083"/>
    </row>
    <row r="1084" spans="1:7">
      <c r="A1084" s="17"/>
      <c r="B1084" s="18"/>
      <c r="C1084" s="17"/>
      <c r="D1084" s="18"/>
      <c r="E1084" s="17"/>
      <c r="F1084" s="22"/>
      <c r="G1084"/>
    </row>
    <row r="1085" spans="1:7">
      <c r="A1085" s="17"/>
      <c r="B1085" s="18"/>
      <c r="C1085" s="19"/>
      <c r="D1085" s="18"/>
      <c r="E1085" s="17"/>
      <c r="F1085" s="22"/>
      <c r="G1085"/>
    </row>
    <row r="1086" spans="1:7">
      <c r="A1086" s="17"/>
      <c r="B1086" s="18"/>
      <c r="C1086" s="17"/>
      <c r="D1086" s="18"/>
      <c r="E1086" s="17"/>
      <c r="F1086" s="22"/>
      <c r="G1086"/>
    </row>
    <row r="1087" spans="1:7">
      <c r="A1087" s="17"/>
      <c r="B1087" s="18"/>
      <c r="C1087" s="17"/>
      <c r="D1087" s="18"/>
      <c r="E1087" s="17"/>
      <c r="F1087" s="22"/>
      <c r="G1087"/>
    </row>
    <row r="1088" spans="1:7">
      <c r="A1088" s="17"/>
      <c r="B1088" s="18"/>
      <c r="C1088" s="17"/>
      <c r="D1088" s="18"/>
      <c r="E1088" s="17"/>
      <c r="F1088" s="22"/>
      <c r="G1088"/>
    </row>
    <row r="1089" spans="1:7">
      <c r="A1089" s="17"/>
      <c r="B1089" s="18"/>
      <c r="C1089" s="17"/>
      <c r="D1089" s="18"/>
      <c r="E1089" s="17"/>
      <c r="F1089" s="22"/>
      <c r="G1089"/>
    </row>
    <row r="1090" spans="1:7">
      <c r="A1090" s="17"/>
      <c r="B1090" s="18"/>
      <c r="C1090" s="17"/>
      <c r="D1090" s="18"/>
      <c r="E1090" s="17"/>
      <c r="F1090" s="22"/>
      <c r="G1090"/>
    </row>
    <row r="1091" spans="1:7">
      <c r="A1091" s="17"/>
      <c r="B1091" s="18"/>
      <c r="C1091" s="17"/>
      <c r="D1091" s="18"/>
      <c r="E1091" s="17"/>
      <c r="F1091" s="22"/>
      <c r="G1091"/>
    </row>
    <row r="1092" spans="1:7">
      <c r="A1092" s="17"/>
      <c r="B1092" s="18"/>
      <c r="C1092" s="17"/>
      <c r="D1092" s="18"/>
      <c r="E1092" s="17"/>
      <c r="F1092" s="22"/>
      <c r="G1092"/>
    </row>
    <row r="1093" spans="1:7">
      <c r="A1093" s="17"/>
      <c r="B1093" s="18"/>
      <c r="C1093" s="17"/>
      <c r="D1093" s="18"/>
      <c r="E1093" s="17"/>
      <c r="F1093" s="22"/>
      <c r="G1093"/>
    </row>
    <row r="1094" spans="1:7">
      <c r="A1094" s="17"/>
      <c r="B1094" s="18"/>
      <c r="C1094" s="17"/>
      <c r="D1094" s="18"/>
      <c r="E1094" s="17"/>
      <c r="F1094" s="22"/>
      <c r="G1094"/>
    </row>
    <row r="1095" spans="1:7">
      <c r="A1095" s="17"/>
      <c r="B1095" s="18"/>
      <c r="C1095" s="17"/>
      <c r="D1095" s="18"/>
      <c r="E1095" s="17"/>
      <c r="F1095" s="22"/>
      <c r="G1095"/>
    </row>
    <row r="1096" spans="1:7">
      <c r="A1096" s="17"/>
      <c r="B1096" s="18"/>
      <c r="C1096" s="17"/>
      <c r="D1096" s="18"/>
      <c r="E1096" s="17"/>
      <c r="F1096" s="22"/>
      <c r="G1096"/>
    </row>
    <row r="1097" spans="1:7">
      <c r="A1097" s="17"/>
      <c r="B1097" s="18"/>
      <c r="C1097" s="17"/>
      <c r="D1097" s="18"/>
      <c r="E1097" s="17"/>
      <c r="F1097" s="22"/>
      <c r="G1097"/>
    </row>
    <row r="1098" spans="1:7">
      <c r="A1098" s="17"/>
      <c r="B1098" s="18"/>
      <c r="C1098" s="17"/>
      <c r="D1098" s="18"/>
      <c r="E1098" s="17"/>
      <c r="F1098" s="22"/>
      <c r="G1098"/>
    </row>
    <row r="1099" spans="1:7">
      <c r="A1099" s="17"/>
      <c r="B1099" s="18"/>
      <c r="C1099" s="17"/>
      <c r="D1099" s="18"/>
      <c r="E1099" s="17"/>
      <c r="F1099" s="22"/>
      <c r="G1099"/>
    </row>
    <row r="1100" spans="1:7">
      <c r="A1100" s="17"/>
      <c r="B1100" s="18"/>
      <c r="C1100" s="17"/>
      <c r="D1100" s="18"/>
      <c r="E1100" s="17"/>
      <c r="F1100" s="22"/>
      <c r="G1100"/>
    </row>
    <row r="1101" spans="1:7">
      <c r="A1101" s="17"/>
      <c r="B1101" s="18"/>
      <c r="C1101" s="17"/>
      <c r="D1101" s="18"/>
      <c r="E1101" s="17"/>
      <c r="F1101" s="22"/>
      <c r="G1101"/>
    </row>
    <row r="1102" spans="1:7">
      <c r="A1102" s="17"/>
      <c r="B1102" s="18"/>
      <c r="C1102" s="17"/>
      <c r="D1102" s="18"/>
      <c r="E1102" s="17"/>
      <c r="F1102" s="22"/>
      <c r="G1102"/>
    </row>
    <row r="1103" spans="1:7">
      <c r="A1103" s="17"/>
      <c r="B1103" s="18"/>
      <c r="C1103" s="17"/>
      <c r="D1103" s="18"/>
      <c r="E1103" s="17"/>
      <c r="F1103" s="22"/>
      <c r="G1103"/>
    </row>
    <row r="1104" spans="1:7">
      <c r="A1104" s="17"/>
      <c r="B1104" s="18"/>
      <c r="C1104" s="19"/>
      <c r="D1104" s="18"/>
      <c r="E1104" s="17"/>
      <c r="F1104" s="22"/>
      <c r="G1104"/>
    </row>
    <row r="1105" spans="1:7">
      <c r="A1105" s="17"/>
      <c r="B1105" s="18"/>
      <c r="C1105" s="17"/>
      <c r="D1105" s="18"/>
      <c r="E1105" s="17"/>
      <c r="F1105" s="22"/>
      <c r="G1105"/>
    </row>
    <row r="1106" spans="1:7">
      <c r="A1106" s="17"/>
      <c r="B1106" s="18"/>
      <c r="C1106" s="17"/>
      <c r="D1106" s="18"/>
      <c r="E1106" s="17"/>
      <c r="F1106" s="22"/>
      <c r="G1106"/>
    </row>
    <row r="1107" spans="1:7">
      <c r="A1107" s="17"/>
      <c r="B1107" s="18"/>
      <c r="C1107" s="17"/>
      <c r="D1107" s="18"/>
      <c r="E1107" s="17"/>
      <c r="F1107" s="22"/>
      <c r="G1107"/>
    </row>
    <row r="1108" spans="1:7">
      <c r="A1108" s="17"/>
      <c r="B1108" s="18"/>
      <c r="C1108" s="17"/>
      <c r="D1108" s="18"/>
      <c r="E1108" s="17"/>
      <c r="F1108" s="22"/>
      <c r="G1108"/>
    </row>
    <row r="1109" spans="1:7">
      <c r="A1109" s="17"/>
      <c r="B1109" s="18"/>
      <c r="C1109" s="17"/>
      <c r="D1109" s="18"/>
      <c r="E1109" s="17"/>
      <c r="F1109" s="22"/>
      <c r="G1109"/>
    </row>
    <row r="1110" spans="1:7">
      <c r="A1110" s="17"/>
      <c r="B1110" s="18"/>
      <c r="C1110" s="17"/>
      <c r="D1110" s="18"/>
      <c r="E1110" s="17"/>
      <c r="F1110" s="22"/>
      <c r="G1110"/>
    </row>
    <row r="1111" spans="1:7">
      <c r="A1111" s="17"/>
      <c r="B1111" s="18"/>
      <c r="C1111" s="19"/>
      <c r="D1111" s="18"/>
      <c r="E1111" s="17"/>
      <c r="F1111" s="22"/>
      <c r="G1111"/>
    </row>
    <row r="1112" spans="1:7">
      <c r="A1112" s="17"/>
      <c r="B1112" s="18"/>
      <c r="C1112" s="17"/>
      <c r="D1112" s="18"/>
      <c r="E1112" s="17"/>
      <c r="F1112" s="22"/>
      <c r="G1112"/>
    </row>
    <row r="1113" spans="1:7">
      <c r="A1113" s="17"/>
      <c r="B1113" s="18"/>
      <c r="C1113" s="17"/>
      <c r="D1113" s="18"/>
      <c r="E1113" s="17"/>
      <c r="F1113" s="22"/>
      <c r="G1113"/>
    </row>
    <row r="1114" spans="1:7">
      <c r="A1114" s="17"/>
      <c r="B1114" s="18"/>
      <c r="C1114" s="17"/>
      <c r="D1114" s="18"/>
      <c r="E1114" s="17"/>
      <c r="F1114" s="22"/>
      <c r="G1114"/>
    </row>
    <row r="1115" spans="1:7">
      <c r="A1115" s="17"/>
      <c r="B1115" s="18"/>
      <c r="C1115" s="17"/>
      <c r="D1115" s="18"/>
      <c r="E1115" s="17"/>
      <c r="F1115" s="22"/>
      <c r="G1115"/>
    </row>
    <row r="1116" spans="1:7">
      <c r="A1116" s="17"/>
      <c r="B1116" s="18"/>
      <c r="C1116" s="17"/>
      <c r="D1116" s="18"/>
      <c r="E1116" s="17"/>
      <c r="F1116" s="22"/>
      <c r="G1116"/>
    </row>
    <row r="1117" spans="1:7">
      <c r="A1117" s="17"/>
      <c r="B1117" s="18"/>
      <c r="C1117" s="17"/>
      <c r="D1117" s="18"/>
      <c r="E1117" s="17"/>
      <c r="F1117" s="22"/>
      <c r="G1117"/>
    </row>
    <row r="1118" spans="1:7">
      <c r="A1118" s="17"/>
      <c r="B1118" s="18"/>
      <c r="C1118" s="17"/>
      <c r="D1118" s="18"/>
      <c r="E1118" s="17"/>
      <c r="F1118" s="22"/>
      <c r="G1118"/>
    </row>
    <row r="1119" spans="1:7">
      <c r="A1119" s="17"/>
      <c r="B1119" s="18"/>
      <c r="C1119" s="17"/>
      <c r="D1119" s="18"/>
      <c r="E1119" s="17"/>
      <c r="F1119" s="22"/>
      <c r="G1119"/>
    </row>
    <row r="1120" spans="1:7">
      <c r="A1120" s="17"/>
      <c r="B1120" s="18"/>
      <c r="C1120" s="17"/>
      <c r="D1120" s="18"/>
      <c r="E1120" s="17"/>
      <c r="F1120" s="22"/>
      <c r="G1120"/>
    </row>
    <row r="1121" spans="1:7">
      <c r="A1121" s="17"/>
      <c r="B1121" s="18"/>
      <c r="C1121" s="17"/>
      <c r="D1121" s="18"/>
      <c r="E1121" s="17"/>
      <c r="F1121" s="22"/>
      <c r="G1121"/>
    </row>
    <row r="1122" spans="1:7">
      <c r="A1122" s="17"/>
      <c r="B1122" s="18"/>
      <c r="C1122" s="17"/>
      <c r="D1122" s="18"/>
      <c r="E1122" s="17"/>
      <c r="F1122" s="22"/>
      <c r="G1122"/>
    </row>
    <row r="1123" spans="1:7">
      <c r="A1123" s="17"/>
      <c r="B1123" s="18"/>
      <c r="C1123" s="17"/>
      <c r="D1123" s="18"/>
      <c r="E1123" s="17"/>
      <c r="F1123" s="22"/>
      <c r="G1123"/>
    </row>
    <row r="1124" spans="1:7">
      <c r="A1124" s="17"/>
      <c r="B1124" s="18"/>
      <c r="C1124" s="17"/>
      <c r="D1124" s="18"/>
      <c r="E1124" s="17"/>
      <c r="F1124" s="22"/>
      <c r="G1124"/>
    </row>
    <row r="1125" spans="1:7">
      <c r="A1125" s="17"/>
      <c r="B1125" s="18"/>
      <c r="C1125" s="17"/>
      <c r="D1125" s="18"/>
      <c r="E1125" s="17"/>
      <c r="F1125" s="22"/>
      <c r="G1125"/>
    </row>
    <row r="1126" spans="1:7">
      <c r="A1126" s="17"/>
      <c r="B1126" s="18"/>
      <c r="C1126" s="17"/>
      <c r="D1126" s="18"/>
      <c r="E1126" s="17"/>
      <c r="F1126" s="22"/>
      <c r="G1126"/>
    </row>
    <row r="1127" spans="1:7">
      <c r="A1127" s="17"/>
      <c r="B1127" s="18"/>
      <c r="C1127" s="17"/>
      <c r="D1127" s="18"/>
      <c r="E1127" s="17"/>
      <c r="F1127" s="22"/>
      <c r="G1127"/>
    </row>
    <row r="1128" spans="1:7">
      <c r="A1128" s="17"/>
      <c r="B1128" s="18"/>
      <c r="C1128" s="17"/>
      <c r="D1128" s="18"/>
      <c r="E1128" s="17"/>
      <c r="F1128" s="22"/>
      <c r="G1128"/>
    </row>
    <row r="1129" spans="1:7">
      <c r="A1129" s="17"/>
      <c r="B1129" s="18"/>
      <c r="C1129" s="17"/>
      <c r="D1129" s="18"/>
      <c r="E1129" s="17"/>
      <c r="F1129" s="22"/>
      <c r="G1129"/>
    </row>
    <row r="1130" spans="1:7">
      <c r="A1130" s="17"/>
      <c r="B1130" s="18"/>
      <c r="C1130" s="17"/>
      <c r="D1130" s="18"/>
      <c r="E1130" s="17"/>
      <c r="F1130" s="22"/>
      <c r="G1130"/>
    </row>
    <row r="1131" spans="1:7">
      <c r="A1131" s="17"/>
      <c r="B1131" s="18"/>
      <c r="C1131" s="17"/>
      <c r="D1131" s="18"/>
      <c r="E1131" s="17"/>
      <c r="F1131" s="22"/>
      <c r="G1131"/>
    </row>
    <row r="1132" spans="1:7">
      <c r="A1132" s="17"/>
      <c r="B1132" s="18"/>
      <c r="C1132" s="19"/>
      <c r="D1132" s="18"/>
      <c r="E1132" s="17"/>
      <c r="F1132" s="22"/>
      <c r="G1132"/>
    </row>
    <row r="1133" spans="1:7">
      <c r="A1133" s="17"/>
      <c r="B1133" s="18"/>
      <c r="C1133" s="17"/>
      <c r="D1133" s="18"/>
      <c r="E1133" s="17"/>
      <c r="F1133" s="22"/>
      <c r="G1133"/>
    </row>
    <row r="1134" spans="1:7">
      <c r="A1134" s="17"/>
      <c r="B1134" s="18"/>
      <c r="C1134" s="17"/>
      <c r="D1134" s="18"/>
      <c r="E1134" s="17"/>
      <c r="F1134" s="22"/>
      <c r="G1134"/>
    </row>
    <row r="1135" spans="1:7">
      <c r="A1135" s="17"/>
      <c r="B1135" s="18"/>
      <c r="C1135" s="17"/>
      <c r="D1135" s="18"/>
      <c r="E1135" s="17"/>
      <c r="F1135" s="22"/>
      <c r="G1135"/>
    </row>
    <row r="1136" spans="1:7">
      <c r="A1136" s="17"/>
      <c r="B1136" s="18"/>
      <c r="C1136" s="17"/>
      <c r="D1136" s="18"/>
      <c r="E1136" s="17"/>
      <c r="F1136" s="22"/>
      <c r="G1136"/>
    </row>
    <row r="1137" spans="1:7">
      <c r="A1137" s="17"/>
      <c r="B1137" s="18"/>
      <c r="C1137" s="17"/>
      <c r="D1137" s="18"/>
      <c r="E1137" s="17"/>
      <c r="F1137" s="22"/>
      <c r="G1137"/>
    </row>
    <row r="1138" spans="1:7">
      <c r="A1138" s="17"/>
      <c r="B1138" s="18"/>
      <c r="C1138" s="17"/>
      <c r="D1138" s="18"/>
      <c r="E1138" s="17"/>
      <c r="F1138" s="22"/>
      <c r="G1138"/>
    </row>
    <row r="1139" spans="1:7">
      <c r="A1139" s="17"/>
      <c r="B1139" s="18"/>
      <c r="C1139" s="17"/>
      <c r="D1139" s="18"/>
      <c r="E1139" s="17"/>
      <c r="F1139" s="22"/>
      <c r="G1139"/>
    </row>
    <row r="1140" spans="1:7">
      <c r="A1140" s="17"/>
      <c r="B1140" s="18"/>
      <c r="C1140" s="17"/>
      <c r="D1140" s="18"/>
      <c r="E1140" s="17"/>
      <c r="F1140" s="22"/>
      <c r="G1140"/>
    </row>
    <row r="1141" spans="1:7">
      <c r="A1141" s="17"/>
      <c r="B1141" s="18"/>
      <c r="C1141" s="17"/>
      <c r="D1141" s="18"/>
      <c r="E1141" s="17"/>
      <c r="F1141" s="22"/>
      <c r="G1141"/>
    </row>
    <row r="1142" spans="1:7">
      <c r="A1142" s="17"/>
      <c r="B1142" s="18"/>
      <c r="C1142" s="17"/>
      <c r="D1142" s="18"/>
      <c r="E1142" s="17"/>
      <c r="F1142" s="22"/>
      <c r="G1142"/>
    </row>
    <row r="1143" spans="1:7">
      <c r="A1143" s="17"/>
      <c r="B1143" s="18"/>
      <c r="C1143" s="17"/>
      <c r="D1143" s="18"/>
      <c r="E1143" s="17"/>
      <c r="F1143" s="22"/>
      <c r="G1143"/>
    </row>
    <row r="1144" spans="1:7">
      <c r="A1144" s="17"/>
      <c r="B1144" s="18"/>
      <c r="C1144" s="17"/>
      <c r="D1144" s="18"/>
      <c r="E1144" s="17"/>
      <c r="F1144" s="22"/>
      <c r="G1144"/>
    </row>
    <row r="1145" spans="1:7">
      <c r="A1145" s="17"/>
      <c r="B1145" s="18"/>
      <c r="C1145" s="17"/>
      <c r="D1145" s="18"/>
      <c r="E1145" s="17"/>
      <c r="F1145" s="22"/>
      <c r="G1145"/>
    </row>
    <row r="1146" spans="1:7">
      <c r="A1146" s="17"/>
      <c r="B1146" s="18"/>
      <c r="C1146" s="17"/>
      <c r="D1146" s="18"/>
      <c r="E1146" s="17"/>
      <c r="F1146" s="22"/>
      <c r="G1146"/>
    </row>
    <row r="1147" spans="1:7">
      <c r="A1147" s="17"/>
      <c r="B1147" s="18"/>
      <c r="C1147" s="17"/>
      <c r="D1147" s="18"/>
      <c r="E1147" s="17"/>
      <c r="F1147" s="22"/>
      <c r="G1147"/>
    </row>
    <row r="1148" spans="1:7">
      <c r="A1148" s="17"/>
      <c r="B1148" s="18"/>
      <c r="C1148" s="17"/>
      <c r="D1148" s="18"/>
      <c r="E1148" s="17"/>
      <c r="F1148" s="22"/>
      <c r="G1148"/>
    </row>
    <row r="1149" spans="1:7">
      <c r="A1149" s="17"/>
      <c r="B1149" s="18"/>
      <c r="C1149" s="17"/>
      <c r="D1149" s="18"/>
      <c r="E1149" s="17"/>
      <c r="F1149" s="22"/>
      <c r="G1149"/>
    </row>
    <row r="1150" spans="1:7">
      <c r="A1150" s="17"/>
      <c r="B1150" s="18"/>
      <c r="C1150" s="17"/>
      <c r="D1150" s="18"/>
      <c r="E1150" s="17"/>
      <c r="F1150" s="22"/>
      <c r="G1150"/>
    </row>
    <row r="1151" spans="1:7">
      <c r="A1151" s="17"/>
      <c r="B1151" s="18"/>
      <c r="C1151" s="17"/>
      <c r="D1151" s="18"/>
      <c r="E1151" s="17"/>
      <c r="F1151" s="22"/>
      <c r="G1151"/>
    </row>
    <row r="1152" spans="1:7">
      <c r="A1152" s="17"/>
      <c r="B1152" s="18"/>
      <c r="C1152" s="17"/>
      <c r="D1152" s="18"/>
      <c r="E1152" s="17"/>
      <c r="F1152" s="22"/>
      <c r="G1152"/>
    </row>
    <row r="1153" spans="1:7">
      <c r="A1153" s="17"/>
      <c r="B1153" s="18"/>
      <c r="C1153" s="17"/>
      <c r="D1153" s="18"/>
      <c r="E1153" s="17"/>
      <c r="F1153" s="22"/>
      <c r="G1153"/>
    </row>
    <row r="1154" spans="1:7">
      <c r="A1154" s="17"/>
      <c r="B1154" s="18"/>
      <c r="C1154" s="17"/>
      <c r="D1154" s="18"/>
      <c r="E1154" s="17"/>
      <c r="F1154" s="22"/>
      <c r="G1154"/>
    </row>
    <row r="1155" spans="1:7">
      <c r="A1155" s="17"/>
      <c r="B1155" s="18"/>
      <c r="C1155" s="17"/>
      <c r="D1155" s="18"/>
      <c r="E1155" s="17"/>
      <c r="F1155" s="22"/>
      <c r="G1155"/>
    </row>
    <row r="1156" spans="1:7">
      <c r="A1156" s="17"/>
      <c r="B1156" s="18"/>
      <c r="C1156" s="17"/>
      <c r="D1156" s="18"/>
      <c r="E1156" s="17"/>
      <c r="F1156" s="22"/>
      <c r="G1156"/>
    </row>
    <row r="1157" spans="1:7">
      <c r="A1157" s="17"/>
      <c r="B1157" s="18"/>
      <c r="C1157" s="17"/>
      <c r="D1157" s="18"/>
      <c r="E1157" s="17"/>
      <c r="F1157" s="22"/>
      <c r="G1157"/>
    </row>
    <row r="1158" spans="1:7">
      <c r="A1158" s="17"/>
      <c r="B1158" s="18"/>
      <c r="C1158" s="17"/>
      <c r="D1158" s="18"/>
      <c r="E1158" s="17"/>
      <c r="F1158" s="22"/>
      <c r="G1158"/>
    </row>
    <row r="1159" spans="1:7">
      <c r="A1159" s="17"/>
      <c r="B1159" s="18"/>
      <c r="C1159" s="17"/>
      <c r="D1159" s="18"/>
      <c r="E1159" s="17"/>
      <c r="F1159" s="22"/>
      <c r="G1159"/>
    </row>
    <row r="1160" spans="1:7">
      <c r="A1160" s="17"/>
      <c r="B1160" s="18"/>
      <c r="C1160" s="17"/>
      <c r="D1160" s="18"/>
      <c r="E1160" s="17"/>
      <c r="F1160" s="22"/>
      <c r="G1160"/>
    </row>
    <row r="1161" spans="1:7">
      <c r="A1161" s="17"/>
      <c r="B1161" s="18"/>
      <c r="C1161" s="17"/>
      <c r="D1161" s="18"/>
      <c r="E1161" s="17"/>
      <c r="F1161" s="22"/>
      <c r="G1161"/>
    </row>
    <row r="1162" spans="1:7">
      <c r="A1162" s="17"/>
      <c r="B1162" s="18"/>
      <c r="C1162" s="17"/>
      <c r="D1162" s="18"/>
      <c r="E1162" s="17"/>
      <c r="F1162" s="22"/>
      <c r="G1162"/>
    </row>
    <row r="1163" spans="1:7">
      <c r="A1163" s="17"/>
      <c r="B1163" s="18"/>
      <c r="C1163" s="17"/>
      <c r="D1163" s="18"/>
      <c r="E1163" s="17"/>
      <c r="F1163" s="22"/>
      <c r="G1163"/>
    </row>
    <row r="1164" spans="1:7">
      <c r="A1164" s="17"/>
      <c r="B1164" s="18"/>
      <c r="C1164" s="17"/>
      <c r="D1164" s="18"/>
      <c r="E1164" s="17"/>
      <c r="F1164" s="22"/>
      <c r="G1164"/>
    </row>
    <row r="1165" spans="1:7">
      <c r="A1165" s="17"/>
      <c r="B1165" s="18"/>
      <c r="C1165" s="17"/>
      <c r="D1165" s="18"/>
      <c r="E1165" s="17"/>
      <c r="F1165" s="22"/>
      <c r="G1165"/>
    </row>
    <row r="1166" spans="1:7">
      <c r="A1166" s="17"/>
      <c r="B1166" s="18"/>
      <c r="C1166" s="17"/>
      <c r="D1166" s="18"/>
      <c r="E1166" s="17"/>
      <c r="F1166" s="22"/>
      <c r="G1166"/>
    </row>
    <row r="1167" spans="1:7">
      <c r="A1167" s="17"/>
      <c r="B1167" s="18"/>
      <c r="C1167" s="17"/>
      <c r="D1167" s="18"/>
      <c r="E1167" s="17"/>
      <c r="F1167" s="22"/>
      <c r="G1167"/>
    </row>
    <row r="1168" spans="1:7">
      <c r="A1168" s="17"/>
      <c r="B1168" s="18"/>
      <c r="C1168" s="17"/>
      <c r="D1168" s="18"/>
      <c r="E1168" s="17"/>
      <c r="F1168" s="22"/>
      <c r="G1168"/>
    </row>
    <row r="1169" spans="1:7">
      <c r="A1169" s="17"/>
      <c r="B1169" s="18"/>
      <c r="C1169" s="17"/>
      <c r="D1169" s="18"/>
      <c r="E1169" s="17"/>
      <c r="F1169" s="22"/>
      <c r="G1169"/>
    </row>
    <row r="1170" spans="1:7">
      <c r="A1170" s="17"/>
      <c r="B1170" s="18"/>
      <c r="C1170" s="17"/>
      <c r="D1170" s="18"/>
      <c r="E1170" s="17"/>
      <c r="F1170" s="22"/>
      <c r="G1170"/>
    </row>
    <row r="1171" spans="1:7">
      <c r="A1171" s="17"/>
      <c r="B1171" s="18"/>
      <c r="C1171" s="17"/>
      <c r="D1171" s="18"/>
      <c r="E1171" s="17"/>
      <c r="F1171" s="22"/>
      <c r="G1171"/>
    </row>
    <row r="1172" spans="1:7">
      <c r="A1172" s="17"/>
      <c r="B1172" s="18"/>
      <c r="C1172" s="17"/>
      <c r="D1172" s="18"/>
      <c r="E1172" s="17"/>
      <c r="F1172" s="22"/>
      <c r="G1172"/>
    </row>
    <row r="1173" spans="1:7">
      <c r="A1173" s="17"/>
      <c r="B1173" s="18"/>
      <c r="C1173" s="17"/>
      <c r="D1173" s="18"/>
      <c r="E1173" s="17"/>
      <c r="F1173" s="22"/>
      <c r="G1173"/>
    </row>
    <row r="1174" spans="1:7">
      <c r="A1174" s="17"/>
      <c r="B1174" s="18"/>
      <c r="C1174" s="17"/>
      <c r="D1174" s="18"/>
      <c r="E1174" s="17"/>
      <c r="F1174" s="22"/>
      <c r="G1174"/>
    </row>
    <row r="1175" spans="1:7">
      <c r="A1175" s="17"/>
      <c r="B1175" s="18"/>
      <c r="C1175" s="17"/>
      <c r="D1175" s="18"/>
      <c r="E1175" s="17"/>
      <c r="F1175" s="22"/>
      <c r="G1175"/>
    </row>
    <row r="1176" spans="1:7">
      <c r="A1176" s="17"/>
      <c r="B1176" s="18"/>
      <c r="C1176" s="17"/>
      <c r="D1176" s="18"/>
      <c r="E1176" s="17"/>
      <c r="F1176" s="22"/>
      <c r="G1176"/>
    </row>
    <row r="1177" spans="1:7">
      <c r="A1177" s="17"/>
      <c r="B1177" s="18"/>
      <c r="C1177" s="17"/>
      <c r="D1177" s="18"/>
      <c r="E1177" s="17"/>
      <c r="F1177" s="22"/>
      <c r="G1177"/>
    </row>
    <row r="1178" spans="1:7">
      <c r="A1178" s="17"/>
      <c r="B1178" s="18"/>
      <c r="C1178" s="17"/>
      <c r="D1178" s="18"/>
      <c r="E1178" s="17"/>
      <c r="F1178" s="22"/>
      <c r="G1178"/>
    </row>
    <row r="1179" spans="1:7">
      <c r="A1179" s="17"/>
      <c r="B1179" s="18"/>
      <c r="C1179" s="17"/>
      <c r="D1179" s="18"/>
      <c r="E1179" s="17"/>
      <c r="F1179" s="22"/>
      <c r="G1179"/>
    </row>
    <row r="1180" spans="1:7">
      <c r="A1180" s="17"/>
      <c r="B1180" s="18"/>
      <c r="C1180" s="17"/>
      <c r="D1180" s="18"/>
      <c r="E1180" s="17"/>
      <c r="F1180" s="22"/>
      <c r="G1180"/>
    </row>
    <row r="1181" spans="1:7">
      <c r="A1181" s="17"/>
      <c r="B1181" s="18"/>
      <c r="C1181" s="17"/>
      <c r="D1181" s="18"/>
      <c r="E1181" s="17"/>
      <c r="F1181" s="22"/>
      <c r="G1181"/>
    </row>
    <row r="1182" spans="1:7">
      <c r="A1182" s="17"/>
      <c r="B1182" s="18"/>
      <c r="C1182" s="17"/>
      <c r="D1182" s="18"/>
      <c r="E1182" s="17"/>
      <c r="F1182" s="22"/>
      <c r="G1182"/>
    </row>
    <row r="1183" spans="1:7">
      <c r="A1183" s="17"/>
      <c r="B1183" s="18"/>
      <c r="C1183" s="17"/>
      <c r="D1183" s="18"/>
      <c r="E1183" s="17"/>
      <c r="F1183" s="22"/>
      <c r="G1183"/>
    </row>
    <row r="1184" spans="1:7">
      <c r="A1184" s="17"/>
      <c r="B1184" s="18"/>
      <c r="C1184" s="17"/>
      <c r="D1184" s="18"/>
      <c r="E1184" s="17"/>
      <c r="F1184" s="22"/>
      <c r="G1184"/>
    </row>
    <row r="1185" spans="1:7">
      <c r="A1185" s="17"/>
      <c r="B1185" s="18"/>
      <c r="C1185" s="17"/>
      <c r="D1185" s="18"/>
      <c r="E1185" s="17"/>
      <c r="F1185" s="22"/>
      <c r="G1185"/>
    </row>
    <row r="1186" spans="1:7">
      <c r="A1186" s="17"/>
      <c r="B1186" s="18"/>
      <c r="C1186" s="17"/>
      <c r="D1186" s="18"/>
      <c r="E1186" s="17"/>
      <c r="F1186" s="22"/>
      <c r="G1186"/>
    </row>
    <row r="1187" spans="1:7">
      <c r="A1187" s="17"/>
      <c r="B1187" s="18"/>
      <c r="C1187" s="17"/>
      <c r="D1187" s="18"/>
      <c r="E1187" s="17"/>
      <c r="F1187" s="22"/>
      <c r="G1187"/>
    </row>
    <row r="1188" spans="1:7">
      <c r="A1188" s="17"/>
      <c r="B1188" s="18"/>
      <c r="C1188" s="17"/>
      <c r="D1188" s="18"/>
      <c r="E1188" s="17"/>
      <c r="F1188" s="22"/>
      <c r="G1188"/>
    </row>
    <row r="1189" spans="1:7">
      <c r="A1189" s="17"/>
      <c r="B1189" s="18"/>
      <c r="C1189" s="17"/>
      <c r="D1189" s="18"/>
      <c r="E1189" s="17"/>
      <c r="F1189" s="22"/>
      <c r="G1189"/>
    </row>
    <row r="1190" spans="1:7">
      <c r="A1190" s="17"/>
      <c r="B1190" s="18"/>
      <c r="C1190" s="17"/>
      <c r="D1190" s="18"/>
      <c r="E1190" s="17"/>
      <c r="F1190" s="22"/>
      <c r="G1190"/>
    </row>
    <row r="1191" spans="1:7">
      <c r="A1191" s="17"/>
      <c r="B1191" s="18"/>
      <c r="C1191" s="17"/>
      <c r="D1191" s="18"/>
      <c r="E1191" s="17"/>
      <c r="F1191" s="22"/>
      <c r="G1191"/>
    </row>
    <row r="1192" spans="1:7">
      <c r="A1192" s="17"/>
      <c r="B1192" s="18"/>
      <c r="C1192" s="17"/>
      <c r="D1192" s="18"/>
      <c r="E1192" s="17"/>
      <c r="F1192" s="22"/>
      <c r="G1192"/>
    </row>
    <row r="1193" spans="1:7">
      <c r="A1193" s="17"/>
      <c r="B1193" s="18"/>
      <c r="C1193" s="17"/>
      <c r="D1193" s="18"/>
      <c r="E1193" s="17"/>
      <c r="F1193" s="22"/>
      <c r="G1193"/>
    </row>
    <row r="1194" spans="1:7">
      <c r="A1194" s="17"/>
      <c r="B1194" s="18"/>
      <c r="C1194" s="17"/>
      <c r="D1194" s="18"/>
      <c r="E1194" s="17"/>
      <c r="F1194" s="22"/>
      <c r="G1194"/>
    </row>
    <row r="1195" spans="1:7">
      <c r="A1195" s="17"/>
      <c r="B1195" s="18"/>
      <c r="C1195" s="17"/>
      <c r="D1195" s="18"/>
      <c r="E1195" s="17"/>
      <c r="F1195" s="22"/>
      <c r="G1195"/>
    </row>
    <row r="1196" spans="1:7">
      <c r="A1196" s="17"/>
      <c r="B1196" s="18"/>
      <c r="C1196" s="17"/>
      <c r="D1196" s="18"/>
      <c r="E1196" s="17"/>
      <c r="F1196" s="22"/>
      <c r="G1196"/>
    </row>
    <row r="1197" spans="1:7">
      <c r="A1197" s="17"/>
      <c r="B1197" s="18"/>
      <c r="C1197" s="17"/>
      <c r="D1197" s="18"/>
      <c r="E1197" s="17"/>
      <c r="F1197" s="22"/>
      <c r="G1197"/>
    </row>
    <row r="1198" spans="1:7">
      <c r="A1198" s="17"/>
      <c r="B1198" s="18"/>
      <c r="C1198" s="17"/>
      <c r="D1198" s="18"/>
      <c r="E1198" s="17"/>
      <c r="F1198" s="22"/>
      <c r="G1198"/>
    </row>
    <row r="1199" spans="1:7">
      <c r="A1199" s="17"/>
      <c r="B1199" s="18"/>
      <c r="C1199" s="17"/>
      <c r="D1199" s="18"/>
      <c r="E1199" s="17"/>
      <c r="F1199" s="22"/>
      <c r="G1199"/>
    </row>
    <row r="1200" spans="1:7">
      <c r="A1200" s="17"/>
      <c r="B1200" s="18"/>
      <c r="C1200" s="17"/>
      <c r="D1200" s="18"/>
      <c r="E1200" s="17"/>
      <c r="F1200" s="22"/>
      <c r="G1200"/>
    </row>
    <row r="1201" spans="1:7">
      <c r="A1201" s="17"/>
      <c r="B1201" s="18"/>
      <c r="C1201" s="17"/>
      <c r="D1201" s="18"/>
      <c r="E1201" s="17"/>
      <c r="F1201" s="22"/>
      <c r="G1201"/>
    </row>
    <row r="1202" spans="1:7">
      <c r="A1202" s="17"/>
      <c r="B1202" s="18"/>
      <c r="C1202" s="17"/>
      <c r="D1202" s="18"/>
      <c r="E1202" s="17"/>
      <c r="F1202" s="22"/>
      <c r="G1202"/>
    </row>
    <row r="1203" spans="1:7">
      <c r="A1203" s="17"/>
      <c r="B1203" s="18"/>
      <c r="C1203" s="17"/>
      <c r="D1203" s="18"/>
      <c r="E1203" s="17"/>
      <c r="F1203" s="22"/>
      <c r="G1203"/>
    </row>
    <row r="1204" spans="1:7">
      <c r="A1204" s="17"/>
      <c r="B1204" s="18"/>
      <c r="C1204" s="17"/>
      <c r="D1204" s="18"/>
      <c r="E1204" s="17"/>
      <c r="F1204" s="22"/>
      <c r="G1204"/>
    </row>
    <row r="1205" spans="1:7">
      <c r="A1205" s="17"/>
      <c r="B1205" s="18"/>
      <c r="C1205" s="17"/>
      <c r="D1205" s="18"/>
      <c r="E1205" s="17"/>
      <c r="F1205" s="22"/>
      <c r="G1205"/>
    </row>
    <row r="1206" spans="1:7">
      <c r="A1206" s="17"/>
      <c r="B1206" s="18"/>
      <c r="C1206" s="17"/>
      <c r="D1206" s="18"/>
      <c r="E1206" s="17"/>
      <c r="F1206" s="22"/>
      <c r="G1206"/>
    </row>
    <row r="1207" spans="1:7">
      <c r="A1207" s="17"/>
      <c r="B1207" s="18"/>
      <c r="C1207" s="17"/>
      <c r="D1207" s="18"/>
      <c r="E1207" s="17"/>
      <c r="F1207" s="22"/>
      <c r="G1207"/>
    </row>
    <row r="1208" spans="1:7">
      <c r="A1208" s="17"/>
      <c r="B1208" s="18"/>
      <c r="C1208" s="17"/>
      <c r="D1208" s="18"/>
      <c r="E1208" s="17"/>
      <c r="F1208" s="22"/>
      <c r="G1208"/>
    </row>
    <row r="1209" spans="1:7">
      <c r="A1209" s="17"/>
      <c r="B1209" s="18"/>
      <c r="C1209" s="17"/>
      <c r="D1209" s="18"/>
      <c r="E1209" s="17"/>
      <c r="F1209" s="22"/>
      <c r="G1209"/>
    </row>
    <row r="1210" spans="1:7">
      <c r="A1210" s="17"/>
      <c r="B1210" s="18"/>
      <c r="C1210" s="17"/>
      <c r="D1210" s="18"/>
      <c r="E1210" s="17"/>
      <c r="F1210" s="22"/>
      <c r="G1210"/>
    </row>
    <row r="1211" spans="1:7">
      <c r="A1211" s="17"/>
      <c r="B1211" s="18"/>
      <c r="C1211" s="17"/>
      <c r="D1211" s="18"/>
      <c r="E1211" s="17"/>
      <c r="F1211" s="22"/>
      <c r="G1211"/>
    </row>
    <row r="1212" spans="1:7">
      <c r="A1212" s="17"/>
      <c r="B1212" s="18"/>
      <c r="C1212" s="17"/>
      <c r="D1212" s="18"/>
      <c r="E1212" s="17"/>
      <c r="F1212" s="22"/>
      <c r="G1212"/>
    </row>
    <row r="1213" spans="1:7">
      <c r="A1213" s="17"/>
      <c r="B1213" s="18"/>
      <c r="C1213" s="17"/>
      <c r="D1213" s="18"/>
      <c r="E1213" s="17"/>
      <c r="F1213" s="22"/>
      <c r="G1213"/>
    </row>
    <row r="1214" spans="1:7">
      <c r="A1214" s="17"/>
      <c r="B1214" s="18"/>
      <c r="C1214" s="17"/>
      <c r="D1214" s="18"/>
      <c r="E1214" s="17"/>
      <c r="F1214" s="22"/>
      <c r="G1214"/>
    </row>
    <row r="1215" spans="1:7">
      <c r="A1215" s="17"/>
      <c r="B1215" s="18"/>
      <c r="C1215" s="17"/>
      <c r="D1215" s="18"/>
      <c r="E1215" s="17"/>
      <c r="F1215" s="22"/>
      <c r="G1215"/>
    </row>
    <row r="1216" spans="1:7">
      <c r="A1216" s="17"/>
      <c r="B1216" s="18"/>
      <c r="C1216" s="17"/>
      <c r="D1216" s="18"/>
      <c r="E1216" s="17"/>
      <c r="F1216" s="22"/>
      <c r="G1216"/>
    </row>
    <row r="1217" spans="1:7">
      <c r="A1217" s="17"/>
      <c r="B1217" s="18"/>
      <c r="C1217" s="17"/>
      <c r="D1217" s="18"/>
      <c r="E1217" s="17"/>
      <c r="F1217" s="22"/>
      <c r="G1217"/>
    </row>
    <row r="1218" spans="1:7">
      <c r="A1218" s="17"/>
      <c r="B1218" s="18"/>
      <c r="C1218" s="17"/>
      <c r="D1218" s="18"/>
      <c r="E1218" s="17"/>
      <c r="F1218" s="22"/>
      <c r="G1218"/>
    </row>
    <row r="1219" spans="1:7">
      <c r="A1219" s="17"/>
      <c r="B1219" s="18"/>
      <c r="C1219" s="17"/>
      <c r="D1219" s="18"/>
      <c r="E1219" s="17"/>
      <c r="F1219" s="22"/>
      <c r="G1219"/>
    </row>
    <row r="1220" spans="1:7">
      <c r="A1220" s="17"/>
      <c r="B1220" s="18"/>
      <c r="C1220" s="17"/>
      <c r="D1220" s="18"/>
      <c r="E1220" s="17"/>
      <c r="F1220" s="22"/>
      <c r="G1220"/>
    </row>
    <row r="1221" spans="1:7">
      <c r="A1221" s="17"/>
      <c r="B1221" s="18"/>
      <c r="C1221" s="17"/>
      <c r="D1221" s="18"/>
      <c r="E1221" s="17"/>
      <c r="F1221" s="22"/>
      <c r="G1221"/>
    </row>
    <row r="1222" spans="1:7">
      <c r="A1222" s="17"/>
      <c r="B1222" s="18"/>
      <c r="C1222" s="17"/>
      <c r="D1222" s="18"/>
      <c r="E1222" s="17"/>
      <c r="F1222" s="22"/>
      <c r="G1222"/>
    </row>
    <row r="1223" spans="1:7">
      <c r="A1223" s="17"/>
      <c r="B1223" s="18"/>
      <c r="C1223" s="17"/>
      <c r="D1223" s="18"/>
      <c r="E1223" s="17"/>
      <c r="F1223" s="22"/>
      <c r="G1223"/>
    </row>
    <row r="1224" spans="1:7">
      <c r="A1224" s="17"/>
      <c r="B1224" s="18"/>
      <c r="C1224" s="17"/>
      <c r="D1224" s="18"/>
      <c r="E1224" s="17"/>
      <c r="F1224" s="22"/>
      <c r="G1224"/>
    </row>
    <row r="1225" spans="1:7">
      <c r="A1225" s="17"/>
      <c r="B1225" s="18"/>
      <c r="C1225" s="17"/>
      <c r="D1225" s="18"/>
      <c r="E1225" s="17"/>
      <c r="F1225" s="22"/>
      <c r="G1225"/>
    </row>
    <row r="1226" spans="1:7">
      <c r="A1226" s="17"/>
      <c r="B1226" s="18"/>
      <c r="C1226" s="17"/>
      <c r="D1226" s="18"/>
      <c r="E1226" s="17"/>
      <c r="F1226" s="22"/>
      <c r="G1226"/>
    </row>
    <row r="1227" spans="1:7">
      <c r="A1227" s="17"/>
      <c r="B1227" s="18"/>
      <c r="C1227" s="17"/>
      <c r="D1227" s="18"/>
      <c r="E1227" s="17"/>
      <c r="F1227" s="22"/>
      <c r="G1227"/>
    </row>
    <row r="1228" spans="1:7">
      <c r="A1228" s="17"/>
      <c r="B1228" s="18"/>
      <c r="C1228" s="17"/>
      <c r="D1228" s="18"/>
      <c r="E1228" s="17"/>
      <c r="F1228" s="22"/>
      <c r="G1228"/>
    </row>
    <row r="1229" spans="1:7">
      <c r="A1229" s="17"/>
      <c r="B1229" s="18"/>
      <c r="C1229" s="17"/>
      <c r="D1229" s="18"/>
      <c r="E1229" s="17"/>
      <c r="F1229" s="22"/>
      <c r="G1229"/>
    </row>
    <row r="1230" spans="1:7">
      <c r="A1230" s="17"/>
      <c r="B1230" s="18"/>
      <c r="C1230" s="17"/>
      <c r="D1230" s="18"/>
      <c r="E1230" s="17"/>
      <c r="F1230" s="22"/>
      <c r="G1230"/>
    </row>
    <row r="1231" spans="1:7">
      <c r="A1231" s="17"/>
      <c r="B1231" s="18"/>
      <c r="C1231" s="17"/>
      <c r="D1231" s="18"/>
      <c r="E1231" s="17"/>
      <c r="F1231" s="22"/>
      <c r="G1231"/>
    </row>
    <row r="1232" spans="1:7">
      <c r="A1232" s="17"/>
      <c r="B1232" s="18"/>
      <c r="C1232" s="17"/>
      <c r="D1232" s="18"/>
      <c r="E1232" s="17"/>
      <c r="F1232" s="22"/>
      <c r="G1232"/>
    </row>
    <row r="1233" spans="1:7">
      <c r="A1233" s="17"/>
      <c r="B1233" s="18"/>
      <c r="C1233" s="17"/>
      <c r="D1233" s="18"/>
      <c r="E1233" s="17"/>
      <c r="F1233" s="22"/>
      <c r="G1233"/>
    </row>
    <row r="1234" spans="1:7">
      <c r="A1234" s="17"/>
      <c r="B1234" s="18"/>
      <c r="C1234" s="17"/>
      <c r="D1234" s="18"/>
      <c r="E1234" s="17"/>
      <c r="F1234" s="22"/>
      <c r="G1234"/>
    </row>
    <row r="1235" spans="1:7">
      <c r="A1235" s="17"/>
      <c r="B1235" s="18"/>
      <c r="C1235" s="17"/>
      <c r="D1235" s="18"/>
      <c r="E1235" s="17"/>
      <c r="F1235" s="22"/>
      <c r="G1235"/>
    </row>
    <row r="1236" spans="1:7">
      <c r="A1236" s="17"/>
      <c r="B1236" s="18"/>
      <c r="C1236" s="17"/>
      <c r="D1236" s="18"/>
      <c r="E1236" s="17"/>
      <c r="F1236" s="22"/>
      <c r="G1236"/>
    </row>
    <row r="1237" spans="1:7">
      <c r="A1237" s="17"/>
      <c r="B1237" s="18"/>
      <c r="C1237" s="17"/>
      <c r="D1237" s="18"/>
      <c r="E1237" s="17"/>
      <c r="F1237" s="22"/>
      <c r="G1237"/>
    </row>
    <row r="1238" spans="1:7">
      <c r="A1238" s="17"/>
      <c r="B1238" s="18"/>
      <c r="C1238" s="17"/>
      <c r="D1238" s="18"/>
      <c r="E1238" s="17"/>
      <c r="F1238" s="22"/>
      <c r="G1238"/>
    </row>
    <row r="1239" spans="1:7">
      <c r="A1239" s="17"/>
      <c r="B1239" s="18"/>
      <c r="C1239" s="17"/>
      <c r="D1239" s="18"/>
      <c r="E1239" s="17"/>
      <c r="F1239" s="22"/>
      <c r="G1239"/>
    </row>
    <row r="1240" spans="1:7">
      <c r="A1240" s="17"/>
      <c r="B1240" s="18"/>
      <c r="C1240" s="17"/>
      <c r="D1240" s="18"/>
      <c r="E1240" s="17"/>
      <c r="F1240" s="22"/>
      <c r="G1240"/>
    </row>
    <row r="1241" spans="1:7">
      <c r="A1241" s="17"/>
      <c r="B1241" s="18"/>
      <c r="C1241" s="17"/>
      <c r="D1241" s="18"/>
      <c r="E1241" s="17"/>
      <c r="F1241" s="22"/>
      <c r="G1241"/>
    </row>
    <row r="1242" spans="1:7">
      <c r="A1242" s="17"/>
      <c r="B1242" s="18"/>
      <c r="C1242" s="17"/>
      <c r="D1242" s="18"/>
      <c r="E1242" s="17"/>
      <c r="F1242" s="22"/>
      <c r="G1242"/>
    </row>
    <row r="1243" spans="1:7">
      <c r="A1243" s="17"/>
      <c r="B1243" s="18"/>
      <c r="C1243" s="17"/>
      <c r="D1243" s="18"/>
      <c r="E1243" s="17"/>
      <c r="F1243" s="22"/>
      <c r="G1243"/>
    </row>
    <row r="1244" spans="1:7">
      <c r="A1244" s="17"/>
      <c r="B1244" s="18"/>
      <c r="C1244" s="17"/>
      <c r="D1244" s="18"/>
      <c r="E1244" s="17"/>
      <c r="F1244" s="22"/>
      <c r="G1244"/>
    </row>
    <row r="1245" spans="1:7">
      <c r="A1245" s="17"/>
      <c r="B1245" s="18"/>
      <c r="C1245" s="17"/>
      <c r="D1245" s="18"/>
      <c r="E1245" s="17"/>
      <c r="F1245" s="22"/>
      <c r="G1245"/>
    </row>
    <row r="1246" spans="1:7">
      <c r="A1246" s="17"/>
      <c r="B1246" s="18"/>
      <c r="C1246" s="17"/>
      <c r="D1246" s="18"/>
      <c r="E1246" s="17"/>
      <c r="F1246" s="22"/>
      <c r="G1246"/>
    </row>
    <row r="1247" spans="1:7">
      <c r="A1247" s="17"/>
      <c r="B1247" s="18"/>
      <c r="C1247" s="17"/>
      <c r="D1247" s="18"/>
      <c r="E1247" s="17"/>
      <c r="F1247" s="22"/>
      <c r="G1247"/>
    </row>
    <row r="1248" spans="1:7">
      <c r="A1248" s="17"/>
      <c r="B1248" s="18"/>
      <c r="C1248" s="17"/>
      <c r="D1248" s="18"/>
      <c r="E1248" s="17"/>
      <c r="F1248" s="22"/>
      <c r="G1248"/>
    </row>
    <row r="1249" spans="1:7">
      <c r="A1249" s="17"/>
      <c r="B1249" s="18"/>
      <c r="C1249" s="17"/>
      <c r="D1249" s="18"/>
      <c r="E1249" s="17"/>
      <c r="F1249" s="22"/>
      <c r="G1249"/>
    </row>
    <row r="1250" spans="1:7">
      <c r="A1250" s="17"/>
      <c r="B1250" s="18"/>
      <c r="C1250" s="17"/>
      <c r="D1250" s="18"/>
      <c r="E1250" s="17"/>
      <c r="F1250" s="22"/>
      <c r="G1250"/>
    </row>
    <row r="1251" spans="1:7">
      <c r="A1251" s="17"/>
      <c r="B1251" s="18"/>
      <c r="C1251" s="17"/>
      <c r="D1251" s="18"/>
      <c r="E1251" s="17"/>
      <c r="F1251" s="22"/>
      <c r="G1251"/>
    </row>
    <row r="1252" spans="1:7">
      <c r="A1252" s="17"/>
      <c r="B1252" s="18"/>
      <c r="C1252" s="17"/>
      <c r="D1252" s="18"/>
      <c r="E1252" s="17"/>
      <c r="F1252" s="22"/>
      <c r="G1252"/>
    </row>
    <row r="1253" spans="1:7">
      <c r="A1253" s="17"/>
      <c r="B1253" s="18"/>
      <c r="C1253" s="17"/>
      <c r="D1253" s="18"/>
      <c r="E1253" s="17"/>
      <c r="F1253" s="22"/>
      <c r="G1253"/>
    </row>
    <row r="1254" spans="1:7">
      <c r="A1254" s="17"/>
      <c r="B1254" s="18"/>
      <c r="C1254" s="17"/>
      <c r="D1254" s="18"/>
      <c r="E1254" s="17"/>
      <c r="F1254" s="22"/>
      <c r="G1254"/>
    </row>
    <row r="1255" spans="1:7">
      <c r="A1255" s="17"/>
      <c r="B1255" s="18"/>
      <c r="C1255" s="17"/>
      <c r="D1255" s="18"/>
      <c r="E1255" s="17"/>
      <c r="F1255" s="22"/>
      <c r="G1255"/>
    </row>
    <row r="1256" spans="1:7">
      <c r="A1256" s="17"/>
      <c r="B1256" s="18"/>
      <c r="C1256" s="17"/>
      <c r="D1256" s="18"/>
      <c r="E1256" s="17"/>
      <c r="F1256" s="22"/>
      <c r="G1256"/>
    </row>
    <row r="1257" spans="1:7">
      <c r="A1257" s="17"/>
      <c r="B1257" s="18"/>
      <c r="C1257" s="17"/>
      <c r="D1257" s="18"/>
      <c r="E1257" s="17"/>
      <c r="F1257" s="22"/>
      <c r="G1257"/>
    </row>
    <row r="1258" spans="1:7">
      <c r="A1258" s="17"/>
      <c r="B1258" s="18"/>
      <c r="C1258" s="17"/>
      <c r="D1258" s="18"/>
      <c r="E1258" s="17"/>
      <c r="F1258" s="22"/>
      <c r="G1258"/>
    </row>
    <row r="1259" spans="1:7">
      <c r="A1259" s="17"/>
      <c r="B1259" s="18"/>
      <c r="C1259" s="17"/>
      <c r="D1259" s="18"/>
      <c r="E1259" s="17"/>
      <c r="F1259" s="22"/>
      <c r="G1259"/>
    </row>
    <row r="1260" spans="1:7">
      <c r="A1260" s="17"/>
      <c r="B1260" s="18"/>
      <c r="C1260" s="17"/>
      <c r="D1260" s="18"/>
      <c r="E1260" s="17"/>
      <c r="F1260" s="22"/>
      <c r="G1260"/>
    </row>
    <row r="1261" spans="1:7">
      <c r="A1261" s="17"/>
      <c r="B1261" s="18"/>
      <c r="C1261" s="17"/>
      <c r="D1261" s="18"/>
      <c r="E1261" s="17"/>
      <c r="F1261" s="22"/>
      <c r="G1261"/>
    </row>
    <row r="1262" spans="1:7">
      <c r="A1262" s="17"/>
      <c r="B1262" s="18"/>
      <c r="C1262" s="17"/>
      <c r="D1262" s="18"/>
      <c r="E1262" s="17"/>
      <c r="F1262" s="22"/>
      <c r="G1262"/>
    </row>
    <row r="1263" spans="1:7">
      <c r="A1263" s="17"/>
      <c r="B1263" s="18"/>
      <c r="C1263" s="17"/>
      <c r="D1263" s="18"/>
      <c r="E1263" s="17"/>
      <c r="F1263" s="22"/>
      <c r="G1263"/>
    </row>
    <row r="1264" spans="1:7">
      <c r="A1264" s="17"/>
      <c r="B1264" s="18"/>
      <c r="C1264" s="17"/>
      <c r="D1264" s="18"/>
      <c r="E1264" s="17"/>
      <c r="F1264" s="22"/>
      <c r="G1264"/>
    </row>
    <row r="1265" spans="1:7">
      <c r="A1265" s="17"/>
      <c r="B1265" s="18"/>
      <c r="C1265" s="17"/>
      <c r="D1265" s="18"/>
      <c r="E1265" s="17"/>
      <c r="F1265" s="22"/>
      <c r="G1265"/>
    </row>
    <row r="1266" spans="1:7">
      <c r="A1266" s="17"/>
      <c r="B1266" s="18"/>
      <c r="C1266" s="17"/>
      <c r="D1266" s="18"/>
      <c r="E1266" s="17"/>
      <c r="F1266" s="22"/>
      <c r="G1266"/>
    </row>
    <row r="1267" spans="1:7">
      <c r="A1267" s="17"/>
      <c r="B1267" s="18"/>
      <c r="C1267" s="17"/>
      <c r="D1267" s="18"/>
      <c r="E1267" s="17"/>
      <c r="F1267" s="22"/>
      <c r="G1267"/>
    </row>
    <row r="1268" spans="1:7">
      <c r="A1268" s="17"/>
      <c r="B1268" s="18"/>
      <c r="C1268" s="17"/>
      <c r="D1268" s="18"/>
      <c r="E1268" s="17"/>
      <c r="F1268" s="22"/>
      <c r="G1268"/>
    </row>
    <row r="1269" spans="1:7">
      <c r="A1269" s="17"/>
      <c r="B1269" s="18"/>
      <c r="C1269" s="17"/>
      <c r="D1269" s="18"/>
      <c r="E1269" s="17"/>
      <c r="F1269" s="22"/>
      <c r="G1269"/>
    </row>
    <row r="1270" spans="1:7">
      <c r="A1270" s="17"/>
      <c r="B1270" s="18"/>
      <c r="C1270" s="17"/>
      <c r="D1270" s="18"/>
      <c r="E1270" s="17"/>
      <c r="F1270" s="22"/>
      <c r="G1270"/>
    </row>
    <row r="1271" spans="1:7">
      <c r="A1271" s="17"/>
      <c r="B1271" s="18"/>
      <c r="C1271" s="17"/>
      <c r="D1271" s="18"/>
      <c r="E1271" s="17"/>
      <c r="F1271" s="22"/>
      <c r="G1271"/>
    </row>
    <row r="1272" spans="1:7">
      <c r="A1272" s="17"/>
      <c r="B1272" s="18"/>
      <c r="C1272" s="17"/>
      <c r="D1272" s="18"/>
      <c r="E1272" s="17"/>
      <c r="F1272" s="22"/>
      <c r="G1272"/>
    </row>
    <row r="1273" spans="1:7">
      <c r="A1273" s="17"/>
      <c r="B1273" s="18"/>
      <c r="C1273" s="17"/>
      <c r="D1273" s="18"/>
      <c r="E1273" s="17"/>
      <c r="F1273" s="22"/>
      <c r="G1273"/>
    </row>
    <row r="1274" spans="1:7">
      <c r="A1274" s="17"/>
      <c r="B1274" s="18"/>
      <c r="C1274" s="17"/>
      <c r="D1274" s="18"/>
      <c r="E1274" s="17"/>
      <c r="F1274" s="22"/>
      <c r="G1274"/>
    </row>
    <row r="1275" spans="1:7">
      <c r="A1275" s="17"/>
      <c r="B1275" s="18"/>
      <c r="C1275" s="17"/>
      <c r="D1275" s="18"/>
      <c r="E1275" s="17"/>
      <c r="F1275" s="22"/>
      <c r="G1275"/>
    </row>
    <row r="1276" spans="1:7">
      <c r="A1276" s="17"/>
      <c r="B1276" s="18"/>
      <c r="C1276" s="17"/>
      <c r="D1276" s="18"/>
      <c r="E1276" s="17"/>
      <c r="F1276" s="22"/>
      <c r="G1276"/>
    </row>
    <row r="1277" spans="1:7">
      <c r="A1277" s="17"/>
      <c r="B1277" s="18"/>
      <c r="C1277" s="17"/>
      <c r="D1277" s="18"/>
      <c r="E1277" s="17"/>
      <c r="F1277" s="22"/>
      <c r="G1277"/>
    </row>
    <row r="1278" spans="1:7">
      <c r="A1278" s="17"/>
      <c r="B1278" s="18"/>
      <c r="C1278" s="17"/>
      <c r="D1278" s="18"/>
      <c r="E1278" s="17"/>
      <c r="F1278" s="22"/>
      <c r="G1278"/>
    </row>
    <row r="1279" spans="1:7">
      <c r="A1279" s="17"/>
      <c r="B1279" s="18"/>
      <c r="C1279" s="17"/>
      <c r="D1279" s="18"/>
      <c r="E1279" s="17"/>
      <c r="F1279" s="22"/>
      <c r="G1279"/>
    </row>
    <row r="1280" spans="1:7">
      <c r="A1280" s="17"/>
      <c r="B1280" s="18"/>
      <c r="C1280" s="17"/>
      <c r="D1280" s="18"/>
      <c r="E1280" s="17"/>
      <c r="F1280" s="22"/>
      <c r="G1280"/>
    </row>
    <row r="1281" spans="1:7">
      <c r="A1281" s="17"/>
      <c r="B1281" s="18"/>
      <c r="C1281" s="17"/>
      <c r="D1281" s="18"/>
      <c r="E1281" s="17"/>
      <c r="F1281" s="22"/>
      <c r="G1281"/>
    </row>
    <row r="1282" spans="1:7">
      <c r="A1282" s="17"/>
      <c r="B1282" s="18"/>
      <c r="C1282" s="17"/>
      <c r="D1282" s="18"/>
      <c r="E1282" s="17"/>
      <c r="F1282" s="22"/>
      <c r="G1282"/>
    </row>
    <row r="1283" spans="1:7">
      <c r="A1283" s="17"/>
      <c r="B1283" s="18"/>
      <c r="C1283" s="17"/>
      <c r="D1283" s="18"/>
      <c r="E1283" s="17"/>
      <c r="F1283" s="22"/>
      <c r="G1283"/>
    </row>
    <row r="1284" spans="1:7">
      <c r="A1284" s="17"/>
      <c r="B1284" s="18"/>
      <c r="C1284" s="17"/>
      <c r="D1284" s="18"/>
      <c r="E1284" s="17"/>
      <c r="F1284" s="22"/>
      <c r="G1284"/>
    </row>
    <row r="1285" spans="1:7">
      <c r="A1285" s="17"/>
      <c r="B1285" s="18"/>
      <c r="C1285" s="17"/>
      <c r="D1285" s="18"/>
      <c r="E1285" s="17"/>
      <c r="F1285" s="22"/>
      <c r="G1285"/>
    </row>
    <row r="1286" spans="1:7">
      <c r="A1286" s="17"/>
      <c r="B1286" s="18"/>
      <c r="C1286" s="17"/>
      <c r="D1286" s="18"/>
      <c r="E1286" s="17"/>
      <c r="F1286" s="22"/>
      <c r="G1286"/>
    </row>
    <row r="1287" spans="1:7">
      <c r="A1287" s="17"/>
      <c r="B1287" s="18"/>
      <c r="C1287" s="17"/>
      <c r="D1287" s="18"/>
      <c r="E1287" s="17"/>
      <c r="F1287" s="22"/>
      <c r="G1287"/>
    </row>
    <row r="1288" spans="1:7">
      <c r="A1288" s="17"/>
      <c r="B1288" s="18"/>
      <c r="C1288" s="17"/>
      <c r="D1288" s="18"/>
      <c r="E1288" s="17"/>
      <c r="F1288" s="22"/>
      <c r="G1288"/>
    </row>
    <row r="1289" spans="1:7">
      <c r="A1289" s="17"/>
      <c r="B1289" s="18"/>
      <c r="C1289" s="17"/>
      <c r="D1289" s="18"/>
      <c r="E1289" s="17"/>
      <c r="F1289" s="22"/>
      <c r="G1289"/>
    </row>
    <row r="1290" spans="1:7">
      <c r="A1290" s="17"/>
      <c r="B1290" s="18"/>
      <c r="C1290" s="17"/>
      <c r="D1290" s="18"/>
      <c r="E1290" s="17"/>
      <c r="F1290" s="22"/>
      <c r="G1290"/>
    </row>
    <row r="1291" spans="1:7">
      <c r="A1291" s="17"/>
      <c r="B1291" s="18"/>
      <c r="C1291" s="17"/>
      <c r="D1291" s="18"/>
      <c r="E1291" s="17"/>
      <c r="F1291" s="22"/>
      <c r="G1291"/>
    </row>
    <row r="1292" spans="1:7">
      <c r="A1292" s="17"/>
      <c r="B1292" s="18"/>
      <c r="C1292" s="17"/>
      <c r="D1292" s="18"/>
      <c r="E1292" s="17"/>
      <c r="F1292" s="22"/>
      <c r="G1292"/>
    </row>
    <row r="1293" spans="1:7">
      <c r="A1293" s="17"/>
      <c r="B1293" s="18"/>
      <c r="C1293" s="17"/>
      <c r="D1293" s="18"/>
      <c r="E1293" s="17"/>
      <c r="F1293" s="22"/>
      <c r="G1293"/>
    </row>
    <row r="1294" spans="1:7">
      <c r="A1294" s="17"/>
      <c r="B1294" s="18"/>
      <c r="C1294" s="17"/>
      <c r="D1294" s="18"/>
      <c r="E1294" s="17"/>
      <c r="F1294" s="22"/>
      <c r="G1294"/>
    </row>
    <row r="1295" spans="1:7">
      <c r="A1295" s="17"/>
      <c r="B1295" s="18"/>
      <c r="C1295" s="17"/>
      <c r="D1295" s="18"/>
      <c r="E1295" s="17"/>
      <c r="F1295" s="22"/>
      <c r="G1295"/>
    </row>
    <row r="1296" spans="1:7">
      <c r="A1296" s="17"/>
      <c r="B1296" s="18"/>
      <c r="C1296" s="17"/>
      <c r="D1296" s="18"/>
      <c r="E1296" s="17"/>
      <c r="F1296" s="22"/>
      <c r="G1296"/>
    </row>
    <row r="1297" spans="1:7">
      <c r="A1297" s="17"/>
      <c r="B1297" s="18"/>
      <c r="C1297" s="17"/>
      <c r="D1297" s="18"/>
      <c r="E1297" s="17"/>
      <c r="F1297" s="22"/>
      <c r="G1297"/>
    </row>
    <row r="1298" spans="1:7">
      <c r="A1298" s="17"/>
      <c r="B1298" s="18"/>
      <c r="C1298" s="17"/>
      <c r="D1298" s="18"/>
      <c r="E1298" s="17"/>
      <c r="F1298" s="22"/>
      <c r="G1298"/>
    </row>
    <row r="1299" spans="1:7">
      <c r="A1299" s="17"/>
      <c r="B1299" s="18"/>
      <c r="C1299" s="17"/>
      <c r="D1299" s="18"/>
      <c r="E1299" s="17"/>
      <c r="F1299" s="22"/>
      <c r="G1299"/>
    </row>
    <row r="1300" spans="1:7">
      <c r="A1300" s="17"/>
      <c r="B1300" s="18"/>
      <c r="C1300" s="17"/>
      <c r="D1300" s="18"/>
      <c r="E1300" s="17"/>
      <c r="F1300" s="22"/>
      <c r="G1300"/>
    </row>
    <row r="1301" spans="1:7">
      <c r="A1301" s="17"/>
      <c r="B1301" s="18"/>
      <c r="C1301" s="17"/>
      <c r="D1301" s="18"/>
      <c r="E1301" s="17"/>
      <c r="F1301" s="22"/>
      <c r="G1301"/>
    </row>
    <row r="1302" spans="1:7">
      <c r="A1302" s="17"/>
      <c r="B1302" s="18"/>
      <c r="C1302" s="17"/>
      <c r="D1302" s="18"/>
      <c r="E1302" s="17"/>
      <c r="F1302" s="22"/>
      <c r="G1302"/>
    </row>
    <row r="1303" spans="1:7">
      <c r="A1303" s="17"/>
      <c r="B1303" s="18"/>
      <c r="C1303" s="17"/>
      <c r="D1303" s="18"/>
      <c r="E1303" s="17"/>
      <c r="F1303" s="22"/>
      <c r="G1303"/>
    </row>
    <row r="1304" spans="1:7">
      <c r="A1304" s="17"/>
      <c r="B1304" s="18"/>
      <c r="C1304" s="17"/>
      <c r="D1304" s="18"/>
      <c r="E1304" s="17"/>
      <c r="F1304" s="22"/>
      <c r="G1304"/>
    </row>
    <row r="1305" spans="1:7">
      <c r="A1305" s="17"/>
      <c r="B1305" s="18"/>
      <c r="C1305" s="17"/>
      <c r="D1305" s="18"/>
      <c r="E1305" s="17"/>
      <c r="F1305" s="22"/>
      <c r="G1305"/>
    </row>
    <row r="1306" spans="1:7">
      <c r="A1306" s="17"/>
      <c r="B1306" s="18"/>
      <c r="C1306" s="17"/>
      <c r="D1306" s="18"/>
      <c r="E1306" s="17"/>
      <c r="F1306" s="22"/>
      <c r="G1306"/>
    </row>
    <row r="1307" spans="1:7">
      <c r="A1307" s="17"/>
      <c r="B1307" s="18"/>
      <c r="C1307" s="17"/>
      <c r="D1307" s="18"/>
      <c r="E1307" s="17"/>
      <c r="F1307" s="22"/>
      <c r="G1307"/>
    </row>
    <row r="1308" spans="1:7">
      <c r="A1308" s="17"/>
      <c r="B1308" s="18"/>
      <c r="C1308" s="17"/>
      <c r="D1308" s="18"/>
      <c r="E1308" s="17"/>
      <c r="F1308" s="22"/>
      <c r="G1308"/>
    </row>
    <row r="1309" spans="1:7">
      <c r="A1309" s="17"/>
      <c r="B1309" s="18"/>
      <c r="C1309" s="17"/>
      <c r="D1309" s="18"/>
      <c r="E1309" s="17"/>
      <c r="F1309" s="22"/>
      <c r="G1309"/>
    </row>
    <row r="1310" spans="1:7">
      <c r="A1310" s="17"/>
      <c r="B1310" s="18"/>
      <c r="C1310" s="17"/>
      <c r="D1310" s="18"/>
      <c r="E1310" s="17"/>
      <c r="F1310" s="22"/>
      <c r="G1310"/>
    </row>
    <row r="1311" spans="1:7">
      <c r="A1311" s="17"/>
      <c r="B1311" s="18"/>
      <c r="C1311" s="17"/>
      <c r="D1311" s="18"/>
      <c r="E1311" s="17"/>
      <c r="F1311" s="22"/>
      <c r="G1311"/>
    </row>
    <row r="1312" spans="1:7">
      <c r="A1312" s="17"/>
      <c r="B1312" s="18"/>
      <c r="C1312" s="17"/>
      <c r="D1312" s="18"/>
      <c r="E1312" s="17"/>
      <c r="F1312" s="22"/>
      <c r="G1312"/>
    </row>
    <row r="1313" spans="1:7">
      <c r="A1313" s="17"/>
      <c r="B1313" s="18"/>
      <c r="C1313" s="17"/>
      <c r="D1313" s="18"/>
      <c r="E1313" s="17"/>
      <c r="F1313" s="22"/>
      <c r="G1313"/>
    </row>
    <row r="1314" spans="1:7">
      <c r="A1314" s="17"/>
      <c r="B1314" s="18"/>
      <c r="C1314" s="17"/>
      <c r="D1314" s="18"/>
      <c r="E1314" s="17"/>
      <c r="F1314" s="22"/>
      <c r="G1314"/>
    </row>
    <row r="1315" spans="1:7">
      <c r="A1315" s="17"/>
      <c r="B1315" s="18"/>
      <c r="C1315" s="17"/>
      <c r="D1315" s="18"/>
      <c r="E1315" s="17"/>
      <c r="F1315" s="22"/>
      <c r="G1315"/>
    </row>
    <row r="1316" spans="1:7">
      <c r="A1316" s="17"/>
      <c r="B1316" s="18"/>
      <c r="C1316" s="17"/>
      <c r="D1316" s="18"/>
      <c r="E1316" s="17"/>
      <c r="F1316" s="22"/>
      <c r="G1316"/>
    </row>
    <row r="1317" spans="1:7">
      <c r="A1317" s="17"/>
      <c r="B1317" s="18"/>
      <c r="C1317" s="17"/>
      <c r="D1317" s="18"/>
      <c r="E1317" s="17"/>
      <c r="F1317" s="22"/>
      <c r="G1317"/>
    </row>
    <row r="1318" spans="1:7">
      <c r="A1318" s="17"/>
      <c r="B1318" s="18"/>
      <c r="C1318" s="17"/>
      <c r="D1318" s="18"/>
      <c r="E1318" s="17"/>
      <c r="F1318" s="22"/>
      <c r="G1318"/>
    </row>
    <row r="1319" spans="1:7">
      <c r="A1319" s="17"/>
      <c r="B1319" s="18"/>
      <c r="C1319" s="17"/>
      <c r="D1319" s="18"/>
      <c r="E1319" s="17"/>
      <c r="F1319" s="22"/>
      <c r="G1319"/>
    </row>
    <row r="1320" spans="1:7">
      <c r="A1320" s="17"/>
      <c r="B1320" s="18"/>
      <c r="C1320" s="17"/>
      <c r="D1320" s="18"/>
      <c r="E1320" s="17"/>
      <c r="F1320" s="22"/>
      <c r="G1320"/>
    </row>
    <row r="1321" spans="1:7">
      <c r="A1321" s="17"/>
      <c r="B1321" s="18"/>
      <c r="C1321" s="17"/>
      <c r="D1321" s="18"/>
      <c r="E1321" s="17"/>
      <c r="F1321" s="22"/>
      <c r="G1321"/>
    </row>
    <row r="1322" spans="1:7">
      <c r="A1322" s="17"/>
      <c r="B1322" s="18"/>
      <c r="C1322" s="17"/>
      <c r="D1322" s="18"/>
      <c r="E1322" s="17"/>
      <c r="F1322" s="22"/>
      <c r="G1322"/>
    </row>
    <row r="1323" spans="1:7">
      <c r="A1323" s="17"/>
      <c r="B1323" s="18"/>
      <c r="C1323" s="17"/>
      <c r="D1323" s="18"/>
      <c r="E1323" s="17"/>
      <c r="F1323" s="22"/>
      <c r="G1323"/>
    </row>
    <row r="1324" spans="1:7">
      <c r="A1324" s="17"/>
      <c r="B1324" s="18"/>
      <c r="C1324" s="17"/>
      <c r="D1324" s="18"/>
      <c r="E1324" s="17"/>
      <c r="F1324" s="22"/>
      <c r="G1324"/>
    </row>
    <row r="1325" spans="1:7">
      <c r="A1325" s="17"/>
      <c r="B1325" s="18"/>
      <c r="C1325" s="17"/>
      <c r="D1325" s="18"/>
      <c r="E1325" s="17"/>
      <c r="F1325" s="22"/>
      <c r="G1325"/>
    </row>
    <row r="1326" spans="1:7">
      <c r="A1326" s="17"/>
      <c r="B1326" s="18"/>
      <c r="C1326" s="17"/>
      <c r="D1326" s="18"/>
      <c r="E1326" s="17"/>
      <c r="F1326" s="22"/>
      <c r="G1326"/>
    </row>
    <row r="1327" spans="1:7">
      <c r="A1327" s="17"/>
      <c r="B1327" s="18"/>
      <c r="C1327" s="17"/>
      <c r="D1327" s="18"/>
      <c r="E1327" s="17"/>
      <c r="F1327" s="22"/>
      <c r="G1327"/>
    </row>
    <row r="1328" spans="1:7">
      <c r="A1328" s="17"/>
      <c r="B1328" s="18"/>
      <c r="C1328" s="17"/>
      <c r="D1328" s="18"/>
      <c r="E1328" s="17"/>
      <c r="F1328" s="22"/>
      <c r="G1328"/>
    </row>
    <row r="1329" spans="1:7">
      <c r="A1329" s="17"/>
      <c r="B1329" s="18"/>
      <c r="C1329" s="17"/>
      <c r="D1329" s="18"/>
      <c r="E1329" s="17"/>
      <c r="F1329" s="22"/>
      <c r="G1329"/>
    </row>
    <row r="1330" spans="1:7">
      <c r="A1330" s="17"/>
      <c r="B1330" s="18"/>
      <c r="C1330" s="17"/>
      <c r="D1330" s="18"/>
      <c r="E1330" s="17"/>
      <c r="F1330" s="22"/>
      <c r="G1330"/>
    </row>
    <row r="1331" spans="1:7">
      <c r="A1331" s="17"/>
      <c r="B1331" s="18"/>
      <c r="C1331" s="17"/>
      <c r="D1331" s="18"/>
      <c r="E1331" s="17"/>
      <c r="F1331" s="22"/>
      <c r="G1331"/>
    </row>
    <row r="1332" spans="1:7">
      <c r="A1332" s="17"/>
      <c r="B1332" s="18"/>
      <c r="C1332" s="17"/>
      <c r="D1332" s="18"/>
      <c r="E1332" s="17"/>
      <c r="F1332" s="22"/>
      <c r="G1332"/>
    </row>
    <row r="1333" spans="1:7">
      <c r="A1333" s="17"/>
      <c r="B1333" s="18"/>
      <c r="C1333" s="17"/>
      <c r="D1333" s="18"/>
      <c r="E1333" s="17"/>
      <c r="F1333" s="22"/>
      <c r="G1333"/>
    </row>
    <row r="1334" spans="1:7">
      <c r="A1334" s="17"/>
      <c r="B1334" s="18"/>
      <c r="C1334" s="17"/>
      <c r="D1334" s="18"/>
      <c r="E1334" s="17"/>
      <c r="F1334" s="22"/>
      <c r="G1334"/>
    </row>
    <row r="1335" spans="1:7">
      <c r="A1335" s="17"/>
      <c r="B1335" s="18"/>
      <c r="C1335" s="17"/>
      <c r="D1335" s="18"/>
      <c r="E1335" s="17"/>
      <c r="F1335" s="22"/>
      <c r="G1335"/>
    </row>
    <row r="1336" spans="1:7">
      <c r="A1336" s="17"/>
      <c r="B1336" s="18"/>
      <c r="C1336" s="17"/>
      <c r="D1336" s="18"/>
      <c r="E1336" s="17"/>
      <c r="F1336" s="22"/>
      <c r="G1336"/>
    </row>
    <row r="1337" spans="1:7">
      <c r="A1337" s="17"/>
      <c r="B1337" s="18"/>
      <c r="C1337" s="17"/>
      <c r="D1337" s="18"/>
      <c r="E1337" s="17"/>
      <c r="F1337" s="22"/>
      <c r="G1337"/>
    </row>
    <row r="1338" spans="1:7">
      <c r="A1338" s="17"/>
      <c r="B1338" s="18"/>
      <c r="C1338" s="17"/>
      <c r="D1338" s="18"/>
      <c r="E1338" s="17"/>
      <c r="F1338" s="22"/>
      <c r="G1338"/>
    </row>
    <row r="1339" spans="1:7">
      <c r="A1339" s="17"/>
      <c r="B1339" s="18"/>
      <c r="C1339" s="17"/>
      <c r="D1339" s="18"/>
      <c r="E1339" s="17"/>
      <c r="F1339" s="22"/>
      <c r="G1339"/>
    </row>
    <row r="1340" spans="1:7">
      <c r="A1340" s="17"/>
      <c r="B1340" s="18"/>
      <c r="C1340" s="17"/>
      <c r="D1340" s="18"/>
      <c r="E1340" s="17"/>
      <c r="F1340" s="22"/>
      <c r="G1340"/>
    </row>
    <row r="1341" spans="1:7">
      <c r="A1341" s="17"/>
      <c r="B1341" s="18"/>
      <c r="C1341" s="17"/>
      <c r="D1341" s="18"/>
      <c r="E1341" s="17"/>
      <c r="F1341" s="22"/>
      <c r="G1341"/>
    </row>
    <row r="1342" spans="1:7">
      <c r="A1342" s="17"/>
      <c r="B1342" s="18"/>
      <c r="C1342" s="17"/>
      <c r="D1342" s="18"/>
      <c r="E1342" s="17"/>
      <c r="F1342" s="22"/>
      <c r="G1342"/>
    </row>
    <row r="1343" spans="1:7">
      <c r="A1343" s="17"/>
      <c r="B1343" s="18"/>
      <c r="C1343" s="17"/>
      <c r="D1343" s="18"/>
      <c r="E1343" s="17"/>
      <c r="F1343" s="22"/>
      <c r="G1343"/>
    </row>
    <row r="1344" spans="1:7">
      <c r="A1344" s="17"/>
      <c r="B1344" s="18"/>
      <c r="C1344" s="17"/>
      <c r="D1344" s="18"/>
      <c r="E1344" s="17"/>
      <c r="F1344" s="22"/>
      <c r="G1344"/>
    </row>
    <row r="1345" spans="1:7">
      <c r="A1345" s="17"/>
      <c r="B1345" s="18"/>
      <c r="C1345" s="17"/>
      <c r="D1345" s="18"/>
      <c r="E1345" s="17"/>
      <c r="F1345" s="22"/>
      <c r="G1345"/>
    </row>
    <row r="1346" spans="1:7">
      <c r="A1346" s="17"/>
      <c r="B1346" s="18"/>
      <c r="C1346" s="17"/>
      <c r="D1346" s="18"/>
      <c r="E1346" s="17"/>
      <c r="F1346" s="22"/>
      <c r="G1346"/>
    </row>
    <row r="1347" spans="1:7">
      <c r="A1347" s="17"/>
      <c r="B1347" s="18"/>
      <c r="C1347" s="17"/>
      <c r="D1347" s="18"/>
      <c r="E1347" s="17"/>
      <c r="F1347" s="22"/>
      <c r="G1347"/>
    </row>
    <row r="1348" spans="1:7">
      <c r="A1348" s="17"/>
      <c r="B1348" s="18"/>
      <c r="C1348" s="17"/>
      <c r="D1348" s="18"/>
      <c r="E1348" s="17"/>
      <c r="F1348" s="22"/>
      <c r="G1348"/>
    </row>
    <row r="1349" spans="1:7">
      <c r="A1349" s="17"/>
      <c r="B1349" s="18"/>
      <c r="C1349" s="17"/>
      <c r="D1349" s="18"/>
      <c r="E1349" s="17"/>
      <c r="F1349" s="22"/>
      <c r="G1349"/>
    </row>
    <row r="1350" spans="1:7">
      <c r="A1350" s="17"/>
      <c r="B1350" s="18"/>
      <c r="C1350" s="17"/>
      <c r="D1350" s="18"/>
      <c r="E1350" s="17"/>
      <c r="F1350" s="22"/>
      <c r="G1350"/>
    </row>
    <row r="1351" spans="1:7">
      <c r="A1351" s="17"/>
      <c r="B1351" s="18"/>
      <c r="C1351" s="17"/>
      <c r="D1351" s="18"/>
      <c r="E1351" s="17"/>
      <c r="F1351" s="22"/>
      <c r="G1351"/>
    </row>
    <row r="1352" spans="1:7">
      <c r="A1352" s="17"/>
      <c r="B1352" s="18"/>
      <c r="C1352" s="17"/>
      <c r="D1352" s="18"/>
      <c r="E1352" s="17"/>
      <c r="F1352" s="22"/>
      <c r="G1352"/>
    </row>
    <row r="1353" spans="1:7">
      <c r="A1353" s="17"/>
      <c r="B1353" s="18"/>
      <c r="C1353" s="17"/>
      <c r="D1353" s="18"/>
      <c r="E1353" s="17"/>
      <c r="F1353" s="22"/>
      <c r="G1353"/>
    </row>
    <row r="1354" spans="1:7">
      <c r="A1354" s="17"/>
      <c r="B1354" s="18"/>
      <c r="C1354" s="17"/>
      <c r="D1354" s="18"/>
      <c r="E1354" s="17"/>
      <c r="F1354" s="22"/>
      <c r="G1354"/>
    </row>
    <row r="1355" spans="1:7">
      <c r="A1355" s="17"/>
      <c r="B1355" s="18"/>
      <c r="C1355" s="17"/>
      <c r="D1355" s="18"/>
      <c r="E1355" s="17"/>
      <c r="F1355" s="22"/>
      <c r="G1355"/>
    </row>
    <row r="1356" spans="1:7">
      <c r="A1356" s="17"/>
      <c r="B1356" s="18"/>
      <c r="C1356" s="17"/>
      <c r="D1356" s="18"/>
      <c r="E1356" s="17"/>
      <c r="F1356" s="22"/>
      <c r="G1356"/>
    </row>
    <row r="1357" spans="1:7">
      <c r="A1357" s="17"/>
      <c r="B1357" s="18"/>
      <c r="C1357" s="17"/>
      <c r="D1357" s="18"/>
      <c r="E1357" s="17"/>
      <c r="F1357" s="22"/>
      <c r="G1357"/>
    </row>
    <row r="1358" spans="1:7">
      <c r="A1358" s="17"/>
      <c r="B1358" s="18"/>
      <c r="C1358" s="17"/>
      <c r="D1358" s="18"/>
      <c r="E1358" s="17"/>
      <c r="F1358" s="22"/>
      <c r="G1358"/>
    </row>
    <row r="1359" spans="1:7">
      <c r="A1359" s="17"/>
      <c r="B1359" s="18"/>
      <c r="C1359" s="17"/>
      <c r="D1359" s="18"/>
      <c r="E1359" s="17"/>
      <c r="F1359" s="22"/>
      <c r="G1359"/>
    </row>
    <row r="1360" spans="1:7">
      <c r="A1360" s="17"/>
      <c r="B1360" s="18"/>
      <c r="C1360" s="17"/>
      <c r="D1360" s="18"/>
      <c r="E1360" s="17"/>
      <c r="F1360" s="22"/>
      <c r="G1360"/>
    </row>
    <row r="1361" spans="1:7">
      <c r="A1361" s="17"/>
      <c r="B1361" s="18"/>
      <c r="C1361" s="17"/>
      <c r="D1361" s="18"/>
      <c r="E1361" s="17"/>
      <c r="F1361" s="22"/>
      <c r="G1361"/>
    </row>
    <row r="1362" spans="1:7">
      <c r="A1362" s="17"/>
      <c r="B1362" s="18"/>
      <c r="C1362" s="17"/>
      <c r="D1362" s="18"/>
      <c r="E1362" s="17"/>
      <c r="F1362" s="22"/>
      <c r="G1362"/>
    </row>
    <row r="1363" spans="1:7">
      <c r="A1363" s="17"/>
      <c r="B1363" s="18"/>
      <c r="C1363" s="17"/>
      <c r="D1363" s="18"/>
      <c r="E1363" s="17"/>
      <c r="F1363" s="22"/>
      <c r="G1363"/>
    </row>
    <row r="1364" spans="1:7">
      <c r="A1364" s="17"/>
      <c r="B1364" s="18"/>
      <c r="C1364" s="17"/>
      <c r="D1364" s="18"/>
      <c r="E1364" s="17"/>
      <c r="F1364" s="22"/>
      <c r="G1364"/>
    </row>
    <row r="1365" spans="1:7">
      <c r="A1365" s="17"/>
      <c r="B1365" s="18"/>
      <c r="C1365" s="17"/>
      <c r="D1365" s="18"/>
      <c r="E1365" s="17"/>
      <c r="F1365" s="22"/>
      <c r="G1365"/>
    </row>
    <row r="1366" spans="1:7">
      <c r="A1366" s="17"/>
      <c r="B1366" s="18"/>
      <c r="C1366" s="17"/>
      <c r="D1366" s="18"/>
      <c r="E1366" s="17"/>
      <c r="F1366" s="22"/>
      <c r="G1366"/>
    </row>
    <row r="1367" spans="1:7">
      <c r="A1367" s="17"/>
      <c r="B1367" s="18"/>
      <c r="C1367" s="17"/>
      <c r="D1367" s="18"/>
      <c r="E1367" s="17"/>
      <c r="F1367" s="22"/>
      <c r="G1367"/>
    </row>
    <row r="1368" spans="1:7">
      <c r="A1368" s="17"/>
      <c r="B1368" s="18"/>
      <c r="C1368" s="17"/>
      <c r="D1368" s="18"/>
      <c r="E1368" s="17"/>
      <c r="F1368" s="22"/>
      <c r="G1368"/>
    </row>
    <row r="1369" spans="1:7">
      <c r="A1369" s="17"/>
      <c r="B1369" s="18"/>
      <c r="C1369" s="17"/>
      <c r="D1369" s="18"/>
      <c r="E1369" s="17"/>
      <c r="F1369" s="22"/>
      <c r="G1369"/>
    </row>
    <row r="1370" spans="1:7">
      <c r="A1370" s="17"/>
      <c r="B1370" s="18"/>
      <c r="C1370" s="17"/>
      <c r="D1370" s="18"/>
      <c r="E1370" s="17"/>
      <c r="F1370" s="22"/>
      <c r="G1370"/>
    </row>
    <row r="1371" spans="1:7">
      <c r="A1371" s="17"/>
      <c r="B1371" s="18"/>
      <c r="C1371" s="17"/>
      <c r="D1371" s="18"/>
      <c r="E1371" s="17"/>
      <c r="F1371" s="22"/>
      <c r="G1371"/>
    </row>
    <row r="1372" spans="1:7">
      <c r="A1372" s="17"/>
      <c r="B1372" s="18"/>
      <c r="C1372" s="17"/>
      <c r="D1372" s="18"/>
      <c r="E1372" s="17"/>
      <c r="F1372" s="22"/>
      <c r="G1372"/>
    </row>
    <row r="1373" spans="1:7">
      <c r="A1373" s="17"/>
      <c r="B1373" s="18"/>
      <c r="C1373" s="17"/>
      <c r="D1373" s="18"/>
      <c r="E1373" s="17"/>
      <c r="F1373" s="22"/>
      <c r="G1373"/>
    </row>
    <row r="1374" spans="1:7">
      <c r="A1374" s="17"/>
      <c r="B1374" s="18"/>
      <c r="C1374" s="17"/>
      <c r="D1374" s="18"/>
      <c r="E1374" s="17"/>
      <c r="F1374" s="22"/>
      <c r="G1374"/>
    </row>
    <row r="1375" spans="1:7">
      <c r="A1375" s="17"/>
      <c r="B1375" s="18"/>
      <c r="C1375" s="17"/>
      <c r="D1375" s="18"/>
      <c r="E1375" s="17"/>
      <c r="F1375" s="22"/>
      <c r="G1375"/>
    </row>
    <row r="1376" spans="1:7">
      <c r="A1376" s="17"/>
      <c r="B1376" s="18"/>
      <c r="C1376" s="17"/>
      <c r="D1376" s="18"/>
      <c r="E1376" s="17"/>
      <c r="F1376" s="22"/>
      <c r="G1376"/>
    </row>
    <row r="1377" spans="1:7">
      <c r="A1377" s="17"/>
      <c r="B1377" s="18"/>
      <c r="C1377" s="17"/>
      <c r="D1377" s="18"/>
      <c r="E1377" s="17"/>
      <c r="F1377" s="22"/>
      <c r="G1377"/>
    </row>
    <row r="1378" spans="1:7">
      <c r="A1378" s="17"/>
      <c r="B1378" s="18"/>
      <c r="C1378" s="17"/>
      <c r="D1378" s="18"/>
      <c r="E1378" s="17"/>
      <c r="F1378" s="22"/>
      <c r="G1378"/>
    </row>
    <row r="1379" spans="1:7">
      <c r="A1379" s="17"/>
      <c r="B1379" s="18"/>
      <c r="C1379" s="17"/>
      <c r="D1379" s="18"/>
      <c r="E1379" s="17"/>
      <c r="F1379" s="22"/>
      <c r="G1379"/>
    </row>
    <row r="1380" spans="1:7">
      <c r="A1380" s="17"/>
      <c r="B1380" s="18"/>
      <c r="C1380" s="17"/>
      <c r="D1380" s="18"/>
      <c r="E1380" s="17"/>
      <c r="F1380" s="22"/>
      <c r="G1380"/>
    </row>
    <row r="1381" spans="1:7">
      <c r="A1381" s="17"/>
      <c r="B1381" s="18"/>
      <c r="C1381" s="17"/>
      <c r="D1381" s="18"/>
      <c r="E1381" s="17"/>
      <c r="F1381" s="22"/>
      <c r="G1381"/>
    </row>
    <row r="1382" spans="1:7">
      <c r="A1382" s="17"/>
      <c r="B1382" s="18"/>
      <c r="C1382" s="17"/>
      <c r="D1382" s="18"/>
      <c r="E1382" s="17"/>
      <c r="F1382" s="22"/>
      <c r="G1382"/>
    </row>
    <row r="1383" spans="1:7">
      <c r="A1383" s="17"/>
      <c r="B1383" s="18"/>
      <c r="C1383" s="17"/>
      <c r="D1383" s="18"/>
      <c r="E1383" s="17"/>
      <c r="F1383" s="22"/>
      <c r="G1383"/>
    </row>
    <row r="1384" spans="1:7">
      <c r="A1384" s="17"/>
      <c r="B1384" s="18"/>
      <c r="C1384" s="17"/>
      <c r="D1384" s="18"/>
      <c r="E1384" s="17"/>
      <c r="F1384" s="22"/>
      <c r="G1384"/>
    </row>
    <row r="1385" spans="1:7">
      <c r="A1385" s="17"/>
      <c r="B1385" s="18"/>
      <c r="C1385" s="17"/>
      <c r="D1385" s="18"/>
      <c r="E1385" s="17"/>
      <c r="F1385" s="22"/>
      <c r="G1385"/>
    </row>
    <row r="1386" spans="1:7">
      <c r="A1386" s="17"/>
      <c r="B1386" s="18"/>
      <c r="C1386" s="17"/>
      <c r="D1386" s="18"/>
      <c r="E1386" s="17"/>
      <c r="F1386" s="22"/>
      <c r="G1386"/>
    </row>
    <row r="1387" spans="1:7">
      <c r="A1387" s="17"/>
      <c r="B1387" s="18"/>
      <c r="C1387" s="17"/>
      <c r="D1387" s="18"/>
      <c r="E1387" s="17"/>
      <c r="F1387" s="22"/>
      <c r="G1387"/>
    </row>
    <row r="1388" spans="1:7">
      <c r="A1388" s="17"/>
      <c r="B1388" s="18"/>
      <c r="C1388" s="17"/>
      <c r="D1388" s="18"/>
      <c r="E1388" s="17"/>
      <c r="F1388" s="22"/>
      <c r="G1388"/>
    </row>
    <row r="1389" spans="1:7">
      <c r="A1389" s="17"/>
      <c r="B1389" s="18"/>
      <c r="C1389" s="17"/>
      <c r="D1389" s="18"/>
      <c r="E1389" s="17"/>
      <c r="F1389" s="22"/>
      <c r="G1389"/>
    </row>
    <row r="1390" spans="1:7">
      <c r="A1390" s="17"/>
      <c r="B1390" s="18"/>
      <c r="C1390" s="17"/>
      <c r="D1390" s="18"/>
      <c r="E1390" s="17"/>
      <c r="F1390" s="22"/>
      <c r="G1390"/>
    </row>
    <row r="1391" spans="1:7">
      <c r="A1391" s="17"/>
      <c r="B1391" s="18"/>
      <c r="C1391" s="17"/>
      <c r="D1391" s="18"/>
      <c r="E1391" s="17"/>
      <c r="F1391" s="22"/>
      <c r="G1391"/>
    </row>
    <row r="1392" spans="1:7">
      <c r="A1392" s="17"/>
      <c r="B1392" s="18"/>
      <c r="C1392" s="17"/>
      <c r="D1392" s="18"/>
      <c r="E1392" s="17"/>
      <c r="F1392" s="22"/>
      <c r="G1392"/>
    </row>
    <row r="1393" spans="1:7">
      <c r="A1393" s="17"/>
      <c r="B1393" s="18"/>
      <c r="C1393" s="17"/>
      <c r="D1393" s="18"/>
      <c r="E1393" s="17"/>
      <c r="F1393" s="22"/>
      <c r="G1393"/>
    </row>
    <row r="1394" spans="1:7">
      <c r="A1394" s="17"/>
      <c r="B1394" s="18"/>
      <c r="C1394" s="17"/>
      <c r="D1394" s="18"/>
      <c r="E1394" s="17"/>
      <c r="F1394" s="22"/>
      <c r="G1394"/>
    </row>
    <row r="1395" spans="1:7">
      <c r="A1395" s="17"/>
      <c r="B1395" s="18"/>
      <c r="C1395" s="17"/>
      <c r="D1395" s="18"/>
      <c r="E1395" s="17"/>
      <c r="F1395" s="22"/>
      <c r="G1395"/>
    </row>
    <row r="1396" spans="1:7">
      <c r="A1396" s="17"/>
      <c r="B1396" s="18"/>
      <c r="C1396" s="17"/>
      <c r="D1396" s="18"/>
      <c r="E1396" s="17"/>
      <c r="F1396" s="22"/>
      <c r="G1396"/>
    </row>
    <row r="1397" spans="1:7">
      <c r="A1397" s="17"/>
      <c r="B1397" s="18"/>
      <c r="C1397" s="17"/>
      <c r="D1397" s="18"/>
      <c r="E1397" s="17"/>
      <c r="F1397" s="22"/>
      <c r="G1397"/>
    </row>
    <row r="1398" spans="1:7">
      <c r="A1398" s="17"/>
      <c r="B1398" s="18"/>
      <c r="C1398" s="17"/>
      <c r="D1398" s="18"/>
      <c r="E1398" s="17"/>
      <c r="F1398" s="22"/>
      <c r="G1398"/>
    </row>
    <row r="1399" spans="1:7">
      <c r="A1399" s="17"/>
      <c r="B1399" s="18"/>
      <c r="C1399" s="17"/>
      <c r="D1399" s="18"/>
      <c r="E1399" s="17"/>
      <c r="F1399" s="22"/>
      <c r="G1399"/>
    </row>
    <row r="1400" spans="1:7">
      <c r="A1400" s="17"/>
      <c r="B1400" s="18"/>
      <c r="C1400" s="17"/>
      <c r="D1400" s="18"/>
      <c r="E1400" s="17"/>
      <c r="F1400" s="22"/>
      <c r="G1400"/>
    </row>
    <row r="1401" spans="1:7">
      <c r="A1401" s="17"/>
      <c r="B1401" s="18"/>
      <c r="C1401" s="17"/>
      <c r="D1401" s="18"/>
      <c r="E1401" s="17"/>
      <c r="F1401" s="22"/>
      <c r="G1401"/>
    </row>
    <row r="1402" spans="1:7">
      <c r="A1402" s="17"/>
      <c r="B1402" s="18"/>
      <c r="C1402" s="17"/>
      <c r="D1402" s="18"/>
      <c r="E1402" s="17"/>
      <c r="F1402" s="22"/>
      <c r="G1402"/>
    </row>
    <row r="1403" spans="1:7">
      <c r="A1403" s="17"/>
      <c r="B1403" s="18"/>
      <c r="C1403" s="17"/>
      <c r="D1403" s="18"/>
      <c r="E1403" s="17"/>
      <c r="F1403" s="22"/>
      <c r="G1403"/>
    </row>
    <row r="1404" spans="1:7">
      <c r="A1404" s="17"/>
      <c r="B1404" s="18"/>
      <c r="C1404" s="17"/>
      <c r="D1404" s="18"/>
      <c r="E1404" s="17"/>
      <c r="F1404" s="22"/>
      <c r="G1404"/>
    </row>
    <row r="1405" spans="1:7">
      <c r="A1405" s="17"/>
      <c r="B1405" s="18"/>
      <c r="C1405" s="17"/>
      <c r="D1405" s="18"/>
      <c r="E1405" s="17"/>
      <c r="F1405" s="22"/>
      <c r="G1405"/>
    </row>
    <row r="1406" spans="1:7">
      <c r="A1406" s="17"/>
      <c r="B1406" s="18"/>
      <c r="C1406" s="17"/>
      <c r="D1406" s="18"/>
      <c r="E1406" s="17"/>
      <c r="F1406" s="22"/>
      <c r="G1406"/>
    </row>
    <row r="1407" spans="1:7">
      <c r="A1407" s="17"/>
      <c r="B1407" s="18"/>
      <c r="C1407" s="17"/>
      <c r="D1407" s="18"/>
      <c r="E1407" s="17"/>
      <c r="F1407" s="22"/>
      <c r="G1407"/>
    </row>
    <row r="1408" spans="1:7">
      <c r="A1408" s="17"/>
      <c r="B1408" s="18"/>
      <c r="C1408" s="17"/>
      <c r="D1408" s="18"/>
      <c r="E1408" s="17"/>
      <c r="F1408" s="22"/>
      <c r="G1408"/>
    </row>
    <row r="1409" spans="1:7">
      <c r="A1409" s="17"/>
      <c r="B1409" s="18"/>
      <c r="C1409" s="17"/>
      <c r="D1409" s="18"/>
      <c r="E1409" s="17"/>
      <c r="F1409" s="22"/>
      <c r="G1409"/>
    </row>
    <row r="1410" spans="1:7">
      <c r="A1410" s="17"/>
      <c r="B1410" s="18"/>
      <c r="C1410" s="17"/>
      <c r="D1410" s="18"/>
      <c r="E1410" s="17"/>
      <c r="F1410" s="22"/>
      <c r="G1410"/>
    </row>
    <row r="1411" spans="1:7">
      <c r="A1411" s="17"/>
      <c r="B1411" s="18"/>
      <c r="C1411" s="17"/>
      <c r="D1411" s="18"/>
      <c r="E1411" s="17"/>
      <c r="F1411" s="22"/>
      <c r="G1411"/>
    </row>
    <row r="1412" spans="1:7">
      <c r="A1412" s="17"/>
      <c r="B1412" s="18"/>
      <c r="C1412" s="17"/>
      <c r="D1412" s="18"/>
      <c r="E1412" s="17"/>
      <c r="F1412" s="22"/>
      <c r="G1412"/>
    </row>
    <row r="1413" spans="1:7">
      <c r="A1413" s="17"/>
      <c r="B1413" s="18"/>
      <c r="C1413" s="17"/>
      <c r="D1413" s="18"/>
      <c r="E1413" s="17"/>
      <c r="F1413" s="22"/>
      <c r="G1413"/>
    </row>
    <row r="1414" spans="1:7">
      <c r="A1414" s="17"/>
      <c r="B1414" s="18"/>
      <c r="C1414" s="17"/>
      <c r="D1414" s="18"/>
      <c r="E1414" s="17"/>
      <c r="F1414" s="22"/>
      <c r="G1414"/>
    </row>
    <row r="1415" spans="1:7">
      <c r="A1415" s="17"/>
      <c r="B1415" s="18"/>
      <c r="C1415" s="17"/>
      <c r="D1415" s="18"/>
      <c r="E1415" s="17"/>
      <c r="F1415" s="22"/>
      <c r="G1415"/>
    </row>
    <row r="1416" spans="1:7">
      <c r="A1416" s="17"/>
      <c r="B1416" s="18"/>
      <c r="C1416" s="17"/>
      <c r="D1416" s="18"/>
      <c r="E1416" s="17"/>
      <c r="F1416" s="22"/>
      <c r="G1416"/>
    </row>
    <row r="1417" spans="1:7">
      <c r="A1417" s="17"/>
      <c r="B1417" s="18"/>
      <c r="C1417" s="17"/>
      <c r="D1417" s="18"/>
      <c r="E1417" s="17"/>
      <c r="F1417" s="22"/>
      <c r="G1417"/>
    </row>
    <row r="1418" spans="1:7">
      <c r="A1418" s="17"/>
      <c r="B1418" s="18"/>
      <c r="C1418" s="17"/>
      <c r="D1418" s="18"/>
      <c r="E1418" s="17"/>
      <c r="F1418" s="22"/>
      <c r="G1418"/>
    </row>
    <row r="1419" spans="1:7">
      <c r="A1419" s="17"/>
      <c r="B1419" s="18"/>
      <c r="C1419" s="17"/>
      <c r="D1419" s="18"/>
      <c r="E1419" s="17"/>
      <c r="F1419" s="22"/>
      <c r="G1419"/>
    </row>
    <row r="1420" spans="1:7">
      <c r="A1420" s="17"/>
      <c r="B1420" s="18"/>
      <c r="C1420" s="17"/>
      <c r="D1420" s="18"/>
      <c r="E1420" s="17"/>
      <c r="F1420" s="22"/>
      <c r="G1420"/>
    </row>
    <row r="1421" spans="1:7">
      <c r="A1421" s="17"/>
      <c r="B1421" s="18"/>
      <c r="C1421" s="17"/>
      <c r="D1421" s="18"/>
      <c r="E1421" s="17"/>
      <c r="F1421" s="22"/>
      <c r="G1421"/>
    </row>
    <row r="1422" spans="1:7">
      <c r="A1422" s="17"/>
      <c r="B1422" s="18"/>
      <c r="C1422" s="17"/>
      <c r="D1422" s="18"/>
      <c r="E1422" s="17"/>
      <c r="F1422" s="22"/>
      <c r="G1422"/>
    </row>
    <row r="1423" spans="1:7">
      <c r="A1423" s="17"/>
      <c r="B1423" s="18"/>
      <c r="C1423" s="17"/>
      <c r="D1423" s="18"/>
      <c r="E1423" s="17"/>
      <c r="F1423" s="22"/>
      <c r="G1423"/>
    </row>
    <row r="1424" spans="1:7">
      <c r="A1424" s="17"/>
      <c r="B1424" s="18"/>
      <c r="C1424" s="17"/>
      <c r="D1424" s="18"/>
      <c r="E1424" s="17"/>
      <c r="F1424" s="22"/>
      <c r="G1424"/>
    </row>
    <row r="1425" spans="1:7">
      <c r="A1425" s="17"/>
      <c r="B1425" s="18"/>
      <c r="C1425" s="17"/>
      <c r="D1425" s="18"/>
      <c r="E1425" s="17"/>
      <c r="F1425" s="22"/>
      <c r="G1425"/>
    </row>
    <row r="1426" spans="1:7">
      <c r="A1426" s="17"/>
      <c r="B1426" s="18"/>
      <c r="C1426" s="17"/>
      <c r="D1426" s="18"/>
      <c r="E1426" s="17"/>
      <c r="F1426" s="22"/>
      <c r="G1426"/>
    </row>
    <row r="1427" spans="1:7">
      <c r="A1427" s="17"/>
      <c r="B1427" s="18"/>
      <c r="C1427" s="17"/>
      <c r="D1427" s="18"/>
      <c r="E1427" s="17"/>
      <c r="F1427" s="22"/>
      <c r="G1427"/>
    </row>
    <row r="1428" spans="1:7">
      <c r="A1428" s="17"/>
      <c r="B1428" s="18"/>
      <c r="C1428" s="17"/>
      <c r="D1428" s="18"/>
      <c r="E1428" s="17"/>
      <c r="F1428" s="22"/>
      <c r="G1428"/>
    </row>
    <row r="1429" spans="1:7">
      <c r="A1429" s="17"/>
      <c r="B1429" s="18"/>
      <c r="C1429" s="17"/>
      <c r="D1429" s="18"/>
      <c r="E1429" s="17"/>
      <c r="F1429" s="22"/>
      <c r="G1429"/>
    </row>
    <row r="1430" spans="1:7">
      <c r="A1430" s="17"/>
      <c r="B1430" s="18"/>
      <c r="C1430" s="17"/>
      <c r="D1430" s="18"/>
      <c r="E1430" s="17"/>
      <c r="F1430" s="22"/>
      <c r="G1430"/>
    </row>
    <row r="1431" spans="1:7">
      <c r="A1431" s="17"/>
      <c r="B1431" s="18"/>
      <c r="C1431" s="17"/>
      <c r="D1431" s="18"/>
      <c r="E1431" s="17"/>
      <c r="F1431" s="22"/>
      <c r="G1431"/>
    </row>
    <row r="1432" spans="1:7">
      <c r="A1432" s="17"/>
      <c r="B1432" s="18"/>
      <c r="C1432" s="17"/>
      <c r="D1432" s="18"/>
      <c r="E1432" s="17"/>
      <c r="F1432" s="22"/>
      <c r="G1432"/>
    </row>
    <row r="1433" spans="1:7">
      <c r="A1433" s="17"/>
      <c r="B1433" s="18"/>
      <c r="C1433" s="17"/>
      <c r="D1433" s="18"/>
      <c r="E1433" s="17"/>
      <c r="F1433" s="22"/>
      <c r="G1433"/>
    </row>
    <row r="1434" spans="1:7">
      <c r="A1434" s="17"/>
      <c r="B1434" s="18"/>
      <c r="C1434" s="17"/>
      <c r="D1434" s="18"/>
      <c r="E1434" s="17"/>
      <c r="F1434" s="22"/>
      <c r="G1434"/>
    </row>
    <row r="1435" spans="1:7">
      <c r="A1435" s="17"/>
      <c r="B1435" s="18"/>
      <c r="C1435" s="17"/>
      <c r="D1435" s="18"/>
      <c r="E1435" s="17"/>
      <c r="F1435" s="22"/>
      <c r="G1435"/>
    </row>
    <row r="1436" spans="1:7">
      <c r="A1436" s="17"/>
      <c r="B1436" s="18"/>
      <c r="C1436" s="17"/>
      <c r="D1436" s="18"/>
      <c r="E1436" s="17"/>
      <c r="F1436" s="22"/>
      <c r="G1436"/>
    </row>
    <row r="1437" spans="1:7">
      <c r="A1437" s="17"/>
      <c r="B1437" s="18"/>
      <c r="C1437" s="17"/>
      <c r="D1437" s="18"/>
      <c r="E1437" s="17"/>
      <c r="F1437" s="22"/>
      <c r="G1437"/>
    </row>
    <row r="1438" spans="1:7">
      <c r="A1438" s="17"/>
      <c r="B1438" s="18"/>
      <c r="C1438" s="17"/>
      <c r="D1438" s="18"/>
      <c r="E1438" s="17"/>
      <c r="F1438" s="22"/>
      <c r="G1438"/>
    </row>
    <row r="1439" spans="1:7">
      <c r="A1439" s="17"/>
      <c r="B1439" s="18"/>
      <c r="C1439" s="17"/>
      <c r="D1439" s="18"/>
      <c r="E1439" s="17"/>
      <c r="F1439" s="22"/>
      <c r="G1439"/>
    </row>
    <row r="1440" spans="1:7">
      <c r="A1440" s="17"/>
      <c r="B1440" s="18"/>
      <c r="C1440" s="17"/>
      <c r="D1440" s="18"/>
      <c r="E1440" s="17"/>
      <c r="F1440" s="22"/>
      <c r="G1440"/>
    </row>
    <row r="1441" spans="1:7">
      <c r="A1441" s="17"/>
      <c r="B1441" s="18"/>
      <c r="C1441" s="17"/>
      <c r="D1441" s="18"/>
      <c r="E1441" s="17"/>
      <c r="F1441" s="22"/>
      <c r="G1441"/>
    </row>
    <row r="1442" spans="1:7">
      <c r="A1442" s="17"/>
      <c r="B1442" s="18"/>
      <c r="C1442" s="17"/>
      <c r="D1442" s="18"/>
      <c r="E1442" s="17"/>
      <c r="F1442" s="22"/>
      <c r="G1442"/>
    </row>
    <row r="1443" spans="1:7">
      <c r="A1443" s="17"/>
      <c r="B1443" s="18"/>
      <c r="C1443" s="17"/>
      <c r="D1443" s="18"/>
      <c r="E1443" s="17"/>
      <c r="F1443" s="22"/>
      <c r="G1443"/>
    </row>
    <row r="1444" spans="1:7">
      <c r="A1444" s="17"/>
      <c r="B1444" s="18"/>
      <c r="C1444" s="17"/>
      <c r="D1444" s="18"/>
      <c r="E1444" s="17"/>
      <c r="F1444" s="22"/>
      <c r="G1444"/>
    </row>
    <row r="1445" spans="1:7">
      <c r="A1445" s="17"/>
      <c r="B1445" s="18"/>
      <c r="C1445" s="17"/>
      <c r="D1445" s="18"/>
      <c r="E1445" s="17"/>
      <c r="F1445" s="22"/>
      <c r="G1445"/>
    </row>
    <row r="1446" spans="1:7">
      <c r="A1446" s="17"/>
      <c r="B1446" s="18"/>
      <c r="C1446" s="17"/>
      <c r="D1446" s="18"/>
      <c r="E1446" s="17"/>
      <c r="F1446" s="22"/>
      <c r="G1446"/>
    </row>
    <row r="1447" spans="1:7">
      <c r="A1447" s="17"/>
      <c r="B1447" s="18"/>
      <c r="C1447" s="17"/>
      <c r="D1447" s="18"/>
      <c r="E1447" s="17"/>
      <c r="F1447" s="22"/>
      <c r="G1447"/>
    </row>
    <row r="1448" spans="1:7">
      <c r="A1448" s="17"/>
      <c r="B1448" s="18"/>
      <c r="C1448" s="17"/>
      <c r="D1448" s="18"/>
      <c r="E1448" s="17"/>
      <c r="F1448" s="22"/>
      <c r="G1448"/>
    </row>
    <row r="1449" spans="1:7">
      <c r="A1449" s="17"/>
      <c r="B1449" s="18"/>
      <c r="C1449" s="17"/>
      <c r="D1449" s="18"/>
      <c r="E1449" s="17"/>
      <c r="F1449" s="22"/>
      <c r="G1449"/>
    </row>
    <row r="1450" spans="1:7">
      <c r="A1450" s="17"/>
      <c r="B1450" s="18"/>
      <c r="C1450" s="17"/>
      <c r="D1450" s="18"/>
      <c r="E1450" s="17"/>
      <c r="F1450" s="22"/>
      <c r="G1450"/>
    </row>
    <row r="1451" spans="1:7">
      <c r="A1451" s="17"/>
      <c r="B1451" s="18"/>
      <c r="C1451" s="17"/>
      <c r="D1451" s="18"/>
      <c r="E1451" s="17"/>
      <c r="F1451" s="22"/>
      <c r="G1451"/>
    </row>
    <row r="1452" spans="1:7">
      <c r="A1452" s="17"/>
      <c r="B1452" s="18"/>
      <c r="C1452" s="17"/>
      <c r="D1452" s="18"/>
      <c r="E1452" s="17"/>
      <c r="F1452" s="22"/>
      <c r="G1452"/>
    </row>
    <row r="1453" spans="1:7">
      <c r="A1453" s="17"/>
      <c r="B1453" s="18"/>
      <c r="C1453" s="17"/>
      <c r="D1453" s="18"/>
      <c r="E1453" s="17"/>
      <c r="F1453" s="22"/>
      <c r="G1453"/>
    </row>
    <row r="1454" spans="1:7">
      <c r="A1454" s="17"/>
      <c r="B1454" s="18"/>
      <c r="C1454" s="17"/>
      <c r="D1454" s="18"/>
      <c r="E1454" s="17"/>
      <c r="F1454" s="22"/>
      <c r="G1454"/>
    </row>
    <row r="1455" spans="1:7">
      <c r="A1455" s="17"/>
      <c r="B1455" s="18"/>
      <c r="C1455" s="17"/>
      <c r="D1455" s="18"/>
      <c r="E1455" s="17"/>
      <c r="F1455" s="22"/>
      <c r="G1455"/>
    </row>
    <row r="1456" spans="1:7">
      <c r="A1456" s="17"/>
      <c r="B1456" s="18"/>
      <c r="C1456" s="17"/>
      <c r="D1456" s="18"/>
      <c r="E1456" s="17"/>
      <c r="F1456" s="22"/>
      <c r="G1456"/>
    </row>
    <row r="1457" spans="1:7">
      <c r="A1457" s="17"/>
      <c r="B1457" s="18"/>
      <c r="C1457" s="17"/>
      <c r="D1457" s="18"/>
      <c r="E1457" s="17"/>
      <c r="F1457" s="22"/>
      <c r="G1457"/>
    </row>
    <row r="1458" spans="1:7">
      <c r="A1458" s="17"/>
      <c r="B1458" s="18"/>
      <c r="C1458" s="17"/>
      <c r="D1458" s="18"/>
      <c r="E1458" s="17"/>
      <c r="F1458" s="22"/>
      <c r="G1458"/>
    </row>
    <row r="1459" spans="1:7">
      <c r="A1459" s="17"/>
      <c r="B1459" s="18"/>
      <c r="C1459" s="17"/>
      <c r="D1459" s="18"/>
      <c r="E1459" s="17"/>
      <c r="F1459" s="22"/>
      <c r="G1459"/>
    </row>
    <row r="1460" spans="1:7">
      <c r="A1460" s="17"/>
      <c r="B1460" s="18"/>
      <c r="C1460" s="17"/>
      <c r="D1460" s="18"/>
      <c r="E1460" s="17"/>
      <c r="F1460" s="22"/>
      <c r="G1460"/>
    </row>
    <row r="1461" spans="1:7">
      <c r="A1461" s="17"/>
      <c r="B1461" s="18"/>
      <c r="C1461" s="17"/>
      <c r="D1461" s="18"/>
      <c r="E1461" s="17"/>
      <c r="F1461" s="22"/>
      <c r="G1461"/>
    </row>
    <row r="1462" spans="1:7">
      <c r="A1462" s="17"/>
      <c r="B1462" s="18"/>
      <c r="C1462" s="17"/>
      <c r="D1462" s="18"/>
      <c r="E1462" s="17"/>
      <c r="F1462" s="22"/>
      <c r="G1462"/>
    </row>
    <row r="1463" spans="1:7">
      <c r="A1463" s="17"/>
      <c r="B1463" s="18"/>
      <c r="C1463" s="17"/>
      <c r="D1463" s="18"/>
      <c r="E1463" s="17"/>
      <c r="F1463" s="22"/>
      <c r="G1463"/>
    </row>
    <row r="1464" spans="1:7">
      <c r="A1464" s="17"/>
      <c r="B1464" s="18"/>
      <c r="C1464" s="17"/>
      <c r="D1464" s="18"/>
      <c r="E1464" s="17"/>
      <c r="F1464" s="22"/>
      <c r="G1464"/>
    </row>
    <row r="1465" spans="1:7">
      <c r="A1465" s="17"/>
      <c r="B1465" s="18"/>
      <c r="C1465" s="17"/>
      <c r="D1465" s="18"/>
      <c r="E1465" s="17"/>
      <c r="F1465" s="22"/>
      <c r="G1465"/>
    </row>
    <row r="1466" spans="1:7">
      <c r="A1466" s="17"/>
      <c r="B1466" s="18"/>
      <c r="C1466" s="17"/>
      <c r="D1466" s="18"/>
      <c r="E1466" s="17"/>
      <c r="F1466" s="22"/>
      <c r="G1466"/>
    </row>
    <row r="1467" spans="1:7">
      <c r="A1467" s="17"/>
      <c r="B1467" s="18"/>
      <c r="C1467" s="17"/>
      <c r="D1467" s="18"/>
      <c r="E1467" s="17"/>
      <c r="F1467" s="22"/>
      <c r="G1467"/>
    </row>
    <row r="1468" spans="1:7">
      <c r="A1468" s="17"/>
      <c r="B1468" s="18"/>
      <c r="C1468" s="17"/>
      <c r="D1468" s="18"/>
      <c r="E1468" s="17"/>
      <c r="F1468" s="22"/>
      <c r="G1468"/>
    </row>
    <row r="1469" spans="1:7">
      <c r="A1469" s="17"/>
      <c r="B1469" s="18"/>
      <c r="C1469" s="17"/>
      <c r="D1469" s="18"/>
      <c r="E1469" s="17"/>
      <c r="F1469" s="22"/>
      <c r="G1469"/>
    </row>
    <row r="1470" spans="1:7">
      <c r="A1470" s="17"/>
      <c r="B1470" s="18"/>
      <c r="C1470" s="17"/>
      <c r="D1470" s="18"/>
      <c r="E1470" s="17"/>
      <c r="F1470" s="22"/>
      <c r="G1470"/>
    </row>
    <row r="1471" spans="1:7">
      <c r="A1471" s="17"/>
      <c r="B1471" s="18"/>
      <c r="C1471" s="17"/>
      <c r="D1471" s="18"/>
      <c r="E1471" s="17"/>
      <c r="F1471" s="22"/>
      <c r="G1471"/>
    </row>
    <row r="1472" spans="1:7">
      <c r="A1472" s="17"/>
      <c r="B1472" s="18"/>
      <c r="C1472" s="17"/>
      <c r="D1472" s="18"/>
      <c r="E1472" s="17"/>
      <c r="F1472" s="22"/>
      <c r="G1472"/>
    </row>
    <row r="1473" spans="1:7">
      <c r="A1473" s="17"/>
      <c r="B1473" s="18"/>
      <c r="C1473" s="17"/>
      <c r="D1473" s="18"/>
      <c r="E1473" s="17"/>
      <c r="F1473" s="22"/>
      <c r="G1473"/>
    </row>
    <row r="1474" spans="1:7">
      <c r="A1474" s="17"/>
      <c r="B1474" s="18"/>
      <c r="C1474" s="17"/>
      <c r="D1474" s="18"/>
      <c r="E1474" s="17"/>
      <c r="F1474" s="22"/>
      <c r="G1474"/>
    </row>
    <row r="1475" spans="1:7">
      <c r="A1475" s="17"/>
      <c r="B1475" s="18"/>
      <c r="C1475" s="17"/>
      <c r="D1475" s="18"/>
      <c r="E1475" s="17"/>
      <c r="F1475" s="22"/>
      <c r="G1475"/>
    </row>
    <row r="1476" spans="1:7">
      <c r="A1476" s="17"/>
      <c r="B1476" s="18"/>
      <c r="C1476" s="17"/>
      <c r="D1476" s="18"/>
      <c r="E1476" s="17"/>
      <c r="F1476" s="22"/>
      <c r="G1476"/>
    </row>
    <row r="1477" spans="1:7">
      <c r="A1477" s="17"/>
      <c r="B1477" s="18"/>
      <c r="C1477" s="17"/>
      <c r="D1477" s="18"/>
      <c r="E1477" s="17"/>
      <c r="F1477" s="22"/>
      <c r="G1477"/>
    </row>
    <row r="1478" spans="1:7">
      <c r="A1478" s="17"/>
      <c r="B1478" s="18"/>
      <c r="C1478" s="17"/>
      <c r="D1478" s="18"/>
      <c r="E1478" s="17"/>
      <c r="F1478" s="22"/>
      <c r="G1478"/>
    </row>
    <row r="1479" spans="1:7">
      <c r="A1479" s="17"/>
      <c r="B1479" s="18"/>
      <c r="C1479" s="17"/>
      <c r="D1479" s="18"/>
      <c r="E1479" s="17"/>
      <c r="F1479" s="22"/>
      <c r="G1479"/>
    </row>
    <row r="1480" spans="1:7">
      <c r="A1480" s="17"/>
      <c r="B1480" s="18"/>
      <c r="C1480" s="17"/>
      <c r="D1480" s="18"/>
      <c r="E1480" s="17"/>
      <c r="F1480" s="22"/>
      <c r="G1480"/>
    </row>
    <row r="1481" spans="1:7">
      <c r="A1481" s="17"/>
      <c r="B1481" s="18"/>
      <c r="C1481" s="17"/>
      <c r="D1481" s="18"/>
      <c r="E1481" s="17"/>
      <c r="F1481" s="22"/>
      <c r="G1481"/>
    </row>
    <row r="1482" spans="1:7">
      <c r="A1482" s="17"/>
      <c r="B1482" s="18"/>
      <c r="C1482" s="17"/>
      <c r="D1482" s="18"/>
      <c r="E1482" s="17"/>
      <c r="F1482" s="22"/>
      <c r="G1482"/>
    </row>
    <row r="1483" spans="1:7">
      <c r="A1483" s="17"/>
      <c r="B1483" s="18"/>
      <c r="C1483" s="17"/>
      <c r="D1483" s="18"/>
      <c r="E1483" s="17"/>
      <c r="F1483" s="22"/>
      <c r="G1483"/>
    </row>
    <row r="1484" spans="1:7">
      <c r="A1484" s="17"/>
      <c r="B1484" s="18"/>
      <c r="C1484" s="17"/>
      <c r="D1484" s="18"/>
      <c r="E1484" s="17"/>
      <c r="F1484" s="22"/>
      <c r="G1484"/>
    </row>
    <row r="1485" spans="1:7">
      <c r="A1485" s="17"/>
      <c r="B1485" s="18"/>
      <c r="C1485" s="17"/>
      <c r="D1485" s="18"/>
      <c r="E1485" s="17"/>
      <c r="F1485" s="22"/>
      <c r="G1485"/>
    </row>
    <row r="1486" spans="1:7">
      <c r="A1486" s="17"/>
      <c r="B1486" s="18"/>
      <c r="C1486" s="17"/>
      <c r="D1486" s="18"/>
      <c r="E1486" s="17"/>
      <c r="F1486" s="22"/>
      <c r="G1486"/>
    </row>
    <row r="1487" spans="1:7">
      <c r="A1487" s="17"/>
      <c r="B1487" s="18"/>
      <c r="C1487" s="17"/>
      <c r="D1487" s="18"/>
      <c r="E1487" s="17"/>
      <c r="F1487" s="22"/>
      <c r="G1487"/>
    </row>
    <row r="1488" spans="1:7">
      <c r="A1488" s="17"/>
      <c r="B1488" s="18"/>
      <c r="C1488" s="17"/>
      <c r="D1488" s="18"/>
      <c r="E1488" s="17"/>
      <c r="F1488" s="22"/>
      <c r="G1488"/>
    </row>
    <row r="1489" spans="1:7">
      <c r="A1489" s="17"/>
      <c r="B1489" s="18"/>
      <c r="C1489" s="17"/>
      <c r="D1489" s="18"/>
      <c r="E1489" s="17"/>
      <c r="F1489" s="22"/>
      <c r="G1489"/>
    </row>
    <row r="1490" spans="1:7">
      <c r="A1490" s="17"/>
      <c r="B1490" s="18"/>
      <c r="C1490" s="17"/>
      <c r="D1490" s="18"/>
      <c r="E1490" s="17"/>
      <c r="F1490" s="22"/>
      <c r="G1490"/>
    </row>
    <row r="1491" spans="1:7">
      <c r="A1491" s="17"/>
      <c r="B1491" s="18"/>
      <c r="C1491" s="17"/>
      <c r="D1491" s="18"/>
      <c r="E1491" s="17"/>
      <c r="F1491" s="22"/>
      <c r="G1491"/>
    </row>
    <row r="1492" spans="1:7">
      <c r="A1492" s="17"/>
      <c r="B1492" s="18"/>
      <c r="C1492" s="17"/>
      <c r="D1492" s="18"/>
      <c r="E1492" s="17"/>
      <c r="F1492" s="22"/>
      <c r="G1492"/>
    </row>
    <row r="1493" spans="1:7">
      <c r="A1493" s="17"/>
      <c r="B1493" s="18"/>
      <c r="C1493" s="17"/>
      <c r="D1493" s="18"/>
      <c r="E1493" s="17"/>
      <c r="F1493" s="22"/>
      <c r="G1493"/>
    </row>
    <row r="1494" spans="1:7">
      <c r="A1494" s="17"/>
      <c r="B1494" s="18"/>
      <c r="C1494" s="17"/>
      <c r="D1494" s="18"/>
      <c r="E1494" s="17"/>
      <c r="F1494" s="22"/>
      <c r="G1494"/>
    </row>
    <row r="1495" spans="1:7">
      <c r="A1495" s="17"/>
      <c r="B1495" s="18"/>
      <c r="C1495" s="17"/>
      <c r="D1495" s="18"/>
      <c r="E1495" s="17"/>
      <c r="F1495" s="22"/>
      <c r="G1495"/>
    </row>
    <row r="1496" spans="1:7">
      <c r="A1496" s="17"/>
      <c r="B1496" s="18"/>
      <c r="C1496" s="17"/>
      <c r="D1496" s="18"/>
      <c r="E1496" s="17"/>
      <c r="F1496" s="22"/>
      <c r="G1496"/>
    </row>
    <row r="1497" spans="1:7">
      <c r="A1497" s="17"/>
      <c r="B1497" s="18"/>
      <c r="C1497" s="17"/>
      <c r="D1497" s="18"/>
      <c r="E1497" s="17"/>
      <c r="F1497" s="22"/>
      <c r="G1497"/>
    </row>
    <row r="1498" spans="1:7">
      <c r="A1498" s="17"/>
      <c r="B1498" s="18"/>
      <c r="C1498" s="17"/>
      <c r="D1498" s="18"/>
      <c r="E1498" s="17"/>
      <c r="F1498" s="22"/>
      <c r="G1498"/>
    </row>
    <row r="1499" spans="1:7">
      <c r="A1499" s="17"/>
      <c r="B1499" s="18"/>
      <c r="C1499" s="17"/>
      <c r="D1499" s="18"/>
      <c r="E1499" s="17"/>
      <c r="F1499" s="22"/>
      <c r="G1499"/>
    </row>
    <row r="1500" spans="1:7">
      <c r="A1500" s="17"/>
      <c r="B1500" s="18"/>
      <c r="C1500" s="17"/>
      <c r="D1500" s="18"/>
      <c r="E1500" s="17"/>
      <c r="F1500" s="22"/>
      <c r="G1500"/>
    </row>
    <row r="1501" spans="1:7">
      <c r="A1501" s="17"/>
      <c r="B1501" s="18"/>
      <c r="C1501" s="17"/>
      <c r="D1501" s="18"/>
      <c r="E1501" s="17"/>
      <c r="F1501" s="22"/>
      <c r="G1501"/>
    </row>
    <row r="1502" spans="1:7">
      <c r="A1502" s="17"/>
      <c r="B1502" s="18"/>
      <c r="C1502" s="17"/>
      <c r="D1502" s="18"/>
      <c r="E1502" s="17"/>
      <c r="F1502" s="22"/>
      <c r="G1502"/>
    </row>
    <row r="1503" spans="1:7">
      <c r="A1503" s="17"/>
      <c r="B1503" s="18"/>
      <c r="C1503" s="17"/>
      <c r="D1503" s="18"/>
      <c r="E1503" s="17"/>
      <c r="F1503" s="22"/>
      <c r="G1503"/>
    </row>
    <row r="1504" spans="1:7">
      <c r="A1504" s="17"/>
      <c r="B1504" s="18"/>
      <c r="C1504" s="17"/>
      <c r="D1504" s="18"/>
      <c r="E1504" s="17"/>
      <c r="F1504" s="22"/>
      <c r="G1504"/>
    </row>
    <row r="1505" spans="1:7">
      <c r="A1505" s="17"/>
      <c r="B1505" s="18"/>
      <c r="C1505" s="17"/>
      <c r="D1505" s="18"/>
      <c r="E1505" s="17"/>
      <c r="F1505" s="22"/>
      <c r="G1505"/>
    </row>
    <row r="1506" spans="1:7">
      <c r="A1506" s="17"/>
      <c r="B1506" s="18"/>
      <c r="C1506" s="17"/>
      <c r="D1506" s="18"/>
      <c r="E1506" s="17"/>
      <c r="F1506" s="22"/>
      <c r="G1506"/>
    </row>
    <row r="1507" spans="1:7">
      <c r="A1507" s="17"/>
      <c r="B1507" s="18"/>
      <c r="C1507" s="17"/>
      <c r="D1507" s="18"/>
      <c r="E1507" s="17"/>
      <c r="F1507" s="22"/>
      <c r="G1507"/>
    </row>
    <row r="1508" spans="1:7">
      <c r="A1508" s="17"/>
      <c r="B1508" s="18"/>
      <c r="C1508" s="17"/>
      <c r="D1508" s="18"/>
      <c r="E1508" s="17"/>
      <c r="F1508" s="22"/>
      <c r="G1508"/>
    </row>
    <row r="1509" spans="1:7">
      <c r="A1509" s="17"/>
      <c r="B1509" s="18"/>
      <c r="C1509" s="17"/>
      <c r="D1509" s="18"/>
      <c r="E1509" s="17"/>
      <c r="F1509" s="22"/>
      <c r="G1509"/>
    </row>
    <row r="1510" spans="1:7">
      <c r="A1510" s="17"/>
      <c r="B1510" s="18"/>
      <c r="C1510" s="17"/>
      <c r="D1510" s="18"/>
      <c r="E1510" s="17"/>
      <c r="F1510" s="22"/>
      <c r="G1510"/>
    </row>
    <row r="1511" spans="1:7">
      <c r="A1511" s="17"/>
      <c r="B1511" s="18"/>
      <c r="C1511" s="17"/>
      <c r="D1511" s="18"/>
      <c r="E1511" s="17"/>
      <c r="F1511" s="22"/>
      <c r="G1511"/>
    </row>
    <row r="1512" spans="1:7">
      <c r="A1512" s="17"/>
      <c r="B1512" s="18"/>
      <c r="C1512" s="17"/>
      <c r="D1512" s="18"/>
      <c r="E1512" s="17"/>
      <c r="F1512" s="22"/>
      <c r="G1512"/>
    </row>
    <row r="1513" spans="1:7">
      <c r="A1513" s="17"/>
      <c r="B1513" s="18"/>
      <c r="C1513" s="17"/>
      <c r="D1513" s="18"/>
      <c r="E1513" s="17"/>
      <c r="F1513" s="22"/>
      <c r="G1513"/>
    </row>
    <row r="1514" spans="1:7">
      <c r="A1514" s="17"/>
      <c r="B1514" s="18"/>
      <c r="C1514" s="17"/>
      <c r="D1514" s="18"/>
      <c r="E1514" s="17"/>
      <c r="F1514" s="22"/>
      <c r="G1514"/>
    </row>
    <row r="1515" spans="1:7">
      <c r="A1515" s="17"/>
      <c r="B1515" s="18"/>
      <c r="C1515" s="17"/>
      <c r="D1515" s="18"/>
      <c r="E1515" s="17"/>
      <c r="F1515" s="22"/>
      <c r="G1515"/>
    </row>
    <row r="1516" spans="1:7">
      <c r="A1516" s="17"/>
      <c r="B1516" s="18"/>
      <c r="C1516" s="17"/>
      <c r="D1516" s="18"/>
      <c r="E1516" s="17"/>
      <c r="F1516" s="22"/>
      <c r="G1516"/>
    </row>
    <row r="1517" spans="1:7">
      <c r="A1517" s="17"/>
      <c r="B1517" s="18"/>
      <c r="C1517" s="17"/>
      <c r="D1517" s="18"/>
      <c r="E1517" s="17"/>
      <c r="F1517" s="22"/>
      <c r="G1517"/>
    </row>
    <row r="1518" spans="1:7">
      <c r="A1518" s="17"/>
      <c r="B1518" s="18"/>
      <c r="C1518" s="17"/>
      <c r="D1518" s="18"/>
      <c r="E1518" s="17"/>
      <c r="F1518" s="22"/>
      <c r="G1518"/>
    </row>
    <row r="1519" spans="1:7">
      <c r="A1519" s="17"/>
      <c r="B1519" s="18"/>
      <c r="C1519" s="17"/>
      <c r="D1519" s="18"/>
      <c r="E1519" s="17"/>
      <c r="F1519" s="22"/>
      <c r="G1519"/>
    </row>
    <row r="1520" spans="1:7">
      <c r="A1520" s="17"/>
      <c r="B1520" s="18"/>
      <c r="C1520" s="17"/>
      <c r="D1520" s="18"/>
      <c r="E1520" s="17"/>
      <c r="F1520" s="22"/>
      <c r="G1520"/>
    </row>
    <row r="1521" spans="1:7">
      <c r="A1521" s="17"/>
      <c r="B1521" s="18"/>
      <c r="C1521" s="17"/>
      <c r="D1521" s="18"/>
      <c r="E1521" s="17"/>
      <c r="F1521" s="22"/>
      <c r="G1521"/>
    </row>
    <row r="1522" spans="1:7">
      <c r="A1522" s="17"/>
      <c r="B1522" s="18"/>
      <c r="C1522" s="17"/>
      <c r="D1522" s="18"/>
      <c r="E1522" s="17"/>
      <c r="F1522" s="22"/>
      <c r="G1522"/>
    </row>
    <row r="1523" spans="1:7">
      <c r="A1523" s="17"/>
      <c r="B1523" s="18"/>
      <c r="C1523" s="17"/>
      <c r="D1523" s="18"/>
      <c r="E1523" s="17"/>
      <c r="F1523" s="22"/>
      <c r="G1523"/>
    </row>
    <row r="1524" spans="1:7">
      <c r="A1524" s="17"/>
      <c r="B1524" s="18"/>
      <c r="C1524" s="17"/>
      <c r="D1524" s="18"/>
      <c r="E1524" s="17"/>
      <c r="F1524" s="22"/>
      <c r="G1524"/>
    </row>
    <row r="1525" spans="1:7">
      <c r="A1525" s="17"/>
      <c r="B1525" s="18"/>
      <c r="C1525" s="17"/>
      <c r="D1525" s="18"/>
      <c r="E1525" s="17"/>
      <c r="F1525" s="22"/>
      <c r="G1525"/>
    </row>
    <row r="1526" spans="1:7">
      <c r="A1526" s="17"/>
      <c r="B1526" s="18"/>
      <c r="C1526" s="17"/>
      <c r="D1526" s="18"/>
      <c r="E1526" s="17"/>
      <c r="F1526" s="22"/>
      <c r="G1526"/>
    </row>
    <row r="1527" spans="1:7">
      <c r="A1527" s="17"/>
      <c r="B1527" s="18"/>
      <c r="C1527" s="17"/>
      <c r="D1527" s="18"/>
      <c r="E1527" s="17"/>
      <c r="F1527" s="22"/>
      <c r="G1527"/>
    </row>
    <row r="1528" spans="1:7">
      <c r="A1528" s="17"/>
      <c r="B1528" s="18"/>
      <c r="C1528" s="17"/>
      <c r="D1528" s="18"/>
      <c r="E1528" s="17"/>
      <c r="F1528" s="22"/>
      <c r="G1528"/>
    </row>
    <row r="1529" spans="1:7">
      <c r="A1529" s="17"/>
      <c r="B1529" s="18"/>
      <c r="C1529" s="17"/>
      <c r="D1529" s="18"/>
      <c r="E1529" s="17"/>
      <c r="F1529" s="22"/>
      <c r="G1529"/>
    </row>
    <row r="1530" spans="1:7">
      <c r="A1530" s="17"/>
      <c r="B1530" s="18"/>
      <c r="C1530" s="17"/>
      <c r="D1530" s="18"/>
      <c r="E1530" s="17"/>
      <c r="F1530" s="22"/>
      <c r="G1530"/>
    </row>
    <row r="1531" spans="1:7">
      <c r="A1531" s="17"/>
      <c r="B1531" s="18"/>
      <c r="C1531" s="17"/>
      <c r="D1531" s="18"/>
      <c r="E1531" s="17"/>
      <c r="F1531" s="22"/>
      <c r="G1531"/>
    </row>
    <row r="1532" spans="1:7">
      <c r="A1532" s="17"/>
      <c r="B1532" s="18"/>
      <c r="C1532" s="17"/>
      <c r="D1532" s="18"/>
      <c r="E1532" s="17"/>
      <c r="F1532" s="22"/>
      <c r="G1532"/>
    </row>
    <row r="1533" spans="1:7">
      <c r="A1533" s="17"/>
      <c r="B1533" s="18"/>
      <c r="C1533" s="17"/>
      <c r="D1533" s="18"/>
      <c r="E1533" s="17"/>
      <c r="F1533" s="22"/>
      <c r="G1533"/>
    </row>
    <row r="1534" spans="1:7">
      <c r="A1534" s="17"/>
      <c r="B1534" s="18"/>
      <c r="C1534" s="17"/>
      <c r="D1534" s="18"/>
      <c r="E1534" s="17"/>
      <c r="F1534" s="22"/>
      <c r="G1534"/>
    </row>
    <row r="1535" spans="1:7">
      <c r="A1535" s="17"/>
      <c r="B1535" s="18"/>
      <c r="C1535" s="17"/>
      <c r="D1535" s="18"/>
      <c r="E1535" s="17"/>
      <c r="F1535" s="22"/>
      <c r="G1535"/>
    </row>
    <row r="1536" spans="1:7">
      <c r="A1536" s="17"/>
      <c r="B1536" s="18"/>
      <c r="C1536" s="17"/>
      <c r="D1536" s="18"/>
      <c r="E1536" s="17"/>
      <c r="F1536" s="22"/>
      <c r="G1536"/>
    </row>
    <row r="1537" spans="1:7">
      <c r="A1537" s="17"/>
      <c r="B1537" s="18"/>
      <c r="C1537" s="17"/>
      <c r="D1537" s="18"/>
      <c r="E1537" s="17"/>
      <c r="F1537" s="22"/>
      <c r="G1537"/>
    </row>
    <row r="1538" spans="1:7">
      <c r="A1538" s="17"/>
      <c r="B1538" s="18"/>
      <c r="C1538" s="17"/>
      <c r="D1538" s="18"/>
      <c r="E1538" s="17"/>
      <c r="F1538" s="22"/>
      <c r="G1538"/>
    </row>
    <row r="1539" spans="1:7">
      <c r="A1539" s="17"/>
      <c r="B1539" s="18"/>
      <c r="C1539" s="17"/>
      <c r="D1539" s="18"/>
      <c r="E1539" s="17"/>
      <c r="F1539" s="22"/>
      <c r="G1539"/>
    </row>
    <row r="1540" spans="1:7">
      <c r="A1540" s="17"/>
      <c r="B1540" s="18"/>
      <c r="C1540" s="17"/>
      <c r="D1540" s="18"/>
      <c r="E1540" s="17"/>
      <c r="F1540" s="22"/>
      <c r="G1540"/>
    </row>
    <row r="1541" spans="1:7">
      <c r="A1541" s="17"/>
      <c r="B1541" s="18"/>
      <c r="C1541" s="17"/>
      <c r="D1541" s="18"/>
      <c r="E1541" s="17"/>
      <c r="F1541" s="22"/>
      <c r="G1541"/>
    </row>
    <row r="1542" spans="1:7">
      <c r="A1542" s="17"/>
      <c r="B1542" s="18"/>
      <c r="C1542" s="17"/>
      <c r="D1542" s="18"/>
      <c r="E1542" s="17"/>
      <c r="F1542" s="22"/>
      <c r="G1542"/>
    </row>
    <row r="1543" spans="1:7">
      <c r="A1543" s="17"/>
      <c r="B1543" s="18"/>
      <c r="C1543" s="17"/>
      <c r="D1543" s="18"/>
      <c r="E1543" s="17"/>
      <c r="F1543" s="22"/>
      <c r="G1543"/>
    </row>
    <row r="1544" spans="1:7">
      <c r="A1544" s="17"/>
      <c r="B1544" s="18"/>
      <c r="C1544" s="17"/>
      <c r="D1544" s="18"/>
      <c r="E1544" s="17"/>
      <c r="F1544" s="22"/>
      <c r="G1544"/>
    </row>
    <row r="1545" spans="1:7">
      <c r="A1545" s="17"/>
      <c r="B1545" s="18"/>
      <c r="C1545" s="17"/>
      <c r="D1545" s="18"/>
      <c r="E1545" s="17"/>
      <c r="F1545" s="22"/>
      <c r="G1545"/>
    </row>
    <row r="1546" spans="1:7">
      <c r="A1546" s="17"/>
      <c r="B1546" s="18"/>
      <c r="C1546" s="17"/>
      <c r="D1546" s="18"/>
      <c r="E1546" s="17"/>
      <c r="F1546" s="22"/>
      <c r="G1546"/>
    </row>
    <row r="1547" spans="1:7">
      <c r="A1547" s="17"/>
      <c r="B1547" s="18"/>
      <c r="C1547" s="17"/>
      <c r="D1547" s="18"/>
      <c r="E1547" s="17"/>
      <c r="F1547" s="22"/>
      <c r="G1547"/>
    </row>
    <row r="1548" spans="1:7">
      <c r="A1548" s="17"/>
      <c r="B1548" s="18"/>
      <c r="C1548" s="17"/>
      <c r="D1548" s="18"/>
      <c r="E1548" s="17"/>
      <c r="F1548" s="22"/>
      <c r="G1548"/>
    </row>
    <row r="1549" spans="1:7">
      <c r="A1549" s="17"/>
      <c r="B1549" s="18"/>
      <c r="C1549" s="17"/>
      <c r="D1549" s="18"/>
      <c r="E1549" s="17"/>
      <c r="F1549" s="22"/>
      <c r="G1549"/>
    </row>
    <row r="1550" spans="1:7">
      <c r="A1550" s="17"/>
      <c r="B1550" s="18"/>
      <c r="C1550" s="17"/>
      <c r="D1550" s="18"/>
      <c r="E1550" s="17"/>
      <c r="F1550" s="22"/>
      <c r="G1550"/>
    </row>
    <row r="1551" spans="1:7">
      <c r="A1551" s="17"/>
      <c r="B1551" s="18"/>
      <c r="C1551" s="17"/>
      <c r="D1551" s="18"/>
      <c r="E1551" s="17"/>
      <c r="F1551" s="22"/>
      <c r="G1551"/>
    </row>
    <row r="1552" spans="1:7">
      <c r="A1552" s="17"/>
      <c r="B1552" s="18"/>
      <c r="C1552" s="17"/>
      <c r="D1552" s="18"/>
      <c r="E1552" s="17"/>
      <c r="F1552" s="22"/>
      <c r="G1552"/>
    </row>
    <row r="1553" spans="1:7">
      <c r="A1553" s="17"/>
      <c r="B1553" s="18"/>
      <c r="C1553" s="17"/>
      <c r="D1553" s="18"/>
      <c r="E1553" s="17"/>
      <c r="F1553" s="22"/>
      <c r="G1553"/>
    </row>
    <row r="1554" spans="1:7">
      <c r="A1554" s="17"/>
      <c r="B1554" s="18"/>
      <c r="C1554" s="17"/>
      <c r="D1554" s="18"/>
      <c r="E1554" s="17"/>
      <c r="F1554" s="22"/>
      <c r="G1554"/>
    </row>
    <row r="1555" spans="1:7">
      <c r="A1555" s="17"/>
      <c r="B1555" s="18"/>
      <c r="C1555" s="17"/>
      <c r="D1555" s="18"/>
      <c r="E1555" s="17"/>
      <c r="F1555" s="22"/>
      <c r="G1555"/>
    </row>
    <row r="1556" spans="1:7">
      <c r="A1556" s="17"/>
      <c r="B1556" s="18"/>
      <c r="C1556" s="17"/>
      <c r="D1556" s="18"/>
      <c r="E1556" s="17"/>
      <c r="F1556" s="22"/>
      <c r="G1556"/>
    </row>
    <row r="1557" spans="1:7">
      <c r="A1557" s="17"/>
      <c r="B1557" s="18"/>
      <c r="C1557" s="17"/>
      <c r="D1557" s="18"/>
      <c r="E1557" s="17"/>
      <c r="F1557" s="22"/>
      <c r="G1557"/>
    </row>
    <row r="1558" spans="1:7">
      <c r="A1558" s="17"/>
      <c r="B1558" s="18"/>
      <c r="C1558" s="17"/>
      <c r="D1558" s="18"/>
      <c r="E1558" s="17"/>
      <c r="F1558" s="22"/>
      <c r="G1558"/>
    </row>
    <row r="1559" spans="1:7">
      <c r="A1559" s="17"/>
      <c r="B1559" s="18"/>
      <c r="C1559" s="17"/>
      <c r="D1559" s="18"/>
      <c r="E1559" s="17"/>
      <c r="F1559" s="22"/>
      <c r="G1559"/>
    </row>
    <row r="1560" spans="1:7">
      <c r="A1560" s="17"/>
      <c r="B1560" s="18"/>
      <c r="C1560" s="17"/>
      <c r="D1560" s="18"/>
      <c r="E1560" s="17"/>
      <c r="F1560" s="22"/>
      <c r="G1560"/>
    </row>
    <row r="1561" spans="1:7">
      <c r="A1561" s="17"/>
      <c r="B1561" s="18"/>
      <c r="C1561" s="17"/>
      <c r="D1561" s="18"/>
      <c r="E1561" s="17"/>
      <c r="F1561" s="22"/>
      <c r="G1561"/>
    </row>
    <row r="1562" spans="1:7">
      <c r="A1562" s="17"/>
      <c r="B1562" s="18"/>
      <c r="C1562" s="17"/>
      <c r="D1562" s="18"/>
      <c r="E1562" s="17"/>
      <c r="F1562" s="22"/>
      <c r="G1562"/>
    </row>
    <row r="1563" spans="1:7">
      <c r="A1563" s="17"/>
      <c r="B1563" s="18"/>
      <c r="C1563" s="17"/>
      <c r="D1563" s="18"/>
      <c r="E1563" s="17"/>
      <c r="F1563" s="22"/>
      <c r="G1563"/>
    </row>
    <row r="1564" spans="1:7">
      <c r="A1564" s="17"/>
      <c r="B1564" s="18"/>
      <c r="C1564" s="17"/>
      <c r="D1564" s="18"/>
      <c r="E1564" s="17"/>
      <c r="F1564" s="22"/>
      <c r="G1564"/>
    </row>
    <row r="1565" spans="1:7">
      <c r="A1565" s="17"/>
      <c r="B1565" s="18"/>
      <c r="C1565" s="17"/>
      <c r="D1565" s="18"/>
      <c r="E1565" s="17"/>
      <c r="F1565" s="22"/>
      <c r="G1565"/>
    </row>
    <row r="1566" spans="1:7">
      <c r="A1566" s="17"/>
      <c r="B1566" s="18"/>
      <c r="C1566" s="17"/>
      <c r="D1566" s="18"/>
      <c r="E1566" s="17"/>
      <c r="F1566" s="22"/>
      <c r="G1566"/>
    </row>
    <row r="1567" spans="1:7">
      <c r="A1567" s="17"/>
      <c r="B1567" s="18"/>
      <c r="C1567" s="17"/>
      <c r="D1567" s="18"/>
      <c r="E1567" s="17"/>
      <c r="F1567" s="22"/>
      <c r="G1567"/>
    </row>
    <row r="1568" spans="1:7">
      <c r="A1568" s="17"/>
      <c r="B1568" s="18"/>
      <c r="C1568" s="17"/>
      <c r="D1568" s="18"/>
      <c r="E1568" s="17"/>
      <c r="F1568" s="22"/>
      <c r="G1568"/>
    </row>
    <row r="1569" spans="1:7">
      <c r="A1569" s="17"/>
      <c r="B1569" s="18"/>
      <c r="C1569" s="17"/>
      <c r="D1569" s="18"/>
      <c r="E1569" s="17"/>
      <c r="F1569" s="22"/>
      <c r="G1569"/>
    </row>
    <row r="1570" spans="1:7">
      <c r="A1570" s="17"/>
      <c r="B1570" s="18"/>
      <c r="C1570" s="17"/>
      <c r="D1570" s="18"/>
      <c r="E1570" s="17"/>
      <c r="F1570" s="22"/>
      <c r="G1570"/>
    </row>
    <row r="1571" spans="1:7">
      <c r="A1571" s="17"/>
      <c r="B1571" s="18"/>
      <c r="C1571" s="17"/>
      <c r="D1571" s="18"/>
      <c r="E1571" s="17"/>
      <c r="F1571" s="22"/>
      <c r="G1571"/>
    </row>
    <row r="1572" spans="1:7">
      <c r="A1572" s="17"/>
      <c r="B1572" s="18"/>
      <c r="C1572" s="17"/>
      <c r="D1572" s="18"/>
      <c r="E1572" s="17"/>
      <c r="F1572" s="22"/>
      <c r="G1572"/>
    </row>
    <row r="1573" spans="1:7">
      <c r="A1573" s="17"/>
      <c r="B1573" s="18"/>
      <c r="C1573" s="17"/>
      <c r="D1573" s="18"/>
      <c r="E1573" s="17"/>
      <c r="F1573" s="22"/>
      <c r="G1573"/>
    </row>
    <row r="1574" spans="1:7">
      <c r="A1574" s="17"/>
      <c r="B1574" s="18"/>
      <c r="C1574" s="17"/>
      <c r="D1574" s="18"/>
      <c r="E1574" s="17"/>
      <c r="F1574" s="22"/>
      <c r="G1574"/>
    </row>
    <row r="1575" spans="1:7">
      <c r="A1575" s="17"/>
      <c r="B1575" s="18"/>
      <c r="C1575" s="17"/>
      <c r="D1575" s="18"/>
      <c r="E1575" s="17"/>
      <c r="F1575" s="22"/>
      <c r="G1575"/>
    </row>
    <row r="1576" spans="1:7">
      <c r="A1576" s="17"/>
      <c r="B1576" s="18"/>
      <c r="C1576" s="17"/>
      <c r="D1576" s="18"/>
      <c r="E1576" s="17"/>
      <c r="F1576" s="22"/>
      <c r="G1576"/>
    </row>
    <row r="1577" spans="1:7">
      <c r="A1577" s="17"/>
      <c r="B1577" s="18"/>
      <c r="C1577" s="17"/>
      <c r="D1577" s="18"/>
      <c r="E1577" s="17"/>
      <c r="F1577" s="22"/>
      <c r="G1577"/>
    </row>
    <row r="1578" spans="1:7">
      <c r="A1578" s="17"/>
      <c r="B1578" s="18"/>
      <c r="C1578" s="17"/>
      <c r="D1578" s="18"/>
      <c r="E1578" s="17"/>
      <c r="F1578" s="22"/>
      <c r="G1578"/>
    </row>
    <row r="1579" spans="1:7">
      <c r="A1579" s="17"/>
      <c r="B1579" s="18"/>
      <c r="C1579" s="17"/>
      <c r="D1579" s="18"/>
      <c r="E1579" s="17"/>
      <c r="F1579" s="22"/>
      <c r="G1579"/>
    </row>
    <row r="1580" spans="1:7">
      <c r="A1580" s="17"/>
      <c r="B1580" s="18"/>
      <c r="C1580" s="17"/>
      <c r="D1580" s="18"/>
      <c r="E1580" s="17"/>
      <c r="F1580" s="22"/>
      <c r="G1580"/>
    </row>
    <row r="1581" spans="1:7">
      <c r="A1581" s="17"/>
      <c r="B1581" s="18"/>
      <c r="C1581" s="17"/>
      <c r="D1581" s="18"/>
      <c r="E1581" s="17"/>
      <c r="F1581" s="22"/>
      <c r="G1581"/>
    </row>
    <row r="1582" spans="1:7">
      <c r="A1582" s="17"/>
      <c r="B1582" s="18"/>
      <c r="C1582" s="17"/>
      <c r="D1582" s="18"/>
      <c r="E1582" s="17"/>
      <c r="F1582" s="22"/>
      <c r="G1582"/>
    </row>
    <row r="1583" spans="1:7">
      <c r="A1583" s="17"/>
      <c r="B1583" s="18"/>
      <c r="C1583" s="17"/>
      <c r="D1583" s="18"/>
      <c r="E1583" s="17"/>
      <c r="F1583" s="22"/>
      <c r="G1583"/>
    </row>
    <row r="1584" spans="1:7">
      <c r="A1584" s="17"/>
      <c r="B1584" s="18"/>
      <c r="C1584" s="17"/>
      <c r="D1584" s="18"/>
      <c r="E1584" s="17"/>
      <c r="F1584" s="22"/>
      <c r="G1584"/>
    </row>
    <row r="1585" spans="1:7">
      <c r="A1585" s="17"/>
      <c r="B1585" s="18"/>
      <c r="C1585" s="17"/>
      <c r="D1585" s="18"/>
      <c r="E1585" s="17"/>
      <c r="F1585" s="22"/>
      <c r="G1585"/>
    </row>
    <row r="1586" spans="1:7">
      <c r="A1586" s="17"/>
      <c r="B1586" s="18"/>
      <c r="C1586" s="17"/>
      <c r="D1586" s="18"/>
      <c r="E1586" s="17"/>
      <c r="F1586" s="22"/>
      <c r="G1586"/>
    </row>
    <row r="1587" spans="1:7">
      <c r="A1587" s="17"/>
      <c r="B1587" s="18"/>
      <c r="C1587" s="17"/>
      <c r="D1587" s="18"/>
      <c r="E1587" s="17"/>
      <c r="F1587" s="22"/>
      <c r="G1587"/>
    </row>
    <row r="1588" spans="1:7">
      <c r="A1588" s="17"/>
      <c r="B1588" s="18"/>
      <c r="C1588" s="17"/>
      <c r="D1588" s="18"/>
      <c r="E1588" s="17"/>
      <c r="F1588" s="22"/>
      <c r="G1588"/>
    </row>
    <row r="1589" spans="1:7">
      <c r="A1589" s="17"/>
      <c r="B1589" s="18"/>
      <c r="C1589" s="17"/>
      <c r="D1589" s="18"/>
      <c r="E1589" s="17"/>
      <c r="F1589" s="22"/>
      <c r="G1589"/>
    </row>
    <row r="1590" spans="1:7">
      <c r="A1590" s="17"/>
      <c r="B1590" s="18"/>
      <c r="C1590" s="17"/>
      <c r="D1590" s="18"/>
      <c r="E1590" s="17"/>
      <c r="F1590" s="22"/>
      <c r="G1590"/>
    </row>
    <row r="1591" spans="1:7">
      <c r="A1591" s="17"/>
      <c r="B1591" s="18"/>
      <c r="C1591" s="17"/>
      <c r="D1591" s="18"/>
      <c r="E1591" s="17"/>
      <c r="F1591" s="22"/>
      <c r="G1591"/>
    </row>
    <row r="1592" spans="1:7">
      <c r="A1592" s="17"/>
      <c r="B1592" s="18"/>
      <c r="C1592" s="17"/>
      <c r="D1592" s="18"/>
      <c r="E1592" s="17"/>
      <c r="F1592" s="22"/>
      <c r="G1592"/>
    </row>
    <row r="1593" spans="1:7">
      <c r="A1593" s="17"/>
      <c r="B1593" s="18"/>
      <c r="C1593" s="17"/>
      <c r="D1593" s="18"/>
      <c r="E1593" s="17"/>
      <c r="F1593" s="22"/>
      <c r="G1593"/>
    </row>
    <row r="1594" spans="1:7">
      <c r="A1594" s="17"/>
      <c r="B1594" s="18"/>
      <c r="C1594" s="17"/>
      <c r="D1594" s="18"/>
      <c r="E1594" s="17"/>
      <c r="F1594" s="22"/>
      <c r="G1594"/>
    </row>
    <row r="1595" spans="1:7">
      <c r="A1595" s="17"/>
      <c r="B1595" s="18"/>
      <c r="C1595" s="17"/>
      <c r="D1595" s="18"/>
      <c r="E1595" s="17"/>
      <c r="F1595" s="22"/>
      <c r="G1595"/>
    </row>
    <row r="1596" spans="1:7">
      <c r="A1596" s="17"/>
      <c r="B1596" s="18"/>
      <c r="C1596" s="17"/>
      <c r="D1596" s="18"/>
      <c r="E1596" s="17"/>
      <c r="F1596" s="22"/>
      <c r="G1596"/>
    </row>
    <row r="1597" spans="1:7">
      <c r="A1597" s="17"/>
      <c r="B1597" s="18"/>
      <c r="C1597" s="17"/>
      <c r="D1597" s="18"/>
      <c r="E1597" s="17"/>
      <c r="F1597" s="22"/>
      <c r="G1597"/>
    </row>
    <row r="1598" spans="1:7">
      <c r="A1598" s="17"/>
      <c r="B1598" s="18"/>
      <c r="C1598" s="17"/>
      <c r="D1598" s="18"/>
      <c r="E1598" s="17"/>
      <c r="F1598" s="22"/>
      <c r="G1598"/>
    </row>
    <row r="1599" spans="1:7">
      <c r="A1599" s="17"/>
      <c r="B1599" s="18"/>
      <c r="C1599" s="17"/>
      <c r="D1599" s="18"/>
      <c r="E1599" s="17"/>
      <c r="F1599" s="22"/>
      <c r="G1599"/>
    </row>
    <row r="1600" spans="1:7">
      <c r="A1600" s="17"/>
      <c r="B1600" s="18"/>
      <c r="C1600" s="17"/>
      <c r="D1600" s="18"/>
      <c r="E1600" s="17"/>
      <c r="F1600" s="22"/>
      <c r="G1600"/>
    </row>
    <row r="1601" spans="1:7">
      <c r="A1601" s="17"/>
      <c r="B1601" s="18"/>
      <c r="C1601" s="17"/>
      <c r="D1601" s="18"/>
      <c r="E1601" s="17"/>
      <c r="F1601" s="22"/>
      <c r="G1601"/>
    </row>
    <row r="1602" spans="1:7">
      <c r="A1602" s="17"/>
      <c r="B1602" s="18"/>
      <c r="C1602" s="17"/>
      <c r="D1602" s="18"/>
      <c r="E1602" s="17"/>
      <c r="F1602" s="22"/>
      <c r="G1602"/>
    </row>
    <row r="1603" spans="1:7">
      <c r="A1603" s="17"/>
      <c r="B1603" s="18"/>
      <c r="C1603" s="17"/>
      <c r="D1603" s="18"/>
      <c r="E1603" s="17"/>
      <c r="F1603" s="22"/>
      <c r="G1603"/>
    </row>
    <row r="1604" spans="1:7">
      <c r="A1604" s="17"/>
      <c r="B1604" s="18"/>
      <c r="C1604" s="17"/>
      <c r="D1604" s="18"/>
      <c r="E1604" s="17"/>
      <c r="F1604" s="22"/>
      <c r="G1604"/>
    </row>
    <row r="1605" spans="1:7">
      <c r="A1605" s="17"/>
      <c r="B1605" s="18"/>
      <c r="C1605" s="17"/>
      <c r="D1605" s="18"/>
      <c r="E1605" s="17"/>
      <c r="F1605" s="22"/>
      <c r="G1605"/>
    </row>
    <row r="1606" spans="1:7">
      <c r="A1606" s="17"/>
      <c r="B1606" s="18"/>
      <c r="C1606" s="17"/>
      <c r="D1606" s="18"/>
      <c r="E1606" s="17"/>
      <c r="F1606" s="22"/>
      <c r="G1606"/>
    </row>
    <row r="1607" spans="1:7">
      <c r="A1607" s="17"/>
      <c r="B1607" s="18"/>
      <c r="C1607" s="17"/>
      <c r="D1607" s="18"/>
      <c r="E1607" s="17"/>
      <c r="F1607" s="22"/>
      <c r="G1607"/>
    </row>
    <row r="1608" spans="1:7">
      <c r="A1608" s="17"/>
      <c r="B1608" s="18"/>
      <c r="C1608" s="17"/>
      <c r="D1608" s="18"/>
      <c r="E1608" s="17"/>
      <c r="F1608" s="22"/>
      <c r="G1608"/>
    </row>
    <row r="1609" spans="1:7">
      <c r="A1609" s="17"/>
      <c r="B1609" s="18"/>
      <c r="C1609" s="17"/>
      <c r="D1609" s="18"/>
      <c r="E1609" s="17"/>
      <c r="F1609" s="22"/>
      <c r="G1609"/>
    </row>
    <row r="1610" spans="1:7">
      <c r="A1610" s="17"/>
      <c r="B1610" s="18"/>
      <c r="C1610" s="17"/>
      <c r="D1610" s="18"/>
      <c r="E1610" s="17"/>
      <c r="F1610" s="22"/>
      <c r="G1610"/>
    </row>
    <row r="1611" spans="1:7">
      <c r="A1611" s="17"/>
      <c r="B1611" s="18"/>
      <c r="C1611" s="17"/>
      <c r="D1611" s="18"/>
      <c r="E1611" s="17"/>
      <c r="F1611" s="22"/>
      <c r="G1611"/>
    </row>
    <row r="1612" spans="1:7">
      <c r="A1612" s="17"/>
      <c r="B1612" s="18"/>
      <c r="C1612" s="17"/>
      <c r="D1612" s="18"/>
      <c r="E1612" s="17"/>
      <c r="F1612" s="22"/>
      <c r="G1612"/>
    </row>
    <row r="1613" spans="1:7">
      <c r="A1613" s="17"/>
      <c r="B1613" s="18"/>
      <c r="C1613" s="17"/>
      <c r="D1613" s="18"/>
      <c r="E1613" s="17"/>
      <c r="F1613" s="22"/>
      <c r="G1613"/>
    </row>
    <row r="1614" spans="1:7">
      <c r="A1614" s="17"/>
      <c r="B1614" s="18"/>
      <c r="C1614" s="17"/>
      <c r="D1614" s="18"/>
      <c r="E1614" s="17"/>
      <c r="F1614" s="22"/>
      <c r="G1614"/>
    </row>
    <row r="1615" spans="1:7">
      <c r="A1615" s="17"/>
      <c r="B1615" s="18"/>
      <c r="C1615" s="17"/>
      <c r="D1615" s="18"/>
      <c r="E1615" s="17"/>
      <c r="F1615" s="22"/>
      <c r="G1615"/>
    </row>
    <row r="1616" spans="1:7">
      <c r="A1616" s="17"/>
      <c r="B1616" s="18"/>
      <c r="C1616" s="17"/>
      <c r="D1616" s="18"/>
      <c r="E1616" s="17"/>
      <c r="F1616" s="22"/>
      <c r="G1616"/>
    </row>
    <row r="1617" spans="1:7">
      <c r="A1617" s="17"/>
      <c r="B1617" s="18"/>
      <c r="C1617" s="17"/>
      <c r="D1617" s="18"/>
      <c r="E1617" s="17"/>
      <c r="F1617" s="22"/>
      <c r="G1617"/>
    </row>
    <row r="1618" spans="1:7">
      <c r="A1618" s="17"/>
      <c r="B1618" s="18"/>
      <c r="C1618" s="17"/>
      <c r="D1618" s="18"/>
      <c r="E1618" s="17"/>
      <c r="F1618" s="22"/>
      <c r="G1618"/>
    </row>
    <row r="1619" spans="1:7">
      <c r="A1619" s="17"/>
      <c r="B1619" s="18"/>
      <c r="C1619" s="17"/>
      <c r="D1619" s="18"/>
      <c r="E1619" s="17"/>
      <c r="F1619" s="22"/>
      <c r="G1619"/>
    </row>
    <row r="1620" spans="1:7">
      <c r="A1620" s="17"/>
      <c r="B1620" s="18"/>
      <c r="C1620" s="17"/>
      <c r="D1620" s="18"/>
      <c r="E1620" s="17"/>
      <c r="F1620" s="22"/>
      <c r="G1620"/>
    </row>
    <row r="1621" spans="1:7">
      <c r="A1621" s="17"/>
      <c r="B1621" s="18"/>
      <c r="C1621" s="17"/>
      <c r="D1621" s="18"/>
      <c r="E1621" s="17"/>
      <c r="F1621" s="22"/>
      <c r="G1621"/>
    </row>
    <row r="1622" spans="1:7">
      <c r="A1622" s="17"/>
      <c r="B1622" s="18"/>
      <c r="C1622" s="17"/>
      <c r="D1622" s="18"/>
      <c r="E1622" s="17"/>
      <c r="F1622" s="22"/>
      <c r="G1622"/>
    </row>
    <row r="1623" spans="1:7">
      <c r="A1623" s="17"/>
      <c r="B1623" s="18"/>
      <c r="C1623" s="17"/>
      <c r="D1623" s="18"/>
      <c r="E1623" s="17"/>
      <c r="F1623" s="22"/>
      <c r="G1623"/>
    </row>
    <row r="1624" spans="1:7">
      <c r="A1624" s="17"/>
      <c r="B1624" s="18"/>
      <c r="C1624" s="17"/>
      <c r="D1624" s="18"/>
      <c r="E1624" s="17"/>
      <c r="F1624" s="22"/>
      <c r="G1624"/>
    </row>
    <row r="1625" spans="1:7">
      <c r="A1625" s="17"/>
      <c r="B1625" s="18"/>
      <c r="C1625" s="17"/>
      <c r="D1625" s="18"/>
      <c r="E1625" s="17"/>
      <c r="F1625" s="22"/>
      <c r="G1625"/>
    </row>
    <row r="1626" spans="1:7">
      <c r="A1626" s="17"/>
      <c r="B1626" s="18"/>
      <c r="C1626" s="17"/>
      <c r="D1626" s="18"/>
      <c r="E1626" s="17"/>
      <c r="F1626" s="22"/>
      <c r="G1626"/>
    </row>
    <row r="1627" spans="1:7">
      <c r="A1627" s="17"/>
      <c r="B1627" s="18"/>
      <c r="C1627" s="17"/>
      <c r="D1627" s="18"/>
      <c r="E1627" s="17"/>
      <c r="F1627" s="22"/>
      <c r="G1627"/>
    </row>
    <row r="1628" spans="1:7">
      <c r="A1628" s="17"/>
      <c r="B1628" s="18"/>
      <c r="C1628" s="17"/>
      <c r="D1628" s="18"/>
      <c r="E1628" s="17"/>
      <c r="F1628" s="22"/>
      <c r="G1628"/>
    </row>
    <row r="1629" spans="1:7">
      <c r="A1629" s="17"/>
      <c r="B1629" s="18"/>
      <c r="C1629" s="17"/>
      <c r="D1629" s="18"/>
      <c r="E1629" s="17"/>
      <c r="F1629" s="22"/>
      <c r="G1629"/>
    </row>
    <row r="1630" spans="1:7">
      <c r="A1630" s="17"/>
      <c r="B1630" s="18"/>
      <c r="C1630" s="17"/>
      <c r="D1630" s="18"/>
      <c r="E1630" s="17"/>
      <c r="F1630" s="22"/>
      <c r="G1630"/>
    </row>
    <row r="1631" spans="1:7">
      <c r="A1631" s="17"/>
      <c r="B1631" s="18"/>
      <c r="C1631" s="17"/>
      <c r="D1631" s="18"/>
      <c r="E1631" s="17"/>
      <c r="F1631" s="22"/>
      <c r="G1631"/>
    </row>
    <row r="1632" spans="1:7">
      <c r="A1632" s="17"/>
      <c r="B1632" s="18"/>
      <c r="C1632" s="17"/>
      <c r="D1632" s="18"/>
      <c r="E1632" s="17"/>
      <c r="F1632" s="22"/>
      <c r="G1632"/>
    </row>
    <row r="1633" spans="1:7">
      <c r="A1633" s="17"/>
      <c r="B1633" s="18"/>
      <c r="C1633" s="17"/>
      <c r="D1633" s="18"/>
      <c r="E1633" s="17"/>
      <c r="F1633" s="22"/>
      <c r="G1633"/>
    </row>
    <row r="1634" spans="1:7">
      <c r="A1634" s="17"/>
      <c r="B1634" s="18"/>
      <c r="C1634" s="17"/>
      <c r="D1634" s="18"/>
      <c r="E1634" s="17"/>
      <c r="F1634" s="22"/>
      <c r="G1634"/>
    </row>
    <row r="1635" spans="1:7">
      <c r="A1635" s="17"/>
      <c r="B1635" s="18"/>
      <c r="C1635" s="17"/>
      <c r="D1635" s="18"/>
      <c r="E1635" s="17"/>
      <c r="F1635" s="22"/>
      <c r="G1635"/>
    </row>
    <row r="1636" spans="1:7">
      <c r="A1636" s="17"/>
      <c r="B1636" s="18"/>
      <c r="C1636" s="17"/>
      <c r="D1636" s="18"/>
      <c r="E1636" s="17"/>
      <c r="F1636" s="22"/>
      <c r="G1636"/>
    </row>
    <row r="1637" spans="1:7">
      <c r="A1637" s="17"/>
      <c r="B1637" s="18"/>
      <c r="C1637" s="17"/>
      <c r="D1637" s="18"/>
      <c r="E1637" s="17"/>
      <c r="F1637" s="22"/>
      <c r="G1637"/>
    </row>
    <row r="1638" spans="1:7">
      <c r="A1638" s="17"/>
      <c r="B1638" s="18"/>
      <c r="C1638" s="17"/>
      <c r="D1638" s="18"/>
      <c r="E1638" s="17"/>
      <c r="F1638" s="22"/>
      <c r="G1638"/>
    </row>
    <row r="1639" spans="1:7">
      <c r="A1639" s="17"/>
      <c r="B1639" s="18"/>
      <c r="C1639" s="17"/>
      <c r="D1639" s="18"/>
      <c r="E1639" s="17"/>
      <c r="F1639" s="22"/>
      <c r="G1639"/>
    </row>
    <row r="1640" spans="1:7">
      <c r="A1640" s="17"/>
      <c r="B1640" s="18"/>
      <c r="C1640" s="17"/>
      <c r="D1640" s="18"/>
      <c r="E1640" s="17"/>
      <c r="F1640" s="22"/>
      <c r="G1640"/>
    </row>
    <row r="1641" spans="1:7">
      <c r="A1641" s="17"/>
      <c r="B1641" s="18"/>
      <c r="C1641" s="17"/>
      <c r="D1641" s="18"/>
      <c r="E1641" s="17"/>
      <c r="F1641" s="22"/>
      <c r="G1641"/>
    </row>
    <row r="1642" spans="1:7">
      <c r="A1642" s="17"/>
      <c r="B1642" s="18"/>
      <c r="C1642" s="17"/>
      <c r="D1642" s="18"/>
      <c r="E1642" s="17"/>
      <c r="F1642" s="22"/>
      <c r="G1642"/>
    </row>
    <row r="1643" spans="1:7">
      <c r="A1643" s="17"/>
      <c r="B1643" s="18"/>
      <c r="C1643" s="17"/>
      <c r="D1643" s="18"/>
      <c r="E1643" s="17"/>
      <c r="F1643" s="22"/>
      <c r="G1643"/>
    </row>
    <row r="1644" spans="1:7">
      <c r="A1644" s="17"/>
      <c r="B1644" s="18"/>
      <c r="C1644" s="17"/>
      <c r="D1644" s="18"/>
      <c r="E1644" s="17"/>
      <c r="F1644" s="22"/>
      <c r="G1644"/>
    </row>
    <row r="1645" spans="1:7">
      <c r="A1645" s="17"/>
      <c r="B1645" s="18"/>
      <c r="C1645" s="17"/>
      <c r="D1645" s="18"/>
      <c r="E1645" s="17"/>
      <c r="F1645" s="22"/>
      <c r="G1645"/>
    </row>
    <row r="1646" spans="1:7">
      <c r="A1646" s="17"/>
      <c r="B1646" s="18"/>
      <c r="C1646" s="17"/>
      <c r="D1646" s="18"/>
      <c r="E1646" s="17"/>
      <c r="F1646" s="22"/>
      <c r="G1646"/>
    </row>
    <row r="1647" spans="1:7">
      <c r="A1647" s="17"/>
      <c r="B1647" s="18"/>
      <c r="C1647" s="17"/>
      <c r="D1647" s="18"/>
      <c r="E1647" s="17"/>
      <c r="F1647" s="22"/>
      <c r="G1647"/>
    </row>
    <row r="1648" spans="1:7">
      <c r="A1648" s="17"/>
      <c r="B1648" s="18"/>
      <c r="C1648" s="17"/>
      <c r="D1648" s="18"/>
      <c r="E1648" s="17"/>
      <c r="F1648" s="22"/>
      <c r="G1648"/>
    </row>
    <row r="1649" spans="1:7">
      <c r="A1649" s="17"/>
      <c r="B1649" s="18"/>
      <c r="C1649" s="17"/>
      <c r="D1649" s="18"/>
      <c r="E1649" s="17"/>
      <c r="F1649" s="22"/>
      <c r="G1649"/>
    </row>
    <row r="1650" spans="1:7">
      <c r="A1650" s="17"/>
      <c r="B1650" s="18"/>
      <c r="C1650" s="17"/>
      <c r="D1650" s="18"/>
      <c r="E1650" s="17"/>
      <c r="F1650" s="22"/>
      <c r="G1650"/>
    </row>
    <row r="1651" spans="1:7">
      <c r="A1651" s="17"/>
      <c r="B1651" s="18"/>
      <c r="C1651" s="17"/>
      <c r="D1651" s="18"/>
      <c r="E1651" s="17"/>
      <c r="F1651" s="22"/>
      <c r="G1651"/>
    </row>
    <row r="1652" spans="1:7">
      <c r="A1652" s="17"/>
      <c r="B1652" s="18"/>
      <c r="C1652" s="17"/>
      <c r="D1652" s="18"/>
      <c r="E1652" s="17"/>
      <c r="F1652" s="22"/>
      <c r="G1652"/>
    </row>
    <row r="1653" spans="1:7">
      <c r="A1653" s="17"/>
      <c r="B1653" s="18"/>
      <c r="C1653" s="17"/>
      <c r="D1653" s="18"/>
      <c r="E1653" s="17"/>
      <c r="F1653" s="22"/>
      <c r="G1653"/>
    </row>
    <row r="1654" spans="1:7">
      <c r="A1654" s="17"/>
      <c r="B1654" s="18"/>
      <c r="C1654" s="17"/>
      <c r="D1654" s="18"/>
      <c r="E1654" s="17"/>
      <c r="F1654" s="22"/>
      <c r="G1654"/>
    </row>
    <row r="1655" spans="1:7">
      <c r="A1655" s="17"/>
      <c r="B1655" s="18"/>
      <c r="C1655" s="17"/>
      <c r="D1655" s="18"/>
      <c r="E1655" s="17"/>
      <c r="F1655" s="22"/>
      <c r="G1655"/>
    </row>
    <row r="1656" spans="1:7">
      <c r="A1656" s="17"/>
      <c r="B1656" s="18"/>
      <c r="C1656" s="17"/>
      <c r="D1656" s="18"/>
      <c r="E1656" s="17"/>
      <c r="F1656" s="22"/>
      <c r="G1656"/>
    </row>
    <row r="1657" spans="1:7">
      <c r="A1657" s="17"/>
      <c r="B1657" s="18"/>
      <c r="C1657" s="17"/>
      <c r="D1657" s="18"/>
      <c r="E1657" s="17"/>
      <c r="F1657" s="22"/>
      <c r="G1657"/>
    </row>
    <row r="1658" spans="1:7">
      <c r="A1658" s="17"/>
      <c r="B1658" s="18"/>
      <c r="C1658" s="17"/>
      <c r="D1658" s="18"/>
      <c r="E1658" s="17"/>
      <c r="F1658" s="22"/>
      <c r="G1658"/>
    </row>
    <row r="1659" spans="1:7">
      <c r="A1659" s="17"/>
      <c r="B1659" s="18"/>
      <c r="C1659" s="17"/>
      <c r="D1659" s="18"/>
      <c r="E1659" s="17"/>
      <c r="F1659" s="22"/>
      <c r="G1659"/>
    </row>
    <row r="1660" spans="1:7">
      <c r="A1660" s="17"/>
      <c r="B1660" s="18"/>
      <c r="C1660" s="17"/>
      <c r="D1660" s="18"/>
      <c r="E1660" s="17"/>
      <c r="F1660" s="22"/>
      <c r="G1660"/>
    </row>
    <row r="1661" spans="1:7">
      <c r="A1661" s="17"/>
      <c r="B1661" s="18"/>
      <c r="C1661" s="17"/>
      <c r="D1661" s="18"/>
      <c r="E1661" s="17"/>
      <c r="F1661" s="22"/>
      <c r="G1661"/>
    </row>
    <row r="1662" spans="1:7">
      <c r="A1662" s="17"/>
      <c r="B1662" s="18"/>
      <c r="C1662" s="17"/>
      <c r="D1662" s="18"/>
      <c r="E1662" s="17"/>
      <c r="F1662" s="22"/>
      <c r="G1662"/>
    </row>
    <row r="1663" spans="1:7">
      <c r="A1663" s="17"/>
      <c r="B1663" s="18"/>
      <c r="C1663" s="17"/>
      <c r="D1663" s="18"/>
      <c r="E1663" s="17"/>
      <c r="F1663" s="22"/>
      <c r="G1663"/>
    </row>
    <row r="1664" spans="1:7">
      <c r="A1664" s="17"/>
      <c r="B1664" s="18"/>
      <c r="C1664" s="17"/>
      <c r="D1664" s="18"/>
      <c r="E1664" s="17"/>
      <c r="F1664" s="22"/>
      <c r="G1664"/>
    </row>
    <row r="1665" spans="1:7">
      <c r="A1665" s="17"/>
      <c r="B1665" s="18"/>
      <c r="C1665" s="17"/>
      <c r="D1665" s="18"/>
      <c r="E1665" s="17"/>
      <c r="F1665" s="22"/>
      <c r="G1665"/>
    </row>
    <row r="1666" spans="1:7">
      <c r="A1666" s="17"/>
      <c r="B1666" s="18"/>
      <c r="C1666" s="17"/>
      <c r="D1666" s="18"/>
      <c r="E1666" s="17"/>
      <c r="F1666" s="22"/>
      <c r="G1666"/>
    </row>
    <row r="1667" spans="1:7">
      <c r="A1667" s="17"/>
      <c r="B1667" s="18"/>
      <c r="C1667" s="17"/>
      <c r="D1667" s="18"/>
      <c r="E1667" s="17"/>
      <c r="F1667" s="22"/>
      <c r="G1667"/>
    </row>
    <row r="1668" spans="1:7">
      <c r="A1668" s="17"/>
      <c r="B1668" s="18"/>
      <c r="C1668" s="17"/>
      <c r="D1668" s="18"/>
      <c r="E1668" s="17"/>
      <c r="F1668" s="22"/>
      <c r="G1668"/>
    </row>
    <row r="1669" spans="1:7">
      <c r="A1669" s="17"/>
      <c r="B1669" s="18"/>
      <c r="C1669" s="17"/>
      <c r="D1669" s="18"/>
      <c r="E1669" s="17"/>
      <c r="F1669" s="22"/>
      <c r="G1669"/>
    </row>
    <row r="1670" spans="1:7">
      <c r="A1670" s="17"/>
      <c r="B1670" s="18"/>
      <c r="C1670" s="17"/>
      <c r="D1670" s="18"/>
      <c r="E1670" s="17"/>
      <c r="F1670" s="22"/>
      <c r="G1670"/>
    </row>
    <row r="1671" spans="1:7">
      <c r="A1671" s="17"/>
      <c r="B1671" s="18"/>
      <c r="C1671" s="17"/>
      <c r="D1671" s="18"/>
      <c r="E1671" s="17"/>
      <c r="F1671" s="22"/>
      <c r="G1671"/>
    </row>
    <row r="1672" spans="1:7">
      <c r="A1672" s="17"/>
      <c r="B1672" s="18"/>
      <c r="C1672" s="17"/>
      <c r="D1672" s="18"/>
      <c r="E1672" s="17"/>
      <c r="F1672" s="22"/>
      <c r="G1672"/>
    </row>
    <row r="1673" spans="1:7">
      <c r="A1673" s="17"/>
      <c r="B1673" s="18"/>
      <c r="C1673" s="17"/>
      <c r="D1673" s="18"/>
      <c r="E1673" s="17"/>
      <c r="F1673" s="22"/>
      <c r="G1673"/>
    </row>
    <row r="1674" spans="1:7">
      <c r="A1674" s="17"/>
      <c r="B1674" s="18"/>
      <c r="C1674" s="17"/>
      <c r="D1674" s="18"/>
      <c r="E1674" s="17"/>
      <c r="F1674" s="22"/>
      <c r="G1674"/>
    </row>
    <row r="1675" spans="1:7">
      <c r="A1675" s="17"/>
      <c r="B1675" s="18"/>
      <c r="C1675" s="17"/>
      <c r="D1675" s="18"/>
      <c r="E1675" s="17"/>
      <c r="F1675" s="22"/>
      <c r="G1675"/>
    </row>
    <row r="1676" spans="1:7">
      <c r="A1676" s="17"/>
      <c r="B1676" s="18"/>
      <c r="C1676" s="17"/>
      <c r="D1676" s="18"/>
      <c r="E1676" s="17"/>
      <c r="F1676" s="22"/>
      <c r="G1676"/>
    </row>
    <row r="1677" spans="1:7">
      <c r="A1677" s="17"/>
      <c r="B1677" s="18"/>
      <c r="C1677" s="17"/>
      <c r="D1677" s="18"/>
      <c r="E1677" s="17"/>
      <c r="F1677" s="22"/>
      <c r="G1677"/>
    </row>
    <row r="1678" spans="1:7">
      <c r="A1678" s="17"/>
      <c r="B1678" s="18"/>
      <c r="C1678" s="17"/>
      <c r="D1678" s="18"/>
      <c r="E1678" s="17"/>
      <c r="F1678" s="22"/>
      <c r="G1678"/>
    </row>
    <row r="1679" spans="1:7">
      <c r="A1679" s="17"/>
      <c r="B1679" s="18"/>
      <c r="C1679" s="17"/>
      <c r="D1679" s="18"/>
      <c r="E1679" s="17"/>
      <c r="F1679" s="22"/>
      <c r="G1679"/>
    </row>
    <row r="1680" spans="1:7">
      <c r="A1680" s="17"/>
      <c r="B1680" s="18"/>
      <c r="C1680" s="19"/>
      <c r="D1680" s="18"/>
      <c r="E1680" s="17"/>
      <c r="F1680" s="22"/>
      <c r="G1680"/>
    </row>
    <row r="1681" spans="1:7">
      <c r="A1681" s="17"/>
      <c r="B1681" s="18"/>
      <c r="C1681" s="19"/>
      <c r="D1681" s="18"/>
      <c r="E1681" s="17"/>
      <c r="F1681" s="22"/>
      <c r="G1681"/>
    </row>
    <row r="1682" spans="1:7">
      <c r="A1682" s="17"/>
      <c r="B1682" s="18"/>
      <c r="C1682" s="19"/>
      <c r="D1682" s="18"/>
      <c r="E1682" s="17"/>
      <c r="F1682" s="22"/>
      <c r="G1682"/>
    </row>
    <row r="1683" spans="1:7">
      <c r="A1683" s="17"/>
      <c r="B1683" s="18"/>
      <c r="C1683" s="19"/>
      <c r="D1683" s="18"/>
      <c r="E1683" s="17"/>
      <c r="F1683" s="22"/>
      <c r="G1683"/>
    </row>
    <row r="1684" spans="1:7">
      <c r="A1684" s="17"/>
      <c r="B1684" s="18"/>
      <c r="C1684" s="19"/>
      <c r="D1684" s="18"/>
      <c r="E1684" s="17"/>
      <c r="F1684" s="22"/>
      <c r="G1684"/>
    </row>
    <row r="1685" spans="1:7">
      <c r="A1685" s="17"/>
      <c r="B1685" s="18"/>
      <c r="C1685" s="19"/>
      <c r="D1685" s="18"/>
      <c r="E1685" s="17"/>
      <c r="F1685" s="22"/>
      <c r="G1685"/>
    </row>
    <row r="1686" spans="1:7">
      <c r="A1686" s="17"/>
      <c r="B1686" s="18"/>
      <c r="C1686" s="17"/>
      <c r="D1686" s="18"/>
      <c r="E1686" s="17"/>
      <c r="F1686" s="22"/>
      <c r="G1686"/>
    </row>
    <row r="1687" spans="1:7">
      <c r="A1687" s="17"/>
      <c r="B1687" s="18"/>
      <c r="C1687" s="17"/>
      <c r="D1687" s="18"/>
      <c r="E1687" s="17"/>
      <c r="F1687" s="22"/>
      <c r="G1687"/>
    </row>
    <row r="1688" spans="1:7">
      <c r="A1688" s="17"/>
      <c r="B1688" s="18"/>
      <c r="C1688" s="17"/>
      <c r="D1688" s="18"/>
      <c r="E1688" s="17"/>
      <c r="F1688" s="22"/>
      <c r="G1688"/>
    </row>
    <row r="1689" spans="1:7">
      <c r="A1689" s="17"/>
      <c r="B1689" s="18"/>
      <c r="C1689" s="17"/>
      <c r="D1689" s="18"/>
      <c r="E1689" s="17"/>
      <c r="F1689" s="22"/>
      <c r="G1689"/>
    </row>
    <row r="1690" spans="1:7">
      <c r="A1690" s="17"/>
      <c r="B1690" s="18"/>
      <c r="C1690" s="17"/>
      <c r="D1690" s="18"/>
      <c r="E1690" s="17"/>
      <c r="F1690" s="22"/>
      <c r="G1690"/>
    </row>
    <row r="1691" spans="1:7">
      <c r="A1691" s="17"/>
      <c r="B1691" s="18"/>
      <c r="C1691" s="17"/>
      <c r="D1691" s="18"/>
      <c r="E1691" s="17"/>
      <c r="F1691" s="22"/>
      <c r="G1691"/>
    </row>
    <row r="1692" spans="1:7">
      <c r="A1692" s="17"/>
      <c r="B1692" s="18"/>
      <c r="C1692" s="17"/>
      <c r="D1692" s="18"/>
      <c r="E1692" s="17"/>
      <c r="F1692" s="22"/>
      <c r="G1692"/>
    </row>
    <row r="1693" spans="1:7">
      <c r="A1693" s="17"/>
      <c r="B1693" s="18"/>
      <c r="C1693" s="17"/>
      <c r="D1693" s="18"/>
      <c r="E1693" s="17"/>
      <c r="F1693" s="22"/>
      <c r="G1693"/>
    </row>
    <row r="1694" spans="1:7">
      <c r="A1694" s="17"/>
      <c r="B1694" s="18"/>
      <c r="C1694" s="17"/>
      <c r="D1694" s="18"/>
      <c r="E1694" s="17"/>
      <c r="F1694" s="22"/>
      <c r="G1694"/>
    </row>
    <row r="1695" spans="1:7">
      <c r="A1695" s="17"/>
      <c r="B1695" s="18"/>
      <c r="C1695" s="17"/>
      <c r="D1695" s="18"/>
      <c r="E1695" s="17"/>
      <c r="F1695" s="22"/>
      <c r="G1695"/>
    </row>
    <row r="1696" spans="1:7">
      <c r="A1696" s="17"/>
      <c r="B1696" s="18"/>
      <c r="C1696" s="17"/>
      <c r="D1696" s="18"/>
      <c r="E1696" s="17"/>
      <c r="F1696" s="22"/>
      <c r="G1696"/>
    </row>
    <row r="1697" spans="1:7">
      <c r="A1697" s="17"/>
      <c r="B1697" s="18"/>
      <c r="C1697" s="17"/>
      <c r="D1697" s="18"/>
      <c r="E1697" s="17"/>
      <c r="F1697" s="22"/>
      <c r="G1697"/>
    </row>
    <row r="1698" spans="1:7">
      <c r="A1698" s="17"/>
      <c r="B1698" s="18"/>
      <c r="C1698" s="17"/>
      <c r="D1698" s="18"/>
      <c r="E1698" s="17"/>
      <c r="F1698" s="22"/>
      <c r="G1698"/>
    </row>
    <row r="1699" spans="1:7">
      <c r="A1699" s="17"/>
      <c r="B1699" s="18"/>
      <c r="C1699" s="17"/>
      <c r="D1699" s="18"/>
      <c r="E1699" s="17"/>
      <c r="F1699" s="22"/>
      <c r="G1699"/>
    </row>
    <row r="1700" spans="1:7">
      <c r="A1700" s="17"/>
      <c r="B1700" s="18"/>
      <c r="C1700" s="17"/>
      <c r="D1700" s="18"/>
      <c r="E1700" s="17"/>
      <c r="F1700" s="22"/>
      <c r="G1700"/>
    </row>
    <row r="1701" spans="1:7">
      <c r="A1701" s="17"/>
      <c r="B1701" s="18"/>
      <c r="C1701" s="17"/>
      <c r="D1701" s="18"/>
      <c r="E1701" s="17"/>
      <c r="F1701" s="22"/>
      <c r="G1701"/>
    </row>
    <row r="1702" spans="1:7">
      <c r="A1702" s="17"/>
      <c r="B1702" s="18"/>
      <c r="C1702" s="17"/>
      <c r="D1702" s="18"/>
      <c r="E1702" s="17"/>
      <c r="F1702" s="22"/>
      <c r="G1702"/>
    </row>
    <row r="1703" spans="1:7">
      <c r="A1703" s="17"/>
      <c r="B1703" s="18"/>
      <c r="C1703" s="17"/>
      <c r="D1703" s="18"/>
      <c r="E1703" s="17"/>
      <c r="F1703" s="22"/>
      <c r="G1703"/>
    </row>
    <row r="1704" spans="1:7">
      <c r="A1704" s="17"/>
      <c r="B1704" s="18"/>
      <c r="C1704" s="17"/>
      <c r="D1704" s="18"/>
      <c r="E1704" s="17"/>
      <c r="F1704" s="22"/>
      <c r="G1704"/>
    </row>
    <row r="1705" spans="1:7">
      <c r="A1705" s="17"/>
      <c r="B1705" s="18"/>
      <c r="C1705" s="17"/>
      <c r="D1705" s="18"/>
      <c r="E1705" s="17"/>
      <c r="F1705" s="22"/>
      <c r="G1705"/>
    </row>
    <row r="1706" spans="1:7">
      <c r="A1706" s="17"/>
      <c r="B1706" s="18"/>
      <c r="C1706" s="17"/>
      <c r="D1706" s="18"/>
      <c r="E1706" s="17"/>
      <c r="F1706" s="22"/>
      <c r="G1706"/>
    </row>
    <row r="1707" spans="1:7">
      <c r="A1707" s="17"/>
      <c r="B1707" s="18"/>
      <c r="C1707" s="17"/>
      <c r="D1707" s="18"/>
      <c r="E1707" s="17"/>
      <c r="F1707" s="22"/>
      <c r="G1707"/>
    </row>
    <row r="1708" spans="1:7">
      <c r="A1708" s="17"/>
      <c r="B1708" s="18"/>
      <c r="C1708" s="17"/>
      <c r="D1708" s="18"/>
      <c r="E1708" s="17"/>
      <c r="F1708" s="22"/>
      <c r="G1708"/>
    </row>
    <row r="1709" spans="1:7">
      <c r="A1709" s="17"/>
      <c r="B1709" s="18"/>
      <c r="C1709" s="17"/>
      <c r="D1709" s="18"/>
      <c r="E1709" s="17"/>
      <c r="F1709" s="22"/>
      <c r="G1709"/>
    </row>
    <row r="1710" spans="1:7">
      <c r="A1710" s="17"/>
      <c r="B1710" s="18"/>
      <c r="C1710" s="17"/>
      <c r="D1710" s="18"/>
      <c r="E1710" s="17"/>
      <c r="F1710" s="22"/>
      <c r="G1710"/>
    </row>
    <row r="1711" spans="1:7">
      <c r="A1711" s="17"/>
      <c r="B1711" s="18"/>
      <c r="C1711" s="17"/>
      <c r="D1711" s="18"/>
      <c r="E1711" s="17"/>
      <c r="F1711" s="22"/>
      <c r="G1711"/>
    </row>
    <row r="1712" spans="1:7">
      <c r="A1712" s="17"/>
      <c r="B1712" s="18"/>
      <c r="C1712" s="17"/>
      <c r="D1712" s="18"/>
      <c r="E1712" s="17"/>
      <c r="F1712" s="22"/>
      <c r="G1712"/>
    </row>
    <row r="1713" spans="1:7">
      <c r="A1713" s="17"/>
      <c r="B1713" s="18"/>
      <c r="C1713" s="17"/>
      <c r="D1713" s="18"/>
      <c r="E1713" s="17"/>
      <c r="F1713" s="22"/>
      <c r="G1713"/>
    </row>
    <row r="1714" spans="1:7">
      <c r="A1714" s="17"/>
      <c r="B1714" s="18"/>
      <c r="C1714" s="17"/>
      <c r="D1714" s="18"/>
      <c r="E1714" s="17"/>
      <c r="F1714" s="22"/>
      <c r="G1714"/>
    </row>
    <row r="1715" spans="1:7">
      <c r="A1715" s="17"/>
      <c r="B1715" s="18"/>
      <c r="C1715" s="17"/>
      <c r="D1715" s="18"/>
      <c r="E1715" s="17"/>
      <c r="F1715" s="22"/>
      <c r="G1715"/>
    </row>
    <row r="1716" spans="1:7">
      <c r="A1716" s="17"/>
      <c r="B1716" s="18"/>
      <c r="C1716" s="17"/>
      <c r="D1716" s="18"/>
      <c r="E1716" s="17"/>
      <c r="F1716" s="22"/>
      <c r="G1716"/>
    </row>
    <row r="1717" spans="1:7">
      <c r="A1717" s="17"/>
      <c r="B1717" s="18"/>
      <c r="C1717" s="17"/>
      <c r="D1717" s="18"/>
      <c r="E1717" s="17"/>
      <c r="F1717" s="22"/>
      <c r="G1717"/>
    </row>
    <row r="1718" spans="1:7">
      <c r="A1718" s="17"/>
      <c r="B1718" s="18"/>
      <c r="C1718" s="17"/>
      <c r="D1718" s="18"/>
      <c r="E1718" s="17"/>
      <c r="F1718" s="22"/>
      <c r="G1718"/>
    </row>
    <row r="1719" spans="1:7">
      <c r="A1719" s="17"/>
      <c r="B1719" s="18"/>
      <c r="C1719" s="17"/>
      <c r="D1719" s="18"/>
      <c r="E1719" s="17"/>
      <c r="F1719" s="22"/>
      <c r="G1719"/>
    </row>
    <row r="1720" spans="1:7">
      <c r="A1720" s="17"/>
      <c r="B1720" s="18"/>
      <c r="C1720" s="17"/>
      <c r="D1720" s="18"/>
      <c r="E1720" s="17"/>
      <c r="F1720" s="22"/>
      <c r="G1720"/>
    </row>
    <row r="1721" spans="1:7">
      <c r="A1721" s="17"/>
      <c r="B1721" s="18"/>
      <c r="C1721" s="17"/>
      <c r="D1721" s="18"/>
      <c r="E1721" s="17"/>
      <c r="F1721" s="22"/>
      <c r="G1721"/>
    </row>
    <row r="1722" spans="1:7">
      <c r="A1722" s="17"/>
      <c r="B1722" s="18"/>
      <c r="C1722" s="17"/>
      <c r="D1722" s="18"/>
      <c r="E1722" s="17"/>
      <c r="F1722" s="22"/>
      <c r="G1722"/>
    </row>
    <row r="1723" spans="1:7">
      <c r="A1723" s="17"/>
      <c r="B1723" s="18"/>
      <c r="C1723" s="17"/>
      <c r="D1723" s="18"/>
      <c r="E1723" s="17"/>
      <c r="F1723" s="22"/>
      <c r="G1723"/>
    </row>
    <row r="1724" spans="1:7">
      <c r="A1724" s="17"/>
      <c r="B1724" s="18"/>
      <c r="C1724" s="17"/>
      <c r="D1724" s="18"/>
      <c r="E1724" s="17"/>
      <c r="F1724" s="22"/>
      <c r="G1724"/>
    </row>
    <row r="1725" spans="1:7">
      <c r="A1725" s="17"/>
      <c r="B1725" s="18"/>
      <c r="C1725" s="17"/>
      <c r="D1725" s="18"/>
      <c r="E1725" s="17"/>
      <c r="F1725" s="22"/>
      <c r="G1725"/>
    </row>
    <row r="1726" spans="1:7">
      <c r="A1726" s="17"/>
      <c r="B1726" s="18"/>
      <c r="C1726" s="17"/>
      <c r="D1726" s="18"/>
      <c r="E1726" s="17"/>
      <c r="F1726" s="22"/>
      <c r="G1726"/>
    </row>
    <row r="1727" spans="1:7">
      <c r="A1727" s="17"/>
      <c r="B1727" s="18"/>
      <c r="C1727" s="17"/>
      <c r="D1727" s="18"/>
      <c r="E1727" s="17"/>
      <c r="F1727" s="22"/>
      <c r="G1727"/>
    </row>
    <row r="1728" spans="1:7">
      <c r="A1728" s="17"/>
      <c r="B1728" s="18"/>
      <c r="C1728" s="17"/>
      <c r="D1728" s="18"/>
      <c r="E1728" s="17"/>
      <c r="F1728" s="22"/>
      <c r="G1728"/>
    </row>
    <row r="1729" spans="1:7">
      <c r="A1729" s="17"/>
      <c r="B1729" s="18"/>
      <c r="C1729" s="17"/>
      <c r="D1729" s="18"/>
      <c r="E1729" s="17"/>
      <c r="F1729" s="22"/>
      <c r="G1729"/>
    </row>
    <row r="1730" spans="1:7">
      <c r="A1730" s="17"/>
      <c r="B1730" s="18"/>
      <c r="C1730" s="17"/>
      <c r="D1730" s="18"/>
      <c r="E1730" s="17"/>
      <c r="F1730" s="22"/>
      <c r="G1730"/>
    </row>
    <row r="1731" spans="1:7">
      <c r="A1731" s="17"/>
      <c r="B1731" s="18"/>
      <c r="C1731" s="17"/>
      <c r="D1731" s="18"/>
      <c r="E1731" s="17"/>
      <c r="F1731" s="22"/>
      <c r="G1731"/>
    </row>
    <row r="1732" spans="1:7">
      <c r="A1732" s="17"/>
      <c r="B1732" s="18"/>
      <c r="C1732" s="17"/>
      <c r="D1732" s="18"/>
      <c r="E1732" s="17"/>
      <c r="F1732" s="22"/>
      <c r="G1732"/>
    </row>
    <row r="1733" spans="1:7">
      <c r="A1733" s="17"/>
      <c r="B1733" s="18"/>
      <c r="C1733" s="17"/>
      <c r="D1733" s="18"/>
      <c r="E1733" s="17"/>
      <c r="F1733" s="22"/>
      <c r="G1733"/>
    </row>
    <row r="1734" spans="1:7">
      <c r="A1734" s="17"/>
      <c r="B1734" s="18"/>
      <c r="C1734" s="17"/>
      <c r="D1734" s="18"/>
      <c r="E1734" s="17"/>
      <c r="F1734" s="22"/>
      <c r="G1734"/>
    </row>
    <row r="1735" spans="1:7">
      <c r="A1735" s="17"/>
      <c r="B1735" s="18"/>
      <c r="C1735" s="17"/>
      <c r="D1735" s="18"/>
      <c r="E1735" s="17"/>
      <c r="F1735" s="22"/>
      <c r="G1735"/>
    </row>
    <row r="1736" spans="1:7">
      <c r="A1736" s="17"/>
      <c r="B1736" s="18"/>
      <c r="C1736" s="17"/>
      <c r="D1736" s="18"/>
      <c r="E1736" s="17"/>
      <c r="F1736" s="22"/>
      <c r="G1736"/>
    </row>
    <row r="1737" spans="1:7">
      <c r="A1737" s="17"/>
      <c r="B1737" s="18"/>
      <c r="C1737" s="17"/>
      <c r="D1737" s="18"/>
      <c r="E1737" s="17"/>
      <c r="F1737" s="22"/>
      <c r="G1737"/>
    </row>
    <row r="1738" spans="1:7">
      <c r="A1738" s="17"/>
      <c r="B1738" s="18"/>
      <c r="C1738" s="17"/>
      <c r="D1738" s="18"/>
      <c r="E1738" s="17"/>
      <c r="F1738" s="22"/>
      <c r="G1738"/>
    </row>
    <row r="1739" spans="1:7">
      <c r="A1739" s="17"/>
      <c r="B1739" s="18"/>
      <c r="C1739" s="17"/>
      <c r="D1739" s="18"/>
      <c r="E1739" s="17"/>
      <c r="F1739" s="22"/>
      <c r="G1739"/>
    </row>
    <row r="1740" spans="1:7">
      <c r="A1740" s="17"/>
      <c r="B1740" s="18"/>
      <c r="C1740" s="17"/>
      <c r="D1740" s="18"/>
      <c r="E1740" s="17"/>
      <c r="F1740" s="22"/>
      <c r="G1740"/>
    </row>
    <row r="1741" spans="1:7">
      <c r="A1741" s="17"/>
      <c r="B1741" s="18"/>
      <c r="C1741" s="17"/>
      <c r="D1741" s="18"/>
      <c r="E1741" s="17"/>
      <c r="F1741" s="22"/>
      <c r="G1741"/>
    </row>
    <row r="1742" spans="1:7">
      <c r="A1742" s="17"/>
      <c r="B1742" s="18"/>
      <c r="C1742" s="17"/>
      <c r="D1742" s="18"/>
      <c r="E1742" s="17"/>
      <c r="F1742" s="22"/>
      <c r="G1742"/>
    </row>
    <row r="1743" spans="1:7">
      <c r="A1743" s="17"/>
      <c r="B1743" s="18"/>
      <c r="C1743" s="17"/>
      <c r="D1743" s="18"/>
      <c r="E1743" s="17"/>
      <c r="F1743" s="22"/>
      <c r="G1743"/>
    </row>
    <row r="1744" spans="1:7">
      <c r="A1744" s="17"/>
      <c r="B1744" s="18"/>
      <c r="C1744" s="17"/>
      <c r="D1744" s="18"/>
      <c r="E1744" s="17"/>
      <c r="F1744" s="22"/>
      <c r="G1744"/>
    </row>
    <row r="1745" spans="1:7">
      <c r="A1745" s="17"/>
      <c r="B1745" s="18"/>
      <c r="C1745" s="17"/>
      <c r="D1745" s="18"/>
      <c r="E1745" s="17"/>
      <c r="F1745" s="22"/>
      <c r="G1745"/>
    </row>
    <row r="1746" spans="1:7">
      <c r="A1746" s="17"/>
      <c r="B1746" s="18"/>
      <c r="C1746" s="17"/>
      <c r="D1746" s="18"/>
      <c r="E1746" s="17"/>
      <c r="F1746" s="22"/>
      <c r="G1746"/>
    </row>
    <row r="1747" spans="1:7">
      <c r="A1747" s="17"/>
      <c r="B1747" s="18"/>
      <c r="C1747" s="17"/>
      <c r="D1747" s="18"/>
      <c r="E1747" s="17"/>
      <c r="F1747" s="22"/>
      <c r="G1747"/>
    </row>
    <row r="1748" spans="1:7">
      <c r="A1748" s="17"/>
      <c r="B1748" s="18"/>
      <c r="C1748" s="17"/>
      <c r="D1748" s="18"/>
      <c r="E1748" s="17"/>
      <c r="F1748" s="22"/>
      <c r="G1748"/>
    </row>
    <row r="1749" spans="1:7">
      <c r="A1749" s="17"/>
      <c r="B1749" s="18"/>
      <c r="C1749" s="17"/>
      <c r="D1749" s="18"/>
      <c r="E1749" s="17"/>
      <c r="F1749" s="22"/>
      <c r="G1749"/>
    </row>
    <row r="1750" spans="1:7">
      <c r="A1750" s="17"/>
      <c r="B1750" s="18"/>
      <c r="C1750" s="17"/>
      <c r="D1750" s="18"/>
      <c r="E1750" s="17"/>
      <c r="F1750" s="22"/>
      <c r="G1750"/>
    </row>
    <row r="1751" spans="1:7">
      <c r="A1751" s="17"/>
      <c r="B1751" s="18"/>
      <c r="C1751" s="17"/>
      <c r="D1751" s="18"/>
      <c r="E1751" s="17"/>
      <c r="F1751" s="22"/>
      <c r="G1751"/>
    </row>
    <row r="1752" spans="1:7">
      <c r="A1752" s="17"/>
      <c r="B1752" s="18"/>
      <c r="C1752" s="17"/>
      <c r="D1752" s="18"/>
      <c r="E1752" s="17"/>
      <c r="F1752" s="22"/>
      <c r="G1752"/>
    </row>
    <row r="1753" spans="1:7">
      <c r="A1753" s="17"/>
      <c r="B1753" s="18"/>
      <c r="C1753" s="17"/>
      <c r="D1753" s="18"/>
      <c r="E1753" s="17"/>
      <c r="F1753" s="22"/>
      <c r="G1753"/>
    </row>
    <row r="1754" spans="1:7">
      <c r="A1754" s="17"/>
      <c r="B1754" s="18"/>
      <c r="C1754" s="17"/>
      <c r="D1754" s="18"/>
      <c r="E1754" s="17"/>
      <c r="F1754" s="22"/>
      <c r="G1754"/>
    </row>
    <row r="1755" spans="1:7">
      <c r="A1755" s="17"/>
      <c r="B1755" s="18"/>
      <c r="C1755" s="17"/>
      <c r="D1755" s="18"/>
      <c r="E1755" s="17"/>
      <c r="F1755" s="22"/>
      <c r="G1755"/>
    </row>
    <row r="1756" spans="1:7">
      <c r="A1756" s="17"/>
      <c r="B1756" s="18"/>
      <c r="C1756" s="17"/>
      <c r="D1756" s="18"/>
      <c r="E1756" s="17"/>
      <c r="F1756" s="22"/>
      <c r="G1756"/>
    </row>
    <row r="1757" spans="1:7">
      <c r="A1757" s="17"/>
      <c r="B1757" s="18"/>
      <c r="C1757" s="17"/>
      <c r="D1757" s="18"/>
      <c r="E1757" s="17"/>
      <c r="F1757" s="22"/>
      <c r="G1757"/>
    </row>
    <row r="1758" spans="1:7">
      <c r="A1758" s="17"/>
      <c r="B1758" s="18"/>
      <c r="C1758" s="17"/>
      <c r="D1758" s="18"/>
      <c r="E1758" s="17"/>
      <c r="F1758" s="22"/>
      <c r="G1758"/>
    </row>
    <row r="1759" spans="1:7">
      <c r="A1759" s="17"/>
      <c r="B1759" s="18"/>
      <c r="C1759" s="17"/>
      <c r="D1759" s="18"/>
      <c r="E1759" s="17"/>
      <c r="F1759" s="22"/>
      <c r="G1759"/>
    </row>
    <row r="1760" spans="1:7">
      <c r="A1760" s="17"/>
      <c r="B1760" s="18"/>
      <c r="C1760" s="17"/>
      <c r="D1760" s="18"/>
      <c r="E1760" s="17"/>
      <c r="F1760" s="22"/>
      <c r="G1760"/>
    </row>
    <row r="1761" spans="1:7">
      <c r="A1761" s="17"/>
      <c r="B1761" s="18"/>
      <c r="C1761" s="17"/>
      <c r="D1761" s="18"/>
      <c r="E1761" s="17"/>
      <c r="F1761" s="22"/>
      <c r="G1761"/>
    </row>
    <row r="1762" spans="1:7">
      <c r="A1762" s="17"/>
      <c r="B1762" s="18"/>
      <c r="C1762" s="17"/>
      <c r="D1762" s="18"/>
      <c r="E1762" s="17"/>
      <c r="F1762" s="22"/>
      <c r="G1762"/>
    </row>
    <row r="1763" spans="1:7">
      <c r="A1763" s="17"/>
      <c r="B1763" s="18"/>
      <c r="C1763" s="17"/>
      <c r="D1763" s="18"/>
      <c r="E1763" s="17"/>
      <c r="F1763" s="22"/>
      <c r="G1763"/>
    </row>
    <row r="1764" spans="1:7">
      <c r="A1764" s="17"/>
      <c r="B1764" s="18"/>
      <c r="C1764" s="17"/>
      <c r="D1764" s="18"/>
      <c r="E1764" s="17"/>
      <c r="F1764" s="22"/>
      <c r="G1764"/>
    </row>
    <row r="1765" spans="1:7">
      <c r="A1765" s="17"/>
      <c r="B1765" s="18"/>
      <c r="C1765" s="17"/>
      <c r="D1765" s="18"/>
      <c r="E1765" s="17"/>
      <c r="F1765" s="22"/>
      <c r="G1765"/>
    </row>
    <row r="1766" spans="1:7">
      <c r="A1766" s="17"/>
      <c r="B1766" s="18"/>
      <c r="C1766" s="17"/>
      <c r="D1766" s="18"/>
      <c r="E1766" s="17"/>
      <c r="F1766" s="22"/>
      <c r="G1766"/>
    </row>
    <row r="1767" spans="1:7">
      <c r="A1767" s="17"/>
      <c r="B1767" s="18"/>
      <c r="C1767" s="17"/>
      <c r="D1767" s="18"/>
      <c r="E1767" s="17"/>
      <c r="F1767" s="22"/>
      <c r="G1767"/>
    </row>
    <row r="1768" spans="1:7">
      <c r="A1768" s="17"/>
      <c r="B1768" s="18"/>
      <c r="C1768" s="17"/>
      <c r="D1768" s="18"/>
      <c r="E1768" s="17"/>
      <c r="F1768" s="22"/>
      <c r="G1768"/>
    </row>
    <row r="1769" spans="1:7">
      <c r="A1769" s="17"/>
      <c r="B1769" s="18"/>
      <c r="C1769" s="17"/>
      <c r="D1769" s="18"/>
      <c r="E1769" s="17"/>
      <c r="F1769" s="22"/>
      <c r="G1769"/>
    </row>
    <row r="1770" spans="1:7">
      <c r="A1770" s="17"/>
      <c r="B1770" s="18"/>
      <c r="C1770" s="17"/>
      <c r="D1770" s="18"/>
      <c r="E1770" s="17"/>
      <c r="F1770" s="22"/>
      <c r="G1770"/>
    </row>
    <row r="1771" spans="1:7">
      <c r="A1771" s="17"/>
      <c r="B1771" s="18"/>
      <c r="C1771" s="17"/>
      <c r="D1771" s="18"/>
      <c r="E1771" s="17"/>
      <c r="F1771" s="22"/>
      <c r="G1771"/>
    </row>
    <row r="1772" spans="1:7">
      <c r="A1772" s="17"/>
      <c r="B1772" s="18"/>
      <c r="C1772" s="17"/>
      <c r="D1772" s="18"/>
      <c r="E1772" s="17"/>
      <c r="F1772" s="22"/>
      <c r="G1772"/>
    </row>
    <row r="1773" spans="1:7">
      <c r="A1773" s="17"/>
      <c r="B1773" s="18"/>
      <c r="C1773" s="17"/>
      <c r="D1773" s="18"/>
      <c r="E1773" s="17"/>
      <c r="F1773" s="22"/>
      <c r="G1773"/>
    </row>
    <row r="1774" spans="1:7">
      <c r="A1774" s="17"/>
      <c r="B1774" s="18"/>
      <c r="C1774" s="17"/>
      <c r="D1774" s="18"/>
      <c r="E1774" s="17"/>
      <c r="F1774" s="22"/>
      <c r="G1774"/>
    </row>
    <row r="1775" spans="1:7">
      <c r="A1775" s="17"/>
      <c r="B1775" s="18"/>
      <c r="C1775" s="17"/>
      <c r="D1775" s="18"/>
      <c r="E1775" s="17"/>
      <c r="F1775" s="22"/>
      <c r="G1775"/>
    </row>
    <row r="1776" spans="1:7">
      <c r="A1776" s="17"/>
      <c r="B1776" s="18"/>
      <c r="C1776" s="17"/>
      <c r="D1776" s="18"/>
      <c r="E1776" s="17"/>
      <c r="F1776" s="22"/>
      <c r="G1776"/>
    </row>
    <row r="1777" spans="1:7">
      <c r="A1777" s="17"/>
      <c r="B1777" s="18"/>
      <c r="C1777" s="17"/>
      <c r="D1777" s="18"/>
      <c r="E1777" s="17"/>
      <c r="F1777" s="22"/>
      <c r="G1777"/>
    </row>
    <row r="1778" spans="1:7">
      <c r="A1778" s="17"/>
      <c r="B1778" s="18"/>
      <c r="C1778" s="17"/>
      <c r="D1778" s="18"/>
      <c r="E1778" s="17"/>
      <c r="F1778" s="22"/>
      <c r="G1778"/>
    </row>
    <row r="1779" spans="1:7">
      <c r="A1779" s="17"/>
      <c r="B1779" s="18"/>
      <c r="C1779" s="17"/>
      <c r="D1779" s="18"/>
      <c r="E1779" s="17"/>
      <c r="F1779" s="22"/>
      <c r="G1779"/>
    </row>
    <row r="1780" spans="1:7">
      <c r="A1780" s="17"/>
      <c r="B1780" s="18"/>
      <c r="C1780" s="17"/>
      <c r="D1780" s="18"/>
      <c r="E1780" s="17"/>
      <c r="F1780" s="22"/>
      <c r="G1780"/>
    </row>
    <row r="1781" spans="1:7">
      <c r="A1781" s="17"/>
      <c r="B1781" s="18"/>
      <c r="C1781" s="17"/>
      <c r="D1781" s="18"/>
      <c r="E1781" s="17"/>
      <c r="F1781" s="22"/>
      <c r="G1781"/>
    </row>
    <row r="1782" spans="1:7">
      <c r="A1782" s="17"/>
      <c r="B1782" s="18"/>
      <c r="C1782" s="17"/>
      <c r="D1782" s="18"/>
      <c r="E1782" s="17"/>
      <c r="F1782" s="22"/>
      <c r="G1782"/>
    </row>
    <row r="1783" spans="1:7">
      <c r="A1783" s="17"/>
      <c r="B1783" s="18"/>
      <c r="C1783" s="17"/>
      <c r="D1783" s="18"/>
      <c r="E1783" s="17"/>
      <c r="F1783" s="22"/>
      <c r="G1783"/>
    </row>
    <row r="1784" spans="1:7">
      <c r="A1784" s="17"/>
      <c r="B1784" s="18"/>
      <c r="C1784" s="17"/>
      <c r="D1784" s="18"/>
      <c r="E1784" s="17"/>
      <c r="F1784" s="22"/>
      <c r="G1784"/>
    </row>
    <row r="1785" spans="1:7">
      <c r="A1785" s="17"/>
      <c r="B1785" s="18"/>
      <c r="C1785" s="17"/>
      <c r="D1785" s="18"/>
      <c r="E1785" s="17"/>
      <c r="F1785" s="22"/>
      <c r="G1785"/>
    </row>
    <row r="1786" spans="1:7">
      <c r="A1786" s="17"/>
      <c r="B1786" s="18"/>
      <c r="C1786" s="17"/>
      <c r="D1786" s="18"/>
      <c r="E1786" s="17"/>
      <c r="F1786" s="22"/>
      <c r="G1786"/>
    </row>
    <row r="1787" spans="1:7">
      <c r="A1787" s="17"/>
      <c r="B1787" s="18"/>
      <c r="C1787" s="17"/>
      <c r="D1787" s="18"/>
      <c r="E1787" s="17"/>
      <c r="F1787" s="22"/>
      <c r="G1787"/>
    </row>
    <row r="1788" spans="1:7">
      <c r="A1788" s="17"/>
      <c r="B1788" s="18"/>
      <c r="C1788" s="17"/>
      <c r="D1788" s="18"/>
      <c r="E1788" s="17"/>
      <c r="F1788" s="22"/>
      <c r="G1788"/>
    </row>
    <row r="1789" spans="1:7">
      <c r="A1789" s="17"/>
      <c r="B1789" s="18"/>
      <c r="C1789" s="17"/>
      <c r="D1789" s="18"/>
      <c r="E1789" s="17"/>
      <c r="F1789" s="22"/>
      <c r="G1789"/>
    </row>
    <row r="1790" spans="1:7">
      <c r="A1790" s="17"/>
      <c r="B1790" s="18"/>
      <c r="C1790" s="17"/>
      <c r="D1790" s="18"/>
      <c r="E1790" s="17"/>
      <c r="F1790" s="22"/>
      <c r="G1790"/>
    </row>
    <row r="1791" spans="1:7">
      <c r="A1791" s="17"/>
      <c r="B1791" s="18"/>
      <c r="C1791" s="17"/>
      <c r="D1791" s="18"/>
      <c r="E1791" s="17"/>
      <c r="F1791" s="22"/>
      <c r="G1791"/>
    </row>
    <row r="1792" spans="1:7">
      <c r="A1792" s="17"/>
      <c r="B1792" s="18"/>
      <c r="C1792" s="17"/>
      <c r="D1792" s="18"/>
      <c r="E1792" s="17"/>
      <c r="F1792" s="22"/>
      <c r="G1792"/>
    </row>
    <row r="1793" spans="1:7">
      <c r="A1793" s="17"/>
      <c r="B1793" s="18"/>
      <c r="C1793" s="17"/>
      <c r="D1793" s="18"/>
      <c r="E1793" s="17"/>
      <c r="F1793" s="22"/>
      <c r="G1793"/>
    </row>
    <row r="1794" spans="1:7">
      <c r="A1794" s="17"/>
      <c r="B1794" s="18"/>
      <c r="C1794" s="17"/>
      <c r="D1794" s="18"/>
      <c r="E1794" s="17"/>
      <c r="F1794" s="22"/>
      <c r="G1794"/>
    </row>
    <row r="1795" spans="1:7">
      <c r="A1795" s="17"/>
      <c r="B1795" s="18"/>
      <c r="C1795" s="17"/>
      <c r="D1795" s="18"/>
      <c r="E1795" s="17"/>
      <c r="F1795" s="22"/>
      <c r="G1795"/>
    </row>
    <row r="1796" spans="1:7">
      <c r="A1796" s="17"/>
      <c r="B1796" s="18"/>
      <c r="C1796" s="17"/>
      <c r="D1796" s="18"/>
      <c r="E1796" s="17"/>
      <c r="F1796" s="22"/>
      <c r="G1796"/>
    </row>
    <row r="1797" spans="1:7">
      <c r="A1797" s="17"/>
      <c r="B1797" s="18"/>
      <c r="C1797" s="17"/>
      <c r="D1797" s="18"/>
      <c r="E1797" s="17"/>
      <c r="F1797" s="22"/>
      <c r="G1797"/>
    </row>
    <row r="1798" spans="1:7">
      <c r="A1798" s="17"/>
      <c r="B1798" s="18"/>
      <c r="C1798" s="17"/>
      <c r="D1798" s="18"/>
      <c r="E1798" s="17"/>
      <c r="F1798" s="22"/>
      <c r="G1798"/>
    </row>
    <row r="1799" spans="1:7">
      <c r="A1799" s="17"/>
      <c r="B1799" s="18"/>
      <c r="C1799" s="17"/>
      <c r="D1799" s="18"/>
      <c r="E1799" s="17"/>
      <c r="F1799" s="22"/>
      <c r="G1799"/>
    </row>
    <row r="1800" spans="1:7">
      <c r="A1800" s="17"/>
      <c r="B1800" s="18"/>
      <c r="C1800" s="17"/>
      <c r="D1800" s="18"/>
      <c r="E1800" s="17"/>
      <c r="F1800" s="22"/>
      <c r="G1800"/>
    </row>
    <row r="1801" spans="1:7">
      <c r="A1801" s="17"/>
      <c r="B1801" s="18"/>
      <c r="C1801" s="17"/>
      <c r="D1801" s="18"/>
      <c r="E1801" s="17"/>
      <c r="F1801" s="22"/>
      <c r="G1801"/>
    </row>
    <row r="1802" spans="1:7">
      <c r="A1802" s="17"/>
      <c r="B1802" s="18"/>
      <c r="C1802" s="17"/>
      <c r="D1802" s="18"/>
      <c r="E1802" s="17"/>
      <c r="F1802" s="22"/>
      <c r="G1802"/>
    </row>
    <row r="1803" spans="1:7">
      <c r="A1803" s="17"/>
      <c r="B1803" s="18"/>
      <c r="C1803" s="17"/>
      <c r="D1803" s="18"/>
      <c r="E1803" s="17"/>
      <c r="F1803" s="22"/>
      <c r="G1803"/>
    </row>
    <row r="1804" spans="1:7">
      <c r="A1804" s="17"/>
      <c r="B1804" s="18"/>
      <c r="C1804" s="17"/>
      <c r="D1804" s="18"/>
      <c r="E1804" s="17"/>
      <c r="F1804" s="22"/>
      <c r="G1804"/>
    </row>
    <row r="1805" spans="1:7">
      <c r="A1805" s="17"/>
      <c r="B1805" s="18"/>
      <c r="C1805" s="17"/>
      <c r="D1805" s="18"/>
      <c r="E1805" s="17"/>
      <c r="F1805" s="22"/>
      <c r="G1805"/>
    </row>
    <row r="1806" spans="1:7">
      <c r="A1806" s="17"/>
      <c r="B1806" s="18"/>
      <c r="C1806" s="17"/>
      <c r="D1806" s="18"/>
      <c r="E1806" s="17"/>
      <c r="F1806" s="22"/>
      <c r="G1806"/>
    </row>
    <row r="1807" spans="1:7">
      <c r="A1807" s="17"/>
      <c r="B1807" s="18"/>
      <c r="C1807" s="17"/>
      <c r="D1807" s="18"/>
      <c r="E1807" s="17"/>
      <c r="F1807" s="22"/>
      <c r="G1807"/>
    </row>
    <row r="1808" spans="1:7">
      <c r="A1808" s="17"/>
      <c r="B1808" s="18"/>
      <c r="C1808" s="17"/>
      <c r="D1808" s="18"/>
      <c r="E1808" s="17"/>
      <c r="F1808" s="22"/>
      <c r="G1808"/>
    </row>
    <row r="1809" spans="1:7">
      <c r="A1809" s="17"/>
      <c r="B1809" s="18"/>
      <c r="C1809" s="17"/>
      <c r="D1809" s="18"/>
      <c r="E1809" s="17"/>
      <c r="F1809" s="22"/>
      <c r="G1809"/>
    </row>
    <row r="1810" spans="1:7">
      <c r="A1810" s="17"/>
      <c r="B1810" s="18"/>
      <c r="C1810" s="17"/>
      <c r="D1810" s="18"/>
      <c r="E1810" s="17"/>
      <c r="F1810" s="22"/>
      <c r="G1810"/>
    </row>
    <row r="1811" spans="1:7">
      <c r="A1811" s="17"/>
      <c r="B1811" s="18"/>
      <c r="C1811" s="17"/>
      <c r="D1811" s="18"/>
      <c r="E1811" s="17"/>
      <c r="F1811" s="22"/>
      <c r="G1811"/>
    </row>
    <row r="1812" spans="1:7">
      <c r="A1812" s="17"/>
      <c r="B1812" s="18"/>
      <c r="C1812" s="17"/>
      <c r="D1812" s="18"/>
      <c r="E1812" s="17"/>
      <c r="F1812" s="22"/>
      <c r="G1812"/>
    </row>
    <row r="1813" spans="1:7">
      <c r="A1813" s="17"/>
      <c r="B1813" s="18"/>
      <c r="C1813" s="17"/>
      <c r="D1813" s="18"/>
      <c r="E1813" s="17"/>
      <c r="F1813" s="22"/>
      <c r="G1813"/>
    </row>
    <row r="1814" spans="1:7">
      <c r="A1814" s="17"/>
      <c r="B1814" s="18"/>
      <c r="C1814" s="17"/>
      <c r="D1814" s="18"/>
      <c r="E1814" s="17"/>
      <c r="F1814" s="22"/>
      <c r="G1814"/>
    </row>
    <row r="1815" spans="1:7">
      <c r="A1815" s="17"/>
      <c r="B1815" s="18"/>
      <c r="C1815" s="17"/>
      <c r="D1815" s="18"/>
      <c r="E1815" s="17"/>
      <c r="F1815" s="22"/>
      <c r="G1815"/>
    </row>
    <row r="1816" spans="1:7">
      <c r="A1816" s="17"/>
      <c r="B1816" s="18"/>
      <c r="C1816" s="17"/>
      <c r="D1816" s="18"/>
      <c r="E1816" s="17"/>
      <c r="F1816" s="22"/>
      <c r="G1816"/>
    </row>
    <row r="1817" spans="1:7">
      <c r="A1817" s="17"/>
      <c r="B1817" s="18"/>
      <c r="C1817" s="17"/>
      <c r="D1817" s="18"/>
      <c r="E1817" s="17"/>
      <c r="F1817" s="22"/>
      <c r="G1817"/>
    </row>
    <row r="1818" spans="1:7">
      <c r="A1818" s="17"/>
      <c r="B1818" s="18"/>
      <c r="C1818" s="17"/>
      <c r="D1818" s="18"/>
      <c r="E1818" s="17"/>
      <c r="F1818" s="22"/>
      <c r="G1818"/>
    </row>
    <row r="1819" spans="1:7">
      <c r="A1819" s="17"/>
      <c r="B1819" s="18"/>
      <c r="C1819" s="17"/>
      <c r="D1819" s="18"/>
      <c r="E1819" s="17"/>
      <c r="F1819" s="22"/>
      <c r="G1819"/>
    </row>
    <row r="1820" spans="1:7">
      <c r="A1820" s="17"/>
      <c r="B1820" s="18"/>
      <c r="C1820" s="17"/>
      <c r="D1820" s="18"/>
      <c r="E1820" s="17"/>
      <c r="F1820" s="22"/>
      <c r="G1820"/>
    </row>
    <row r="1821" spans="1:7">
      <c r="A1821" s="17"/>
      <c r="B1821" s="18"/>
      <c r="C1821" s="17"/>
      <c r="D1821" s="18"/>
      <c r="E1821" s="17"/>
      <c r="F1821" s="22"/>
      <c r="G1821"/>
    </row>
    <row r="1822" spans="1:7">
      <c r="A1822" s="17"/>
      <c r="B1822" s="18"/>
      <c r="C1822" s="17"/>
      <c r="D1822" s="18"/>
      <c r="E1822" s="17"/>
      <c r="F1822" s="22"/>
      <c r="G1822"/>
    </row>
    <row r="1823" spans="1:7">
      <c r="A1823" s="17"/>
      <c r="B1823" s="18"/>
      <c r="C1823" s="17"/>
      <c r="D1823" s="18"/>
      <c r="E1823" s="17"/>
      <c r="F1823" s="22"/>
      <c r="G1823"/>
    </row>
    <row r="1824" spans="1:7">
      <c r="A1824" s="17"/>
      <c r="B1824" s="18"/>
      <c r="C1824" s="17"/>
      <c r="D1824" s="18"/>
      <c r="E1824" s="17"/>
      <c r="F1824" s="22"/>
      <c r="G1824"/>
    </row>
    <row r="1825" spans="1:7">
      <c r="A1825" s="17"/>
      <c r="B1825" s="18"/>
      <c r="C1825" s="17"/>
      <c r="D1825" s="18"/>
      <c r="E1825" s="17"/>
      <c r="F1825" s="22"/>
      <c r="G1825"/>
    </row>
    <row r="1826" spans="1:7">
      <c r="A1826" s="17"/>
      <c r="B1826" s="18"/>
      <c r="C1826" s="17"/>
      <c r="D1826" s="18"/>
      <c r="E1826" s="17"/>
      <c r="F1826" s="22"/>
      <c r="G1826"/>
    </row>
    <row r="1827" spans="1:7">
      <c r="A1827" s="17"/>
      <c r="B1827" s="18"/>
      <c r="C1827" s="17"/>
      <c r="D1827" s="18"/>
      <c r="E1827" s="17"/>
      <c r="F1827" s="22"/>
      <c r="G1827"/>
    </row>
    <row r="1828" spans="1:7">
      <c r="A1828" s="17"/>
      <c r="B1828" s="18"/>
      <c r="C1828" s="17"/>
      <c r="D1828" s="18"/>
      <c r="E1828" s="17"/>
      <c r="F1828" s="22"/>
      <c r="G1828"/>
    </row>
    <row r="1829" spans="1:7">
      <c r="A1829" s="17"/>
      <c r="B1829" s="18"/>
      <c r="C1829" s="17"/>
      <c r="D1829" s="18"/>
      <c r="E1829" s="17"/>
      <c r="F1829" s="22"/>
      <c r="G1829"/>
    </row>
    <row r="1830" spans="1:7">
      <c r="A1830" s="17"/>
      <c r="B1830" s="18"/>
      <c r="C1830" s="17"/>
      <c r="D1830" s="18"/>
      <c r="E1830" s="17"/>
      <c r="F1830" s="22"/>
      <c r="G1830"/>
    </row>
    <row r="1831" spans="1:7">
      <c r="A1831" s="17"/>
      <c r="B1831" s="18"/>
      <c r="C1831" s="17"/>
      <c r="D1831" s="18"/>
      <c r="E1831" s="17"/>
      <c r="F1831" s="22"/>
      <c r="G1831"/>
    </row>
    <row r="1832" spans="1:7">
      <c r="A1832" s="17"/>
      <c r="B1832" s="18"/>
      <c r="C1832" s="17"/>
      <c r="D1832" s="18"/>
      <c r="E1832" s="17"/>
      <c r="F1832" s="22"/>
      <c r="G1832"/>
    </row>
    <row r="1833" spans="1:7">
      <c r="A1833" s="17"/>
      <c r="B1833" s="18"/>
      <c r="C1833" s="17"/>
      <c r="D1833" s="18"/>
      <c r="E1833" s="17"/>
      <c r="F1833" s="22"/>
      <c r="G1833"/>
    </row>
    <row r="1834" spans="1:7">
      <c r="A1834" s="17"/>
      <c r="B1834" s="18"/>
      <c r="C1834" s="17"/>
      <c r="D1834" s="18"/>
      <c r="E1834" s="17"/>
      <c r="F1834" s="22"/>
      <c r="G1834"/>
    </row>
    <row r="1835" spans="1:7">
      <c r="A1835" s="17"/>
      <c r="B1835" s="18"/>
      <c r="C1835" s="17"/>
      <c r="D1835" s="18"/>
      <c r="E1835" s="17"/>
      <c r="F1835" s="22"/>
      <c r="G1835"/>
    </row>
    <row r="1836" spans="1:7">
      <c r="A1836" s="17"/>
      <c r="B1836" s="18"/>
      <c r="C1836" s="17"/>
      <c r="D1836" s="18"/>
      <c r="E1836" s="17"/>
      <c r="F1836" s="22"/>
      <c r="G1836"/>
    </row>
    <row r="1837" spans="1:7">
      <c r="A1837" s="17"/>
      <c r="B1837" s="18"/>
      <c r="C1837" s="17"/>
      <c r="D1837" s="18"/>
      <c r="E1837" s="17"/>
      <c r="F1837" s="22"/>
      <c r="G1837"/>
    </row>
    <row r="1838" spans="1:7">
      <c r="A1838" s="17"/>
      <c r="B1838" s="18"/>
      <c r="C1838" s="17"/>
      <c r="D1838" s="18"/>
      <c r="E1838" s="17"/>
      <c r="F1838" s="22"/>
      <c r="G1838"/>
    </row>
    <row r="1839" spans="1:7">
      <c r="A1839" s="17"/>
      <c r="B1839" s="18"/>
      <c r="C1839" s="17"/>
      <c r="D1839" s="18"/>
      <c r="E1839" s="17"/>
      <c r="F1839" s="22"/>
      <c r="G1839"/>
    </row>
    <row r="1840" spans="1:7">
      <c r="A1840" s="17"/>
      <c r="B1840" s="18"/>
      <c r="C1840" s="17"/>
      <c r="D1840" s="18"/>
      <c r="E1840" s="17"/>
      <c r="F1840" s="22"/>
      <c r="G1840"/>
    </row>
    <row r="1841" spans="1:7">
      <c r="A1841" s="17"/>
      <c r="B1841" s="18"/>
      <c r="C1841" s="17"/>
      <c r="D1841" s="18"/>
      <c r="E1841" s="17"/>
      <c r="F1841" s="22"/>
      <c r="G1841"/>
    </row>
    <row r="1842" spans="1:7">
      <c r="A1842" s="17"/>
      <c r="B1842" s="18"/>
      <c r="C1842" s="17"/>
      <c r="D1842" s="18"/>
      <c r="E1842" s="17"/>
      <c r="F1842" s="22"/>
      <c r="G1842"/>
    </row>
    <row r="1843" spans="1:7">
      <c r="A1843" s="17"/>
      <c r="B1843" s="18"/>
      <c r="C1843" s="17"/>
      <c r="D1843" s="18"/>
      <c r="E1843" s="17"/>
      <c r="F1843" s="22"/>
      <c r="G1843"/>
    </row>
    <row r="1844" spans="1:7">
      <c r="A1844" s="17"/>
      <c r="B1844" s="18"/>
      <c r="C1844" s="17"/>
      <c r="D1844" s="18"/>
      <c r="E1844" s="17"/>
      <c r="F1844" s="22"/>
      <c r="G1844"/>
    </row>
    <row r="1845" spans="1:7">
      <c r="A1845" s="17"/>
      <c r="B1845" s="18"/>
      <c r="C1845" s="17"/>
      <c r="D1845" s="18"/>
      <c r="E1845" s="17"/>
      <c r="F1845" s="22"/>
      <c r="G1845"/>
    </row>
    <row r="1846" spans="1:7">
      <c r="A1846" s="17"/>
      <c r="B1846" s="18"/>
      <c r="C1846" s="17"/>
      <c r="D1846" s="18"/>
      <c r="E1846" s="17"/>
      <c r="F1846" s="22"/>
      <c r="G1846"/>
    </row>
    <row r="1847" spans="1:7">
      <c r="A1847" s="17"/>
      <c r="B1847" s="18"/>
      <c r="C1847" s="17"/>
      <c r="D1847" s="18"/>
      <c r="E1847" s="17"/>
      <c r="F1847" s="22"/>
      <c r="G1847"/>
    </row>
    <row r="1848" spans="1:7">
      <c r="A1848" s="17"/>
      <c r="B1848" s="18"/>
      <c r="C1848" s="17"/>
      <c r="D1848" s="18"/>
      <c r="E1848" s="17"/>
      <c r="F1848" s="22"/>
      <c r="G1848"/>
    </row>
    <row r="1849" spans="1:7">
      <c r="A1849" s="17"/>
      <c r="B1849" s="18"/>
      <c r="C1849" s="17"/>
      <c r="D1849" s="18"/>
      <c r="E1849" s="17"/>
      <c r="F1849" s="22"/>
      <c r="G1849"/>
    </row>
    <row r="1850" spans="1:7">
      <c r="A1850" s="17"/>
      <c r="B1850" s="18"/>
      <c r="C1850" s="17"/>
      <c r="D1850" s="18"/>
      <c r="E1850" s="17"/>
      <c r="F1850" s="22"/>
      <c r="G1850"/>
    </row>
    <row r="1851" spans="1:7">
      <c r="A1851" s="17"/>
      <c r="B1851" s="18"/>
      <c r="C1851" s="17"/>
      <c r="D1851" s="18"/>
      <c r="E1851" s="17"/>
      <c r="F1851" s="22"/>
      <c r="G1851"/>
    </row>
    <row r="1852" spans="1:7">
      <c r="A1852" s="17"/>
      <c r="B1852" s="18"/>
      <c r="C1852" s="17"/>
      <c r="D1852" s="18"/>
      <c r="E1852" s="17"/>
      <c r="F1852" s="22"/>
      <c r="G1852"/>
    </row>
    <row r="1853" spans="1:7">
      <c r="A1853" s="17"/>
      <c r="B1853" s="18"/>
      <c r="C1853" s="17"/>
      <c r="D1853" s="18"/>
      <c r="E1853" s="17"/>
      <c r="F1853" s="22"/>
      <c r="G1853"/>
    </row>
    <row r="1854" spans="1:7">
      <c r="A1854" s="17"/>
      <c r="B1854" s="18"/>
      <c r="C1854" s="17"/>
      <c r="D1854" s="18"/>
      <c r="E1854" s="17"/>
      <c r="F1854" s="22"/>
      <c r="G1854"/>
    </row>
    <row r="1855" spans="1:7">
      <c r="A1855" s="17"/>
      <c r="B1855" s="18"/>
      <c r="C1855" s="17"/>
      <c r="D1855" s="18"/>
      <c r="E1855" s="17"/>
      <c r="F1855" s="22"/>
      <c r="G1855"/>
    </row>
    <row r="1856" spans="1:7">
      <c r="A1856" s="17"/>
      <c r="B1856" s="18"/>
      <c r="C1856" s="17"/>
      <c r="D1856" s="18"/>
      <c r="E1856" s="17"/>
      <c r="F1856" s="22"/>
      <c r="G1856"/>
    </row>
    <row r="1857" spans="1:7">
      <c r="A1857" s="17"/>
      <c r="B1857" s="18"/>
      <c r="C1857" s="17"/>
      <c r="D1857" s="18"/>
      <c r="E1857" s="17"/>
      <c r="F1857" s="22"/>
      <c r="G1857"/>
    </row>
    <row r="1858" spans="1:7">
      <c r="A1858" s="17"/>
      <c r="B1858" s="18"/>
      <c r="C1858" s="17"/>
      <c r="D1858" s="18"/>
      <c r="E1858" s="17"/>
      <c r="F1858" s="22"/>
      <c r="G1858"/>
    </row>
    <row r="1859" spans="1:7">
      <c r="A1859" s="17"/>
      <c r="B1859" s="18"/>
      <c r="C1859" s="17"/>
      <c r="D1859" s="18"/>
      <c r="E1859" s="17"/>
      <c r="F1859" s="22"/>
      <c r="G1859"/>
    </row>
    <row r="1860" spans="1:7">
      <c r="A1860" s="17"/>
      <c r="B1860" s="18"/>
      <c r="C1860" s="17"/>
      <c r="D1860" s="18"/>
      <c r="E1860" s="17"/>
      <c r="F1860" s="22"/>
      <c r="G1860"/>
    </row>
    <row r="1861" spans="1:7">
      <c r="A1861" s="17"/>
      <c r="B1861" s="18"/>
      <c r="C1861" s="17"/>
      <c r="D1861" s="18"/>
      <c r="E1861" s="17"/>
      <c r="F1861" s="22"/>
      <c r="G1861"/>
    </row>
    <row r="1862" spans="1:7">
      <c r="A1862" s="17"/>
      <c r="B1862" s="18"/>
      <c r="C1862" s="17"/>
      <c r="D1862" s="18"/>
      <c r="E1862" s="17"/>
      <c r="F1862" s="22"/>
      <c r="G1862"/>
    </row>
    <row r="1863" spans="1:7">
      <c r="A1863" s="17"/>
      <c r="B1863" s="18"/>
      <c r="C1863" s="17"/>
      <c r="D1863" s="18"/>
      <c r="E1863" s="17"/>
      <c r="F1863" s="22"/>
      <c r="G1863"/>
    </row>
    <row r="1864" spans="1:7">
      <c r="A1864" s="17"/>
      <c r="B1864" s="18"/>
      <c r="C1864" s="17"/>
      <c r="D1864" s="18"/>
      <c r="E1864" s="17"/>
      <c r="F1864" s="22"/>
      <c r="G1864"/>
    </row>
    <row r="1865" spans="1:7">
      <c r="A1865" s="17"/>
      <c r="B1865" s="18"/>
      <c r="C1865" s="17"/>
      <c r="D1865" s="18"/>
      <c r="E1865" s="17"/>
      <c r="F1865" s="22"/>
      <c r="G1865"/>
    </row>
    <row r="1866" spans="1:7">
      <c r="A1866" s="17"/>
      <c r="B1866" s="18"/>
      <c r="C1866" s="17"/>
      <c r="D1866" s="18"/>
      <c r="E1866" s="17"/>
      <c r="F1866" s="22"/>
      <c r="G1866"/>
    </row>
    <row r="1867" spans="1:7">
      <c r="A1867" s="17"/>
      <c r="B1867" s="18"/>
      <c r="C1867" s="17"/>
      <c r="D1867" s="18"/>
      <c r="E1867" s="17"/>
      <c r="F1867" s="22"/>
      <c r="G1867"/>
    </row>
    <row r="1868" spans="1:7">
      <c r="A1868" s="17"/>
      <c r="B1868" s="18"/>
      <c r="C1868" s="17"/>
      <c r="D1868" s="18"/>
      <c r="E1868" s="17"/>
      <c r="F1868" s="22"/>
      <c r="G1868"/>
    </row>
    <row r="1869" spans="1:7">
      <c r="A1869" s="17"/>
      <c r="B1869" s="18"/>
      <c r="C1869" s="17"/>
      <c r="D1869" s="18"/>
      <c r="E1869" s="17"/>
      <c r="F1869" s="22"/>
      <c r="G1869"/>
    </row>
    <row r="1870" spans="1:7">
      <c r="A1870" s="17"/>
      <c r="B1870" s="18"/>
      <c r="C1870" s="17"/>
      <c r="D1870" s="18"/>
      <c r="E1870" s="17"/>
      <c r="F1870" s="22"/>
      <c r="G1870"/>
    </row>
    <row r="1871" spans="1:7">
      <c r="A1871" s="17"/>
      <c r="B1871" s="18"/>
      <c r="C1871" s="17"/>
      <c r="D1871" s="18"/>
      <c r="E1871" s="17"/>
      <c r="F1871" s="22"/>
      <c r="G1871"/>
    </row>
    <row r="1872" spans="1:7">
      <c r="A1872" s="17"/>
      <c r="B1872" s="18"/>
      <c r="C1872" s="17"/>
      <c r="D1872" s="18"/>
      <c r="E1872" s="17"/>
      <c r="F1872" s="22"/>
      <c r="G1872"/>
    </row>
    <row r="1873" spans="1:7">
      <c r="A1873" s="17"/>
      <c r="B1873" s="18"/>
      <c r="C1873" s="17"/>
      <c r="D1873" s="18"/>
      <c r="E1873" s="17"/>
      <c r="F1873" s="22"/>
      <c r="G1873"/>
    </row>
    <row r="1874" spans="1:7">
      <c r="A1874" s="17"/>
      <c r="B1874" s="18"/>
      <c r="C1874" s="17"/>
      <c r="D1874" s="18"/>
      <c r="E1874" s="17"/>
      <c r="F1874" s="22"/>
      <c r="G1874"/>
    </row>
    <row r="1875" spans="1:7">
      <c r="A1875" s="17"/>
      <c r="B1875" s="18"/>
      <c r="C1875" s="17"/>
      <c r="D1875" s="18"/>
      <c r="E1875" s="17"/>
      <c r="F1875" s="22"/>
      <c r="G1875"/>
    </row>
    <row r="1876" spans="1:7">
      <c r="A1876" s="17"/>
      <c r="B1876" s="18"/>
      <c r="C1876" s="17"/>
      <c r="D1876" s="18"/>
      <c r="E1876" s="17"/>
      <c r="F1876" s="22"/>
      <c r="G1876"/>
    </row>
    <row r="1877" spans="1:7">
      <c r="A1877" s="17"/>
      <c r="B1877" s="18"/>
      <c r="C1877" s="17"/>
      <c r="D1877" s="18"/>
      <c r="E1877" s="17"/>
      <c r="F1877" s="22"/>
      <c r="G1877"/>
    </row>
    <row r="1878" spans="1:7">
      <c r="A1878" s="17"/>
      <c r="B1878" s="18"/>
      <c r="C1878" s="17"/>
      <c r="D1878" s="18"/>
      <c r="E1878" s="17"/>
      <c r="F1878" s="22"/>
      <c r="G1878"/>
    </row>
    <row r="1879" spans="1:7">
      <c r="A1879" s="17"/>
      <c r="B1879" s="18"/>
      <c r="C1879" s="17"/>
      <c r="D1879" s="18"/>
      <c r="E1879" s="17"/>
      <c r="F1879" s="22"/>
      <c r="G1879"/>
    </row>
    <row r="1880" spans="1:7">
      <c r="A1880" s="17"/>
      <c r="B1880" s="18"/>
      <c r="C1880" s="17"/>
      <c r="D1880" s="18"/>
      <c r="E1880" s="17"/>
      <c r="F1880" s="22"/>
      <c r="G1880"/>
    </row>
    <row r="1881" spans="1:7">
      <c r="A1881" s="17"/>
      <c r="B1881" s="18"/>
      <c r="C1881" s="17"/>
      <c r="D1881" s="18"/>
      <c r="E1881" s="17"/>
      <c r="F1881" s="22"/>
      <c r="G1881"/>
    </row>
    <row r="1882" spans="1:7">
      <c r="A1882" s="17"/>
      <c r="B1882" s="18"/>
      <c r="C1882" s="17"/>
      <c r="D1882" s="18"/>
      <c r="E1882" s="17"/>
      <c r="F1882" s="22"/>
      <c r="G1882"/>
    </row>
    <row r="1883" spans="1:7">
      <c r="A1883" s="17"/>
      <c r="B1883" s="18"/>
      <c r="C1883" s="17"/>
      <c r="D1883" s="18"/>
      <c r="E1883" s="17"/>
      <c r="F1883" s="22"/>
      <c r="G1883"/>
    </row>
    <row r="1884" spans="1:7">
      <c r="A1884" s="17"/>
      <c r="B1884" s="18"/>
      <c r="C1884" s="17"/>
      <c r="D1884" s="18"/>
      <c r="E1884" s="17"/>
      <c r="F1884" s="22"/>
      <c r="G1884"/>
    </row>
    <row r="1885" spans="1:7">
      <c r="A1885" s="17"/>
      <c r="B1885" s="18"/>
      <c r="C1885" s="17"/>
      <c r="D1885" s="18"/>
      <c r="E1885" s="17"/>
      <c r="F1885" s="22"/>
      <c r="G1885"/>
    </row>
    <row r="1886" spans="1:7">
      <c r="A1886" s="17"/>
      <c r="B1886" s="18"/>
      <c r="C1886" s="17"/>
      <c r="D1886" s="18"/>
      <c r="E1886" s="17"/>
      <c r="F1886" s="22"/>
      <c r="G1886"/>
    </row>
    <row r="1887" spans="1:7">
      <c r="A1887" s="17"/>
      <c r="B1887" s="18"/>
      <c r="C1887" s="17"/>
      <c r="D1887" s="18"/>
      <c r="E1887" s="17"/>
      <c r="F1887" s="22"/>
      <c r="G1887"/>
    </row>
    <row r="1888" spans="1:7">
      <c r="A1888" s="17"/>
      <c r="B1888" s="18"/>
      <c r="C1888" s="17"/>
      <c r="D1888" s="18"/>
      <c r="E1888" s="17"/>
      <c r="F1888" s="22"/>
      <c r="G1888"/>
    </row>
    <row r="1889" spans="1:7">
      <c r="A1889" s="17"/>
      <c r="B1889" s="18"/>
      <c r="C1889" s="17"/>
      <c r="D1889" s="18"/>
      <c r="E1889" s="17"/>
      <c r="F1889" s="22"/>
      <c r="G1889"/>
    </row>
    <row r="1890" spans="1:7">
      <c r="A1890" s="17"/>
      <c r="B1890" s="18"/>
      <c r="C1890" s="17"/>
      <c r="D1890" s="18"/>
      <c r="E1890" s="17"/>
      <c r="F1890" s="22"/>
      <c r="G1890"/>
    </row>
    <row r="1891" spans="1:7">
      <c r="A1891" s="17"/>
      <c r="B1891" s="18"/>
      <c r="C1891" s="17"/>
      <c r="D1891" s="18"/>
      <c r="E1891" s="17"/>
      <c r="F1891" s="22"/>
      <c r="G1891"/>
    </row>
    <row r="1892" spans="1:7">
      <c r="A1892" s="17"/>
      <c r="B1892" s="18"/>
      <c r="C1892" s="17"/>
      <c r="D1892" s="18"/>
      <c r="E1892" s="17"/>
      <c r="F1892" s="22"/>
      <c r="G1892"/>
    </row>
    <row r="1893" spans="1:7">
      <c r="A1893" s="17"/>
      <c r="B1893" s="18"/>
      <c r="C1893" s="17"/>
      <c r="D1893" s="18"/>
      <c r="E1893" s="17"/>
      <c r="F1893" s="22"/>
      <c r="G1893"/>
    </row>
    <row r="1894" spans="1:7">
      <c r="A1894" s="17"/>
      <c r="B1894" s="18"/>
      <c r="C1894" s="17"/>
      <c r="D1894" s="18"/>
      <c r="E1894" s="17"/>
      <c r="F1894" s="22"/>
      <c r="G1894"/>
    </row>
    <row r="1895" spans="1:7">
      <c r="A1895" s="17"/>
      <c r="B1895" s="18"/>
      <c r="C1895" s="17"/>
      <c r="D1895" s="18"/>
      <c r="E1895" s="17"/>
      <c r="F1895" s="22"/>
      <c r="G1895"/>
    </row>
    <row r="1896" spans="1:7">
      <c r="A1896" s="17"/>
      <c r="B1896" s="18"/>
      <c r="C1896" s="17"/>
      <c r="D1896" s="18"/>
      <c r="E1896" s="17"/>
      <c r="F1896" s="22"/>
      <c r="G1896"/>
    </row>
    <row r="1897" spans="1:7">
      <c r="A1897" s="17"/>
      <c r="B1897" s="18"/>
      <c r="C1897" s="17"/>
      <c r="D1897" s="18"/>
      <c r="E1897" s="17"/>
      <c r="F1897" s="22"/>
      <c r="G1897"/>
    </row>
    <row r="1898" spans="1:7">
      <c r="A1898" s="17"/>
      <c r="B1898" s="18"/>
      <c r="C1898" s="17"/>
      <c r="D1898" s="18"/>
      <c r="E1898" s="17"/>
      <c r="F1898" s="22"/>
      <c r="G1898"/>
    </row>
    <row r="1899" spans="1:7">
      <c r="A1899" s="17"/>
      <c r="B1899" s="18"/>
      <c r="C1899" s="17"/>
      <c r="D1899" s="18"/>
      <c r="E1899" s="17"/>
      <c r="F1899" s="22"/>
      <c r="G1899"/>
    </row>
    <row r="1900" spans="1:7">
      <c r="A1900" s="17"/>
      <c r="B1900" s="18"/>
      <c r="C1900" s="17"/>
      <c r="D1900" s="18"/>
      <c r="E1900" s="17"/>
      <c r="F1900" s="22"/>
      <c r="G1900"/>
    </row>
    <row r="1901" spans="1:7">
      <c r="A1901" s="17"/>
      <c r="B1901" s="18"/>
      <c r="C1901" s="17"/>
      <c r="D1901" s="18"/>
      <c r="E1901" s="17"/>
      <c r="F1901" s="22"/>
      <c r="G1901"/>
    </row>
    <row r="1902" spans="1:7">
      <c r="A1902" s="17"/>
      <c r="B1902" s="18"/>
      <c r="C1902" s="17"/>
      <c r="D1902" s="18"/>
      <c r="E1902" s="17"/>
      <c r="F1902" s="22"/>
      <c r="G1902"/>
    </row>
    <row r="1903" spans="1:7">
      <c r="A1903" s="17"/>
      <c r="B1903" s="18"/>
      <c r="C1903" s="17"/>
      <c r="D1903" s="18"/>
      <c r="E1903" s="17"/>
      <c r="F1903" s="22"/>
      <c r="G1903"/>
    </row>
    <row r="1904" spans="1:7">
      <c r="A1904" s="17"/>
      <c r="B1904" s="18"/>
      <c r="C1904" s="17"/>
      <c r="D1904" s="18"/>
      <c r="E1904" s="17"/>
      <c r="F1904" s="22"/>
      <c r="G1904"/>
    </row>
    <row r="1905" spans="1:7">
      <c r="A1905" s="17"/>
      <c r="B1905" s="18"/>
      <c r="C1905" s="17"/>
      <c r="D1905" s="18"/>
      <c r="E1905" s="17"/>
      <c r="F1905" s="22"/>
      <c r="G1905"/>
    </row>
    <row r="1906" spans="1:7">
      <c r="A1906" s="17"/>
      <c r="B1906" s="18"/>
      <c r="C1906" s="17"/>
      <c r="D1906" s="18"/>
      <c r="E1906" s="17"/>
      <c r="F1906" s="22"/>
      <c r="G1906"/>
    </row>
    <row r="1907" spans="1:7">
      <c r="A1907" s="17"/>
      <c r="B1907" s="18"/>
      <c r="C1907" s="17"/>
      <c r="D1907" s="18"/>
      <c r="E1907" s="17"/>
      <c r="F1907" s="22"/>
      <c r="G1907"/>
    </row>
    <row r="1908" spans="1:7">
      <c r="A1908" s="17"/>
      <c r="B1908" s="18"/>
      <c r="C1908" s="17"/>
      <c r="D1908" s="18"/>
      <c r="E1908" s="17"/>
      <c r="F1908" s="22"/>
      <c r="G1908"/>
    </row>
    <row r="1909" spans="1:7">
      <c r="A1909" s="17"/>
      <c r="B1909" s="18"/>
      <c r="C1909" s="17"/>
      <c r="D1909" s="18"/>
      <c r="E1909" s="17"/>
      <c r="F1909" s="22"/>
      <c r="G1909"/>
    </row>
    <row r="1910" spans="1:7">
      <c r="A1910" s="17"/>
      <c r="B1910" s="18"/>
      <c r="C1910" s="17"/>
      <c r="D1910" s="18"/>
      <c r="E1910" s="17"/>
      <c r="F1910" s="22"/>
      <c r="G1910"/>
    </row>
    <row r="1911" spans="1:7">
      <c r="A1911" s="17"/>
      <c r="B1911" s="18"/>
      <c r="C1911" s="17"/>
      <c r="D1911" s="18"/>
      <c r="E1911" s="17"/>
      <c r="F1911" s="22"/>
      <c r="G1911"/>
    </row>
    <row r="1912" spans="1:7">
      <c r="A1912" s="17"/>
      <c r="B1912" s="18"/>
      <c r="C1912" s="17"/>
      <c r="D1912" s="18"/>
      <c r="E1912" s="17"/>
      <c r="F1912" s="22"/>
      <c r="G1912"/>
    </row>
    <row r="1913" spans="1:7">
      <c r="A1913" s="17"/>
      <c r="B1913" s="18"/>
      <c r="C1913" s="17"/>
      <c r="D1913" s="18"/>
      <c r="E1913" s="17"/>
      <c r="F1913" s="22"/>
      <c r="G1913"/>
    </row>
    <row r="1914" spans="1:7">
      <c r="A1914" s="17"/>
      <c r="B1914" s="18"/>
      <c r="C1914" s="17"/>
      <c r="D1914" s="18"/>
      <c r="E1914" s="17"/>
      <c r="F1914" s="22"/>
      <c r="G1914"/>
    </row>
    <row r="1915" spans="1:7">
      <c r="A1915" s="17"/>
      <c r="B1915" s="18"/>
      <c r="C1915" s="17"/>
      <c r="D1915" s="18"/>
      <c r="E1915" s="17"/>
      <c r="F1915" s="22"/>
      <c r="G1915"/>
    </row>
    <row r="1916" spans="1:7">
      <c r="A1916" s="17"/>
      <c r="B1916" s="18"/>
      <c r="C1916" s="17"/>
      <c r="D1916" s="18"/>
      <c r="E1916" s="17"/>
      <c r="F1916" s="22"/>
      <c r="G1916"/>
    </row>
    <row r="1917" spans="1:7">
      <c r="A1917" s="17"/>
      <c r="B1917" s="18"/>
      <c r="C1917" s="17"/>
      <c r="D1917" s="18"/>
      <c r="E1917" s="17"/>
      <c r="F1917" s="22"/>
      <c r="G1917"/>
    </row>
    <row r="1918" spans="1:7">
      <c r="A1918" s="17"/>
      <c r="B1918" s="18"/>
      <c r="C1918" s="17"/>
      <c r="D1918" s="18"/>
      <c r="E1918" s="17"/>
      <c r="F1918" s="22"/>
      <c r="G1918"/>
    </row>
    <row r="1919" spans="1:7">
      <c r="A1919" s="17"/>
      <c r="B1919" s="18"/>
      <c r="C1919" s="17"/>
      <c r="D1919" s="18"/>
      <c r="E1919" s="17"/>
      <c r="F1919" s="22"/>
      <c r="G1919"/>
    </row>
    <row r="1920" spans="1:7">
      <c r="A1920" s="17"/>
      <c r="B1920" s="18"/>
      <c r="C1920" s="17"/>
      <c r="D1920" s="18"/>
      <c r="E1920" s="17"/>
      <c r="F1920" s="22"/>
      <c r="G1920"/>
    </row>
    <row r="1921" spans="1:7">
      <c r="A1921" s="17"/>
      <c r="B1921" s="18"/>
      <c r="C1921" s="17"/>
      <c r="D1921" s="18"/>
      <c r="E1921" s="17"/>
      <c r="F1921" s="22"/>
      <c r="G1921"/>
    </row>
    <row r="1922" spans="1:7">
      <c r="A1922" s="17"/>
      <c r="B1922" s="18"/>
      <c r="C1922" s="17"/>
      <c r="D1922" s="18"/>
      <c r="E1922" s="17"/>
      <c r="F1922" s="22"/>
      <c r="G1922"/>
    </row>
    <row r="1923" spans="1:7">
      <c r="A1923" s="17"/>
      <c r="B1923" s="18"/>
      <c r="C1923" s="17"/>
      <c r="D1923" s="18"/>
      <c r="E1923" s="17"/>
      <c r="F1923" s="22"/>
      <c r="G1923"/>
    </row>
    <row r="1924" spans="1:7">
      <c r="A1924" s="17"/>
      <c r="B1924" s="18"/>
      <c r="C1924" s="17"/>
      <c r="D1924" s="18"/>
      <c r="E1924" s="17"/>
      <c r="F1924" s="22"/>
      <c r="G1924"/>
    </row>
    <row r="1925" spans="1:7">
      <c r="A1925" s="17"/>
      <c r="B1925" s="18"/>
      <c r="C1925" s="17"/>
      <c r="D1925" s="18"/>
      <c r="E1925" s="17"/>
      <c r="F1925" s="22"/>
      <c r="G1925"/>
    </row>
    <row r="1926" spans="1:7">
      <c r="A1926" s="17"/>
      <c r="B1926" s="18"/>
      <c r="C1926" s="17"/>
      <c r="D1926" s="18"/>
      <c r="E1926" s="17"/>
      <c r="F1926" s="22"/>
      <c r="G1926"/>
    </row>
    <row r="1927" spans="1:7">
      <c r="A1927" s="17"/>
      <c r="B1927" s="18"/>
      <c r="C1927" s="17"/>
      <c r="D1927" s="18"/>
      <c r="E1927" s="17"/>
      <c r="F1927" s="22"/>
      <c r="G1927"/>
    </row>
    <row r="1928" spans="1:7">
      <c r="A1928" s="17"/>
      <c r="B1928" s="18"/>
      <c r="C1928" s="17"/>
      <c r="D1928" s="18"/>
      <c r="E1928" s="17"/>
      <c r="F1928" s="22"/>
      <c r="G1928"/>
    </row>
    <row r="1929" spans="1:7">
      <c r="A1929" s="17"/>
      <c r="B1929" s="18"/>
      <c r="C1929" s="17"/>
      <c r="D1929" s="18"/>
      <c r="E1929" s="17"/>
      <c r="F1929" s="22"/>
      <c r="G1929"/>
    </row>
    <row r="1930" spans="1:7">
      <c r="A1930" s="17"/>
      <c r="B1930" s="18"/>
      <c r="C1930" s="17"/>
      <c r="D1930" s="18"/>
      <c r="E1930" s="17"/>
      <c r="F1930" s="22"/>
      <c r="G1930"/>
    </row>
    <row r="1931" spans="1:7">
      <c r="A1931" s="17"/>
      <c r="B1931" s="18"/>
      <c r="C1931" s="17"/>
      <c r="D1931" s="18"/>
      <c r="E1931" s="17"/>
      <c r="F1931" s="22"/>
      <c r="G1931"/>
    </row>
    <row r="1932" spans="1:7">
      <c r="A1932" s="17"/>
      <c r="B1932" s="18"/>
      <c r="C1932" s="17"/>
      <c r="D1932" s="18"/>
      <c r="E1932" s="17"/>
      <c r="F1932" s="22"/>
      <c r="G1932"/>
    </row>
    <row r="1933" spans="1:7">
      <c r="A1933" s="17"/>
      <c r="B1933" s="18"/>
      <c r="C1933" s="17"/>
      <c r="D1933" s="18"/>
      <c r="E1933" s="17"/>
      <c r="F1933" s="22"/>
      <c r="G1933"/>
    </row>
    <row r="1934" spans="1:7">
      <c r="A1934" s="17"/>
      <c r="B1934" s="18"/>
      <c r="C1934" s="17"/>
      <c r="D1934" s="18"/>
      <c r="E1934" s="17"/>
      <c r="F1934" s="22"/>
      <c r="G1934"/>
    </row>
    <row r="1935" spans="1:7">
      <c r="A1935" s="17"/>
      <c r="B1935" s="18"/>
      <c r="C1935" s="17"/>
      <c r="D1935" s="18"/>
      <c r="E1935" s="17"/>
      <c r="F1935" s="22"/>
      <c r="G1935"/>
    </row>
    <row r="1936" spans="1:7">
      <c r="A1936" s="17"/>
      <c r="B1936" s="18"/>
      <c r="C1936" s="17"/>
      <c r="D1936" s="18"/>
      <c r="E1936" s="17"/>
      <c r="F1936" s="22"/>
      <c r="G1936"/>
    </row>
    <row r="1937" spans="1:7">
      <c r="A1937" s="17"/>
      <c r="B1937" s="18"/>
      <c r="C1937" s="17"/>
      <c r="D1937" s="18"/>
      <c r="E1937" s="17"/>
      <c r="F1937" s="22"/>
      <c r="G1937"/>
    </row>
    <row r="1938" spans="1:7">
      <c r="A1938" s="17"/>
      <c r="B1938" s="18"/>
      <c r="C1938" s="17"/>
      <c r="D1938" s="18"/>
      <c r="E1938" s="17"/>
      <c r="F1938" s="22"/>
      <c r="G1938"/>
    </row>
    <row r="1939" spans="1:7">
      <c r="A1939" s="17"/>
      <c r="B1939" s="18"/>
      <c r="C1939" s="17"/>
      <c r="D1939" s="18"/>
      <c r="E1939" s="17"/>
      <c r="F1939" s="22"/>
      <c r="G1939"/>
    </row>
    <row r="1940" spans="1:7">
      <c r="A1940" s="17"/>
      <c r="B1940" s="18"/>
      <c r="C1940" s="17"/>
      <c r="D1940" s="18"/>
      <c r="E1940" s="17"/>
      <c r="F1940" s="22"/>
      <c r="G1940"/>
    </row>
    <row r="1941" spans="1:7">
      <c r="A1941" s="17"/>
      <c r="B1941" s="18"/>
      <c r="C1941" s="17"/>
      <c r="D1941" s="18"/>
      <c r="E1941" s="17"/>
      <c r="F1941" s="22"/>
      <c r="G1941"/>
    </row>
    <row r="1942" spans="1:7">
      <c r="A1942" s="17"/>
      <c r="B1942" s="18"/>
      <c r="C1942" s="17"/>
      <c r="D1942" s="18"/>
      <c r="E1942" s="17"/>
      <c r="F1942" s="22"/>
      <c r="G1942"/>
    </row>
    <row r="1943" spans="1:7">
      <c r="A1943" s="17"/>
      <c r="B1943" s="18"/>
      <c r="C1943" s="17"/>
      <c r="D1943" s="18"/>
      <c r="E1943" s="17"/>
      <c r="F1943" s="22"/>
      <c r="G1943"/>
    </row>
    <row r="1944" spans="1:7">
      <c r="A1944" s="17"/>
      <c r="B1944" s="18"/>
      <c r="C1944" s="17"/>
      <c r="D1944" s="18"/>
      <c r="E1944" s="17"/>
      <c r="F1944" s="22"/>
      <c r="G1944"/>
    </row>
    <row r="1945" spans="1:7">
      <c r="A1945" s="17"/>
      <c r="B1945" s="18"/>
      <c r="C1945" s="17"/>
      <c r="D1945" s="18"/>
      <c r="E1945" s="17"/>
      <c r="F1945" s="22"/>
      <c r="G1945"/>
    </row>
    <row r="1946" spans="1:7">
      <c r="A1946" s="17"/>
      <c r="B1946" s="18"/>
      <c r="C1946" s="17"/>
      <c r="D1946" s="18"/>
      <c r="E1946" s="17"/>
      <c r="F1946" s="22"/>
      <c r="G1946"/>
    </row>
    <row r="1947" spans="1:7">
      <c r="A1947" s="17"/>
      <c r="B1947" s="18"/>
      <c r="C1947" s="17"/>
      <c r="D1947" s="18"/>
      <c r="E1947" s="17"/>
      <c r="F1947" s="22"/>
      <c r="G1947"/>
    </row>
    <row r="1948" spans="1:7">
      <c r="A1948" s="17"/>
      <c r="B1948" s="18"/>
      <c r="C1948" s="17"/>
      <c r="D1948" s="18"/>
      <c r="E1948" s="17"/>
      <c r="F1948" s="22"/>
      <c r="G1948"/>
    </row>
    <row r="1949" spans="1:7">
      <c r="A1949" s="17"/>
      <c r="B1949" s="18"/>
      <c r="C1949" s="17"/>
      <c r="D1949" s="18"/>
      <c r="E1949" s="17"/>
      <c r="F1949" s="22"/>
      <c r="G1949"/>
    </row>
    <row r="1950" spans="1:7">
      <c r="A1950" s="17"/>
      <c r="B1950" s="18"/>
      <c r="C1950" s="17"/>
      <c r="D1950" s="18"/>
      <c r="E1950" s="17"/>
      <c r="F1950" s="22"/>
      <c r="G1950"/>
    </row>
    <row r="1951" spans="1:7">
      <c r="A1951" s="17"/>
      <c r="B1951" s="18"/>
      <c r="C1951" s="17"/>
      <c r="D1951" s="18"/>
      <c r="E1951" s="17"/>
      <c r="F1951" s="22"/>
      <c r="G1951"/>
    </row>
    <row r="1952" spans="1:7">
      <c r="A1952" s="17"/>
      <c r="B1952" s="18"/>
      <c r="C1952" s="17"/>
      <c r="D1952" s="18"/>
      <c r="E1952" s="17"/>
      <c r="F1952" s="22"/>
      <c r="G1952"/>
    </row>
    <row r="1953" spans="1:7">
      <c r="A1953" s="17"/>
      <c r="B1953" s="18"/>
      <c r="C1953" s="17"/>
      <c r="D1953" s="18"/>
      <c r="E1953" s="17"/>
      <c r="F1953" s="22"/>
      <c r="G1953"/>
    </row>
    <row r="1954" spans="1:7">
      <c r="A1954" s="17"/>
      <c r="B1954" s="18"/>
      <c r="C1954" s="17"/>
      <c r="D1954" s="18"/>
      <c r="E1954" s="17"/>
      <c r="F1954" s="22"/>
      <c r="G1954"/>
    </row>
    <row r="1955" spans="1:7">
      <c r="A1955" s="17"/>
      <c r="B1955" s="18"/>
      <c r="C1955" s="17"/>
      <c r="D1955" s="18"/>
      <c r="E1955" s="17"/>
      <c r="F1955" s="22"/>
      <c r="G1955"/>
    </row>
    <row r="1956" spans="1:7">
      <c r="A1956" s="17"/>
      <c r="B1956" s="18"/>
      <c r="C1956" s="17"/>
      <c r="D1956" s="18"/>
      <c r="E1956" s="17"/>
      <c r="F1956" s="22"/>
      <c r="G1956"/>
    </row>
    <row r="1957" spans="1:7">
      <c r="A1957" s="17"/>
      <c r="B1957" s="18"/>
      <c r="C1957" s="17"/>
      <c r="D1957" s="18"/>
      <c r="E1957" s="17"/>
      <c r="F1957" s="22"/>
      <c r="G1957"/>
    </row>
    <row r="1958" spans="1:7">
      <c r="A1958" s="17"/>
      <c r="B1958" s="18"/>
      <c r="C1958" s="17"/>
      <c r="D1958" s="18"/>
      <c r="E1958" s="17"/>
      <c r="F1958" s="22"/>
      <c r="G1958"/>
    </row>
    <row r="1959" spans="1:7">
      <c r="A1959" s="17"/>
      <c r="B1959" s="18"/>
      <c r="C1959" s="17"/>
      <c r="D1959" s="18"/>
      <c r="E1959" s="17"/>
      <c r="F1959" s="22"/>
      <c r="G1959"/>
    </row>
    <row r="1960" spans="1:7">
      <c r="A1960" s="17"/>
      <c r="B1960" s="18"/>
      <c r="C1960" s="17"/>
      <c r="D1960" s="18"/>
      <c r="E1960" s="17"/>
      <c r="F1960" s="22"/>
      <c r="G1960"/>
    </row>
    <row r="1961" spans="1:7">
      <c r="A1961" s="17"/>
      <c r="B1961" s="18"/>
      <c r="C1961" s="17"/>
      <c r="D1961" s="18"/>
      <c r="E1961" s="17"/>
      <c r="F1961" s="22"/>
      <c r="G1961"/>
    </row>
    <row r="1962" spans="1:7">
      <c r="A1962" s="17"/>
      <c r="B1962" s="18"/>
      <c r="C1962" s="17"/>
      <c r="D1962" s="18"/>
      <c r="E1962" s="17"/>
      <c r="F1962" s="22"/>
      <c r="G1962"/>
    </row>
    <row r="1963" spans="1:7">
      <c r="A1963" s="17"/>
      <c r="B1963" s="18"/>
      <c r="C1963" s="17"/>
      <c r="D1963" s="18"/>
      <c r="E1963" s="17"/>
      <c r="F1963" s="22"/>
      <c r="G1963"/>
    </row>
    <row r="1964" spans="1:7">
      <c r="A1964" s="17"/>
      <c r="B1964" s="18"/>
      <c r="C1964" s="17"/>
      <c r="D1964" s="18"/>
      <c r="E1964" s="17"/>
      <c r="F1964" s="22"/>
      <c r="G1964"/>
    </row>
    <row r="1965" spans="1:7">
      <c r="A1965" s="17"/>
      <c r="B1965" s="18"/>
      <c r="C1965" s="17"/>
      <c r="D1965" s="18"/>
      <c r="E1965" s="17"/>
      <c r="F1965" s="22"/>
      <c r="G1965"/>
    </row>
    <row r="1966" spans="1:7">
      <c r="A1966" s="17"/>
      <c r="B1966" s="18"/>
      <c r="C1966" s="17"/>
      <c r="D1966" s="18"/>
      <c r="E1966" s="17"/>
      <c r="F1966" s="22"/>
      <c r="G1966"/>
    </row>
    <row r="1967" spans="1:7">
      <c r="A1967" s="17"/>
      <c r="B1967" s="18"/>
      <c r="C1967" s="17"/>
      <c r="D1967" s="18"/>
      <c r="E1967" s="17"/>
      <c r="F1967" s="22"/>
      <c r="G1967"/>
    </row>
    <row r="1968" spans="1:7">
      <c r="A1968" s="17"/>
      <c r="B1968" s="18"/>
      <c r="C1968" s="17"/>
      <c r="D1968" s="18"/>
      <c r="E1968" s="17"/>
      <c r="F1968" s="22"/>
      <c r="G1968"/>
    </row>
    <row r="1969" spans="1:7">
      <c r="A1969" s="17"/>
      <c r="B1969" s="18"/>
      <c r="C1969" s="17"/>
      <c r="D1969" s="18"/>
      <c r="E1969" s="17"/>
      <c r="F1969" s="22"/>
      <c r="G1969"/>
    </row>
    <row r="1970" spans="1:7">
      <c r="A1970" s="17"/>
      <c r="B1970" s="18"/>
      <c r="C1970" s="17"/>
      <c r="D1970" s="18"/>
      <c r="E1970" s="17"/>
      <c r="F1970" s="22"/>
      <c r="G1970"/>
    </row>
    <row r="1971" spans="1:7">
      <c r="A1971" s="17"/>
      <c r="B1971" s="18"/>
      <c r="C1971" s="17"/>
      <c r="D1971" s="18"/>
      <c r="E1971" s="17"/>
      <c r="F1971" s="22"/>
      <c r="G1971"/>
    </row>
    <row r="1972" spans="1:7">
      <c r="A1972" s="17"/>
      <c r="B1972" s="18"/>
      <c r="C1972" s="17"/>
      <c r="D1972" s="18"/>
      <c r="E1972" s="17"/>
      <c r="F1972" s="22"/>
      <c r="G1972"/>
    </row>
    <row r="1973" spans="1:7">
      <c r="A1973" s="17"/>
      <c r="B1973" s="18"/>
      <c r="C1973" s="17"/>
      <c r="D1973" s="18"/>
      <c r="E1973" s="17"/>
      <c r="F1973" s="22"/>
      <c r="G1973"/>
    </row>
    <row r="1974" spans="1:7">
      <c r="A1974" s="17"/>
      <c r="B1974" s="18"/>
      <c r="C1974" s="17"/>
      <c r="D1974" s="18"/>
      <c r="E1974" s="17"/>
      <c r="F1974" s="22"/>
      <c r="G1974"/>
    </row>
    <row r="1975" spans="1:7">
      <c r="A1975" s="17"/>
      <c r="B1975" s="18"/>
      <c r="C1975" s="17"/>
      <c r="D1975" s="18"/>
      <c r="E1975" s="17"/>
      <c r="F1975" s="22"/>
      <c r="G1975"/>
    </row>
    <row r="1976" spans="1:7">
      <c r="A1976" s="17"/>
      <c r="B1976" s="18"/>
      <c r="C1976" s="17"/>
      <c r="D1976" s="18"/>
      <c r="E1976" s="17"/>
      <c r="F1976" s="22"/>
      <c r="G1976"/>
    </row>
    <row r="1977" spans="1:7">
      <c r="A1977" s="17"/>
      <c r="B1977" s="18"/>
      <c r="C1977" s="17"/>
      <c r="D1977" s="18"/>
      <c r="E1977" s="17"/>
      <c r="F1977" s="22"/>
      <c r="G1977"/>
    </row>
    <row r="1978" spans="1:7">
      <c r="A1978" s="17"/>
      <c r="B1978" s="18"/>
      <c r="C1978" s="17"/>
      <c r="D1978" s="18"/>
      <c r="E1978" s="17"/>
      <c r="F1978" s="22"/>
      <c r="G1978"/>
    </row>
    <row r="1979" spans="1:7">
      <c r="A1979" s="17"/>
      <c r="B1979" s="18"/>
      <c r="C1979" s="17"/>
      <c r="D1979" s="18"/>
      <c r="E1979" s="17"/>
      <c r="F1979" s="22"/>
      <c r="G1979"/>
    </row>
    <row r="1980" spans="1:7">
      <c r="A1980" s="17"/>
      <c r="B1980" s="18"/>
      <c r="C1980" s="17"/>
      <c r="D1980" s="18"/>
      <c r="E1980" s="17"/>
      <c r="F1980" s="22"/>
      <c r="G1980"/>
    </row>
    <row r="1981" spans="1:7">
      <c r="A1981" s="17"/>
      <c r="B1981" s="18"/>
      <c r="C1981" s="17"/>
      <c r="D1981" s="18"/>
      <c r="E1981" s="17"/>
      <c r="F1981" s="22"/>
      <c r="G1981"/>
    </row>
    <row r="1982" spans="1:7">
      <c r="A1982" s="17"/>
      <c r="B1982" s="18"/>
      <c r="C1982" s="17"/>
      <c r="D1982" s="18"/>
      <c r="E1982" s="17"/>
      <c r="F1982" s="22"/>
      <c r="G1982"/>
    </row>
    <row r="1983" spans="1:7">
      <c r="A1983" s="17"/>
      <c r="B1983" s="18"/>
      <c r="C1983" s="17"/>
      <c r="D1983" s="18"/>
      <c r="E1983" s="17"/>
      <c r="F1983" s="22"/>
      <c r="G1983"/>
    </row>
    <row r="1984" spans="1:7">
      <c r="A1984" s="17"/>
      <c r="B1984" s="18"/>
      <c r="C1984" s="17"/>
      <c r="D1984" s="18"/>
      <c r="E1984" s="17"/>
      <c r="F1984" s="22"/>
      <c r="G1984"/>
    </row>
    <row r="1985" spans="1:7">
      <c r="A1985" s="17"/>
      <c r="B1985" s="18"/>
      <c r="C1985" s="17"/>
      <c r="D1985" s="18"/>
      <c r="E1985" s="17"/>
      <c r="F1985" s="22"/>
      <c r="G1985"/>
    </row>
    <row r="1986" spans="1:7">
      <c r="A1986" s="17"/>
      <c r="B1986" s="18"/>
      <c r="C1986" s="17"/>
      <c r="D1986" s="18"/>
      <c r="E1986" s="17"/>
      <c r="F1986" s="22"/>
      <c r="G1986"/>
    </row>
    <row r="1987" spans="1:7">
      <c r="A1987" s="17"/>
      <c r="B1987" s="18"/>
      <c r="C1987" s="17"/>
      <c r="D1987" s="18"/>
      <c r="E1987" s="17"/>
      <c r="F1987" s="22"/>
      <c r="G1987"/>
    </row>
    <row r="1988" spans="1:7">
      <c r="A1988" s="17"/>
      <c r="B1988" s="18"/>
      <c r="C1988" s="17"/>
      <c r="D1988" s="18"/>
      <c r="E1988" s="17"/>
      <c r="F1988" s="22"/>
      <c r="G1988"/>
    </row>
    <row r="1989" spans="1:7">
      <c r="A1989" s="17"/>
      <c r="B1989" s="18"/>
      <c r="C1989" s="17"/>
      <c r="D1989" s="18"/>
      <c r="E1989" s="17"/>
      <c r="F1989" s="22"/>
      <c r="G1989"/>
    </row>
    <row r="1990" spans="1:7">
      <c r="A1990" s="17"/>
      <c r="B1990" s="18"/>
      <c r="C1990" s="17"/>
      <c r="D1990" s="18"/>
      <c r="E1990" s="17"/>
      <c r="F1990" s="22"/>
      <c r="G1990"/>
    </row>
    <row r="1991" spans="1:7">
      <c r="A1991" s="17"/>
      <c r="B1991" s="18"/>
      <c r="C1991" s="17"/>
      <c r="D1991" s="18"/>
      <c r="E1991" s="17"/>
      <c r="F1991" s="22"/>
      <c r="G1991"/>
    </row>
    <row r="1992" spans="1:7">
      <c r="A1992" s="17"/>
      <c r="B1992" s="18"/>
      <c r="C1992" s="17"/>
      <c r="D1992" s="18"/>
      <c r="E1992" s="17"/>
      <c r="F1992" s="22"/>
      <c r="G1992"/>
    </row>
    <row r="1993" spans="1:7">
      <c r="A1993" s="17"/>
      <c r="B1993" s="18"/>
      <c r="C1993" s="17"/>
      <c r="D1993" s="18"/>
      <c r="E1993" s="17"/>
      <c r="F1993" s="22"/>
      <c r="G1993"/>
    </row>
    <row r="1994" spans="1:7">
      <c r="A1994" s="17"/>
      <c r="B1994" s="18"/>
      <c r="C1994" s="17"/>
      <c r="D1994" s="18"/>
      <c r="E1994" s="17"/>
      <c r="F1994" s="22"/>
      <c r="G1994"/>
    </row>
    <row r="1995" spans="1:7">
      <c r="A1995" s="17"/>
      <c r="B1995" s="18"/>
      <c r="C1995" s="17"/>
      <c r="D1995" s="18"/>
      <c r="E1995" s="17"/>
      <c r="F1995" s="22"/>
      <c r="G1995"/>
    </row>
    <row r="1996" spans="1:7">
      <c r="A1996" s="17"/>
      <c r="B1996" s="18"/>
      <c r="C1996" s="17"/>
      <c r="D1996" s="18"/>
      <c r="E1996" s="17"/>
      <c r="F1996" s="22"/>
      <c r="G1996"/>
    </row>
    <row r="1997" spans="1:7">
      <c r="A1997" s="17"/>
      <c r="B1997" s="18"/>
      <c r="C1997" s="17"/>
      <c r="D1997" s="18"/>
      <c r="E1997" s="17"/>
      <c r="F1997" s="22"/>
      <c r="G1997"/>
    </row>
    <row r="1998" spans="1:7">
      <c r="A1998" s="17"/>
      <c r="B1998" s="18"/>
      <c r="C1998" s="17"/>
      <c r="D1998" s="18"/>
      <c r="E1998" s="17"/>
      <c r="F1998" s="22"/>
      <c r="G1998"/>
    </row>
    <row r="1999" spans="1:7">
      <c r="A1999" s="17"/>
      <c r="B1999" s="18"/>
      <c r="C1999" s="17"/>
      <c r="D1999" s="18"/>
      <c r="E1999" s="17"/>
      <c r="F1999" s="22"/>
      <c r="G1999"/>
    </row>
    <row r="2000" spans="1:7">
      <c r="A2000" s="17"/>
      <c r="B2000" s="18"/>
      <c r="C2000" s="17"/>
      <c r="D2000" s="18"/>
      <c r="E2000" s="17"/>
      <c r="F2000" s="22"/>
      <c r="G2000"/>
    </row>
    <row r="2001" spans="1:7">
      <c r="A2001" s="17"/>
      <c r="B2001" s="18"/>
      <c r="C2001" s="17"/>
      <c r="D2001" s="18"/>
      <c r="E2001" s="17"/>
      <c r="F2001" s="22"/>
      <c r="G2001"/>
    </row>
    <row r="2002" spans="1:7">
      <c r="A2002" s="17"/>
      <c r="B2002" s="18"/>
      <c r="C2002" s="17"/>
      <c r="D2002" s="18"/>
      <c r="E2002" s="17"/>
      <c r="F2002" s="22"/>
      <c r="G2002"/>
    </row>
    <row r="2003" spans="1:7">
      <c r="A2003" s="17"/>
      <c r="B2003" s="18"/>
      <c r="C2003" s="17"/>
      <c r="D2003" s="18"/>
      <c r="E2003" s="17"/>
      <c r="F2003" s="22"/>
      <c r="G2003"/>
    </row>
    <row r="2004" spans="1:7">
      <c r="A2004" s="17"/>
      <c r="B2004" s="18"/>
      <c r="C2004" s="17"/>
      <c r="D2004" s="18"/>
      <c r="E2004" s="17"/>
      <c r="F2004" s="22"/>
      <c r="G2004"/>
    </row>
    <row r="2005" spans="1:7">
      <c r="A2005" s="17"/>
      <c r="B2005" s="18"/>
      <c r="C2005" s="17"/>
      <c r="D2005" s="18"/>
      <c r="E2005" s="17"/>
      <c r="F2005" s="22"/>
      <c r="G2005"/>
    </row>
    <row r="2006" spans="1:7">
      <c r="A2006" s="17"/>
      <c r="B2006" s="18"/>
      <c r="C2006" s="17"/>
      <c r="D2006" s="18"/>
      <c r="E2006" s="17"/>
      <c r="F2006" s="22"/>
      <c r="G2006"/>
    </row>
    <row r="2007" spans="1:7">
      <c r="A2007" s="17"/>
      <c r="B2007" s="18"/>
      <c r="C2007" s="17"/>
      <c r="D2007" s="18"/>
      <c r="E2007" s="17"/>
      <c r="F2007" s="22"/>
      <c r="G2007"/>
    </row>
    <row r="2008" spans="1:7">
      <c r="A2008" s="17"/>
      <c r="B2008" s="18"/>
      <c r="C2008" s="17"/>
      <c r="D2008" s="18"/>
      <c r="E2008" s="17"/>
      <c r="F2008" s="22"/>
      <c r="G2008"/>
    </row>
    <row r="2009" spans="1:7">
      <c r="A2009" s="17"/>
      <c r="B2009" s="18"/>
      <c r="C2009" s="17"/>
      <c r="D2009" s="18"/>
      <c r="E2009" s="17"/>
      <c r="F2009" s="22"/>
      <c r="G2009"/>
    </row>
    <row r="2010" spans="1:7">
      <c r="A2010" s="17"/>
      <c r="B2010" s="18"/>
      <c r="C2010" s="17"/>
      <c r="D2010" s="18"/>
      <c r="E2010" s="17"/>
      <c r="F2010" s="22"/>
      <c r="G2010"/>
    </row>
    <row r="2011" spans="1:7">
      <c r="A2011" s="17"/>
      <c r="B2011" s="18"/>
      <c r="C2011" s="17"/>
      <c r="D2011" s="18"/>
      <c r="E2011" s="17"/>
      <c r="F2011" s="22"/>
      <c r="G2011"/>
    </row>
    <row r="2012" spans="1:7">
      <c r="A2012" s="17"/>
      <c r="B2012" s="18"/>
      <c r="C2012" s="17"/>
      <c r="D2012" s="18"/>
      <c r="E2012" s="17"/>
      <c r="F2012" s="22"/>
      <c r="G2012"/>
    </row>
    <row r="2013" spans="1:7">
      <c r="A2013" s="17"/>
      <c r="B2013" s="18"/>
      <c r="C2013" s="17"/>
      <c r="D2013" s="18"/>
      <c r="E2013" s="17"/>
      <c r="F2013" s="22"/>
      <c r="G2013"/>
    </row>
    <row r="2014" spans="1:7">
      <c r="A2014" s="17"/>
      <c r="B2014" s="18"/>
      <c r="C2014" s="17"/>
      <c r="D2014" s="18"/>
      <c r="E2014" s="17"/>
      <c r="F2014" s="22"/>
      <c r="G2014"/>
    </row>
    <row r="2015" spans="1:7">
      <c r="A2015" s="17"/>
      <c r="B2015" s="18"/>
      <c r="C2015" s="17"/>
      <c r="D2015" s="18"/>
      <c r="E2015" s="17"/>
      <c r="F2015" s="22"/>
      <c r="G2015"/>
    </row>
    <row r="2016" spans="1:7">
      <c r="A2016" s="17"/>
      <c r="B2016" s="18"/>
      <c r="C2016" s="17"/>
      <c r="D2016" s="18"/>
      <c r="E2016" s="17"/>
      <c r="F2016" s="22"/>
      <c r="G2016"/>
    </row>
    <row r="2017" spans="1:7">
      <c r="A2017" s="17"/>
      <c r="B2017" s="18"/>
      <c r="C2017" s="17"/>
      <c r="D2017" s="18"/>
      <c r="E2017" s="17"/>
      <c r="F2017" s="22"/>
      <c r="G2017"/>
    </row>
    <row r="2018" spans="1:7">
      <c r="A2018" s="17"/>
      <c r="B2018" s="18"/>
      <c r="C2018" s="17"/>
      <c r="D2018" s="18"/>
      <c r="E2018" s="17"/>
      <c r="F2018" s="22"/>
      <c r="G2018"/>
    </row>
    <row r="2019" spans="1:7">
      <c r="A2019" s="17"/>
      <c r="B2019" s="18"/>
      <c r="C2019" s="17"/>
      <c r="D2019" s="18"/>
      <c r="E2019" s="17"/>
      <c r="F2019" s="22"/>
      <c r="G2019"/>
    </row>
    <row r="2020" spans="1:7">
      <c r="A2020" s="17"/>
      <c r="B2020" s="18"/>
      <c r="C2020" s="17"/>
      <c r="D2020" s="18"/>
      <c r="E2020" s="17"/>
      <c r="F2020" s="22"/>
      <c r="G2020"/>
    </row>
    <row r="2021" spans="1:7">
      <c r="A2021" s="17"/>
      <c r="B2021" s="18"/>
      <c r="C2021" s="17"/>
      <c r="D2021" s="18"/>
      <c r="E2021" s="17"/>
      <c r="F2021" s="22"/>
      <c r="G2021"/>
    </row>
    <row r="2022" spans="1:7">
      <c r="A2022" s="17"/>
      <c r="B2022" s="18"/>
      <c r="C2022" s="17"/>
      <c r="D2022" s="18"/>
      <c r="E2022" s="17"/>
      <c r="F2022" s="22"/>
      <c r="G2022"/>
    </row>
    <row r="2023" spans="1:7">
      <c r="A2023" s="17"/>
      <c r="B2023" s="18"/>
      <c r="C2023" s="17"/>
      <c r="D2023" s="18"/>
      <c r="E2023" s="17"/>
      <c r="F2023" s="22"/>
      <c r="G2023"/>
    </row>
    <row r="2024" spans="1:7">
      <c r="A2024" s="17"/>
      <c r="B2024" s="18"/>
      <c r="C2024" s="17"/>
      <c r="D2024" s="18"/>
      <c r="E2024" s="17"/>
      <c r="F2024" s="22"/>
      <c r="G2024"/>
    </row>
    <row r="2025" spans="1:7">
      <c r="A2025" s="17"/>
      <c r="B2025" s="18"/>
      <c r="C2025" s="17"/>
      <c r="D2025" s="18"/>
      <c r="E2025" s="17"/>
      <c r="F2025" s="22"/>
      <c r="G2025"/>
    </row>
    <row r="2026" spans="1:7">
      <c r="A2026" s="17"/>
      <c r="B2026" s="18"/>
      <c r="C2026" s="17"/>
      <c r="D2026" s="18"/>
      <c r="E2026" s="17"/>
      <c r="F2026" s="22"/>
      <c r="G2026"/>
    </row>
    <row r="2027" spans="1:7">
      <c r="A2027" s="17"/>
      <c r="B2027" s="18"/>
      <c r="C2027" s="17"/>
      <c r="D2027" s="18"/>
      <c r="E2027" s="17"/>
      <c r="F2027" s="22"/>
      <c r="G2027"/>
    </row>
    <row r="2028" spans="1:7">
      <c r="A2028" s="17"/>
      <c r="B2028" s="18"/>
      <c r="C2028" s="17"/>
      <c r="D2028" s="18"/>
      <c r="E2028" s="17"/>
      <c r="F2028" s="22"/>
      <c r="G2028"/>
    </row>
    <row r="2029" spans="1:7">
      <c r="A2029" s="17"/>
      <c r="B2029" s="18"/>
      <c r="C2029" s="17"/>
      <c r="D2029" s="18"/>
      <c r="E2029" s="17"/>
      <c r="F2029" s="22"/>
      <c r="G2029"/>
    </row>
    <row r="2030" spans="1:7">
      <c r="A2030" s="17"/>
      <c r="B2030" s="18"/>
      <c r="C2030" s="17"/>
      <c r="D2030" s="18"/>
      <c r="E2030" s="17"/>
      <c r="F2030" s="22"/>
      <c r="G2030"/>
    </row>
    <row r="2031" spans="1:7">
      <c r="A2031" s="17"/>
      <c r="B2031" s="18"/>
      <c r="C2031" s="17"/>
      <c r="D2031" s="18"/>
      <c r="E2031" s="17"/>
      <c r="F2031" s="22"/>
      <c r="G2031"/>
    </row>
    <row r="2032" spans="1:7">
      <c r="A2032" s="17"/>
      <c r="B2032" s="18"/>
      <c r="C2032" s="17"/>
      <c r="D2032" s="18"/>
      <c r="E2032" s="17"/>
      <c r="F2032" s="22"/>
      <c r="G2032"/>
    </row>
    <row r="2033" spans="1:7">
      <c r="A2033" s="17"/>
      <c r="B2033" s="18"/>
      <c r="C2033" s="17"/>
      <c r="D2033" s="18"/>
      <c r="E2033" s="17"/>
      <c r="F2033" s="22"/>
      <c r="G2033"/>
    </row>
    <row r="2034" spans="1:7">
      <c r="A2034" s="17"/>
      <c r="B2034" s="18"/>
      <c r="C2034" s="17"/>
      <c r="D2034" s="18"/>
      <c r="E2034" s="17"/>
      <c r="F2034" s="22"/>
      <c r="G2034"/>
    </row>
    <row r="2035" spans="1:7">
      <c r="A2035" s="17"/>
      <c r="B2035" s="18"/>
      <c r="C2035" s="17"/>
      <c r="D2035" s="18"/>
      <c r="E2035" s="17"/>
      <c r="F2035" s="22"/>
      <c r="G2035"/>
    </row>
    <row r="2036" spans="1:7">
      <c r="A2036" s="17"/>
      <c r="B2036" s="18"/>
      <c r="C2036" s="17"/>
      <c r="D2036" s="18"/>
      <c r="E2036" s="17"/>
      <c r="F2036" s="22"/>
      <c r="G2036"/>
    </row>
    <row r="2037" spans="1:7">
      <c r="A2037" s="17"/>
      <c r="B2037" s="18"/>
      <c r="C2037" s="17"/>
      <c r="D2037" s="18"/>
      <c r="E2037" s="17"/>
      <c r="F2037" s="22"/>
      <c r="G2037"/>
    </row>
    <row r="2038" spans="1:7">
      <c r="A2038" s="17"/>
      <c r="B2038" s="18"/>
      <c r="C2038" s="17"/>
      <c r="D2038" s="18"/>
      <c r="E2038" s="17"/>
      <c r="F2038" s="22"/>
      <c r="G2038"/>
    </row>
    <row r="2039" spans="1:7">
      <c r="A2039" s="17"/>
      <c r="B2039" s="18"/>
      <c r="C2039" s="17"/>
      <c r="D2039" s="18"/>
      <c r="E2039" s="17"/>
      <c r="F2039" s="22"/>
      <c r="G2039"/>
    </row>
    <row r="2040" spans="1:7">
      <c r="A2040" s="17"/>
      <c r="B2040" s="18"/>
      <c r="C2040" s="17"/>
      <c r="D2040" s="18"/>
      <c r="E2040" s="17"/>
      <c r="F2040" s="22"/>
      <c r="G2040"/>
    </row>
    <row r="2041" spans="1:7">
      <c r="A2041" s="17"/>
      <c r="B2041" s="18"/>
      <c r="C2041" s="17"/>
      <c r="D2041" s="18"/>
      <c r="E2041" s="17"/>
      <c r="F2041" s="22"/>
      <c r="G2041"/>
    </row>
    <row r="2042" spans="1:7">
      <c r="A2042" s="17"/>
      <c r="B2042" s="18"/>
      <c r="C2042" s="17"/>
      <c r="D2042" s="18"/>
      <c r="E2042" s="17"/>
      <c r="F2042" s="22"/>
      <c r="G2042"/>
    </row>
    <row r="2043" spans="1:7">
      <c r="A2043" s="17"/>
      <c r="B2043" s="18"/>
      <c r="C2043" s="17"/>
      <c r="D2043" s="18"/>
      <c r="E2043" s="17"/>
      <c r="F2043" s="22"/>
      <c r="G2043"/>
    </row>
    <row r="2044" spans="1:7">
      <c r="A2044" s="17"/>
      <c r="B2044" s="18"/>
      <c r="C2044" s="17"/>
      <c r="D2044" s="18"/>
      <c r="E2044" s="17"/>
      <c r="F2044" s="22"/>
      <c r="G2044"/>
    </row>
    <row r="2045" spans="1:7">
      <c r="A2045" s="17"/>
      <c r="B2045" s="18"/>
      <c r="C2045" s="17"/>
      <c r="D2045" s="18"/>
      <c r="E2045" s="17"/>
      <c r="F2045" s="22"/>
      <c r="G2045"/>
    </row>
    <row r="2046" spans="1:7">
      <c r="A2046" s="17"/>
      <c r="B2046" s="18"/>
      <c r="C2046" s="17"/>
      <c r="D2046" s="18"/>
      <c r="E2046" s="17"/>
      <c r="F2046" s="22"/>
      <c r="G2046"/>
    </row>
    <row r="2047" spans="1:7">
      <c r="A2047" s="17"/>
      <c r="B2047" s="18"/>
      <c r="C2047" s="17"/>
      <c r="D2047" s="18"/>
      <c r="E2047" s="17"/>
      <c r="F2047" s="22"/>
      <c r="G2047"/>
    </row>
    <row r="2048" spans="1:7">
      <c r="A2048" s="17"/>
      <c r="B2048" s="18"/>
      <c r="C2048" s="17"/>
      <c r="D2048" s="18"/>
      <c r="E2048" s="17"/>
      <c r="F2048" s="22"/>
      <c r="G2048"/>
    </row>
    <row r="2049" spans="1:7">
      <c r="A2049" s="17"/>
      <c r="B2049" s="18"/>
      <c r="C2049" s="17"/>
      <c r="D2049" s="18"/>
      <c r="E2049" s="17"/>
      <c r="F2049" s="22"/>
      <c r="G2049"/>
    </row>
    <row r="2050" spans="1:7">
      <c r="A2050" s="17"/>
      <c r="B2050" s="18"/>
      <c r="C2050" s="17"/>
      <c r="D2050" s="18"/>
      <c r="E2050" s="17"/>
      <c r="F2050" s="22"/>
      <c r="G2050"/>
    </row>
    <row r="2051" spans="1:7">
      <c r="A2051" s="17"/>
      <c r="B2051" s="18"/>
      <c r="C2051" s="17"/>
      <c r="D2051" s="18"/>
      <c r="E2051" s="17"/>
      <c r="F2051" s="22"/>
      <c r="G2051"/>
    </row>
    <row r="2052" spans="1:7">
      <c r="A2052" s="17"/>
      <c r="B2052" s="18"/>
      <c r="C2052" s="17"/>
      <c r="D2052" s="18"/>
      <c r="E2052" s="17"/>
      <c r="F2052" s="22"/>
      <c r="G2052"/>
    </row>
    <row r="2053" spans="1:7">
      <c r="A2053" s="17"/>
      <c r="B2053" s="18"/>
      <c r="C2053" s="17"/>
      <c r="D2053" s="18"/>
      <c r="E2053" s="17"/>
      <c r="F2053" s="22"/>
      <c r="G2053"/>
    </row>
    <row r="2054" spans="1:7">
      <c r="A2054" s="17"/>
      <c r="B2054" s="18"/>
      <c r="C2054" s="17"/>
      <c r="D2054" s="18"/>
      <c r="E2054" s="17"/>
      <c r="F2054" s="22"/>
      <c r="G2054"/>
    </row>
    <row r="2055" spans="1:7">
      <c r="A2055" s="17"/>
      <c r="B2055" s="18"/>
      <c r="C2055" s="17"/>
      <c r="D2055" s="18"/>
      <c r="E2055" s="17"/>
      <c r="F2055" s="22"/>
      <c r="G2055"/>
    </row>
    <row r="2056" spans="1:7">
      <c r="A2056" s="17"/>
      <c r="B2056" s="18"/>
      <c r="C2056" s="17"/>
      <c r="D2056" s="18"/>
      <c r="E2056" s="17"/>
      <c r="F2056" s="22"/>
      <c r="G2056"/>
    </row>
    <row r="2057" spans="1:7">
      <c r="A2057" s="17"/>
      <c r="B2057" s="18"/>
      <c r="C2057" s="17"/>
      <c r="D2057" s="18"/>
      <c r="E2057" s="17"/>
      <c r="F2057" s="22"/>
      <c r="G2057"/>
    </row>
    <row r="2058" spans="1:7">
      <c r="A2058" s="17"/>
      <c r="B2058" s="18"/>
      <c r="C2058" s="17"/>
      <c r="D2058" s="18"/>
      <c r="E2058" s="17"/>
      <c r="F2058" s="22"/>
      <c r="G2058"/>
    </row>
    <row r="2059" spans="1:7">
      <c r="A2059" s="17"/>
      <c r="B2059" s="18"/>
      <c r="C2059" s="17"/>
      <c r="D2059" s="18"/>
      <c r="E2059" s="17"/>
      <c r="F2059" s="22"/>
      <c r="G2059"/>
    </row>
    <row r="2060" spans="1:7">
      <c r="A2060" s="17"/>
      <c r="B2060" s="18"/>
      <c r="C2060" s="17"/>
      <c r="D2060" s="18"/>
      <c r="E2060" s="17"/>
      <c r="F2060" s="22"/>
      <c r="G2060"/>
    </row>
    <row r="2061" spans="1:7">
      <c r="A2061" s="17"/>
      <c r="B2061" s="18"/>
      <c r="C2061" s="17"/>
      <c r="D2061" s="18"/>
      <c r="E2061" s="17"/>
      <c r="F2061" s="22"/>
      <c r="G2061"/>
    </row>
    <row r="2062" spans="1:7">
      <c r="A2062" s="17"/>
      <c r="B2062" s="18"/>
      <c r="C2062" s="17"/>
      <c r="D2062" s="18"/>
      <c r="E2062" s="17"/>
      <c r="F2062" s="22"/>
      <c r="G2062"/>
    </row>
    <row r="2063" spans="1:7">
      <c r="A2063" s="17"/>
      <c r="B2063" s="18"/>
      <c r="C2063" s="17"/>
      <c r="D2063" s="18"/>
      <c r="E2063" s="17"/>
      <c r="F2063" s="22"/>
      <c r="G2063"/>
    </row>
    <row r="2064" spans="1:7">
      <c r="A2064" s="17"/>
      <c r="B2064" s="18"/>
      <c r="C2064" s="17"/>
      <c r="D2064" s="18"/>
      <c r="E2064" s="17"/>
      <c r="F2064" s="22"/>
      <c r="G2064"/>
    </row>
    <row r="2065" spans="1:7">
      <c r="A2065" s="17"/>
      <c r="B2065" s="18"/>
      <c r="C2065" s="17"/>
      <c r="D2065" s="18"/>
      <c r="E2065" s="17"/>
      <c r="F2065" s="22"/>
      <c r="G2065"/>
    </row>
    <row r="2066" spans="1:7">
      <c r="A2066" s="17"/>
      <c r="B2066" s="18"/>
      <c r="C2066" s="17"/>
      <c r="D2066" s="18"/>
      <c r="E2066" s="17"/>
      <c r="F2066" s="22"/>
      <c r="G2066"/>
    </row>
    <row r="2067" spans="1:7">
      <c r="A2067" s="17"/>
      <c r="B2067" s="18"/>
      <c r="C2067" s="17"/>
      <c r="D2067" s="18"/>
      <c r="E2067" s="17"/>
      <c r="F2067" s="22"/>
      <c r="G2067"/>
    </row>
    <row r="2068" spans="1:7">
      <c r="A2068" s="17"/>
      <c r="B2068" s="18"/>
      <c r="C2068" s="17"/>
      <c r="D2068" s="18"/>
      <c r="E2068" s="17"/>
      <c r="F2068" s="22"/>
      <c r="G2068"/>
    </row>
    <row r="2069" spans="1:7">
      <c r="A2069" s="17"/>
      <c r="B2069" s="18"/>
      <c r="C2069" s="17"/>
      <c r="D2069" s="18"/>
      <c r="E2069" s="17"/>
      <c r="F2069" s="22"/>
      <c r="G2069"/>
    </row>
    <row r="2070" spans="1:7">
      <c r="A2070" s="17"/>
      <c r="B2070" s="18"/>
      <c r="C2070" s="17"/>
      <c r="D2070" s="18"/>
      <c r="E2070" s="17"/>
      <c r="F2070" s="22"/>
      <c r="G2070"/>
    </row>
    <row r="2071" spans="1:7">
      <c r="A2071" s="17"/>
      <c r="B2071" s="18"/>
      <c r="C2071" s="17"/>
      <c r="D2071" s="18"/>
      <c r="E2071" s="17"/>
      <c r="F2071" s="22"/>
      <c r="G2071"/>
    </row>
    <row r="2072" spans="1:7">
      <c r="A2072" s="17"/>
      <c r="B2072" s="18"/>
      <c r="C2072" s="17"/>
      <c r="D2072" s="18"/>
      <c r="E2072" s="17"/>
      <c r="F2072" s="22"/>
      <c r="G2072"/>
    </row>
    <row r="2073" spans="1:7">
      <c r="A2073" s="17"/>
      <c r="B2073" s="18"/>
      <c r="C2073" s="17"/>
      <c r="D2073" s="18"/>
      <c r="E2073" s="17"/>
      <c r="F2073" s="22"/>
      <c r="G2073"/>
    </row>
    <row r="2074" spans="1:7">
      <c r="A2074" s="17"/>
      <c r="B2074" s="18"/>
      <c r="C2074" s="17"/>
      <c r="D2074" s="18"/>
      <c r="E2074" s="17"/>
      <c r="F2074" s="22"/>
      <c r="G2074"/>
    </row>
    <row r="2075" spans="1:7">
      <c r="A2075" s="17"/>
      <c r="B2075" s="18"/>
      <c r="C2075" s="17"/>
      <c r="D2075" s="18"/>
      <c r="E2075" s="17"/>
      <c r="F2075" s="22"/>
      <c r="G2075"/>
    </row>
    <row r="2076" spans="1:7">
      <c r="A2076" s="17"/>
      <c r="B2076" s="18"/>
      <c r="C2076" s="17"/>
      <c r="D2076" s="18"/>
      <c r="E2076" s="17"/>
      <c r="F2076" s="22"/>
      <c r="G2076"/>
    </row>
    <row r="2077" spans="1:7">
      <c r="A2077" s="17"/>
      <c r="B2077" s="18"/>
      <c r="C2077" s="17"/>
      <c r="D2077" s="18"/>
      <c r="E2077" s="17"/>
      <c r="F2077" s="22"/>
      <c r="G2077"/>
    </row>
    <row r="2078" spans="1:7">
      <c r="A2078" s="17"/>
      <c r="B2078" s="18"/>
      <c r="C2078" s="17"/>
      <c r="D2078" s="18"/>
      <c r="E2078" s="17"/>
      <c r="F2078" s="22"/>
      <c r="G2078"/>
    </row>
    <row r="2079" spans="1:7">
      <c r="A2079" s="17"/>
      <c r="B2079" s="18"/>
      <c r="C2079" s="17"/>
      <c r="D2079" s="18"/>
      <c r="E2079" s="17"/>
      <c r="F2079" s="22"/>
      <c r="G2079"/>
    </row>
    <row r="2080" spans="1:7">
      <c r="A2080" s="17"/>
      <c r="B2080" s="18"/>
      <c r="C2080" s="17"/>
      <c r="D2080" s="18"/>
      <c r="E2080" s="17"/>
      <c r="F2080" s="22"/>
      <c r="G2080"/>
    </row>
    <row r="2081" spans="1:7">
      <c r="A2081" s="17"/>
      <c r="B2081" s="18"/>
      <c r="C2081" s="17"/>
      <c r="D2081" s="18"/>
      <c r="E2081" s="17"/>
      <c r="F2081" s="22"/>
      <c r="G2081"/>
    </row>
    <row r="2082" spans="1:7">
      <c r="A2082" s="17"/>
      <c r="B2082" s="18"/>
      <c r="C2082" s="17"/>
      <c r="D2082" s="18"/>
      <c r="E2082" s="17"/>
      <c r="F2082" s="22"/>
      <c r="G2082"/>
    </row>
    <row r="2083" spans="1:7">
      <c r="A2083" s="17"/>
      <c r="B2083" s="18"/>
      <c r="C2083" s="17"/>
      <c r="D2083" s="18"/>
      <c r="E2083" s="17"/>
      <c r="F2083" s="22"/>
      <c r="G2083"/>
    </row>
    <row r="2084" spans="1:7">
      <c r="A2084" s="17"/>
      <c r="B2084" s="18"/>
      <c r="C2084" s="17"/>
      <c r="D2084" s="18"/>
      <c r="E2084" s="17"/>
      <c r="F2084" s="22"/>
      <c r="G2084"/>
    </row>
    <row r="2085" spans="1:7">
      <c r="A2085" s="17"/>
      <c r="B2085" s="18"/>
      <c r="C2085" s="17"/>
      <c r="D2085" s="18"/>
      <c r="E2085" s="17"/>
      <c r="F2085" s="22"/>
      <c r="G2085"/>
    </row>
    <row r="2086" spans="1:7">
      <c r="A2086" s="17"/>
      <c r="B2086" s="18"/>
      <c r="C2086" s="17"/>
      <c r="D2086" s="18"/>
      <c r="E2086" s="17"/>
      <c r="F2086" s="22"/>
      <c r="G2086"/>
    </row>
    <row r="2087" spans="1:7">
      <c r="A2087" s="17"/>
      <c r="B2087" s="18"/>
      <c r="C2087" s="17"/>
      <c r="D2087" s="18"/>
      <c r="E2087" s="17"/>
      <c r="F2087" s="22"/>
      <c r="G2087"/>
    </row>
    <row r="2088" spans="1:7">
      <c r="A2088" s="17"/>
      <c r="B2088" s="18"/>
      <c r="C2088" s="17"/>
      <c r="D2088" s="18"/>
      <c r="E2088" s="17"/>
      <c r="F2088" s="22"/>
      <c r="G2088"/>
    </row>
    <row r="2089" spans="1:7">
      <c r="A2089" s="17"/>
      <c r="B2089" s="18"/>
      <c r="C2089" s="17"/>
      <c r="D2089" s="18"/>
      <c r="E2089" s="17"/>
      <c r="F2089" s="22"/>
      <c r="G2089"/>
    </row>
    <row r="2090" spans="1:7">
      <c r="A2090" s="17"/>
      <c r="B2090" s="18"/>
      <c r="C2090" s="17"/>
      <c r="D2090" s="18"/>
      <c r="E2090" s="17"/>
      <c r="F2090" s="22"/>
      <c r="G2090"/>
    </row>
    <row r="2091" spans="1:7">
      <c r="A2091" s="17"/>
      <c r="B2091" s="18"/>
      <c r="C2091" s="17"/>
      <c r="D2091" s="18"/>
      <c r="E2091" s="17"/>
      <c r="F2091" s="22"/>
      <c r="G2091"/>
    </row>
    <row r="2092" spans="1:7">
      <c r="A2092" s="17"/>
      <c r="B2092" s="18"/>
      <c r="C2092" s="17"/>
      <c r="D2092" s="18"/>
      <c r="E2092" s="17"/>
      <c r="F2092" s="22"/>
      <c r="G2092"/>
    </row>
    <row r="2093" spans="1:7">
      <c r="A2093" s="17"/>
      <c r="B2093" s="18"/>
      <c r="C2093" s="17"/>
      <c r="D2093" s="18"/>
      <c r="E2093" s="17"/>
      <c r="F2093" s="22"/>
      <c r="G2093"/>
    </row>
    <row r="2094" spans="1:7">
      <c r="A2094" s="17"/>
      <c r="B2094" s="18"/>
      <c r="C2094" s="17"/>
      <c r="D2094" s="18"/>
      <c r="E2094" s="17"/>
      <c r="F2094" s="22"/>
      <c r="G2094"/>
    </row>
    <row r="2095" spans="1:7">
      <c r="A2095" s="17"/>
      <c r="B2095" s="18"/>
      <c r="C2095" s="17"/>
      <c r="D2095" s="18"/>
      <c r="E2095" s="17"/>
      <c r="F2095" s="22"/>
      <c r="G2095"/>
    </row>
    <row r="2096" spans="1:7">
      <c r="A2096" s="17"/>
      <c r="B2096" s="18"/>
      <c r="C2096" s="17"/>
      <c r="D2096" s="18"/>
      <c r="E2096" s="17"/>
      <c r="F2096" s="22"/>
      <c r="G2096"/>
    </row>
    <row r="2097" spans="1:7">
      <c r="A2097" s="17"/>
      <c r="B2097" s="18"/>
      <c r="C2097" s="17"/>
      <c r="D2097" s="18"/>
      <c r="E2097" s="17"/>
      <c r="F2097" s="22"/>
      <c r="G2097"/>
    </row>
    <row r="2098" spans="1:7">
      <c r="A2098" s="17"/>
      <c r="B2098" s="18"/>
      <c r="C2098" s="17"/>
      <c r="D2098" s="18"/>
      <c r="E2098" s="17"/>
      <c r="F2098" s="22"/>
      <c r="G2098"/>
    </row>
    <row r="2099" spans="1:7">
      <c r="A2099" s="17"/>
      <c r="B2099" s="18"/>
      <c r="C2099" s="17"/>
      <c r="D2099" s="18"/>
      <c r="E2099" s="17"/>
      <c r="F2099" s="22"/>
      <c r="G2099"/>
    </row>
    <row r="2100" spans="1:7">
      <c r="A2100" s="17"/>
      <c r="B2100" s="18"/>
      <c r="C2100" s="17"/>
      <c r="D2100" s="18"/>
      <c r="E2100" s="17"/>
      <c r="F2100" s="22"/>
      <c r="G2100"/>
    </row>
    <row r="2101" spans="1:7">
      <c r="A2101" s="17"/>
      <c r="B2101" s="18"/>
      <c r="C2101" s="17"/>
      <c r="D2101" s="18"/>
      <c r="E2101" s="17"/>
      <c r="F2101" s="22"/>
      <c r="G2101"/>
    </row>
    <row r="2102" spans="1:7">
      <c r="A2102" s="17"/>
      <c r="B2102" s="18"/>
      <c r="C2102" s="17"/>
      <c r="D2102" s="18"/>
      <c r="E2102" s="17"/>
      <c r="F2102" s="22"/>
      <c r="G2102"/>
    </row>
    <row r="2103" spans="1:7">
      <c r="A2103" s="17"/>
      <c r="B2103" s="18"/>
      <c r="C2103" s="17"/>
      <c r="D2103" s="18"/>
      <c r="E2103" s="17"/>
      <c r="F2103" s="22"/>
      <c r="G2103"/>
    </row>
    <row r="2104" spans="1:7">
      <c r="A2104" s="17"/>
      <c r="B2104" s="18"/>
      <c r="C2104" s="17"/>
      <c r="D2104" s="18"/>
      <c r="E2104" s="17"/>
      <c r="F2104" s="22"/>
      <c r="G2104"/>
    </row>
    <row r="2105" spans="1:7">
      <c r="A2105" s="17"/>
      <c r="B2105" s="18"/>
      <c r="C2105" s="17"/>
      <c r="D2105" s="18"/>
      <c r="E2105" s="17"/>
      <c r="F2105" s="22"/>
      <c r="G2105"/>
    </row>
    <row r="2106" spans="1:7">
      <c r="A2106" s="17"/>
      <c r="B2106" s="18"/>
      <c r="C2106" s="17"/>
      <c r="D2106" s="18"/>
      <c r="E2106" s="17"/>
      <c r="F2106" s="22"/>
      <c r="G2106"/>
    </row>
    <row r="2107" spans="1:7">
      <c r="A2107" s="17"/>
      <c r="B2107" s="18"/>
      <c r="C2107" s="17"/>
      <c r="D2107" s="18"/>
      <c r="E2107" s="17"/>
      <c r="F2107" s="22"/>
      <c r="G2107"/>
    </row>
    <row r="2108" spans="1:7">
      <c r="A2108" s="17"/>
      <c r="B2108" s="18"/>
      <c r="C2108" s="17"/>
      <c r="D2108" s="18"/>
      <c r="E2108" s="17"/>
      <c r="F2108" s="22"/>
      <c r="G2108"/>
    </row>
    <row r="2109" spans="1:7">
      <c r="A2109" s="17"/>
      <c r="B2109" s="18"/>
      <c r="C2109" s="17"/>
      <c r="D2109" s="18"/>
      <c r="E2109" s="17"/>
      <c r="F2109" s="22"/>
      <c r="G2109"/>
    </row>
    <row r="2110" spans="1:7">
      <c r="A2110" s="17"/>
      <c r="B2110" s="18"/>
      <c r="C2110" s="17"/>
      <c r="D2110" s="18"/>
      <c r="E2110" s="17"/>
      <c r="F2110" s="22"/>
      <c r="G2110"/>
    </row>
    <row r="2111" spans="1:7">
      <c r="A2111" s="17"/>
      <c r="B2111" s="18"/>
      <c r="C2111" s="17"/>
      <c r="D2111" s="18"/>
      <c r="E2111" s="17"/>
      <c r="F2111" s="22"/>
      <c r="G2111"/>
    </row>
    <row r="2112" spans="1:7">
      <c r="A2112" s="17"/>
      <c r="B2112" s="18"/>
      <c r="C2112" s="17"/>
      <c r="D2112" s="18"/>
      <c r="E2112" s="17"/>
      <c r="F2112" s="22"/>
      <c r="G2112"/>
    </row>
    <row r="2113" spans="1:7">
      <c r="A2113" s="17"/>
      <c r="B2113" s="18"/>
      <c r="C2113" s="17"/>
      <c r="D2113" s="18"/>
      <c r="E2113" s="17"/>
      <c r="F2113" s="22"/>
      <c r="G2113"/>
    </row>
    <row r="2114" spans="1:7">
      <c r="A2114" s="17"/>
      <c r="B2114" s="18"/>
      <c r="C2114" s="17"/>
      <c r="D2114" s="18"/>
      <c r="E2114" s="17"/>
      <c r="F2114" s="22"/>
      <c r="G2114"/>
    </row>
    <row r="2115" spans="1:7">
      <c r="A2115" s="17"/>
      <c r="B2115" s="18"/>
      <c r="C2115" s="17"/>
      <c r="D2115" s="18"/>
      <c r="E2115" s="17"/>
      <c r="F2115" s="22"/>
      <c r="G2115"/>
    </row>
    <row r="2116" spans="1:7">
      <c r="A2116" s="17"/>
      <c r="B2116" s="18"/>
      <c r="C2116" s="17"/>
      <c r="D2116" s="18"/>
      <c r="E2116" s="17"/>
      <c r="F2116" s="22"/>
      <c r="G2116"/>
    </row>
    <row r="2117" spans="1:7">
      <c r="A2117" s="17"/>
      <c r="B2117" s="18"/>
      <c r="C2117" s="17"/>
      <c r="D2117" s="18"/>
      <c r="E2117" s="17"/>
      <c r="F2117" s="22"/>
      <c r="G2117"/>
    </row>
    <row r="2118" spans="1:7">
      <c r="A2118" s="17"/>
      <c r="B2118" s="18"/>
      <c r="C2118" s="17"/>
      <c r="D2118" s="18"/>
      <c r="E2118" s="17"/>
      <c r="F2118" s="22"/>
      <c r="G2118"/>
    </row>
    <row r="2119" spans="1:7">
      <c r="A2119" s="17"/>
      <c r="B2119" s="18"/>
      <c r="C2119" s="17"/>
      <c r="D2119" s="18"/>
      <c r="E2119" s="17"/>
      <c r="F2119" s="22"/>
      <c r="G2119"/>
    </row>
    <row r="2120" spans="1:7">
      <c r="A2120" s="17"/>
      <c r="B2120" s="18"/>
      <c r="C2120" s="17"/>
      <c r="D2120" s="18"/>
      <c r="E2120" s="17"/>
      <c r="F2120" s="22"/>
      <c r="G2120"/>
    </row>
    <row r="2121" spans="1:7">
      <c r="A2121" s="17"/>
      <c r="B2121" s="18"/>
      <c r="C2121" s="17"/>
      <c r="D2121" s="18"/>
      <c r="E2121" s="17"/>
      <c r="F2121" s="22"/>
      <c r="G2121"/>
    </row>
    <row r="2122" spans="1:7">
      <c r="A2122" s="17"/>
      <c r="B2122" s="18"/>
      <c r="C2122" s="17"/>
      <c r="D2122" s="18"/>
      <c r="E2122" s="17"/>
      <c r="F2122" s="22"/>
      <c r="G2122"/>
    </row>
    <row r="2123" spans="1:7">
      <c r="A2123" s="17"/>
      <c r="B2123" s="18"/>
      <c r="C2123" s="17"/>
      <c r="D2123" s="18"/>
      <c r="E2123" s="17"/>
      <c r="F2123" s="22"/>
      <c r="G2123"/>
    </row>
    <row r="2124" spans="1:7">
      <c r="A2124" s="17"/>
      <c r="B2124" s="18"/>
      <c r="C2124" s="17"/>
      <c r="D2124" s="18"/>
      <c r="E2124" s="17"/>
      <c r="F2124" s="22"/>
      <c r="G2124"/>
    </row>
    <row r="2125" spans="1:7">
      <c r="A2125" s="17"/>
      <c r="B2125" s="18"/>
      <c r="C2125" s="17"/>
      <c r="D2125" s="18"/>
      <c r="E2125" s="17"/>
      <c r="F2125" s="22"/>
      <c r="G2125"/>
    </row>
    <row r="2126" spans="1:7">
      <c r="A2126" s="17"/>
      <c r="B2126" s="18"/>
      <c r="C2126" s="17"/>
      <c r="D2126" s="18"/>
      <c r="E2126" s="17"/>
      <c r="F2126" s="22"/>
      <c r="G2126"/>
    </row>
    <row r="2127" spans="1:7">
      <c r="A2127" s="17"/>
      <c r="B2127" s="18"/>
      <c r="C2127" s="17"/>
      <c r="D2127" s="18"/>
      <c r="E2127" s="17"/>
      <c r="F2127" s="22"/>
      <c r="G2127"/>
    </row>
    <row r="2128" spans="1:7">
      <c r="A2128" s="17"/>
      <c r="B2128" s="18"/>
      <c r="C2128" s="17"/>
      <c r="D2128" s="18"/>
      <c r="E2128" s="17"/>
      <c r="F2128" s="22"/>
      <c r="G2128"/>
    </row>
    <row r="2129" spans="1:7">
      <c r="A2129" s="17"/>
      <c r="B2129" s="18"/>
      <c r="C2129" s="17"/>
      <c r="D2129" s="18"/>
      <c r="E2129" s="17"/>
      <c r="F2129" s="22"/>
      <c r="G2129"/>
    </row>
    <row r="2130" spans="1:7">
      <c r="A2130" s="17"/>
      <c r="B2130" s="18"/>
      <c r="C2130" s="17"/>
      <c r="D2130" s="18"/>
      <c r="E2130" s="17"/>
      <c r="F2130" s="22"/>
      <c r="G2130"/>
    </row>
    <row r="2131" spans="1:7">
      <c r="A2131" s="17"/>
      <c r="B2131" s="18"/>
      <c r="C2131" s="17"/>
      <c r="D2131" s="18"/>
      <c r="E2131" s="17"/>
      <c r="F2131" s="22"/>
      <c r="G2131"/>
    </row>
    <row r="2132" spans="1:7">
      <c r="A2132" s="17"/>
      <c r="B2132" s="18"/>
      <c r="C2132" s="17"/>
      <c r="D2132" s="18"/>
      <c r="E2132" s="17"/>
      <c r="F2132" s="22"/>
      <c r="G2132"/>
    </row>
    <row r="2133" spans="1:7">
      <c r="A2133" s="17"/>
      <c r="B2133" s="18"/>
      <c r="C2133" s="17"/>
      <c r="D2133" s="18"/>
      <c r="E2133" s="17"/>
      <c r="F2133" s="22"/>
      <c r="G2133"/>
    </row>
    <row r="2134" spans="1:7">
      <c r="A2134" s="17"/>
      <c r="B2134" s="18"/>
      <c r="C2134" s="17"/>
      <c r="D2134" s="18"/>
      <c r="E2134" s="17"/>
      <c r="F2134" s="22"/>
      <c r="G2134"/>
    </row>
    <row r="2135" spans="1:7">
      <c r="A2135" s="17"/>
      <c r="B2135" s="18"/>
      <c r="C2135" s="17"/>
      <c r="D2135" s="18"/>
      <c r="E2135" s="17"/>
      <c r="F2135" s="22"/>
      <c r="G2135"/>
    </row>
    <row r="2136" spans="1:7">
      <c r="A2136" s="17"/>
      <c r="B2136" s="18"/>
      <c r="C2136" s="17"/>
      <c r="D2136" s="18"/>
      <c r="E2136" s="17"/>
      <c r="F2136" s="22"/>
      <c r="G2136"/>
    </row>
    <row r="2137" spans="1:7">
      <c r="A2137" s="17"/>
      <c r="B2137" s="18"/>
      <c r="C2137" s="17"/>
      <c r="D2137" s="18"/>
      <c r="E2137" s="17"/>
      <c r="F2137" s="22"/>
      <c r="G2137"/>
    </row>
    <row r="2138" spans="1:7">
      <c r="A2138" s="17"/>
      <c r="B2138" s="18"/>
      <c r="C2138" s="17"/>
      <c r="D2138" s="18"/>
      <c r="E2138" s="17"/>
      <c r="F2138" s="22"/>
      <c r="G2138"/>
    </row>
    <row r="2139" spans="1:7">
      <c r="A2139" s="17"/>
      <c r="B2139" s="18"/>
      <c r="C2139" s="17"/>
      <c r="D2139" s="18"/>
      <c r="E2139" s="17"/>
      <c r="F2139" s="22"/>
      <c r="G2139"/>
    </row>
    <row r="2140" spans="1:7">
      <c r="A2140" s="17"/>
      <c r="B2140" s="18"/>
      <c r="C2140" s="17"/>
      <c r="D2140" s="18"/>
      <c r="E2140" s="17"/>
      <c r="F2140" s="22"/>
      <c r="G2140"/>
    </row>
    <row r="2141" spans="1:7">
      <c r="A2141" s="17"/>
      <c r="B2141" s="18"/>
      <c r="C2141" s="17"/>
      <c r="D2141" s="18"/>
      <c r="E2141" s="17"/>
      <c r="F2141" s="22"/>
      <c r="G2141"/>
    </row>
    <row r="2142" spans="1:7">
      <c r="A2142" s="17"/>
      <c r="B2142" s="18"/>
      <c r="C2142" s="17"/>
      <c r="D2142" s="18"/>
      <c r="E2142" s="17"/>
      <c r="F2142" s="22"/>
      <c r="G2142"/>
    </row>
    <row r="2143" spans="1:7">
      <c r="A2143" s="17"/>
      <c r="B2143" s="18"/>
      <c r="C2143" s="17"/>
      <c r="D2143" s="18"/>
      <c r="E2143" s="17"/>
      <c r="F2143" s="22"/>
      <c r="G2143"/>
    </row>
    <row r="2144" spans="1:7">
      <c r="A2144" s="17"/>
      <c r="B2144" s="18"/>
      <c r="C2144" s="17"/>
      <c r="D2144" s="18"/>
      <c r="E2144" s="17"/>
      <c r="F2144" s="22"/>
      <c r="G2144"/>
    </row>
    <row r="2145" spans="1:7">
      <c r="A2145" s="17"/>
      <c r="B2145" s="18"/>
      <c r="C2145" s="17"/>
      <c r="D2145" s="18"/>
      <c r="E2145" s="17"/>
      <c r="F2145" s="22"/>
      <c r="G2145"/>
    </row>
    <row r="2146" spans="1:7">
      <c r="A2146" s="17"/>
      <c r="B2146" s="18"/>
      <c r="C2146" s="17"/>
      <c r="D2146" s="18"/>
      <c r="E2146" s="17"/>
      <c r="F2146" s="22"/>
      <c r="G2146"/>
    </row>
    <row r="2147" spans="1:7">
      <c r="A2147" s="17"/>
      <c r="B2147" s="18"/>
      <c r="C2147" s="17"/>
      <c r="D2147" s="18"/>
      <c r="E2147" s="17"/>
      <c r="F2147" s="22"/>
      <c r="G2147"/>
    </row>
    <row r="2148" spans="1:7">
      <c r="A2148" s="17"/>
      <c r="B2148" s="18"/>
      <c r="C2148" s="17"/>
      <c r="D2148" s="18"/>
      <c r="E2148" s="17"/>
      <c r="F2148" s="22"/>
      <c r="G2148"/>
    </row>
    <row r="2149" spans="1:7">
      <c r="A2149" s="17"/>
      <c r="B2149" s="18"/>
      <c r="C2149" s="17"/>
      <c r="D2149" s="18"/>
      <c r="E2149" s="17"/>
      <c r="F2149" s="22"/>
      <c r="G2149"/>
    </row>
    <row r="2150" spans="1:7">
      <c r="A2150" s="17"/>
      <c r="B2150" s="18"/>
      <c r="C2150" s="17"/>
      <c r="D2150" s="18"/>
      <c r="E2150" s="17"/>
      <c r="F2150" s="22"/>
      <c r="G2150"/>
    </row>
    <row r="2151" spans="1:7">
      <c r="A2151" s="17"/>
      <c r="B2151" s="18"/>
      <c r="C2151" s="17"/>
      <c r="D2151" s="18"/>
      <c r="E2151" s="17"/>
      <c r="F2151" s="22"/>
      <c r="G2151"/>
    </row>
    <row r="2152" spans="1:7">
      <c r="A2152" s="17"/>
      <c r="B2152" s="18"/>
      <c r="C2152" s="17"/>
      <c r="D2152" s="18"/>
      <c r="E2152" s="17"/>
      <c r="F2152" s="22"/>
      <c r="G2152"/>
    </row>
    <row r="2153" spans="1:7">
      <c r="A2153" s="17"/>
      <c r="B2153" s="18"/>
      <c r="C2153" s="17"/>
      <c r="D2153" s="18"/>
      <c r="E2153" s="17"/>
      <c r="F2153" s="22"/>
      <c r="G2153"/>
    </row>
    <row r="2154" spans="1:7">
      <c r="A2154" s="17"/>
      <c r="B2154" s="18"/>
      <c r="C2154" s="17"/>
      <c r="D2154" s="18"/>
      <c r="E2154" s="17"/>
      <c r="F2154" s="22"/>
      <c r="G2154"/>
    </row>
    <row r="2155" spans="1:7">
      <c r="A2155" s="17"/>
      <c r="B2155" s="18"/>
      <c r="C2155" s="17"/>
      <c r="D2155" s="18"/>
      <c r="E2155" s="17"/>
      <c r="F2155" s="22"/>
      <c r="G2155"/>
    </row>
    <row r="2156" spans="1:7">
      <c r="A2156" s="17"/>
      <c r="B2156" s="18"/>
      <c r="C2156" s="17"/>
      <c r="D2156" s="18"/>
      <c r="E2156" s="17"/>
      <c r="F2156" s="22"/>
      <c r="G2156"/>
    </row>
    <row r="2157" spans="1:7">
      <c r="A2157" s="17"/>
      <c r="B2157" s="18"/>
      <c r="C2157" s="17"/>
      <c r="D2157" s="18"/>
      <c r="E2157" s="17"/>
      <c r="F2157" s="22"/>
      <c r="G2157"/>
    </row>
    <row r="2158" spans="1:7">
      <c r="A2158" s="17"/>
      <c r="B2158" s="18"/>
      <c r="C2158" s="17"/>
      <c r="D2158" s="18"/>
      <c r="E2158" s="17"/>
      <c r="F2158" s="22"/>
      <c r="G2158"/>
    </row>
    <row r="2159" spans="1:7">
      <c r="A2159" s="17"/>
      <c r="B2159" s="18"/>
      <c r="C2159" s="17"/>
      <c r="D2159" s="18"/>
      <c r="E2159" s="17"/>
      <c r="F2159" s="22"/>
      <c r="G2159"/>
    </row>
    <row r="2160" spans="1:7">
      <c r="A2160" s="17"/>
      <c r="B2160" s="18"/>
      <c r="C2160" s="17"/>
      <c r="D2160" s="18"/>
      <c r="E2160" s="17"/>
      <c r="F2160" s="22"/>
      <c r="G2160"/>
    </row>
    <row r="2161" spans="1:7">
      <c r="A2161" s="17"/>
      <c r="B2161" s="18"/>
      <c r="C2161" s="17"/>
      <c r="D2161" s="18"/>
      <c r="E2161" s="17"/>
      <c r="F2161" s="22"/>
      <c r="G2161"/>
    </row>
    <row r="2162" spans="1:7">
      <c r="A2162" s="17"/>
      <c r="B2162" s="18"/>
      <c r="C2162" s="17"/>
      <c r="D2162" s="18"/>
      <c r="E2162" s="17"/>
      <c r="F2162" s="22"/>
      <c r="G2162"/>
    </row>
    <row r="2163" spans="1:7">
      <c r="A2163" s="17"/>
      <c r="B2163" s="18"/>
      <c r="C2163" s="17"/>
      <c r="D2163" s="18"/>
      <c r="E2163" s="17"/>
      <c r="F2163" s="22"/>
      <c r="G2163"/>
    </row>
    <row r="2164" spans="1:7">
      <c r="A2164" s="17"/>
      <c r="B2164" s="18"/>
      <c r="C2164" s="17"/>
      <c r="D2164" s="18"/>
      <c r="E2164" s="17"/>
      <c r="F2164" s="22"/>
      <c r="G2164"/>
    </row>
    <row r="2165" spans="1:7">
      <c r="A2165" s="17"/>
      <c r="B2165" s="18"/>
      <c r="C2165" s="17"/>
      <c r="D2165" s="18"/>
      <c r="E2165" s="17"/>
      <c r="F2165" s="22"/>
      <c r="G2165"/>
    </row>
    <row r="2166" spans="1:7">
      <c r="A2166" s="17"/>
      <c r="B2166" s="18"/>
      <c r="C2166" s="17"/>
      <c r="D2166" s="18"/>
      <c r="E2166" s="17"/>
      <c r="F2166" s="22"/>
      <c r="G2166"/>
    </row>
    <row r="2167" spans="1:7">
      <c r="A2167" s="17"/>
      <c r="B2167" s="18"/>
      <c r="C2167" s="17"/>
      <c r="D2167" s="18"/>
      <c r="E2167" s="17"/>
      <c r="F2167" s="22"/>
      <c r="G2167"/>
    </row>
    <row r="2168" spans="1:7">
      <c r="A2168" s="17"/>
      <c r="B2168" s="18"/>
      <c r="C2168" s="17"/>
      <c r="D2168" s="18"/>
      <c r="E2168" s="17"/>
      <c r="F2168" s="22"/>
      <c r="G2168"/>
    </row>
    <row r="2169" spans="1:7">
      <c r="A2169" s="17"/>
      <c r="B2169" s="18"/>
      <c r="C2169" s="17"/>
      <c r="D2169" s="18"/>
      <c r="E2169" s="17"/>
      <c r="F2169" s="22"/>
      <c r="G2169"/>
    </row>
    <row r="2170" spans="1:7">
      <c r="A2170" s="17"/>
      <c r="B2170" s="18"/>
      <c r="C2170" s="17"/>
      <c r="D2170" s="18"/>
      <c r="E2170" s="17"/>
      <c r="F2170" s="22"/>
      <c r="G2170"/>
    </row>
    <row r="2171" spans="1:7">
      <c r="A2171" s="17"/>
      <c r="B2171" s="18"/>
      <c r="C2171" s="17"/>
      <c r="D2171" s="18"/>
      <c r="E2171" s="17"/>
      <c r="F2171" s="22"/>
      <c r="G2171"/>
    </row>
    <row r="2172" spans="1:7">
      <c r="A2172" s="17"/>
      <c r="B2172" s="18"/>
      <c r="C2172" s="17"/>
      <c r="D2172" s="18"/>
      <c r="E2172" s="17"/>
      <c r="F2172" s="22"/>
      <c r="G2172"/>
    </row>
    <row r="2173" spans="1:7">
      <c r="A2173" s="17"/>
      <c r="B2173" s="18"/>
      <c r="C2173" s="17"/>
      <c r="D2173" s="18"/>
      <c r="E2173" s="17"/>
      <c r="F2173" s="22"/>
      <c r="G2173"/>
    </row>
    <row r="2174" spans="1:7">
      <c r="A2174" s="17"/>
      <c r="B2174" s="18"/>
      <c r="C2174" s="17"/>
      <c r="D2174" s="18"/>
      <c r="E2174" s="17"/>
      <c r="F2174" s="22"/>
      <c r="G2174"/>
    </row>
    <row r="2175" spans="1:7">
      <c r="A2175" s="17"/>
      <c r="B2175" s="18"/>
      <c r="C2175" s="17"/>
      <c r="D2175" s="18"/>
      <c r="E2175" s="17"/>
      <c r="F2175" s="22"/>
      <c r="G2175"/>
    </row>
    <row r="2176" spans="1:7">
      <c r="A2176" s="17"/>
      <c r="B2176" s="18"/>
      <c r="C2176" s="17"/>
      <c r="D2176" s="18"/>
      <c r="E2176" s="17"/>
      <c r="F2176" s="22"/>
      <c r="G2176"/>
    </row>
    <row r="2177" spans="1:7">
      <c r="A2177" s="17"/>
      <c r="B2177" s="18"/>
      <c r="C2177" s="17"/>
      <c r="D2177" s="18"/>
      <c r="E2177" s="17"/>
      <c r="F2177" s="22"/>
      <c r="G2177"/>
    </row>
    <row r="2178" spans="1:7">
      <c r="A2178" s="17"/>
      <c r="B2178" s="18"/>
      <c r="C2178" s="17"/>
      <c r="D2178" s="18"/>
      <c r="E2178" s="17"/>
      <c r="F2178" s="22"/>
      <c r="G2178"/>
    </row>
    <row r="2179" spans="1:7">
      <c r="A2179" s="17"/>
      <c r="B2179" s="18"/>
      <c r="C2179" s="17"/>
      <c r="D2179" s="18"/>
      <c r="E2179" s="17"/>
      <c r="F2179" s="22"/>
      <c r="G2179"/>
    </row>
    <row r="2180" spans="1:7">
      <c r="A2180" s="17"/>
      <c r="B2180" s="18"/>
      <c r="C2180" s="17"/>
      <c r="D2180" s="18"/>
      <c r="E2180" s="17"/>
      <c r="F2180" s="22"/>
      <c r="G2180"/>
    </row>
    <row r="2181" spans="1:7">
      <c r="A2181" s="17"/>
      <c r="B2181" s="18"/>
      <c r="C2181" s="17"/>
      <c r="D2181" s="18"/>
      <c r="E2181" s="17"/>
      <c r="F2181" s="22"/>
      <c r="G2181"/>
    </row>
    <row r="2182" spans="1:7">
      <c r="A2182" s="17"/>
      <c r="B2182" s="18"/>
      <c r="C2182" s="17"/>
      <c r="D2182" s="18"/>
      <c r="E2182" s="17"/>
      <c r="F2182" s="22"/>
      <c r="G2182"/>
    </row>
    <row r="2183" spans="1:7">
      <c r="A2183" s="17"/>
      <c r="B2183" s="18"/>
      <c r="C2183" s="17"/>
      <c r="D2183" s="18"/>
      <c r="E2183" s="17"/>
      <c r="F2183" s="22"/>
      <c r="G2183"/>
    </row>
    <row r="2184" spans="1:7">
      <c r="A2184" s="17"/>
      <c r="B2184" s="18"/>
      <c r="C2184" s="17"/>
      <c r="D2184" s="18"/>
      <c r="E2184" s="17"/>
      <c r="F2184" s="22"/>
      <c r="G2184"/>
    </row>
    <row r="2185" spans="1:7">
      <c r="A2185" s="17"/>
      <c r="B2185" s="18"/>
      <c r="C2185" s="17"/>
      <c r="D2185" s="18"/>
      <c r="E2185" s="17"/>
      <c r="F2185" s="22"/>
      <c r="G2185"/>
    </row>
    <row r="2186" spans="1:7">
      <c r="A2186" s="17"/>
      <c r="B2186" s="18"/>
      <c r="C2186" s="17"/>
      <c r="D2186" s="18"/>
      <c r="E2186" s="17"/>
      <c r="F2186" s="22"/>
      <c r="G2186"/>
    </row>
    <row r="2187" spans="1:7">
      <c r="A2187" s="17"/>
      <c r="B2187" s="18"/>
      <c r="C2187" s="17"/>
      <c r="D2187" s="18"/>
      <c r="E2187" s="17"/>
      <c r="F2187" s="22"/>
      <c r="G2187"/>
    </row>
    <row r="2188" spans="1:7">
      <c r="A2188" s="17"/>
      <c r="B2188" s="18"/>
      <c r="C2188" s="17"/>
      <c r="D2188" s="18"/>
      <c r="E2188" s="17"/>
      <c r="F2188" s="22"/>
      <c r="G2188"/>
    </row>
    <row r="2189" spans="1:7">
      <c r="A2189" s="17"/>
      <c r="B2189" s="18"/>
      <c r="C2189" s="17"/>
      <c r="D2189" s="18"/>
      <c r="E2189" s="17"/>
      <c r="F2189" s="22"/>
      <c r="G2189"/>
    </row>
    <row r="2190" spans="1:7">
      <c r="A2190" s="17"/>
      <c r="B2190" s="18"/>
      <c r="C2190" s="17"/>
      <c r="D2190" s="18"/>
      <c r="E2190" s="17"/>
      <c r="F2190" s="22"/>
      <c r="G2190"/>
    </row>
    <row r="2191" spans="1:7">
      <c r="A2191" s="17"/>
      <c r="B2191" s="18"/>
      <c r="C2191" s="17"/>
      <c r="D2191" s="18"/>
      <c r="E2191" s="17"/>
      <c r="F2191" s="22"/>
      <c r="G2191"/>
    </row>
    <row r="2192" spans="1:7">
      <c r="A2192" s="17"/>
      <c r="B2192" s="18"/>
      <c r="C2192" s="17"/>
      <c r="D2192" s="18"/>
      <c r="E2192" s="17"/>
      <c r="F2192" s="22"/>
      <c r="G2192"/>
    </row>
    <row r="2193" spans="1:7">
      <c r="A2193" s="17"/>
      <c r="B2193" s="18"/>
      <c r="C2193" s="17"/>
      <c r="D2193" s="18"/>
      <c r="E2193" s="17"/>
      <c r="F2193" s="22"/>
      <c r="G2193"/>
    </row>
    <row r="2194" spans="1:7">
      <c r="A2194" s="17"/>
      <c r="B2194" s="18"/>
      <c r="C2194" s="17"/>
      <c r="D2194" s="18"/>
      <c r="E2194" s="17"/>
      <c r="F2194" s="22"/>
      <c r="G2194"/>
    </row>
    <row r="2195" spans="1:7">
      <c r="A2195" s="17"/>
      <c r="B2195" s="18"/>
      <c r="C2195" s="17"/>
      <c r="D2195" s="18"/>
      <c r="E2195" s="17"/>
      <c r="F2195" s="22"/>
      <c r="G2195"/>
    </row>
    <row r="2196" spans="1:7">
      <c r="A2196" s="17"/>
      <c r="B2196" s="18"/>
      <c r="C2196" s="17"/>
      <c r="D2196" s="18"/>
      <c r="E2196" s="17"/>
      <c r="F2196" s="22"/>
      <c r="G2196"/>
    </row>
    <row r="2197" spans="1:7">
      <c r="A2197" s="17"/>
      <c r="B2197" s="18"/>
      <c r="C2197" s="17"/>
      <c r="D2197" s="18"/>
      <c r="E2197" s="17"/>
      <c r="F2197" s="22"/>
      <c r="G2197"/>
    </row>
    <row r="2198" spans="1:7">
      <c r="A2198" s="17"/>
      <c r="B2198" s="18"/>
      <c r="C2198" s="17"/>
      <c r="D2198" s="18"/>
      <c r="E2198" s="17"/>
      <c r="F2198" s="22"/>
      <c r="G2198"/>
    </row>
    <row r="2199" spans="1:7">
      <c r="A2199" s="17"/>
      <c r="B2199" s="18"/>
      <c r="C2199" s="17"/>
      <c r="D2199" s="18"/>
      <c r="E2199" s="17"/>
      <c r="F2199" s="22"/>
      <c r="G2199"/>
    </row>
    <row r="2200" spans="1:7">
      <c r="A2200" s="17"/>
      <c r="B2200" s="18"/>
      <c r="C2200" s="17"/>
      <c r="D2200" s="18"/>
      <c r="E2200" s="17"/>
      <c r="F2200" s="22"/>
      <c r="G2200"/>
    </row>
    <row r="2201" spans="1:7">
      <c r="A2201" s="17"/>
      <c r="B2201" s="18"/>
      <c r="C2201" s="17"/>
      <c r="D2201" s="18"/>
      <c r="E2201" s="17"/>
      <c r="F2201" s="22"/>
      <c r="G2201"/>
    </row>
    <row r="2202" spans="1:7">
      <c r="A2202" s="17"/>
      <c r="B2202" s="18"/>
      <c r="C2202" s="17"/>
      <c r="D2202" s="18"/>
      <c r="E2202" s="17"/>
      <c r="F2202" s="22"/>
      <c r="G2202"/>
    </row>
    <row r="2203" spans="1:7">
      <c r="A2203" s="17"/>
      <c r="B2203" s="18"/>
      <c r="C2203" s="17"/>
      <c r="D2203" s="18"/>
      <c r="E2203" s="17"/>
      <c r="F2203" s="22"/>
      <c r="G2203"/>
    </row>
    <row r="2204" spans="1:7">
      <c r="A2204" s="17"/>
      <c r="B2204" s="18"/>
      <c r="C2204" s="17"/>
      <c r="D2204" s="18"/>
      <c r="E2204" s="17"/>
      <c r="F2204" s="22"/>
      <c r="G2204"/>
    </row>
    <row r="2205" spans="1:7">
      <c r="A2205" s="17"/>
      <c r="B2205" s="18"/>
      <c r="C2205" s="17"/>
      <c r="D2205" s="18"/>
      <c r="E2205" s="17"/>
      <c r="F2205" s="22"/>
      <c r="G2205"/>
    </row>
    <row r="2206" spans="1:7">
      <c r="A2206" s="17"/>
      <c r="B2206" s="18"/>
      <c r="C2206" s="17"/>
      <c r="D2206" s="18"/>
      <c r="E2206" s="17"/>
      <c r="F2206" s="22"/>
      <c r="G2206"/>
    </row>
    <row r="2207" spans="1:7">
      <c r="A2207" s="17"/>
      <c r="B2207" s="18"/>
      <c r="C2207" s="17"/>
      <c r="D2207" s="18"/>
      <c r="E2207" s="17"/>
      <c r="F2207" s="22"/>
      <c r="G2207"/>
    </row>
    <row r="2208" spans="1:7">
      <c r="A2208" s="17"/>
      <c r="B2208" s="18"/>
      <c r="C2208" s="17"/>
      <c r="D2208" s="18"/>
      <c r="E2208" s="17"/>
      <c r="F2208" s="22"/>
      <c r="G2208"/>
    </row>
    <row r="2209" spans="1:7">
      <c r="A2209" s="17"/>
      <c r="B2209" s="18"/>
      <c r="C2209" s="17"/>
      <c r="D2209" s="18"/>
      <c r="E2209" s="17"/>
      <c r="F2209" s="22"/>
      <c r="G2209"/>
    </row>
    <row r="2210" spans="1:7">
      <c r="A2210" s="17"/>
      <c r="B2210" s="18"/>
      <c r="C2210" s="17"/>
      <c r="D2210" s="18"/>
      <c r="E2210" s="17"/>
      <c r="F2210" s="22"/>
      <c r="G2210"/>
    </row>
    <row r="2211" spans="1:7">
      <c r="A2211" s="17"/>
      <c r="B2211" s="18"/>
      <c r="C2211" s="17"/>
      <c r="D2211" s="18"/>
      <c r="E2211" s="17"/>
      <c r="F2211" s="22"/>
      <c r="G2211"/>
    </row>
    <row r="2212" spans="1:7">
      <c r="A2212" s="17"/>
      <c r="B2212" s="18"/>
      <c r="C2212" s="17"/>
      <c r="D2212" s="18"/>
      <c r="E2212" s="17"/>
      <c r="F2212" s="22"/>
      <c r="G2212"/>
    </row>
    <row r="2213" spans="1:7">
      <c r="A2213" s="17"/>
      <c r="B2213" s="18"/>
      <c r="C2213" s="17"/>
      <c r="D2213" s="18"/>
      <c r="E2213" s="17"/>
      <c r="F2213" s="22"/>
      <c r="G2213"/>
    </row>
    <row r="2214" spans="1:7">
      <c r="A2214" s="17"/>
      <c r="B2214" s="18"/>
      <c r="C2214" s="17"/>
      <c r="D2214" s="18"/>
      <c r="E2214" s="17"/>
      <c r="F2214" s="22"/>
      <c r="G2214"/>
    </row>
    <row r="2215" spans="1:7">
      <c r="A2215" s="17"/>
      <c r="B2215" s="18"/>
      <c r="C2215" s="17"/>
      <c r="D2215" s="18"/>
      <c r="E2215" s="17"/>
      <c r="F2215" s="22"/>
      <c r="G2215"/>
    </row>
    <row r="2216" spans="1:7">
      <c r="A2216" s="17"/>
      <c r="B2216" s="18"/>
      <c r="C2216" s="17"/>
      <c r="D2216" s="18"/>
      <c r="E2216" s="17"/>
      <c r="F2216" s="22"/>
      <c r="G2216"/>
    </row>
    <row r="2217" spans="1:7">
      <c r="A2217" s="17"/>
      <c r="B2217" s="18"/>
      <c r="C2217" s="17"/>
      <c r="D2217" s="18"/>
      <c r="E2217" s="17"/>
      <c r="F2217" s="22"/>
      <c r="G2217"/>
    </row>
    <row r="2218" spans="1:7">
      <c r="A2218" s="17"/>
      <c r="B2218" s="18"/>
      <c r="C2218" s="17"/>
      <c r="D2218" s="18"/>
      <c r="E2218" s="17"/>
      <c r="F2218" s="22"/>
      <c r="G2218"/>
    </row>
    <row r="2219" spans="1:7">
      <c r="A2219" s="17"/>
      <c r="B2219" s="18"/>
      <c r="C2219" s="17"/>
      <c r="D2219" s="18"/>
      <c r="E2219" s="17"/>
      <c r="F2219" s="22"/>
      <c r="G2219"/>
    </row>
    <row r="2220" spans="1:7">
      <c r="A2220" s="17"/>
      <c r="B2220" s="18"/>
      <c r="C2220" s="17"/>
      <c r="D2220" s="18"/>
      <c r="E2220" s="17"/>
      <c r="F2220" s="22"/>
      <c r="G2220"/>
    </row>
    <row r="2221" spans="1:7">
      <c r="A2221" s="17"/>
      <c r="B2221" s="18"/>
      <c r="C2221" s="17"/>
      <c r="D2221" s="18"/>
      <c r="E2221" s="17"/>
      <c r="F2221" s="22"/>
      <c r="G2221"/>
    </row>
    <row r="2222" spans="1:7">
      <c r="A2222" s="17"/>
      <c r="B2222" s="18"/>
      <c r="C2222" s="17"/>
      <c r="D2222" s="18"/>
      <c r="E2222" s="17"/>
      <c r="F2222" s="22"/>
      <c r="G2222"/>
    </row>
    <row r="2223" spans="1:7">
      <c r="A2223" s="17"/>
      <c r="B2223" s="18"/>
      <c r="C2223" s="17"/>
      <c r="D2223" s="18"/>
      <c r="E2223" s="17"/>
      <c r="F2223" s="22"/>
      <c r="G2223"/>
    </row>
    <row r="2224" spans="1:7">
      <c r="A2224" s="17"/>
      <c r="B2224" s="18"/>
      <c r="C2224" s="17"/>
      <c r="D2224" s="18"/>
      <c r="E2224" s="17"/>
      <c r="F2224" s="22"/>
      <c r="G2224"/>
    </row>
    <row r="2225" spans="1:7">
      <c r="A2225" s="17"/>
      <c r="B2225" s="18"/>
      <c r="C2225" s="17"/>
      <c r="D2225" s="18"/>
      <c r="E2225" s="17"/>
      <c r="F2225" s="22"/>
      <c r="G2225"/>
    </row>
    <row r="2226" spans="1:7">
      <c r="A2226" s="17"/>
      <c r="B2226" s="18"/>
      <c r="C2226" s="17"/>
      <c r="D2226" s="18"/>
      <c r="E2226" s="17"/>
      <c r="F2226" s="22"/>
      <c r="G2226"/>
    </row>
    <row r="2227" spans="1:7">
      <c r="A2227" s="17"/>
      <c r="B2227" s="18"/>
      <c r="C2227" s="17"/>
      <c r="D2227" s="18"/>
      <c r="E2227" s="17"/>
      <c r="F2227" s="22"/>
      <c r="G2227"/>
    </row>
    <row r="2228" spans="1:7">
      <c r="A2228" s="17"/>
      <c r="B2228" s="18"/>
      <c r="C2228" s="17"/>
      <c r="D2228" s="18"/>
      <c r="E2228" s="17"/>
      <c r="F2228" s="22"/>
      <c r="G2228"/>
    </row>
    <row r="2229" spans="1:7">
      <c r="A2229" s="17"/>
      <c r="B2229" s="18"/>
      <c r="C2229" s="17"/>
      <c r="D2229" s="18"/>
      <c r="E2229" s="17"/>
      <c r="F2229" s="22"/>
      <c r="G2229"/>
    </row>
    <row r="2230" spans="1:7">
      <c r="A2230" s="17"/>
      <c r="B2230" s="18"/>
      <c r="C2230" s="17"/>
      <c r="D2230" s="18"/>
      <c r="E2230" s="17"/>
      <c r="F2230" s="22"/>
      <c r="G2230"/>
    </row>
    <row r="2231" spans="1:7">
      <c r="A2231" s="17"/>
      <c r="B2231" s="18"/>
      <c r="C2231" s="17"/>
      <c r="D2231" s="18"/>
      <c r="E2231" s="17"/>
      <c r="F2231" s="22"/>
      <c r="G2231"/>
    </row>
    <row r="2232" spans="1:7">
      <c r="A2232" s="17"/>
      <c r="B2232" s="18"/>
      <c r="C2232" s="17"/>
      <c r="D2232" s="18"/>
      <c r="E2232" s="17"/>
      <c r="F2232" s="22"/>
      <c r="G2232"/>
    </row>
    <row r="2233" spans="1:7">
      <c r="A2233" s="17"/>
      <c r="B2233" s="18"/>
      <c r="C2233" s="17"/>
      <c r="D2233" s="18"/>
      <c r="E2233" s="17"/>
      <c r="F2233" s="22"/>
      <c r="G2233"/>
    </row>
    <row r="2234" spans="1:7">
      <c r="A2234" s="17"/>
      <c r="B2234" s="18"/>
      <c r="C2234" s="17"/>
      <c r="D2234" s="18"/>
      <c r="E2234" s="17"/>
      <c r="F2234" s="22"/>
      <c r="G2234"/>
    </row>
    <row r="2235" spans="1:7">
      <c r="A2235" s="17"/>
      <c r="B2235" s="18"/>
      <c r="C2235" s="17"/>
      <c r="D2235" s="18"/>
      <c r="E2235" s="17"/>
      <c r="F2235" s="22"/>
      <c r="G2235"/>
    </row>
    <row r="2236" spans="1:7">
      <c r="A2236" s="17"/>
      <c r="B2236" s="18"/>
      <c r="C2236" s="17"/>
      <c r="D2236" s="18"/>
      <c r="E2236" s="17"/>
      <c r="F2236" s="22"/>
      <c r="G2236"/>
    </row>
    <row r="2237" spans="1:7">
      <c r="A2237" s="17"/>
      <c r="B2237" s="18"/>
      <c r="C2237" s="17"/>
      <c r="D2237" s="18"/>
      <c r="E2237" s="17"/>
      <c r="F2237" s="22"/>
      <c r="G2237"/>
    </row>
    <row r="2238" spans="1:7">
      <c r="A2238" s="17"/>
      <c r="B2238" s="18"/>
      <c r="C2238" s="17"/>
      <c r="D2238" s="18"/>
      <c r="E2238" s="17"/>
      <c r="F2238" s="22"/>
      <c r="G2238"/>
    </row>
    <row r="2239" spans="1:7">
      <c r="A2239" s="17"/>
      <c r="B2239" s="18"/>
      <c r="C2239" s="17"/>
      <c r="D2239" s="18"/>
      <c r="E2239" s="17"/>
      <c r="F2239" s="22"/>
      <c r="G2239"/>
    </row>
    <row r="2240" spans="1:7">
      <c r="A2240" s="17"/>
      <c r="B2240" s="18"/>
      <c r="C2240" s="17"/>
      <c r="D2240" s="18"/>
      <c r="E2240" s="17"/>
      <c r="F2240" s="22"/>
      <c r="G2240"/>
    </row>
    <row r="2241" spans="1:7">
      <c r="A2241" s="17"/>
      <c r="B2241" s="18"/>
      <c r="C2241" s="17"/>
      <c r="D2241" s="18"/>
      <c r="E2241" s="17"/>
      <c r="F2241" s="22"/>
      <c r="G2241"/>
    </row>
    <row r="2242" spans="1:7">
      <c r="A2242" s="17"/>
      <c r="B2242" s="18"/>
      <c r="C2242" s="17"/>
      <c r="D2242" s="18"/>
      <c r="E2242" s="17"/>
      <c r="F2242" s="22"/>
      <c r="G2242"/>
    </row>
    <row r="2243" spans="1:7">
      <c r="A2243" s="17"/>
      <c r="B2243" s="18"/>
      <c r="C2243" s="17"/>
      <c r="D2243" s="18"/>
      <c r="E2243" s="17"/>
      <c r="F2243" s="22"/>
      <c r="G2243"/>
    </row>
    <row r="2244" spans="1:7">
      <c r="A2244" s="17"/>
      <c r="B2244" s="18"/>
      <c r="C2244" s="17"/>
      <c r="D2244" s="18"/>
      <c r="E2244" s="17"/>
      <c r="F2244" s="22"/>
      <c r="G2244"/>
    </row>
    <row r="2245" spans="1:7">
      <c r="A2245" s="17"/>
      <c r="B2245" s="18"/>
      <c r="C2245" s="17"/>
      <c r="D2245" s="18"/>
      <c r="E2245" s="17"/>
      <c r="F2245" s="22"/>
      <c r="G2245"/>
    </row>
    <row r="2246" spans="1:7">
      <c r="A2246" s="17"/>
      <c r="B2246" s="18"/>
      <c r="C2246" s="17"/>
      <c r="D2246" s="18"/>
      <c r="E2246" s="17"/>
      <c r="F2246" s="22"/>
      <c r="G2246"/>
    </row>
    <row r="2247" spans="1:7">
      <c r="A2247" s="17"/>
      <c r="B2247" s="18"/>
      <c r="C2247" s="17"/>
      <c r="D2247" s="18"/>
      <c r="E2247" s="17"/>
      <c r="F2247" s="22"/>
      <c r="G2247"/>
    </row>
    <row r="2248" spans="1:7">
      <c r="A2248" s="17"/>
      <c r="B2248" s="18"/>
      <c r="C2248" s="17"/>
      <c r="D2248" s="18"/>
      <c r="E2248" s="17"/>
      <c r="F2248" s="22"/>
      <c r="G2248"/>
    </row>
    <row r="2249" spans="1:7">
      <c r="A2249" s="17"/>
      <c r="B2249" s="18"/>
      <c r="C2249" s="17"/>
      <c r="D2249" s="18"/>
      <c r="E2249" s="17"/>
      <c r="F2249" s="22"/>
      <c r="G2249"/>
    </row>
    <row r="2250" spans="1:7">
      <c r="A2250" s="17"/>
      <c r="B2250" s="18"/>
      <c r="C2250" s="17"/>
      <c r="D2250" s="18"/>
      <c r="E2250" s="17"/>
      <c r="F2250" s="22"/>
      <c r="G2250"/>
    </row>
    <row r="2251" spans="1:7">
      <c r="A2251" s="17"/>
      <c r="B2251" s="18"/>
      <c r="C2251" s="17"/>
      <c r="D2251" s="18"/>
      <c r="E2251" s="17"/>
      <c r="F2251" s="22"/>
      <c r="G2251"/>
    </row>
    <row r="2252" spans="1:7">
      <c r="A2252" s="17"/>
      <c r="B2252" s="18"/>
      <c r="C2252" s="17"/>
      <c r="D2252" s="18"/>
      <c r="E2252" s="17"/>
      <c r="F2252" s="22"/>
      <c r="G2252"/>
    </row>
    <row r="2253" spans="1:7">
      <c r="A2253" s="17"/>
      <c r="B2253" s="18"/>
      <c r="C2253" s="17"/>
      <c r="D2253" s="18"/>
      <c r="E2253" s="17"/>
      <c r="F2253" s="22"/>
      <c r="G2253"/>
    </row>
    <row r="2254" spans="1:7">
      <c r="A2254" s="17"/>
      <c r="B2254" s="18"/>
      <c r="C2254" s="17"/>
      <c r="D2254" s="18"/>
      <c r="E2254" s="17"/>
      <c r="F2254" s="22"/>
      <c r="G2254"/>
    </row>
    <row r="2255" spans="1:7">
      <c r="A2255" s="17"/>
      <c r="B2255" s="18"/>
      <c r="C2255" s="17"/>
      <c r="D2255" s="18"/>
      <c r="E2255" s="17"/>
      <c r="F2255" s="22"/>
      <c r="G2255"/>
    </row>
    <row r="2256" spans="1:7">
      <c r="A2256" s="17"/>
      <c r="B2256" s="18"/>
      <c r="C2256" s="17"/>
      <c r="D2256" s="18"/>
      <c r="E2256" s="17"/>
      <c r="F2256" s="22"/>
      <c r="G2256"/>
    </row>
    <row r="2257" spans="1:7">
      <c r="A2257" s="17"/>
      <c r="B2257" s="18"/>
      <c r="C2257" s="17"/>
      <c r="D2257" s="18"/>
      <c r="E2257" s="17"/>
      <c r="F2257" s="22"/>
      <c r="G2257"/>
    </row>
    <row r="2258" spans="1:7">
      <c r="A2258" s="17"/>
      <c r="B2258" s="18"/>
      <c r="C2258" s="17"/>
      <c r="D2258" s="18"/>
      <c r="E2258" s="17"/>
      <c r="F2258" s="22"/>
      <c r="G2258"/>
    </row>
    <row r="2259" spans="1:7">
      <c r="A2259" s="17"/>
      <c r="B2259" s="18"/>
      <c r="C2259" s="17"/>
      <c r="D2259" s="18"/>
      <c r="E2259" s="17"/>
      <c r="F2259" s="22"/>
      <c r="G2259"/>
    </row>
    <row r="2260" spans="1:7">
      <c r="A2260" s="17"/>
      <c r="B2260" s="18"/>
      <c r="C2260" s="17"/>
      <c r="D2260" s="18"/>
      <c r="E2260" s="17"/>
      <c r="F2260" s="22"/>
      <c r="G2260"/>
    </row>
    <row r="2261" spans="1:7">
      <c r="A2261" s="17"/>
      <c r="B2261" s="18"/>
      <c r="C2261" s="17"/>
      <c r="D2261" s="18"/>
      <c r="E2261" s="17"/>
      <c r="F2261" s="22"/>
      <c r="G2261"/>
    </row>
    <row r="2262" spans="1:7">
      <c r="A2262" s="17"/>
      <c r="B2262" s="18"/>
      <c r="C2262" s="17"/>
      <c r="D2262" s="18"/>
      <c r="E2262" s="17"/>
      <c r="F2262" s="22"/>
      <c r="G2262"/>
    </row>
    <row r="2263" spans="1:7">
      <c r="A2263" s="17"/>
      <c r="B2263" s="18"/>
      <c r="C2263" s="17"/>
      <c r="D2263" s="18"/>
      <c r="E2263" s="17"/>
      <c r="F2263" s="22"/>
      <c r="G2263"/>
    </row>
    <row r="2264" spans="1:7">
      <c r="A2264" s="17"/>
      <c r="B2264" s="18"/>
      <c r="C2264" s="17"/>
      <c r="D2264" s="18"/>
      <c r="E2264" s="17"/>
      <c r="F2264" s="22"/>
      <c r="G2264"/>
    </row>
    <row r="2265" spans="1:7">
      <c r="A2265" s="17"/>
      <c r="B2265" s="18"/>
      <c r="C2265" s="17"/>
      <c r="D2265" s="18"/>
      <c r="E2265" s="17"/>
      <c r="F2265" s="22"/>
      <c r="G2265"/>
    </row>
    <row r="2266" spans="1:7">
      <c r="A2266" s="17"/>
      <c r="B2266" s="18"/>
      <c r="C2266" s="17"/>
      <c r="D2266" s="18"/>
      <c r="E2266" s="17"/>
      <c r="F2266" s="22"/>
      <c r="G2266"/>
    </row>
    <row r="2267" spans="1:7">
      <c r="A2267" s="17"/>
      <c r="B2267" s="18"/>
      <c r="C2267" s="17"/>
      <c r="D2267" s="18"/>
      <c r="E2267" s="17"/>
      <c r="F2267" s="22"/>
      <c r="G2267"/>
    </row>
    <row r="2268" spans="1:7">
      <c r="A2268" s="17"/>
      <c r="B2268" s="18"/>
      <c r="C2268" s="17"/>
      <c r="D2268" s="18"/>
      <c r="E2268" s="17"/>
      <c r="F2268" s="22"/>
      <c r="G2268"/>
    </row>
    <row r="2269" spans="1:7">
      <c r="A2269" s="17"/>
      <c r="B2269" s="18"/>
      <c r="C2269" s="17"/>
      <c r="D2269" s="18"/>
      <c r="E2269" s="17"/>
      <c r="F2269" s="22"/>
      <c r="G2269"/>
    </row>
    <row r="2270" spans="1:7">
      <c r="A2270" s="17"/>
      <c r="B2270" s="18"/>
      <c r="C2270" s="17"/>
      <c r="D2270" s="18"/>
      <c r="E2270" s="17"/>
      <c r="F2270" s="22"/>
      <c r="G2270"/>
    </row>
    <row r="2271" spans="1:7">
      <c r="A2271" s="17"/>
      <c r="B2271" s="18"/>
      <c r="C2271" s="17"/>
      <c r="D2271" s="18"/>
      <c r="E2271" s="17"/>
      <c r="F2271" s="22"/>
      <c r="G2271"/>
    </row>
    <row r="2272" spans="1:7">
      <c r="A2272" s="17"/>
      <c r="B2272" s="18"/>
      <c r="C2272" s="17"/>
      <c r="D2272" s="18"/>
      <c r="E2272" s="17"/>
      <c r="F2272" s="22"/>
      <c r="G2272"/>
    </row>
    <row r="2273" spans="1:7">
      <c r="A2273" s="17"/>
      <c r="B2273" s="18"/>
      <c r="C2273" s="17"/>
      <c r="D2273" s="18"/>
      <c r="E2273" s="17"/>
      <c r="F2273" s="22"/>
      <c r="G2273"/>
    </row>
    <row r="2274" spans="1:7">
      <c r="A2274" s="17"/>
      <c r="B2274" s="18"/>
      <c r="C2274" s="17"/>
      <c r="D2274" s="18"/>
      <c r="E2274" s="17"/>
      <c r="F2274" s="22"/>
      <c r="G2274"/>
    </row>
    <row r="2275" spans="1:7">
      <c r="A2275" s="17"/>
      <c r="B2275" s="18"/>
      <c r="C2275" s="17"/>
      <c r="D2275" s="18"/>
      <c r="E2275" s="17"/>
      <c r="F2275" s="22"/>
      <c r="G2275"/>
    </row>
    <row r="2276" spans="1:7">
      <c r="A2276" s="17"/>
      <c r="B2276" s="18"/>
      <c r="C2276" s="17"/>
      <c r="D2276" s="18"/>
      <c r="E2276" s="17"/>
      <c r="F2276" s="22"/>
      <c r="G2276"/>
    </row>
    <row r="2277" spans="1:7">
      <c r="A2277" s="17"/>
      <c r="B2277" s="18"/>
      <c r="C2277" s="17"/>
      <c r="D2277" s="18"/>
      <c r="E2277" s="17"/>
      <c r="F2277" s="22"/>
      <c r="G2277"/>
    </row>
    <row r="2278" spans="1:7">
      <c r="A2278" s="17"/>
      <c r="B2278" s="18"/>
      <c r="C2278" s="17"/>
      <c r="D2278" s="18"/>
      <c r="E2278" s="17"/>
      <c r="F2278" s="22"/>
      <c r="G2278"/>
    </row>
    <row r="2279" spans="1:7">
      <c r="A2279" s="17"/>
      <c r="B2279" s="18"/>
      <c r="C2279" s="17"/>
      <c r="D2279" s="18"/>
      <c r="E2279" s="17"/>
      <c r="F2279" s="22"/>
      <c r="G2279"/>
    </row>
    <row r="2280" spans="1:7">
      <c r="A2280" s="17"/>
      <c r="B2280" s="18"/>
      <c r="C2280" s="17"/>
      <c r="D2280" s="18"/>
      <c r="E2280" s="17"/>
      <c r="F2280" s="22"/>
      <c r="G2280"/>
    </row>
    <row r="2281" spans="1:7">
      <c r="A2281" s="17"/>
      <c r="B2281" s="18"/>
      <c r="C2281" s="17"/>
      <c r="D2281" s="18"/>
      <c r="E2281" s="17"/>
      <c r="F2281" s="22"/>
      <c r="G2281"/>
    </row>
    <row r="2282" spans="1:7">
      <c r="A2282" s="17"/>
      <c r="B2282" s="18"/>
      <c r="C2282" s="17"/>
      <c r="D2282" s="18"/>
      <c r="E2282" s="17"/>
      <c r="F2282" s="22"/>
      <c r="G2282"/>
    </row>
    <row r="2283" spans="1:7">
      <c r="A2283" s="17"/>
      <c r="B2283" s="18"/>
      <c r="C2283" s="17"/>
      <c r="D2283" s="18"/>
      <c r="E2283" s="17"/>
      <c r="F2283" s="22"/>
      <c r="G2283"/>
    </row>
    <row r="2284" spans="1:7">
      <c r="A2284" s="17"/>
      <c r="B2284" s="18"/>
      <c r="C2284" s="17"/>
      <c r="D2284" s="18"/>
      <c r="E2284" s="17"/>
      <c r="F2284" s="22"/>
      <c r="G2284"/>
    </row>
    <row r="2285" spans="1:7">
      <c r="A2285" s="17"/>
      <c r="B2285" s="18"/>
      <c r="C2285" s="17"/>
      <c r="D2285" s="18"/>
      <c r="E2285" s="17"/>
      <c r="F2285" s="22"/>
      <c r="G2285"/>
    </row>
    <row r="2286" spans="1:7">
      <c r="A2286" s="17"/>
      <c r="B2286" s="18"/>
      <c r="C2286" s="17"/>
      <c r="D2286" s="18"/>
      <c r="E2286" s="17"/>
      <c r="F2286" s="22"/>
      <c r="G2286"/>
    </row>
    <row r="2287" spans="1:7">
      <c r="A2287" s="17"/>
      <c r="B2287" s="18"/>
      <c r="C2287" s="17"/>
      <c r="D2287" s="18"/>
      <c r="E2287" s="17"/>
      <c r="F2287" s="22"/>
      <c r="G2287"/>
    </row>
    <row r="2288" spans="1:7">
      <c r="A2288" s="17"/>
      <c r="B2288" s="18"/>
      <c r="C2288" s="17"/>
      <c r="D2288" s="18"/>
      <c r="E2288" s="17"/>
      <c r="F2288" s="22"/>
      <c r="G2288"/>
    </row>
    <row r="2289" spans="1:7">
      <c r="A2289" s="17"/>
      <c r="B2289" s="18"/>
      <c r="C2289" s="17"/>
      <c r="D2289" s="18"/>
      <c r="E2289" s="17"/>
      <c r="F2289" s="22"/>
      <c r="G2289"/>
    </row>
    <row r="2290" spans="1:7">
      <c r="A2290" s="17"/>
      <c r="B2290" s="18"/>
      <c r="C2290" s="17"/>
      <c r="D2290" s="18"/>
      <c r="E2290" s="17"/>
      <c r="F2290" s="22"/>
      <c r="G2290"/>
    </row>
    <row r="2291" spans="1:7">
      <c r="A2291" s="17"/>
      <c r="B2291" s="18"/>
      <c r="C2291" s="17"/>
      <c r="D2291" s="18"/>
      <c r="E2291" s="17"/>
      <c r="F2291" s="22"/>
      <c r="G2291"/>
    </row>
    <row r="2292" spans="1:7">
      <c r="A2292" s="17"/>
      <c r="B2292" s="18"/>
      <c r="C2292" s="17"/>
      <c r="D2292" s="18"/>
      <c r="E2292" s="17"/>
      <c r="F2292" s="22"/>
      <c r="G2292"/>
    </row>
    <row r="2293" spans="1:7">
      <c r="A2293" s="17"/>
      <c r="B2293" s="18"/>
      <c r="C2293" s="17"/>
      <c r="D2293" s="18"/>
      <c r="E2293" s="17"/>
      <c r="F2293" s="22"/>
      <c r="G2293"/>
    </row>
    <row r="2294" spans="1:7">
      <c r="A2294" s="17"/>
      <c r="B2294" s="18"/>
      <c r="C2294" s="17"/>
      <c r="D2294" s="18"/>
      <c r="E2294" s="17"/>
      <c r="F2294" s="22"/>
      <c r="G2294"/>
    </row>
    <row r="2295" spans="1:7">
      <c r="A2295" s="17"/>
      <c r="B2295" s="18"/>
      <c r="C2295" s="17"/>
      <c r="D2295" s="18"/>
      <c r="E2295" s="17"/>
      <c r="F2295" s="22"/>
      <c r="G2295"/>
    </row>
    <row r="2296" spans="1:7">
      <c r="A2296" s="17"/>
      <c r="B2296" s="18"/>
      <c r="C2296" s="17"/>
      <c r="D2296" s="18"/>
      <c r="E2296" s="17"/>
      <c r="F2296" s="22"/>
      <c r="G2296"/>
    </row>
    <row r="2297" spans="1:7">
      <c r="A2297" s="17"/>
      <c r="B2297" s="18"/>
      <c r="C2297" s="17"/>
      <c r="D2297" s="18"/>
      <c r="E2297" s="17"/>
      <c r="F2297" s="22"/>
      <c r="G2297"/>
    </row>
    <row r="2298" spans="1:7">
      <c r="A2298" s="17"/>
      <c r="B2298" s="18"/>
      <c r="C2298" s="17"/>
      <c r="D2298" s="18"/>
      <c r="E2298" s="17"/>
      <c r="F2298" s="22"/>
      <c r="G2298"/>
    </row>
    <row r="2299" spans="1:7">
      <c r="A2299" s="17"/>
      <c r="B2299" s="18"/>
      <c r="C2299" s="17"/>
      <c r="D2299" s="18"/>
      <c r="E2299" s="17"/>
      <c r="F2299" s="22"/>
      <c r="G2299"/>
    </row>
    <row r="2300" spans="1:7">
      <c r="A2300" s="17"/>
      <c r="B2300" s="18"/>
      <c r="C2300" s="17"/>
      <c r="D2300" s="18"/>
      <c r="E2300" s="17"/>
      <c r="F2300" s="22"/>
      <c r="G2300"/>
    </row>
    <row r="2301" spans="1:7">
      <c r="A2301" s="17"/>
      <c r="B2301" s="18"/>
      <c r="C2301" s="17"/>
      <c r="D2301" s="18"/>
      <c r="E2301" s="17"/>
      <c r="F2301" s="22"/>
      <c r="G2301"/>
    </row>
    <row r="2302" spans="1:7">
      <c r="A2302" s="17"/>
      <c r="B2302" s="18"/>
      <c r="C2302" s="17"/>
      <c r="D2302" s="18"/>
      <c r="E2302" s="17"/>
      <c r="F2302" s="22"/>
      <c r="G2302"/>
    </row>
    <row r="2303" spans="1:7">
      <c r="A2303" s="17"/>
      <c r="B2303" s="18"/>
      <c r="C2303" s="17"/>
      <c r="D2303" s="18"/>
      <c r="E2303" s="17"/>
      <c r="F2303" s="22"/>
      <c r="G2303"/>
    </row>
    <row r="2304" spans="1:7">
      <c r="A2304" s="17"/>
      <c r="B2304" s="18"/>
      <c r="C2304" s="17"/>
      <c r="D2304" s="18"/>
      <c r="E2304" s="17"/>
      <c r="F2304" s="22"/>
      <c r="G2304"/>
    </row>
    <row r="2305" spans="1:7">
      <c r="A2305" s="17"/>
      <c r="B2305" s="18"/>
      <c r="C2305" s="17"/>
      <c r="D2305" s="18"/>
      <c r="E2305" s="17"/>
      <c r="F2305" s="22"/>
      <c r="G2305"/>
    </row>
    <row r="2306" spans="1:7">
      <c r="A2306" s="17"/>
      <c r="B2306" s="18"/>
      <c r="C2306" s="17"/>
      <c r="D2306" s="18"/>
      <c r="E2306" s="17"/>
      <c r="F2306" s="22"/>
      <c r="G2306"/>
    </row>
    <row r="2307" spans="1:7">
      <c r="A2307" s="17"/>
      <c r="B2307" s="18"/>
      <c r="C2307" s="17"/>
      <c r="D2307" s="18"/>
      <c r="E2307" s="17"/>
      <c r="F2307" s="22"/>
      <c r="G2307"/>
    </row>
    <row r="2308" spans="1:7">
      <c r="A2308" s="17"/>
      <c r="B2308" s="18"/>
      <c r="C2308" s="17"/>
      <c r="D2308" s="18"/>
      <c r="E2308" s="17"/>
      <c r="F2308" s="22"/>
      <c r="G2308"/>
    </row>
    <row r="2309" spans="1:7">
      <c r="A2309" s="17"/>
      <c r="B2309" s="18"/>
      <c r="C2309" s="17"/>
      <c r="D2309" s="18"/>
      <c r="E2309" s="17"/>
      <c r="F2309" s="22"/>
      <c r="G2309"/>
    </row>
    <row r="2310" spans="1:7">
      <c r="A2310" s="17"/>
      <c r="B2310" s="18"/>
      <c r="C2310" s="17"/>
      <c r="D2310" s="18"/>
      <c r="E2310" s="17"/>
      <c r="F2310" s="22"/>
      <c r="G2310"/>
    </row>
    <row r="2311" spans="1:7">
      <c r="A2311" s="17"/>
      <c r="B2311" s="18"/>
      <c r="C2311" s="17"/>
      <c r="D2311" s="18"/>
      <c r="E2311" s="17"/>
      <c r="F2311" s="22"/>
      <c r="G2311"/>
    </row>
    <row r="2312" spans="1:7">
      <c r="A2312" s="17"/>
      <c r="B2312" s="18"/>
      <c r="C2312" s="17"/>
      <c r="D2312" s="18"/>
      <c r="E2312" s="17"/>
      <c r="F2312" s="22"/>
      <c r="G2312"/>
    </row>
    <row r="2313" spans="1:7">
      <c r="A2313" s="17"/>
      <c r="B2313" s="18"/>
      <c r="C2313" s="17"/>
      <c r="D2313" s="18"/>
      <c r="E2313" s="17"/>
      <c r="F2313" s="22"/>
      <c r="G2313"/>
    </row>
    <row r="2314" spans="1:7">
      <c r="A2314" s="17"/>
      <c r="B2314" s="18"/>
      <c r="C2314" s="17"/>
      <c r="D2314" s="18"/>
      <c r="E2314" s="17"/>
      <c r="F2314" s="22"/>
      <c r="G2314"/>
    </row>
    <row r="2315" spans="1:7">
      <c r="A2315" s="17"/>
      <c r="B2315" s="18"/>
      <c r="C2315" s="17"/>
      <c r="D2315" s="18"/>
      <c r="E2315" s="17"/>
      <c r="F2315" s="22"/>
      <c r="G2315"/>
    </row>
    <row r="2316" spans="1:7">
      <c r="A2316" s="17"/>
      <c r="B2316" s="18"/>
      <c r="C2316" s="17"/>
      <c r="D2316" s="18"/>
      <c r="E2316" s="17"/>
      <c r="F2316" s="22"/>
      <c r="G2316"/>
    </row>
    <row r="2317" spans="1:7">
      <c r="A2317" s="17"/>
      <c r="B2317" s="18"/>
      <c r="C2317" s="17"/>
      <c r="D2317" s="18"/>
      <c r="E2317" s="17"/>
      <c r="F2317" s="22"/>
      <c r="G2317"/>
    </row>
    <row r="2318" spans="1:7">
      <c r="A2318" s="17"/>
      <c r="B2318" s="18"/>
      <c r="C2318" s="17"/>
      <c r="D2318" s="18"/>
      <c r="E2318" s="17"/>
      <c r="F2318" s="22"/>
      <c r="G2318"/>
    </row>
    <row r="2319" spans="1:7">
      <c r="A2319" s="17"/>
      <c r="B2319" s="18"/>
      <c r="C2319" s="17"/>
      <c r="D2319" s="18"/>
      <c r="E2319" s="17"/>
      <c r="F2319" s="22"/>
      <c r="G2319"/>
    </row>
    <row r="2320" spans="1:7">
      <c r="A2320" s="17"/>
      <c r="B2320" s="18"/>
      <c r="C2320" s="17"/>
      <c r="D2320" s="18"/>
      <c r="E2320" s="17"/>
      <c r="F2320" s="22"/>
      <c r="G2320"/>
    </row>
    <row r="2321" spans="1:7">
      <c r="A2321" s="17"/>
      <c r="B2321" s="18"/>
      <c r="C2321" s="17"/>
      <c r="D2321" s="18"/>
      <c r="E2321" s="17"/>
      <c r="F2321" s="22"/>
      <c r="G2321"/>
    </row>
    <row r="2322" spans="1:7">
      <c r="A2322" s="17"/>
      <c r="B2322" s="18"/>
      <c r="C2322" s="17"/>
      <c r="D2322" s="18"/>
      <c r="E2322" s="17"/>
      <c r="F2322" s="22"/>
      <c r="G2322"/>
    </row>
    <row r="2323" spans="1:7">
      <c r="A2323" s="17"/>
      <c r="B2323" s="18"/>
      <c r="C2323" s="17"/>
      <c r="D2323" s="18"/>
      <c r="E2323" s="17"/>
      <c r="F2323" s="22"/>
      <c r="G2323"/>
    </row>
    <row r="2324" spans="1:7">
      <c r="A2324" s="17"/>
      <c r="B2324" s="18"/>
      <c r="C2324" s="17"/>
      <c r="D2324" s="18"/>
      <c r="E2324" s="17"/>
      <c r="F2324" s="22"/>
      <c r="G2324"/>
    </row>
    <row r="2325" spans="1:7">
      <c r="A2325" s="17"/>
      <c r="B2325" s="18"/>
      <c r="C2325" s="17"/>
      <c r="D2325" s="18"/>
      <c r="E2325" s="17"/>
      <c r="F2325" s="22"/>
      <c r="G2325"/>
    </row>
    <row r="2326" spans="1:7">
      <c r="A2326" s="17"/>
      <c r="B2326" s="18"/>
      <c r="C2326" s="17"/>
      <c r="D2326" s="18"/>
      <c r="E2326" s="17"/>
      <c r="F2326" s="22"/>
      <c r="G2326"/>
    </row>
    <row r="2327" spans="1:7">
      <c r="A2327" s="17"/>
      <c r="B2327" s="18"/>
      <c r="C2327" s="17"/>
      <c r="D2327" s="18"/>
      <c r="E2327" s="17"/>
      <c r="F2327" s="22"/>
      <c r="G2327"/>
    </row>
    <row r="2328" spans="1:7">
      <c r="A2328" s="17"/>
      <c r="B2328" s="18"/>
      <c r="C2328" s="17"/>
      <c r="D2328" s="18"/>
      <c r="E2328" s="17"/>
      <c r="F2328" s="22"/>
      <c r="G2328"/>
    </row>
    <row r="2329" spans="1:7">
      <c r="A2329" s="17"/>
      <c r="B2329" s="18"/>
      <c r="C2329" s="17"/>
      <c r="D2329" s="18"/>
      <c r="E2329" s="17"/>
      <c r="F2329" s="22"/>
      <c r="G2329"/>
    </row>
    <row r="2330" spans="1:7">
      <c r="A2330" s="17"/>
      <c r="B2330" s="18"/>
      <c r="C2330" s="17"/>
      <c r="D2330" s="18"/>
      <c r="E2330" s="17"/>
      <c r="F2330" s="22"/>
      <c r="G2330"/>
    </row>
    <row r="2331" spans="1:7">
      <c r="A2331" s="17"/>
      <c r="B2331" s="18"/>
      <c r="C2331" s="17"/>
      <c r="D2331" s="18"/>
      <c r="E2331" s="17"/>
      <c r="F2331" s="22"/>
      <c r="G2331"/>
    </row>
    <row r="2332" spans="1:7">
      <c r="A2332" s="17"/>
      <c r="B2332" s="18"/>
      <c r="C2332" s="17"/>
      <c r="D2332" s="18"/>
      <c r="E2332" s="17"/>
      <c r="F2332" s="22"/>
      <c r="G2332"/>
    </row>
    <row r="2333" spans="1:7">
      <c r="A2333" s="17"/>
      <c r="B2333" s="18"/>
      <c r="C2333" s="17"/>
      <c r="D2333" s="18"/>
      <c r="E2333" s="17"/>
      <c r="F2333" s="22"/>
      <c r="G2333"/>
    </row>
    <row r="2334" spans="1:7">
      <c r="A2334" s="17"/>
      <c r="B2334" s="18"/>
      <c r="C2334" s="17"/>
      <c r="D2334" s="18"/>
      <c r="E2334" s="17"/>
      <c r="F2334" s="22"/>
      <c r="G2334"/>
    </row>
    <row r="2335" spans="1:7">
      <c r="A2335" s="17"/>
      <c r="B2335" s="18"/>
      <c r="C2335" s="17"/>
      <c r="D2335" s="18"/>
      <c r="E2335" s="17"/>
      <c r="F2335" s="22"/>
      <c r="G2335"/>
    </row>
    <row r="2336" spans="1:7">
      <c r="A2336" s="17"/>
      <c r="B2336" s="18"/>
      <c r="C2336" s="17"/>
      <c r="D2336" s="18"/>
      <c r="E2336" s="17"/>
      <c r="F2336" s="22"/>
      <c r="G2336"/>
    </row>
    <row r="2337" spans="1:7">
      <c r="A2337" s="17"/>
      <c r="B2337" s="18"/>
      <c r="C2337" s="17"/>
      <c r="D2337" s="18"/>
      <c r="E2337" s="17"/>
      <c r="F2337" s="22"/>
      <c r="G2337"/>
    </row>
    <row r="2338" spans="1:7">
      <c r="A2338" s="17"/>
      <c r="B2338" s="18"/>
      <c r="C2338" s="17"/>
      <c r="D2338" s="18"/>
      <c r="E2338" s="17"/>
      <c r="F2338" s="22"/>
      <c r="G2338"/>
    </row>
    <row r="2339" spans="1:7">
      <c r="A2339" s="17"/>
      <c r="B2339" s="18"/>
      <c r="C2339" s="17"/>
      <c r="D2339" s="18"/>
      <c r="E2339" s="17"/>
      <c r="F2339" s="22"/>
      <c r="G2339"/>
    </row>
    <row r="2340" spans="1:7">
      <c r="A2340" s="17"/>
      <c r="B2340" s="18"/>
      <c r="C2340" s="17"/>
      <c r="D2340" s="18"/>
      <c r="E2340" s="17"/>
      <c r="F2340" s="22"/>
      <c r="G2340"/>
    </row>
    <row r="2341" spans="1:7">
      <c r="A2341" s="17"/>
      <c r="B2341" s="18"/>
      <c r="C2341" s="17"/>
      <c r="D2341" s="18"/>
      <c r="E2341" s="17"/>
      <c r="F2341" s="22"/>
      <c r="G2341"/>
    </row>
    <row r="2342" spans="1:7">
      <c r="A2342" s="17"/>
      <c r="B2342" s="18"/>
      <c r="C2342" s="17"/>
      <c r="D2342" s="18"/>
      <c r="E2342" s="17"/>
      <c r="F2342" s="22"/>
      <c r="G2342"/>
    </row>
    <row r="2343" spans="1:7">
      <c r="A2343" s="17"/>
      <c r="B2343" s="18"/>
      <c r="C2343" s="17"/>
      <c r="D2343" s="18"/>
      <c r="E2343" s="17"/>
      <c r="F2343" s="22"/>
      <c r="G2343"/>
    </row>
    <row r="2344" spans="1:7">
      <c r="A2344" s="17"/>
      <c r="B2344" s="18"/>
      <c r="C2344" s="17"/>
      <c r="D2344" s="18"/>
      <c r="E2344" s="17"/>
      <c r="F2344" s="22"/>
      <c r="G2344"/>
    </row>
    <row r="2345" spans="1:7">
      <c r="A2345" s="17"/>
      <c r="B2345" s="18"/>
      <c r="C2345" s="17"/>
      <c r="D2345" s="18"/>
      <c r="E2345" s="17"/>
      <c r="F2345" s="22"/>
      <c r="G2345"/>
    </row>
    <row r="2346" spans="1:7">
      <c r="A2346" s="17"/>
      <c r="B2346" s="18"/>
      <c r="C2346" s="17"/>
      <c r="D2346" s="18"/>
      <c r="E2346" s="17"/>
      <c r="F2346" s="22"/>
      <c r="G2346"/>
    </row>
    <row r="2347" spans="1:7">
      <c r="A2347" s="17"/>
      <c r="B2347" s="18"/>
      <c r="C2347" s="17"/>
      <c r="D2347" s="18"/>
      <c r="E2347" s="17"/>
      <c r="F2347" s="22"/>
      <c r="G2347"/>
    </row>
    <row r="2348" spans="1:7">
      <c r="A2348" s="17"/>
      <c r="B2348" s="18"/>
      <c r="C2348" s="17"/>
      <c r="D2348" s="18"/>
      <c r="E2348" s="17"/>
      <c r="F2348" s="22"/>
      <c r="G2348"/>
    </row>
    <row r="2349" spans="1:7">
      <c r="A2349" s="17"/>
      <c r="B2349" s="18"/>
      <c r="C2349" s="17"/>
      <c r="D2349" s="18"/>
      <c r="E2349" s="17"/>
      <c r="F2349" s="22"/>
      <c r="G2349"/>
    </row>
    <row r="2350" spans="1:7">
      <c r="A2350" s="17"/>
      <c r="B2350" s="18"/>
      <c r="C2350" s="17"/>
      <c r="D2350" s="18"/>
      <c r="E2350" s="17"/>
      <c r="F2350" s="22"/>
      <c r="G2350"/>
    </row>
    <row r="2351" spans="1:7">
      <c r="A2351" s="17"/>
      <c r="B2351" s="18"/>
      <c r="C2351" s="17"/>
      <c r="D2351" s="18"/>
      <c r="E2351" s="17"/>
      <c r="F2351" s="22"/>
      <c r="G2351"/>
    </row>
    <row r="2352" spans="1:7">
      <c r="A2352" s="17"/>
      <c r="B2352" s="18"/>
      <c r="C2352" s="17"/>
      <c r="D2352" s="18"/>
      <c r="E2352" s="17"/>
      <c r="F2352" s="22"/>
      <c r="G2352"/>
    </row>
    <row r="2353" spans="1:7">
      <c r="A2353" s="17"/>
      <c r="B2353" s="18"/>
      <c r="C2353" s="17"/>
      <c r="D2353" s="18"/>
      <c r="E2353" s="17"/>
      <c r="F2353" s="22"/>
      <c r="G2353"/>
    </row>
    <row r="2354" spans="1:7">
      <c r="A2354" s="17"/>
      <c r="B2354" s="18"/>
      <c r="C2354" s="17"/>
      <c r="D2354" s="18"/>
      <c r="E2354" s="17"/>
      <c r="F2354" s="22"/>
      <c r="G2354"/>
    </row>
    <row r="2355" spans="1:7">
      <c r="A2355" s="17"/>
      <c r="B2355" s="18"/>
      <c r="C2355" s="17"/>
      <c r="D2355" s="18"/>
      <c r="E2355" s="17"/>
      <c r="F2355" s="22"/>
      <c r="G2355"/>
    </row>
    <row r="2356" spans="1:7">
      <c r="A2356" s="17"/>
      <c r="B2356" s="18"/>
      <c r="C2356" s="17"/>
      <c r="D2356" s="18"/>
      <c r="E2356" s="17"/>
      <c r="F2356" s="22"/>
      <c r="G2356"/>
    </row>
    <row r="2357" spans="1:7">
      <c r="A2357" s="17"/>
      <c r="B2357" s="18"/>
      <c r="C2357" s="17"/>
      <c r="D2357" s="18"/>
      <c r="E2357" s="17"/>
      <c r="F2357" s="22"/>
      <c r="G2357"/>
    </row>
    <row r="2358" spans="1:7">
      <c r="A2358" s="17"/>
      <c r="B2358" s="18"/>
      <c r="C2358" s="17"/>
      <c r="D2358" s="18"/>
      <c r="E2358" s="17"/>
      <c r="F2358" s="22"/>
      <c r="G2358"/>
    </row>
    <row r="2359" spans="1:7">
      <c r="A2359" s="17"/>
      <c r="B2359" s="18"/>
      <c r="C2359" s="17"/>
      <c r="D2359" s="18"/>
      <c r="E2359" s="17"/>
      <c r="F2359" s="22"/>
      <c r="G2359"/>
    </row>
    <row r="2360" spans="1:7">
      <c r="A2360" s="17"/>
      <c r="B2360" s="18"/>
      <c r="C2360" s="17"/>
      <c r="D2360" s="18"/>
      <c r="E2360" s="17"/>
      <c r="F2360" s="22"/>
      <c r="G2360"/>
    </row>
    <row r="2361" spans="1:7">
      <c r="A2361" s="17"/>
      <c r="B2361" s="18"/>
      <c r="C2361" s="17"/>
      <c r="D2361" s="18"/>
      <c r="E2361" s="17"/>
      <c r="F2361" s="22"/>
      <c r="G2361"/>
    </row>
    <row r="2362" spans="1:7">
      <c r="A2362" s="17"/>
      <c r="B2362" s="18"/>
      <c r="C2362" s="17"/>
      <c r="D2362" s="18"/>
      <c r="E2362" s="17"/>
      <c r="F2362" s="22"/>
      <c r="G2362"/>
    </row>
    <row r="2363" spans="1:7">
      <c r="A2363" s="17"/>
      <c r="B2363" s="18"/>
      <c r="C2363" s="17"/>
      <c r="D2363" s="18"/>
      <c r="E2363" s="17"/>
      <c r="F2363" s="22"/>
      <c r="G2363"/>
    </row>
    <row r="2364" spans="1:7">
      <c r="A2364" s="17"/>
      <c r="B2364" s="18"/>
      <c r="C2364" s="17"/>
      <c r="D2364" s="18"/>
      <c r="E2364" s="17"/>
      <c r="F2364" s="22"/>
      <c r="G2364"/>
    </row>
    <row r="2365" spans="1:7">
      <c r="A2365" s="17"/>
      <c r="B2365" s="18"/>
      <c r="C2365" s="17"/>
      <c r="D2365" s="18"/>
      <c r="E2365" s="17"/>
      <c r="F2365" s="22"/>
      <c r="G2365"/>
    </row>
    <row r="2366" spans="1:7">
      <c r="A2366" s="17"/>
      <c r="B2366" s="18"/>
      <c r="C2366" s="17"/>
      <c r="D2366" s="18"/>
      <c r="E2366" s="17"/>
      <c r="F2366" s="22"/>
      <c r="G2366"/>
    </row>
    <row r="2367" spans="1:7">
      <c r="A2367" s="17"/>
      <c r="B2367" s="18"/>
      <c r="C2367" s="17"/>
      <c r="D2367" s="18"/>
      <c r="E2367" s="17"/>
      <c r="F2367" s="22"/>
      <c r="G2367"/>
    </row>
    <row r="2368" spans="1:7">
      <c r="A2368" s="17"/>
      <c r="B2368" s="18"/>
      <c r="C2368" s="17"/>
      <c r="D2368" s="18"/>
      <c r="E2368" s="17"/>
      <c r="F2368" s="22"/>
      <c r="G2368"/>
    </row>
    <row r="2369" spans="1:7">
      <c r="A2369" s="17"/>
      <c r="B2369" s="18"/>
      <c r="C2369" s="17"/>
      <c r="D2369" s="18"/>
      <c r="E2369" s="17"/>
      <c r="F2369" s="22"/>
      <c r="G2369"/>
    </row>
    <row r="2370" spans="1:7">
      <c r="A2370" s="17"/>
      <c r="B2370" s="18"/>
      <c r="C2370" s="17"/>
      <c r="D2370" s="18"/>
      <c r="E2370" s="17"/>
      <c r="F2370" s="22"/>
      <c r="G2370"/>
    </row>
    <row r="2371" spans="1:7">
      <c r="A2371" s="17"/>
      <c r="B2371" s="18"/>
      <c r="C2371" s="17"/>
      <c r="D2371" s="18"/>
      <c r="E2371" s="17"/>
      <c r="F2371" s="22"/>
      <c r="G2371"/>
    </row>
    <row r="2372" spans="1:7">
      <c r="A2372" s="17"/>
      <c r="B2372" s="18"/>
      <c r="C2372" s="17"/>
      <c r="D2372" s="18"/>
      <c r="E2372" s="17"/>
      <c r="F2372" s="22"/>
      <c r="G2372"/>
    </row>
    <row r="2373" spans="1:7">
      <c r="A2373" s="17"/>
      <c r="B2373" s="18"/>
      <c r="C2373" s="17"/>
      <c r="D2373" s="18"/>
      <c r="E2373" s="17"/>
      <c r="F2373" s="22"/>
      <c r="G2373"/>
    </row>
    <row r="2374" spans="1:7">
      <c r="A2374" s="17"/>
      <c r="B2374" s="18"/>
      <c r="C2374" s="17"/>
      <c r="D2374" s="18"/>
      <c r="E2374" s="17"/>
      <c r="F2374" s="22"/>
      <c r="G2374"/>
    </row>
    <row r="2375" spans="1:7">
      <c r="A2375" s="17"/>
      <c r="B2375" s="18"/>
      <c r="C2375" s="17"/>
      <c r="D2375" s="18"/>
      <c r="E2375" s="17"/>
      <c r="F2375" s="22"/>
      <c r="G2375"/>
    </row>
    <row r="2376" spans="1:7">
      <c r="A2376" s="17"/>
      <c r="B2376" s="18"/>
      <c r="C2376" s="17"/>
      <c r="D2376" s="18"/>
      <c r="E2376" s="17"/>
      <c r="F2376" s="22"/>
      <c r="G2376"/>
    </row>
    <row r="2377" spans="1:7">
      <c r="A2377" s="17"/>
      <c r="B2377" s="18"/>
      <c r="C2377" s="17"/>
      <c r="D2377" s="18"/>
      <c r="E2377" s="17"/>
      <c r="F2377" s="22"/>
      <c r="G2377"/>
    </row>
    <row r="2378" spans="1:7">
      <c r="A2378" s="17"/>
      <c r="B2378" s="18"/>
      <c r="C2378" s="17"/>
      <c r="D2378" s="18"/>
      <c r="E2378" s="17"/>
      <c r="F2378" s="22"/>
      <c r="G2378"/>
    </row>
    <row r="2379" spans="1:7">
      <c r="A2379" s="17"/>
      <c r="B2379" s="18"/>
      <c r="C2379" s="17"/>
      <c r="D2379" s="18"/>
      <c r="E2379" s="17"/>
      <c r="F2379" s="22"/>
      <c r="G2379"/>
    </row>
    <row r="2380" spans="1:7">
      <c r="A2380" s="17"/>
      <c r="B2380" s="18"/>
      <c r="C2380" s="17"/>
      <c r="D2380" s="18"/>
      <c r="E2380" s="17"/>
      <c r="F2380" s="22"/>
      <c r="G2380"/>
    </row>
    <row r="2381" spans="1:7">
      <c r="A2381" s="17"/>
      <c r="B2381" s="18"/>
      <c r="C2381" s="17"/>
      <c r="D2381" s="18"/>
      <c r="E2381" s="17"/>
      <c r="F2381" s="22"/>
      <c r="G2381"/>
    </row>
    <row r="2382" spans="1:7">
      <c r="A2382" s="17"/>
      <c r="B2382" s="18"/>
      <c r="C2382" s="17"/>
      <c r="D2382" s="18"/>
      <c r="E2382" s="17"/>
      <c r="F2382" s="22"/>
      <c r="G2382"/>
    </row>
    <row r="2383" spans="1:7">
      <c r="A2383" s="17"/>
      <c r="B2383" s="18"/>
      <c r="C2383" s="17"/>
      <c r="D2383" s="18"/>
      <c r="E2383" s="17"/>
      <c r="F2383" s="22"/>
      <c r="G2383"/>
    </row>
    <row r="2384" spans="1:7">
      <c r="A2384" s="17"/>
      <c r="B2384" s="18"/>
      <c r="C2384" s="17"/>
      <c r="D2384" s="18"/>
      <c r="E2384" s="17"/>
      <c r="F2384" s="22"/>
      <c r="G2384"/>
    </row>
    <row r="2385" spans="1:7">
      <c r="A2385" s="17"/>
      <c r="B2385" s="18"/>
      <c r="C2385" s="17"/>
      <c r="D2385" s="18"/>
      <c r="E2385" s="17"/>
      <c r="F2385" s="22"/>
      <c r="G2385"/>
    </row>
    <row r="2386" spans="1:7">
      <c r="A2386" s="17"/>
      <c r="B2386" s="18"/>
      <c r="C2386" s="17"/>
      <c r="D2386" s="18"/>
      <c r="E2386" s="17"/>
      <c r="F2386" s="22"/>
      <c r="G2386"/>
    </row>
    <row r="2387" spans="1:7">
      <c r="A2387" s="17"/>
      <c r="B2387" s="18"/>
      <c r="C2387" s="17"/>
      <c r="D2387" s="18"/>
      <c r="E2387" s="17"/>
      <c r="F2387" s="22"/>
      <c r="G2387"/>
    </row>
    <row r="2388" spans="1:7">
      <c r="A2388" s="17"/>
      <c r="B2388" s="18"/>
      <c r="C2388" s="17"/>
      <c r="D2388" s="18"/>
      <c r="E2388" s="17"/>
      <c r="F2388" s="22"/>
      <c r="G2388"/>
    </row>
    <row r="2389" spans="1:7">
      <c r="A2389" s="17"/>
      <c r="B2389" s="18"/>
      <c r="C2389" s="17"/>
      <c r="D2389" s="18"/>
      <c r="E2389" s="17"/>
      <c r="F2389" s="22"/>
      <c r="G2389"/>
    </row>
    <row r="2390" spans="1:7">
      <c r="A2390" s="17"/>
      <c r="B2390" s="18"/>
      <c r="C2390" s="17"/>
      <c r="D2390" s="18"/>
      <c r="E2390" s="17"/>
      <c r="F2390" s="22"/>
      <c r="G2390"/>
    </row>
    <row r="2391" spans="1:7">
      <c r="A2391" s="17"/>
      <c r="B2391" s="18"/>
      <c r="C2391" s="17"/>
      <c r="D2391" s="18"/>
      <c r="E2391" s="17"/>
      <c r="F2391" s="22"/>
      <c r="G2391"/>
    </row>
    <row r="2392" spans="1:7">
      <c r="A2392" s="17"/>
      <c r="B2392" s="18"/>
      <c r="C2392" s="17"/>
      <c r="D2392" s="18"/>
      <c r="E2392" s="17"/>
      <c r="F2392" s="22"/>
      <c r="G2392"/>
    </row>
    <row r="2393" spans="1:7">
      <c r="A2393" s="17"/>
      <c r="B2393" s="18"/>
      <c r="C2393" s="17"/>
      <c r="D2393" s="18"/>
      <c r="E2393" s="17"/>
      <c r="F2393" s="22"/>
      <c r="G2393"/>
    </row>
    <row r="2394" spans="1:7">
      <c r="A2394" s="17"/>
      <c r="B2394" s="18"/>
      <c r="C2394" s="17"/>
      <c r="D2394" s="18"/>
      <c r="E2394" s="17"/>
      <c r="F2394" s="22"/>
      <c r="G2394"/>
    </row>
    <row r="2395" spans="1:7">
      <c r="A2395" s="17"/>
      <c r="B2395" s="18"/>
      <c r="C2395" s="17"/>
      <c r="D2395" s="18"/>
      <c r="E2395" s="17"/>
      <c r="F2395" s="22"/>
      <c r="G2395"/>
    </row>
    <row r="2396" spans="1:7">
      <c r="A2396" s="17"/>
      <c r="B2396" s="18"/>
      <c r="C2396" s="17"/>
      <c r="D2396" s="18"/>
      <c r="E2396" s="17"/>
      <c r="F2396" s="22"/>
      <c r="G2396"/>
    </row>
    <row r="2397" spans="1:7">
      <c r="A2397" s="17"/>
      <c r="B2397" s="18"/>
      <c r="C2397" s="17"/>
      <c r="D2397" s="18"/>
      <c r="E2397" s="17"/>
      <c r="F2397" s="22"/>
      <c r="G2397"/>
    </row>
    <row r="2398" spans="1:7">
      <c r="A2398" s="17"/>
      <c r="B2398" s="18"/>
      <c r="C2398" s="17"/>
      <c r="D2398" s="18"/>
      <c r="E2398" s="17"/>
      <c r="F2398" s="22"/>
      <c r="G2398"/>
    </row>
    <row r="2399" spans="1:7">
      <c r="A2399" s="17"/>
      <c r="B2399" s="18"/>
      <c r="C2399" s="17"/>
      <c r="D2399" s="18"/>
      <c r="E2399" s="17"/>
      <c r="F2399" s="22"/>
      <c r="G2399"/>
    </row>
    <row r="2400" spans="1:7">
      <c r="A2400" s="17"/>
      <c r="B2400" s="18"/>
      <c r="C2400" s="17"/>
      <c r="D2400" s="18"/>
      <c r="E2400" s="17"/>
      <c r="F2400" s="22"/>
      <c r="G2400"/>
    </row>
    <row r="2401" spans="1:7">
      <c r="A2401" s="17"/>
      <c r="B2401" s="18"/>
      <c r="C2401" s="17"/>
      <c r="D2401" s="18"/>
      <c r="E2401" s="17"/>
      <c r="F2401" s="22"/>
      <c r="G2401"/>
    </row>
    <row r="2402" spans="1:7">
      <c r="A2402" s="17"/>
      <c r="B2402" s="18"/>
      <c r="C2402" s="17"/>
      <c r="D2402" s="18"/>
      <c r="E2402" s="17"/>
      <c r="F2402" s="22"/>
      <c r="G2402"/>
    </row>
    <row r="2403" spans="1:7">
      <c r="A2403" s="17"/>
      <c r="B2403" s="18"/>
      <c r="C2403" s="17"/>
      <c r="D2403" s="18"/>
      <c r="E2403" s="17"/>
      <c r="F2403" s="22"/>
      <c r="G2403"/>
    </row>
    <row r="2404" spans="1:7">
      <c r="A2404" s="17"/>
      <c r="B2404" s="18"/>
      <c r="C2404" s="17"/>
      <c r="D2404" s="18"/>
      <c r="E2404" s="17"/>
      <c r="F2404" s="22"/>
      <c r="G2404"/>
    </row>
    <row r="2405" spans="1:7">
      <c r="A2405" s="17"/>
      <c r="B2405" s="18"/>
      <c r="C2405" s="17"/>
      <c r="D2405" s="18"/>
      <c r="E2405" s="17"/>
      <c r="F2405" s="22"/>
      <c r="G2405"/>
    </row>
    <row r="2406" spans="1:7">
      <c r="A2406" s="17"/>
      <c r="B2406" s="18"/>
      <c r="C2406" s="17"/>
      <c r="D2406" s="18"/>
      <c r="E2406" s="17"/>
      <c r="F2406" s="22"/>
      <c r="G2406"/>
    </row>
    <row r="2407" spans="1:7">
      <c r="A2407" s="17"/>
      <c r="B2407" s="18"/>
      <c r="C2407" s="17"/>
      <c r="D2407" s="18"/>
      <c r="E2407" s="17"/>
      <c r="F2407" s="22"/>
      <c r="G2407"/>
    </row>
    <row r="2408" spans="1:7">
      <c r="A2408" s="17"/>
      <c r="B2408" s="18"/>
      <c r="C2408" s="17"/>
      <c r="D2408" s="18"/>
      <c r="E2408" s="17"/>
      <c r="F2408" s="22"/>
      <c r="G2408"/>
    </row>
    <row r="2409" spans="1:7">
      <c r="A2409" s="17"/>
      <c r="B2409" s="18"/>
      <c r="C2409" s="17"/>
      <c r="D2409" s="18"/>
      <c r="E2409" s="17"/>
      <c r="F2409" s="22"/>
      <c r="G2409"/>
    </row>
    <row r="2410" spans="1:7">
      <c r="A2410" s="17"/>
      <c r="B2410" s="18"/>
      <c r="C2410" s="17"/>
      <c r="D2410" s="18"/>
      <c r="E2410" s="17"/>
      <c r="F2410" s="22"/>
      <c r="G2410"/>
    </row>
    <row r="2411" spans="1:7">
      <c r="A2411" s="17"/>
      <c r="B2411" s="18"/>
      <c r="C2411" s="17"/>
      <c r="D2411" s="18"/>
      <c r="E2411" s="17"/>
      <c r="F2411" s="22"/>
      <c r="G2411"/>
    </row>
    <row r="2412" spans="1:7">
      <c r="A2412" s="17"/>
      <c r="B2412" s="18"/>
      <c r="C2412" s="17"/>
      <c r="D2412" s="18"/>
      <c r="E2412" s="17"/>
      <c r="F2412" s="22"/>
      <c r="G2412"/>
    </row>
    <row r="2413" spans="1:7">
      <c r="A2413" s="17"/>
      <c r="B2413" s="18"/>
      <c r="C2413" s="17"/>
      <c r="D2413" s="18"/>
      <c r="E2413" s="17"/>
      <c r="F2413" s="22"/>
      <c r="G2413"/>
    </row>
    <row r="2414" spans="1:7">
      <c r="A2414" s="17"/>
      <c r="B2414" s="18"/>
      <c r="C2414" s="17"/>
      <c r="D2414" s="18"/>
      <c r="E2414" s="17"/>
      <c r="F2414" s="22"/>
      <c r="G2414"/>
    </row>
    <row r="2415" spans="1:7">
      <c r="A2415" s="17"/>
      <c r="B2415" s="18"/>
      <c r="C2415" s="17"/>
      <c r="D2415" s="18"/>
      <c r="E2415" s="17"/>
      <c r="F2415" s="22"/>
      <c r="G2415"/>
    </row>
    <row r="2416" spans="1:7">
      <c r="A2416" s="17"/>
      <c r="B2416" s="18"/>
      <c r="C2416" s="17"/>
      <c r="D2416" s="18"/>
      <c r="E2416" s="17"/>
      <c r="F2416" s="22"/>
      <c r="G2416"/>
    </row>
    <row r="2417" spans="1:7">
      <c r="A2417" s="17"/>
      <c r="B2417" s="18"/>
      <c r="C2417" s="17"/>
      <c r="D2417" s="18"/>
      <c r="E2417" s="17"/>
      <c r="F2417" s="22"/>
      <c r="G2417"/>
    </row>
    <row r="2418" spans="1:7">
      <c r="A2418" s="17"/>
      <c r="B2418" s="18"/>
      <c r="C2418" s="17"/>
      <c r="D2418" s="18"/>
      <c r="E2418" s="17"/>
      <c r="F2418" s="22"/>
      <c r="G2418"/>
    </row>
    <row r="2419" spans="1:7">
      <c r="A2419" s="17"/>
      <c r="B2419" s="18"/>
      <c r="C2419" s="17"/>
      <c r="D2419" s="18"/>
      <c r="E2419" s="17"/>
      <c r="F2419" s="22"/>
      <c r="G2419"/>
    </row>
    <row r="2420" spans="1:7">
      <c r="A2420" s="17"/>
      <c r="B2420" s="18"/>
      <c r="C2420" s="17"/>
      <c r="D2420" s="18"/>
      <c r="E2420" s="17"/>
      <c r="F2420" s="22"/>
      <c r="G2420"/>
    </row>
    <row r="2421" spans="1:7">
      <c r="A2421" s="17"/>
      <c r="B2421" s="18"/>
      <c r="C2421" s="17"/>
      <c r="D2421" s="18"/>
      <c r="E2421" s="17"/>
      <c r="F2421" s="22"/>
      <c r="G2421"/>
    </row>
    <row r="2422" spans="1:7">
      <c r="A2422" s="17"/>
      <c r="B2422" s="18"/>
      <c r="C2422" s="17"/>
      <c r="D2422" s="18"/>
      <c r="E2422" s="17"/>
      <c r="F2422" s="22"/>
      <c r="G2422"/>
    </row>
    <row r="2423" spans="1:7">
      <c r="A2423" s="17"/>
      <c r="B2423" s="18"/>
      <c r="C2423" s="17"/>
      <c r="D2423" s="18"/>
      <c r="E2423" s="17"/>
      <c r="F2423" s="22"/>
      <c r="G2423"/>
    </row>
    <row r="2424" spans="1:7">
      <c r="A2424" s="17"/>
      <c r="B2424" s="18"/>
      <c r="C2424" s="17"/>
      <c r="D2424" s="18"/>
      <c r="E2424" s="17"/>
      <c r="F2424" s="22"/>
      <c r="G2424"/>
    </row>
    <row r="2425" spans="1:7">
      <c r="A2425" s="17"/>
      <c r="B2425" s="18"/>
      <c r="C2425" s="17"/>
      <c r="D2425" s="18"/>
      <c r="E2425" s="17"/>
      <c r="F2425" s="22"/>
      <c r="G2425"/>
    </row>
    <row r="2426" spans="1:7">
      <c r="A2426" s="17"/>
      <c r="B2426" s="18"/>
      <c r="C2426" s="17"/>
      <c r="D2426" s="18"/>
      <c r="E2426" s="17"/>
      <c r="F2426" s="22"/>
      <c r="G2426"/>
    </row>
    <row r="2427" spans="1:7">
      <c r="A2427" s="17"/>
      <c r="B2427" s="18"/>
      <c r="C2427" s="17"/>
      <c r="D2427" s="18"/>
      <c r="E2427" s="17"/>
      <c r="F2427" s="22"/>
      <c r="G2427"/>
    </row>
    <row r="2428" spans="1:7">
      <c r="A2428" s="17"/>
      <c r="B2428" s="18"/>
      <c r="C2428" s="17"/>
      <c r="D2428" s="18"/>
      <c r="E2428" s="17"/>
      <c r="F2428" s="22"/>
      <c r="G2428"/>
    </row>
    <row r="2429" spans="1:7">
      <c r="A2429" s="17"/>
      <c r="B2429" s="18"/>
      <c r="C2429" s="17"/>
      <c r="D2429" s="18"/>
      <c r="E2429" s="17"/>
      <c r="F2429" s="22"/>
      <c r="G2429"/>
    </row>
    <row r="2430" spans="1:7">
      <c r="A2430" s="17"/>
      <c r="B2430" s="18"/>
      <c r="C2430" s="17"/>
      <c r="D2430" s="18"/>
      <c r="E2430" s="17"/>
      <c r="F2430" s="22"/>
      <c r="G2430"/>
    </row>
    <row r="2431" spans="1:7">
      <c r="A2431" s="17"/>
      <c r="B2431" s="18"/>
      <c r="C2431" s="17"/>
      <c r="D2431" s="18"/>
      <c r="E2431" s="17"/>
      <c r="F2431" s="22"/>
      <c r="G2431"/>
    </row>
    <row r="2432" spans="1:7">
      <c r="A2432" s="17"/>
      <c r="B2432" s="18"/>
      <c r="C2432" s="17"/>
      <c r="D2432" s="18"/>
      <c r="E2432" s="17"/>
      <c r="F2432" s="22"/>
      <c r="G2432"/>
    </row>
    <row r="2433" spans="1:7">
      <c r="A2433" s="17"/>
      <c r="B2433" s="18"/>
      <c r="C2433" s="17"/>
      <c r="D2433" s="18"/>
      <c r="E2433" s="17"/>
      <c r="F2433" s="22"/>
      <c r="G2433"/>
    </row>
    <row r="2434" spans="1:7">
      <c r="A2434" s="17"/>
      <c r="B2434" s="18"/>
      <c r="C2434" s="17"/>
      <c r="D2434" s="18"/>
      <c r="E2434" s="17"/>
      <c r="F2434" s="22"/>
      <c r="G2434"/>
    </row>
    <row r="2435" spans="1:7">
      <c r="A2435" s="17"/>
      <c r="B2435" s="18"/>
      <c r="C2435" s="17"/>
      <c r="D2435" s="18"/>
      <c r="E2435" s="17"/>
      <c r="F2435" s="22"/>
      <c r="G2435"/>
    </row>
    <row r="2436" spans="1:7">
      <c r="A2436" s="17"/>
      <c r="B2436" s="18"/>
      <c r="C2436" s="17"/>
      <c r="D2436" s="18"/>
      <c r="E2436" s="17"/>
      <c r="F2436" s="22"/>
      <c r="G2436"/>
    </row>
    <row r="2437" spans="1:7">
      <c r="A2437" s="17"/>
      <c r="B2437" s="18"/>
      <c r="C2437" s="17"/>
      <c r="D2437" s="18"/>
      <c r="E2437" s="17"/>
      <c r="F2437" s="22"/>
      <c r="G2437"/>
    </row>
    <row r="2438" spans="1:7">
      <c r="A2438" s="17"/>
      <c r="B2438" s="18"/>
      <c r="C2438" s="17"/>
      <c r="D2438" s="18"/>
      <c r="E2438" s="17"/>
      <c r="F2438" s="22"/>
      <c r="G2438"/>
    </row>
    <row r="2439" spans="1:7">
      <c r="A2439" s="17"/>
      <c r="B2439" s="18"/>
      <c r="C2439" s="17"/>
      <c r="D2439" s="18"/>
      <c r="E2439" s="17"/>
      <c r="F2439" s="22"/>
      <c r="G2439"/>
    </row>
    <row r="2440" spans="1:7">
      <c r="A2440" s="17"/>
      <c r="B2440" s="18"/>
      <c r="C2440" s="17"/>
      <c r="D2440" s="18"/>
      <c r="E2440" s="17"/>
      <c r="F2440" s="22"/>
      <c r="G2440"/>
    </row>
    <row r="2441" spans="1:7">
      <c r="A2441" s="17"/>
      <c r="B2441" s="18"/>
      <c r="C2441" s="17"/>
      <c r="D2441" s="18"/>
      <c r="E2441" s="17"/>
      <c r="F2441" s="22"/>
      <c r="G2441"/>
    </row>
    <row r="2442" spans="1:7">
      <c r="A2442" s="17"/>
      <c r="B2442" s="18"/>
      <c r="C2442" s="17"/>
      <c r="D2442" s="18"/>
      <c r="E2442" s="17"/>
      <c r="F2442" s="22"/>
      <c r="G2442"/>
    </row>
    <row r="2443" spans="1:7">
      <c r="A2443" s="17"/>
      <c r="B2443" s="18"/>
      <c r="C2443" s="17"/>
      <c r="D2443" s="18"/>
      <c r="E2443" s="17"/>
      <c r="F2443" s="22"/>
      <c r="G2443"/>
    </row>
    <row r="2444" spans="1:7">
      <c r="A2444" s="17"/>
      <c r="B2444" s="18"/>
      <c r="C2444" s="17"/>
      <c r="D2444" s="18"/>
      <c r="E2444" s="17"/>
      <c r="F2444" s="22"/>
      <c r="G2444"/>
    </row>
    <row r="2445" spans="1:7">
      <c r="A2445" s="17"/>
      <c r="B2445" s="18"/>
      <c r="C2445" s="17"/>
      <c r="D2445" s="18"/>
      <c r="E2445" s="17"/>
      <c r="F2445" s="22"/>
      <c r="G2445"/>
    </row>
    <row r="2446" spans="1:7">
      <c r="A2446" s="17"/>
      <c r="B2446" s="18"/>
      <c r="C2446" s="17"/>
      <c r="D2446" s="18"/>
      <c r="E2446" s="17"/>
      <c r="F2446" s="22"/>
      <c r="G2446"/>
    </row>
    <row r="2447" spans="1:7">
      <c r="A2447" s="17"/>
      <c r="B2447" s="18"/>
      <c r="C2447" s="17"/>
      <c r="D2447" s="18"/>
      <c r="E2447" s="17"/>
      <c r="F2447" s="22"/>
      <c r="G2447"/>
    </row>
    <row r="2448" spans="1:7">
      <c r="A2448" s="17"/>
      <c r="B2448" s="18"/>
      <c r="C2448" s="17"/>
      <c r="D2448" s="18"/>
      <c r="E2448" s="17"/>
      <c r="F2448" s="22"/>
      <c r="G2448"/>
    </row>
    <row r="2449" spans="1:7">
      <c r="A2449" s="17"/>
      <c r="B2449" s="18"/>
      <c r="C2449" s="17"/>
      <c r="D2449" s="18"/>
      <c r="E2449" s="17"/>
      <c r="F2449" s="22"/>
      <c r="G2449"/>
    </row>
    <row r="2450" spans="1:7">
      <c r="A2450" s="17"/>
      <c r="B2450" s="18"/>
      <c r="C2450" s="17"/>
      <c r="D2450" s="18"/>
      <c r="E2450" s="17"/>
      <c r="F2450" s="22"/>
      <c r="G2450"/>
    </row>
    <row r="2451" spans="1:7">
      <c r="A2451" s="17"/>
      <c r="B2451" s="18"/>
      <c r="C2451" s="17"/>
      <c r="D2451" s="18"/>
      <c r="E2451" s="17"/>
      <c r="F2451" s="22"/>
      <c r="G2451"/>
    </row>
    <row r="2452" spans="1:7">
      <c r="A2452" s="17"/>
      <c r="B2452" s="18"/>
      <c r="C2452" s="17"/>
      <c r="D2452" s="18"/>
      <c r="E2452" s="17"/>
      <c r="F2452" s="22"/>
      <c r="G2452"/>
    </row>
    <row r="2453" spans="1:7">
      <c r="A2453" s="17"/>
      <c r="B2453" s="18"/>
      <c r="C2453" s="17"/>
      <c r="D2453" s="18"/>
      <c r="E2453" s="17"/>
      <c r="F2453" s="22"/>
      <c r="G2453"/>
    </row>
    <row r="2454" spans="1:7">
      <c r="A2454" s="17"/>
      <c r="B2454" s="18"/>
      <c r="C2454" s="17"/>
      <c r="D2454" s="18"/>
      <c r="E2454" s="17"/>
      <c r="F2454" s="22"/>
      <c r="G2454"/>
    </row>
    <row r="2455" spans="1:7">
      <c r="A2455" s="17"/>
      <c r="B2455" s="18"/>
      <c r="C2455" s="17"/>
      <c r="D2455" s="18"/>
      <c r="E2455" s="17"/>
      <c r="F2455" s="22"/>
      <c r="G2455"/>
    </row>
    <row r="2456" spans="1:7">
      <c r="A2456" s="17"/>
      <c r="B2456" s="18"/>
      <c r="C2456" s="17"/>
      <c r="D2456" s="18"/>
      <c r="E2456" s="17"/>
      <c r="F2456" s="22"/>
      <c r="G2456"/>
    </row>
    <row r="2457" spans="1:7">
      <c r="A2457" s="17"/>
      <c r="B2457" s="18"/>
      <c r="C2457" s="17"/>
      <c r="D2457" s="18"/>
      <c r="E2457" s="17"/>
      <c r="F2457" s="22"/>
      <c r="G2457"/>
    </row>
    <row r="2458" spans="1:7">
      <c r="A2458" s="17"/>
      <c r="B2458" s="18"/>
      <c r="C2458" s="17"/>
      <c r="D2458" s="18"/>
      <c r="E2458" s="17"/>
      <c r="F2458" s="22"/>
      <c r="G2458"/>
    </row>
    <row r="2459" spans="1:7">
      <c r="A2459" s="17"/>
      <c r="B2459" s="18"/>
      <c r="C2459" s="17"/>
      <c r="D2459" s="18"/>
      <c r="E2459" s="17"/>
      <c r="F2459" s="22"/>
      <c r="G2459"/>
    </row>
    <row r="2460" spans="1:7">
      <c r="A2460" s="17"/>
      <c r="B2460" s="18"/>
      <c r="C2460" s="17"/>
      <c r="D2460" s="18"/>
      <c r="E2460" s="17"/>
      <c r="F2460" s="22"/>
      <c r="G2460"/>
    </row>
    <row r="2461" spans="1:7">
      <c r="A2461" s="17"/>
      <c r="B2461" s="18"/>
      <c r="C2461" s="17"/>
      <c r="D2461" s="18"/>
      <c r="E2461" s="17"/>
      <c r="F2461" s="22"/>
      <c r="G2461"/>
    </row>
    <row r="2462" spans="1:7">
      <c r="A2462" s="17"/>
      <c r="B2462" s="18"/>
      <c r="C2462" s="17"/>
      <c r="D2462" s="18"/>
      <c r="E2462" s="17"/>
      <c r="F2462" s="22"/>
      <c r="G2462"/>
    </row>
    <row r="2463" spans="1:7">
      <c r="A2463" s="17"/>
      <c r="B2463" s="18"/>
      <c r="C2463" s="17"/>
      <c r="D2463" s="18"/>
      <c r="E2463" s="17"/>
      <c r="F2463" s="22"/>
      <c r="G2463"/>
    </row>
    <row r="2464" spans="1:7">
      <c r="A2464" s="17"/>
      <c r="B2464" s="18"/>
      <c r="C2464" s="17"/>
      <c r="D2464" s="18"/>
      <c r="E2464" s="17"/>
      <c r="F2464" s="22"/>
      <c r="G2464"/>
    </row>
    <row r="2465" spans="1:7">
      <c r="A2465" s="17"/>
      <c r="B2465" s="18"/>
      <c r="C2465" s="17"/>
      <c r="D2465" s="18"/>
      <c r="E2465" s="17"/>
      <c r="F2465" s="22"/>
      <c r="G2465"/>
    </row>
    <row r="2466" spans="1:7">
      <c r="A2466" s="17"/>
      <c r="B2466" s="18"/>
      <c r="C2466" s="17"/>
      <c r="D2466" s="18"/>
      <c r="E2466" s="17"/>
      <c r="F2466" s="22"/>
      <c r="G2466"/>
    </row>
    <row r="2467" spans="1:7">
      <c r="A2467" s="17"/>
      <c r="B2467" s="18"/>
      <c r="C2467" s="17"/>
      <c r="D2467" s="18"/>
      <c r="E2467" s="17"/>
      <c r="F2467" s="22"/>
      <c r="G2467"/>
    </row>
    <row r="2468" spans="1:7">
      <c r="A2468" s="17"/>
      <c r="B2468" s="18"/>
      <c r="C2468" s="17"/>
      <c r="D2468" s="18"/>
      <c r="E2468" s="17"/>
      <c r="F2468" s="22"/>
      <c r="G2468"/>
    </row>
    <row r="2469" spans="1:7">
      <c r="A2469" s="17"/>
      <c r="B2469" s="18"/>
      <c r="C2469" s="17"/>
      <c r="D2469" s="18"/>
      <c r="E2469" s="17"/>
      <c r="F2469" s="22"/>
      <c r="G2469"/>
    </row>
    <row r="2470" spans="1:7">
      <c r="A2470" s="17"/>
      <c r="B2470" s="18"/>
      <c r="C2470" s="17"/>
      <c r="D2470" s="18"/>
      <c r="E2470" s="17"/>
      <c r="F2470" s="22"/>
      <c r="G2470"/>
    </row>
    <row r="2471" spans="1:7">
      <c r="A2471" s="17"/>
      <c r="B2471" s="18"/>
      <c r="C2471" s="17"/>
      <c r="D2471" s="18"/>
      <c r="E2471" s="17"/>
      <c r="F2471" s="22"/>
      <c r="G2471"/>
    </row>
    <row r="2472" spans="1:7">
      <c r="A2472" s="17"/>
      <c r="B2472" s="18"/>
      <c r="C2472" s="17"/>
      <c r="D2472" s="18"/>
      <c r="E2472" s="17"/>
      <c r="F2472" s="22"/>
      <c r="G2472"/>
    </row>
    <row r="2473" spans="1:7">
      <c r="A2473" s="17"/>
      <c r="B2473" s="18"/>
      <c r="C2473" s="17"/>
      <c r="D2473" s="18"/>
      <c r="E2473" s="17"/>
      <c r="F2473" s="22"/>
      <c r="G2473"/>
    </row>
    <row r="2474" spans="1:7">
      <c r="A2474" s="17"/>
      <c r="B2474" s="18"/>
      <c r="C2474" s="17"/>
      <c r="D2474" s="18"/>
      <c r="E2474" s="17"/>
      <c r="F2474" s="22"/>
      <c r="G2474"/>
    </row>
    <row r="2475" spans="1:7">
      <c r="A2475" s="17"/>
      <c r="B2475" s="18"/>
      <c r="C2475" s="17"/>
      <c r="D2475" s="18"/>
      <c r="E2475" s="17"/>
      <c r="F2475" s="22"/>
      <c r="G2475"/>
    </row>
    <row r="2476" spans="1:7">
      <c r="A2476" s="17"/>
      <c r="B2476" s="18"/>
      <c r="C2476" s="17"/>
      <c r="D2476" s="18"/>
      <c r="E2476" s="17"/>
      <c r="F2476" s="22"/>
      <c r="G2476"/>
    </row>
    <row r="2477" spans="1:7">
      <c r="A2477" s="17"/>
      <c r="B2477" s="18"/>
      <c r="C2477" s="17"/>
      <c r="D2477" s="18"/>
      <c r="E2477" s="17"/>
      <c r="F2477" s="22"/>
      <c r="G2477"/>
    </row>
    <row r="2478" spans="1:7">
      <c r="A2478" s="17"/>
      <c r="B2478" s="18"/>
      <c r="C2478" s="17"/>
      <c r="D2478" s="18"/>
      <c r="E2478" s="17"/>
      <c r="F2478" s="22"/>
      <c r="G2478"/>
    </row>
    <row r="2479" spans="1:7">
      <c r="A2479" s="17"/>
      <c r="B2479" s="18"/>
      <c r="C2479" s="17"/>
      <c r="D2479" s="18"/>
      <c r="E2479" s="17"/>
      <c r="F2479" s="22"/>
      <c r="G2479"/>
    </row>
    <row r="2480" spans="1:7">
      <c r="A2480" s="17"/>
      <c r="B2480" s="18"/>
      <c r="C2480" s="17"/>
      <c r="D2480" s="18"/>
      <c r="E2480" s="17"/>
      <c r="F2480" s="22"/>
      <c r="G2480"/>
    </row>
    <row r="2481" spans="1:7">
      <c r="A2481" s="17"/>
      <c r="B2481" s="18"/>
      <c r="C2481" s="17"/>
      <c r="D2481" s="18"/>
      <c r="E2481" s="17"/>
      <c r="F2481" s="22"/>
      <c r="G2481"/>
    </row>
    <row r="2482" spans="1:7">
      <c r="A2482" s="17"/>
      <c r="B2482" s="18"/>
      <c r="C2482" s="17"/>
      <c r="D2482" s="18"/>
      <c r="E2482" s="17"/>
      <c r="F2482" s="22"/>
      <c r="G2482"/>
    </row>
    <row r="2483" spans="1:7">
      <c r="A2483" s="17"/>
      <c r="B2483" s="18"/>
      <c r="C2483" s="17"/>
      <c r="D2483" s="18"/>
      <c r="E2483" s="17"/>
      <c r="F2483" s="22"/>
      <c r="G2483"/>
    </row>
    <row r="2484" spans="1:7">
      <c r="A2484" s="17"/>
      <c r="B2484" s="18"/>
      <c r="C2484" s="17"/>
      <c r="D2484" s="18"/>
      <c r="E2484" s="17"/>
      <c r="F2484" s="22"/>
      <c r="G2484"/>
    </row>
    <row r="2485" spans="1:7">
      <c r="A2485" s="17"/>
      <c r="B2485" s="18"/>
      <c r="C2485" s="17"/>
      <c r="D2485" s="18"/>
      <c r="E2485" s="17"/>
      <c r="F2485" s="22"/>
      <c r="G2485"/>
    </row>
    <row r="2486" spans="1:7">
      <c r="A2486" s="17"/>
      <c r="B2486" s="18"/>
      <c r="C2486" s="17"/>
      <c r="D2486" s="18"/>
      <c r="E2486" s="17"/>
      <c r="F2486" s="22"/>
      <c r="G2486"/>
    </row>
    <row r="2487" spans="1:7">
      <c r="A2487" s="17"/>
      <c r="B2487" s="18"/>
      <c r="C2487" s="17"/>
      <c r="D2487" s="18"/>
      <c r="E2487" s="17"/>
      <c r="F2487" s="22"/>
      <c r="G2487"/>
    </row>
    <row r="2488" spans="1:7">
      <c r="A2488" s="17"/>
      <c r="B2488" s="18"/>
      <c r="C2488" s="17"/>
      <c r="D2488" s="18"/>
      <c r="E2488" s="17"/>
      <c r="F2488" s="22"/>
      <c r="G2488"/>
    </row>
    <row r="2489" spans="1:7">
      <c r="A2489" s="17"/>
      <c r="B2489" s="18"/>
      <c r="C2489" s="17"/>
      <c r="D2489" s="18"/>
      <c r="E2489" s="17"/>
      <c r="F2489" s="22"/>
      <c r="G2489"/>
    </row>
    <row r="2490" spans="1:7">
      <c r="A2490" s="17"/>
      <c r="B2490" s="18"/>
      <c r="C2490" s="17"/>
      <c r="D2490" s="18"/>
      <c r="E2490" s="17"/>
      <c r="F2490" s="22"/>
      <c r="G2490"/>
    </row>
    <row r="2491" spans="1:7">
      <c r="A2491" s="17"/>
      <c r="B2491" s="18"/>
      <c r="C2491" s="17"/>
      <c r="D2491" s="18"/>
      <c r="E2491" s="17"/>
      <c r="F2491" s="22"/>
      <c r="G2491"/>
    </row>
    <row r="2492" spans="1:7">
      <c r="A2492" s="17"/>
      <c r="B2492" s="18"/>
      <c r="C2492" s="17"/>
      <c r="D2492" s="18"/>
      <c r="E2492" s="17"/>
      <c r="F2492" s="22"/>
      <c r="G2492"/>
    </row>
    <row r="2493" spans="1:7">
      <c r="A2493" s="17"/>
      <c r="B2493" s="18"/>
      <c r="C2493" s="17"/>
      <c r="D2493" s="18"/>
      <c r="E2493" s="17"/>
      <c r="F2493" s="22"/>
      <c r="G2493"/>
    </row>
    <row r="2494" spans="1:7">
      <c r="A2494" s="17"/>
      <c r="B2494" s="18"/>
      <c r="C2494" s="17"/>
      <c r="D2494" s="18"/>
      <c r="E2494" s="17"/>
      <c r="F2494" s="22"/>
      <c r="G2494"/>
    </row>
    <row r="2495" spans="1:7">
      <c r="A2495" s="17"/>
      <c r="B2495" s="18"/>
      <c r="C2495" s="17"/>
      <c r="D2495" s="18"/>
      <c r="E2495" s="17"/>
      <c r="F2495" s="22"/>
      <c r="G2495"/>
    </row>
    <row r="2496" spans="1:7">
      <c r="A2496" s="17"/>
      <c r="B2496" s="18"/>
      <c r="C2496" s="17"/>
      <c r="D2496" s="18"/>
      <c r="E2496" s="17"/>
      <c r="F2496" s="22"/>
      <c r="G2496"/>
    </row>
    <row r="2497" spans="1:7">
      <c r="A2497" s="17"/>
      <c r="B2497" s="18"/>
      <c r="C2497" s="17"/>
      <c r="D2497" s="18"/>
      <c r="E2497" s="17"/>
      <c r="F2497" s="22"/>
      <c r="G2497"/>
    </row>
    <row r="2498" spans="1:7">
      <c r="A2498" s="17"/>
      <c r="B2498" s="18"/>
      <c r="C2498" s="17"/>
      <c r="D2498" s="18"/>
      <c r="E2498" s="17"/>
      <c r="F2498" s="22"/>
      <c r="G2498"/>
    </row>
    <row r="2499" spans="1:7">
      <c r="A2499" s="17"/>
      <c r="B2499" s="18"/>
      <c r="C2499" s="17"/>
      <c r="D2499" s="18"/>
      <c r="E2499" s="17"/>
      <c r="F2499" s="22"/>
      <c r="G2499"/>
    </row>
    <row r="2500" spans="1:7">
      <c r="A2500" s="17"/>
      <c r="B2500" s="18"/>
      <c r="C2500" s="17"/>
      <c r="D2500" s="18"/>
      <c r="E2500" s="17"/>
      <c r="F2500" s="22"/>
      <c r="G2500"/>
    </row>
    <row r="2501" spans="1:7">
      <c r="A2501" s="17"/>
      <c r="B2501" s="18"/>
      <c r="C2501" s="17"/>
      <c r="D2501" s="18"/>
      <c r="E2501" s="17"/>
      <c r="F2501" s="22"/>
      <c r="G2501"/>
    </row>
    <row r="2502" spans="1:7">
      <c r="A2502" s="17"/>
      <c r="B2502" s="18"/>
      <c r="C2502" s="17"/>
      <c r="D2502" s="18"/>
      <c r="E2502" s="17"/>
      <c r="F2502" s="22"/>
      <c r="G2502"/>
    </row>
    <row r="2503" spans="1:7">
      <c r="A2503" s="17"/>
      <c r="B2503" s="18"/>
      <c r="C2503" s="17"/>
      <c r="D2503" s="18"/>
      <c r="E2503" s="17"/>
      <c r="F2503" s="22"/>
      <c r="G2503"/>
    </row>
    <row r="2504" spans="1:7">
      <c r="A2504" s="17"/>
      <c r="B2504" s="18"/>
      <c r="C2504" s="17"/>
      <c r="D2504" s="18"/>
      <c r="E2504" s="17"/>
      <c r="F2504" s="22"/>
      <c r="G2504"/>
    </row>
    <row r="2505" spans="1:7">
      <c r="A2505" s="17"/>
      <c r="B2505" s="18"/>
      <c r="C2505" s="17"/>
      <c r="D2505" s="18"/>
      <c r="E2505" s="17"/>
      <c r="F2505" s="22"/>
      <c r="G2505"/>
    </row>
    <row r="2506" spans="1:7">
      <c r="A2506" s="17"/>
      <c r="B2506" s="18"/>
      <c r="C2506" s="17"/>
      <c r="D2506" s="18"/>
      <c r="E2506" s="17"/>
      <c r="F2506" s="22"/>
      <c r="G2506"/>
    </row>
    <row r="2507" spans="1:7">
      <c r="A2507" s="17"/>
      <c r="B2507" s="18"/>
      <c r="C2507" s="17"/>
      <c r="D2507" s="18"/>
      <c r="E2507" s="17"/>
      <c r="F2507" s="22"/>
      <c r="G2507"/>
    </row>
    <row r="2508" spans="1:7">
      <c r="A2508" s="17"/>
      <c r="B2508" s="18"/>
      <c r="C2508" s="17"/>
      <c r="D2508" s="18"/>
      <c r="E2508" s="17"/>
      <c r="F2508" s="22"/>
      <c r="G2508"/>
    </row>
    <row r="2509" spans="1:7">
      <c r="A2509" s="17"/>
      <c r="B2509" s="18"/>
      <c r="C2509" s="17"/>
      <c r="D2509" s="18"/>
      <c r="E2509" s="17"/>
      <c r="F2509" s="22"/>
      <c r="G2509"/>
    </row>
    <row r="2510" spans="1:7">
      <c r="A2510" s="17"/>
      <c r="B2510" s="18"/>
      <c r="C2510" s="17"/>
      <c r="D2510" s="18"/>
      <c r="E2510" s="17"/>
      <c r="F2510" s="22"/>
      <c r="G2510"/>
    </row>
    <row r="2511" spans="1:7">
      <c r="A2511" s="17"/>
      <c r="B2511" s="18"/>
      <c r="C2511" s="17"/>
      <c r="D2511" s="18"/>
      <c r="E2511" s="17"/>
      <c r="F2511" s="22"/>
      <c r="G2511"/>
    </row>
    <row r="2512" spans="1:7">
      <c r="A2512" s="17"/>
      <c r="B2512" s="18"/>
      <c r="C2512" s="17"/>
      <c r="D2512" s="18"/>
      <c r="E2512" s="17"/>
      <c r="F2512" s="22"/>
      <c r="G2512"/>
    </row>
    <row r="2513" spans="1:7">
      <c r="A2513" s="17"/>
      <c r="B2513" s="18"/>
      <c r="C2513" s="17"/>
      <c r="D2513" s="18"/>
      <c r="E2513" s="17"/>
      <c r="F2513" s="22"/>
      <c r="G2513"/>
    </row>
    <row r="2514" spans="1:7">
      <c r="A2514" s="17"/>
      <c r="B2514" s="18"/>
      <c r="C2514" s="17"/>
      <c r="D2514" s="18"/>
      <c r="E2514" s="17"/>
      <c r="F2514" s="22"/>
      <c r="G2514"/>
    </row>
    <row r="2515" spans="1:7">
      <c r="A2515" s="17"/>
      <c r="B2515" s="18"/>
      <c r="C2515" s="17"/>
      <c r="D2515" s="18"/>
      <c r="E2515" s="17"/>
      <c r="F2515" s="22"/>
      <c r="G2515"/>
    </row>
    <row r="2516" spans="1:7">
      <c r="A2516" s="17"/>
      <c r="B2516" s="18"/>
      <c r="C2516" s="17"/>
      <c r="D2516" s="18"/>
      <c r="E2516" s="17"/>
      <c r="F2516" s="22"/>
      <c r="G2516"/>
    </row>
    <row r="2517" spans="1:7">
      <c r="A2517" s="17"/>
      <c r="B2517" s="18"/>
      <c r="C2517" s="17"/>
      <c r="D2517" s="18"/>
      <c r="E2517" s="17"/>
      <c r="F2517" s="22"/>
      <c r="G2517"/>
    </row>
    <row r="2518" spans="1:7">
      <c r="A2518" s="17"/>
      <c r="B2518" s="18"/>
      <c r="C2518" s="17"/>
      <c r="D2518" s="18"/>
      <c r="E2518" s="17"/>
      <c r="F2518" s="22"/>
      <c r="G2518"/>
    </row>
    <row r="2519" spans="1:7">
      <c r="A2519" s="17"/>
      <c r="B2519" s="18"/>
      <c r="C2519" s="17"/>
      <c r="D2519" s="18"/>
      <c r="E2519" s="17"/>
      <c r="F2519" s="22"/>
      <c r="G2519"/>
    </row>
    <row r="2520" spans="1:7">
      <c r="A2520" s="17"/>
      <c r="B2520" s="18"/>
      <c r="C2520" s="17"/>
      <c r="D2520" s="18"/>
      <c r="E2520" s="17"/>
      <c r="F2520" s="22"/>
      <c r="G2520"/>
    </row>
    <row r="2521" spans="1:7">
      <c r="A2521" s="17"/>
      <c r="B2521" s="18"/>
      <c r="C2521" s="17"/>
      <c r="D2521" s="18"/>
      <c r="E2521" s="17"/>
      <c r="F2521" s="22"/>
      <c r="G2521"/>
    </row>
    <row r="2522" spans="1:7">
      <c r="A2522" s="17"/>
      <c r="B2522" s="18"/>
      <c r="C2522" s="17"/>
      <c r="D2522" s="18"/>
      <c r="E2522" s="17"/>
      <c r="F2522" s="22"/>
      <c r="G2522"/>
    </row>
    <row r="2523" spans="1:7">
      <c r="A2523" s="17"/>
      <c r="B2523" s="18"/>
      <c r="C2523" s="17"/>
      <c r="D2523" s="18"/>
      <c r="E2523" s="17"/>
      <c r="F2523" s="22"/>
      <c r="G2523"/>
    </row>
    <row r="2524" spans="1:7">
      <c r="A2524" s="17"/>
      <c r="B2524" s="18"/>
      <c r="C2524" s="17"/>
      <c r="D2524" s="18"/>
      <c r="E2524" s="17"/>
      <c r="F2524" s="22"/>
      <c r="G2524"/>
    </row>
    <row r="2525" spans="1:7">
      <c r="A2525" s="17"/>
      <c r="B2525" s="18"/>
      <c r="C2525" s="17"/>
      <c r="D2525" s="18"/>
      <c r="E2525" s="17"/>
      <c r="F2525" s="22"/>
      <c r="G2525"/>
    </row>
    <row r="2526" spans="1:7">
      <c r="A2526" s="17"/>
      <c r="B2526" s="18"/>
      <c r="C2526" s="17"/>
      <c r="D2526" s="18"/>
      <c r="E2526" s="17"/>
      <c r="F2526" s="22"/>
      <c r="G2526"/>
    </row>
    <row r="2527" spans="1:7">
      <c r="A2527" s="17"/>
      <c r="B2527" s="18"/>
      <c r="C2527" s="17"/>
      <c r="D2527" s="18"/>
      <c r="E2527" s="17"/>
      <c r="F2527" s="22"/>
      <c r="G2527"/>
    </row>
    <row r="2528" spans="1:7">
      <c r="A2528" s="17"/>
      <c r="B2528" s="18"/>
      <c r="C2528" s="17"/>
      <c r="D2528" s="18"/>
      <c r="E2528" s="17"/>
      <c r="F2528" s="22"/>
      <c r="G2528"/>
    </row>
    <row r="2529" spans="1:7">
      <c r="A2529" s="17"/>
      <c r="B2529" s="18"/>
      <c r="C2529" s="17"/>
      <c r="D2529" s="18"/>
      <c r="E2529" s="17"/>
      <c r="F2529" s="22"/>
      <c r="G2529"/>
    </row>
    <row r="2530" spans="1:7">
      <c r="A2530" s="17"/>
      <c r="B2530" s="18"/>
      <c r="C2530" s="17"/>
      <c r="D2530" s="18"/>
      <c r="E2530" s="17"/>
      <c r="F2530" s="22"/>
      <c r="G2530"/>
    </row>
    <row r="2531" spans="1:7">
      <c r="A2531" s="17"/>
      <c r="B2531" s="18"/>
      <c r="C2531" s="17"/>
      <c r="D2531" s="18"/>
      <c r="E2531" s="17"/>
      <c r="F2531" s="22"/>
      <c r="G2531"/>
    </row>
    <row r="2532" spans="1:7">
      <c r="A2532" s="17"/>
      <c r="B2532" s="18"/>
      <c r="C2532" s="17"/>
      <c r="D2532" s="18"/>
      <c r="E2532" s="17"/>
      <c r="F2532" s="22"/>
      <c r="G2532"/>
    </row>
    <row r="2533" spans="1:7">
      <c r="A2533" s="17"/>
      <c r="B2533" s="18"/>
      <c r="C2533" s="17"/>
      <c r="D2533" s="18"/>
      <c r="E2533" s="17"/>
      <c r="F2533" s="22"/>
      <c r="G2533"/>
    </row>
    <row r="2534" spans="1:7">
      <c r="A2534" s="17"/>
      <c r="B2534" s="18"/>
      <c r="C2534" s="17"/>
      <c r="D2534" s="18"/>
      <c r="E2534" s="17"/>
      <c r="F2534" s="22"/>
      <c r="G2534"/>
    </row>
    <row r="2535" spans="1:7">
      <c r="A2535" s="17"/>
      <c r="B2535" s="18"/>
      <c r="C2535" s="17"/>
      <c r="D2535" s="18"/>
      <c r="E2535" s="17"/>
      <c r="F2535" s="22"/>
      <c r="G2535"/>
    </row>
    <row r="2536" spans="1:7">
      <c r="A2536" s="17"/>
      <c r="B2536" s="18"/>
      <c r="C2536" s="17"/>
      <c r="D2536" s="18"/>
      <c r="E2536" s="17"/>
      <c r="F2536" s="22"/>
      <c r="G2536"/>
    </row>
    <row r="2537" spans="1:7">
      <c r="A2537" s="17"/>
      <c r="B2537" s="18"/>
      <c r="C2537" s="17"/>
      <c r="D2537" s="18"/>
      <c r="E2537" s="17"/>
      <c r="F2537" s="22"/>
      <c r="G2537"/>
    </row>
    <row r="2538" spans="1:7">
      <c r="A2538" s="17"/>
      <c r="B2538" s="18"/>
      <c r="C2538" s="17"/>
      <c r="D2538" s="18"/>
      <c r="E2538" s="17"/>
      <c r="F2538" s="22"/>
      <c r="G2538"/>
    </row>
    <row r="2539" spans="1:7">
      <c r="A2539" s="17"/>
      <c r="B2539" s="18"/>
      <c r="C2539" s="17"/>
      <c r="D2539" s="18"/>
      <c r="E2539" s="17"/>
      <c r="F2539" s="22"/>
      <c r="G2539"/>
    </row>
    <row r="2540" spans="1:7">
      <c r="A2540" s="17"/>
      <c r="B2540" s="18"/>
      <c r="C2540" s="17"/>
      <c r="D2540" s="18"/>
      <c r="E2540" s="17"/>
      <c r="F2540" s="22"/>
      <c r="G2540"/>
    </row>
    <row r="2541" spans="1:7">
      <c r="A2541" s="17"/>
      <c r="B2541" s="18"/>
      <c r="C2541" s="17"/>
      <c r="D2541" s="18"/>
      <c r="E2541" s="17"/>
      <c r="F2541" s="22"/>
      <c r="G2541"/>
    </row>
    <row r="2542" spans="1:7">
      <c r="A2542" s="17"/>
      <c r="B2542" s="18"/>
      <c r="C2542" s="17"/>
      <c r="D2542" s="18"/>
      <c r="E2542" s="17"/>
      <c r="F2542" s="22"/>
      <c r="G2542"/>
    </row>
    <row r="2543" spans="1:7">
      <c r="A2543" s="17"/>
      <c r="B2543" s="18"/>
      <c r="C2543" s="17"/>
      <c r="D2543" s="18"/>
      <c r="E2543" s="17"/>
      <c r="F2543" s="22"/>
      <c r="G2543"/>
    </row>
    <row r="2544" spans="1:7">
      <c r="A2544" s="17"/>
      <c r="B2544" s="18"/>
      <c r="C2544" s="17"/>
      <c r="D2544" s="18"/>
      <c r="E2544" s="17"/>
      <c r="F2544" s="22"/>
      <c r="G2544"/>
    </row>
    <row r="2545" spans="1:7">
      <c r="A2545" s="17"/>
      <c r="B2545" s="18"/>
      <c r="C2545" s="17"/>
      <c r="D2545" s="18"/>
      <c r="E2545" s="17"/>
      <c r="F2545" s="22"/>
      <c r="G2545"/>
    </row>
    <row r="2546" spans="1:7">
      <c r="A2546" s="17"/>
      <c r="B2546" s="18"/>
      <c r="C2546" s="17"/>
      <c r="D2546" s="18"/>
      <c r="E2546" s="17"/>
      <c r="F2546" s="22"/>
      <c r="G2546"/>
    </row>
    <row r="2547" spans="1:7">
      <c r="A2547" s="17"/>
      <c r="B2547" s="18"/>
      <c r="C2547" s="17"/>
      <c r="D2547" s="18"/>
      <c r="E2547" s="17"/>
      <c r="F2547" s="22"/>
      <c r="G2547"/>
    </row>
    <row r="2548" spans="1:7">
      <c r="A2548" s="17"/>
      <c r="B2548" s="18"/>
      <c r="C2548" s="17"/>
      <c r="D2548" s="18"/>
      <c r="E2548" s="17"/>
      <c r="F2548" s="22"/>
      <c r="G2548"/>
    </row>
    <row r="2549" spans="1:7">
      <c r="A2549" s="17"/>
      <c r="B2549" s="18"/>
      <c r="C2549" s="17"/>
      <c r="D2549" s="18"/>
      <c r="E2549" s="17"/>
      <c r="F2549" s="22"/>
      <c r="G2549"/>
    </row>
    <row r="2550" spans="1:7">
      <c r="A2550" s="17"/>
      <c r="B2550" s="18"/>
      <c r="C2550" s="17"/>
      <c r="D2550" s="18"/>
      <c r="E2550" s="17"/>
      <c r="F2550" s="22"/>
      <c r="G2550"/>
    </row>
    <row r="2551" spans="1:7">
      <c r="A2551" s="17"/>
      <c r="B2551" s="18"/>
      <c r="C2551" s="17"/>
      <c r="D2551" s="18"/>
      <c r="E2551" s="17"/>
      <c r="F2551" s="22"/>
      <c r="G2551"/>
    </row>
    <row r="2552" spans="1:7">
      <c r="A2552" s="17"/>
      <c r="B2552" s="18"/>
      <c r="C2552" s="17"/>
      <c r="D2552" s="18"/>
      <c r="E2552" s="17"/>
      <c r="F2552" s="22"/>
      <c r="G2552"/>
    </row>
    <row r="2553" spans="1:7">
      <c r="A2553" s="17"/>
      <c r="B2553" s="18"/>
      <c r="C2553" s="17"/>
      <c r="D2553" s="18"/>
      <c r="E2553" s="17"/>
      <c r="F2553" s="22"/>
      <c r="G2553"/>
    </row>
    <row r="2554" spans="1:7">
      <c r="A2554" s="17"/>
      <c r="B2554" s="18"/>
      <c r="C2554" s="17"/>
      <c r="D2554" s="18"/>
      <c r="E2554" s="17"/>
      <c r="F2554" s="22"/>
      <c r="G2554"/>
    </row>
    <row r="2555" spans="1:7">
      <c r="A2555" s="17"/>
      <c r="B2555" s="18"/>
      <c r="C2555" s="17"/>
      <c r="D2555" s="18"/>
      <c r="E2555" s="17"/>
      <c r="F2555" s="22"/>
      <c r="G2555"/>
    </row>
    <row r="2556" spans="1:7">
      <c r="A2556" s="17"/>
      <c r="B2556" s="18"/>
      <c r="C2556" s="17"/>
      <c r="D2556" s="18"/>
      <c r="E2556" s="17"/>
      <c r="F2556" s="22"/>
      <c r="G2556"/>
    </row>
    <row r="2557" spans="1:7">
      <c r="A2557" s="17"/>
      <c r="B2557" s="18"/>
      <c r="C2557" s="17"/>
      <c r="D2557" s="18"/>
      <c r="E2557" s="17"/>
      <c r="F2557" s="22"/>
      <c r="G2557"/>
    </row>
    <row r="2558" spans="1:7">
      <c r="A2558" s="17"/>
      <c r="B2558" s="18"/>
      <c r="C2558" s="17"/>
      <c r="D2558" s="18"/>
      <c r="E2558" s="17"/>
      <c r="F2558" s="22"/>
      <c r="G2558"/>
    </row>
    <row r="2559" spans="1:7">
      <c r="A2559" s="17"/>
      <c r="B2559" s="18"/>
      <c r="C2559" s="17"/>
      <c r="D2559" s="18"/>
      <c r="E2559" s="17"/>
      <c r="F2559" s="22"/>
      <c r="G2559"/>
    </row>
    <row r="2560" spans="1:7">
      <c r="A2560" s="17"/>
      <c r="B2560" s="18"/>
      <c r="C2560" s="17"/>
      <c r="D2560" s="18"/>
      <c r="E2560" s="17"/>
      <c r="F2560" s="22"/>
      <c r="G2560"/>
    </row>
    <row r="2561" spans="1:7">
      <c r="A2561" s="17"/>
      <c r="B2561" s="18"/>
      <c r="C2561" s="17"/>
      <c r="D2561" s="18"/>
      <c r="E2561" s="17"/>
      <c r="F2561" s="22"/>
      <c r="G2561"/>
    </row>
    <row r="2562" spans="1:7">
      <c r="A2562" s="17"/>
      <c r="B2562" s="18"/>
      <c r="C2562" s="17"/>
      <c r="D2562" s="18"/>
      <c r="E2562" s="17"/>
      <c r="F2562" s="22"/>
      <c r="G2562"/>
    </row>
    <row r="2563" spans="1:7">
      <c r="A2563" s="17"/>
      <c r="B2563" s="18"/>
      <c r="C2563" s="17"/>
      <c r="D2563" s="18"/>
      <c r="E2563" s="17"/>
      <c r="F2563" s="22"/>
      <c r="G2563"/>
    </row>
    <row r="2564" spans="1:7">
      <c r="A2564" s="17"/>
      <c r="B2564" s="18"/>
      <c r="C2564" s="17"/>
      <c r="D2564" s="18"/>
      <c r="E2564" s="17"/>
      <c r="F2564" s="22"/>
      <c r="G2564"/>
    </row>
    <row r="2565" spans="1:7">
      <c r="A2565" s="17"/>
      <c r="B2565" s="18"/>
      <c r="C2565" s="17"/>
      <c r="D2565" s="18"/>
      <c r="E2565" s="17"/>
      <c r="F2565" s="22"/>
      <c r="G2565"/>
    </row>
    <row r="2566" spans="1:7">
      <c r="A2566" s="17"/>
      <c r="B2566" s="18"/>
      <c r="C2566" s="17"/>
      <c r="D2566" s="18"/>
      <c r="E2566" s="17"/>
      <c r="F2566" s="22"/>
      <c r="G2566"/>
    </row>
    <row r="2567" spans="1:7">
      <c r="A2567" s="17"/>
      <c r="B2567" s="18"/>
      <c r="C2567" s="17"/>
      <c r="D2567" s="18"/>
      <c r="E2567" s="17"/>
      <c r="F2567" s="22"/>
      <c r="G2567"/>
    </row>
    <row r="2568" spans="1:7">
      <c r="A2568" s="17"/>
      <c r="B2568" s="18"/>
      <c r="C2568" s="17"/>
      <c r="D2568" s="18"/>
      <c r="E2568" s="17"/>
      <c r="F2568" s="22"/>
      <c r="G2568"/>
    </row>
    <row r="2569" spans="1:7">
      <c r="A2569" s="17"/>
      <c r="B2569" s="18"/>
      <c r="C2569" s="17"/>
      <c r="D2569" s="18"/>
      <c r="E2569" s="17"/>
      <c r="F2569" s="22"/>
      <c r="G2569"/>
    </row>
    <row r="2570" spans="1:7">
      <c r="A2570" s="17"/>
      <c r="B2570" s="18"/>
      <c r="C2570" s="17"/>
      <c r="D2570" s="18"/>
      <c r="E2570" s="17"/>
      <c r="F2570" s="22"/>
      <c r="G2570"/>
    </row>
    <row r="2571" spans="1:7">
      <c r="A2571" s="17"/>
      <c r="B2571" s="18"/>
      <c r="C2571" s="17"/>
      <c r="D2571" s="18"/>
      <c r="E2571" s="17"/>
      <c r="F2571" s="22"/>
      <c r="G2571"/>
    </row>
    <row r="2572" spans="1:7">
      <c r="A2572" s="17"/>
      <c r="B2572" s="18"/>
      <c r="C2572" s="17"/>
      <c r="D2572" s="18"/>
      <c r="E2572" s="17"/>
      <c r="F2572" s="22"/>
      <c r="G2572"/>
    </row>
    <row r="2573" spans="1:7">
      <c r="A2573" s="17"/>
      <c r="B2573" s="18"/>
      <c r="C2573" s="17"/>
      <c r="D2573" s="18"/>
      <c r="E2573" s="17"/>
      <c r="F2573" s="22"/>
      <c r="G2573"/>
    </row>
    <row r="2574" spans="1:7">
      <c r="A2574" s="17"/>
      <c r="B2574" s="18"/>
      <c r="C2574" s="17"/>
      <c r="D2574" s="18"/>
      <c r="E2574" s="17"/>
      <c r="F2574" s="22"/>
      <c r="G2574"/>
    </row>
    <row r="2575" spans="1:7">
      <c r="A2575" s="17"/>
      <c r="B2575" s="18"/>
      <c r="C2575" s="17"/>
      <c r="D2575" s="18"/>
      <c r="E2575" s="17"/>
      <c r="F2575" s="22"/>
      <c r="G2575"/>
    </row>
    <row r="2576" spans="1:7">
      <c r="A2576" s="17"/>
      <c r="B2576" s="18"/>
      <c r="C2576" s="17"/>
      <c r="D2576" s="18"/>
      <c r="E2576" s="17"/>
      <c r="F2576" s="22"/>
      <c r="G2576"/>
    </row>
    <row r="2577" spans="1:7">
      <c r="A2577" s="17"/>
      <c r="B2577" s="18"/>
      <c r="C2577" s="17"/>
      <c r="D2577" s="18"/>
      <c r="E2577" s="17"/>
      <c r="F2577" s="22"/>
      <c r="G2577"/>
    </row>
    <row r="2578" spans="1:7">
      <c r="A2578" s="17"/>
      <c r="B2578" s="18"/>
      <c r="C2578" s="17"/>
      <c r="D2578" s="18"/>
      <c r="E2578" s="17"/>
      <c r="F2578" s="22"/>
      <c r="G2578"/>
    </row>
    <row r="2579" spans="1:7">
      <c r="A2579" s="17"/>
      <c r="B2579" s="18"/>
      <c r="C2579" s="17"/>
      <c r="D2579" s="18"/>
      <c r="E2579" s="17"/>
      <c r="F2579" s="22"/>
      <c r="G2579"/>
    </row>
    <row r="2580" spans="1:7">
      <c r="A2580" s="17"/>
      <c r="B2580" s="18"/>
      <c r="C2580" s="17"/>
      <c r="D2580" s="18"/>
      <c r="E2580" s="17"/>
      <c r="F2580" s="22"/>
      <c r="G2580"/>
    </row>
    <row r="2581" spans="1:7">
      <c r="A2581" s="17"/>
      <c r="B2581" s="18"/>
      <c r="C2581" s="17"/>
      <c r="D2581" s="18"/>
      <c r="E2581" s="17"/>
      <c r="F2581" s="22"/>
      <c r="G2581"/>
    </row>
    <row r="2582" spans="1:7">
      <c r="A2582" s="17"/>
      <c r="B2582" s="18"/>
      <c r="C2582" s="17"/>
      <c r="D2582" s="18"/>
      <c r="E2582" s="17"/>
      <c r="F2582" s="22"/>
      <c r="G2582"/>
    </row>
    <row r="2583" spans="1:7">
      <c r="A2583" s="17"/>
      <c r="B2583" s="18"/>
      <c r="C2583" s="17"/>
      <c r="D2583" s="18"/>
      <c r="E2583" s="17"/>
      <c r="F2583" s="22"/>
      <c r="G2583"/>
    </row>
    <row r="2584" spans="1:7">
      <c r="A2584" s="17"/>
      <c r="B2584" s="18"/>
      <c r="C2584" s="17"/>
      <c r="D2584" s="18"/>
      <c r="E2584" s="17"/>
      <c r="F2584" s="22"/>
      <c r="G2584"/>
    </row>
    <row r="2585" spans="1:7">
      <c r="A2585" s="17"/>
      <c r="B2585" s="18"/>
      <c r="C2585" s="17"/>
      <c r="D2585" s="18"/>
      <c r="E2585" s="17"/>
      <c r="F2585" s="22"/>
      <c r="G2585"/>
    </row>
    <row r="2586" spans="1:7">
      <c r="A2586" s="17"/>
      <c r="B2586" s="18"/>
      <c r="C2586" s="17"/>
      <c r="D2586" s="18"/>
      <c r="E2586" s="17"/>
      <c r="F2586" s="22"/>
      <c r="G2586"/>
    </row>
    <row r="2587" spans="1:7">
      <c r="A2587" s="17"/>
      <c r="B2587" s="18"/>
      <c r="C2587" s="17"/>
      <c r="D2587" s="18"/>
      <c r="E2587" s="17"/>
      <c r="F2587" s="22"/>
      <c r="G2587"/>
    </row>
    <row r="2588" spans="1:7">
      <c r="A2588" s="17"/>
      <c r="B2588" s="18"/>
      <c r="C2588" s="17"/>
      <c r="D2588" s="18"/>
      <c r="E2588" s="17"/>
      <c r="F2588" s="22"/>
      <c r="G2588"/>
    </row>
    <row r="2589" spans="1:7">
      <c r="A2589" s="17"/>
      <c r="B2589" s="18"/>
      <c r="C2589" s="17"/>
      <c r="D2589" s="18"/>
      <c r="E2589" s="17"/>
      <c r="F2589" s="22"/>
      <c r="G2589"/>
    </row>
    <row r="2590" spans="1:7">
      <c r="A2590" s="17"/>
      <c r="B2590" s="18"/>
      <c r="C2590" s="17"/>
      <c r="D2590" s="18"/>
      <c r="E2590" s="17"/>
      <c r="F2590" s="22"/>
      <c r="G2590"/>
    </row>
    <row r="2591" spans="1:7">
      <c r="A2591" s="17"/>
      <c r="B2591" s="18"/>
      <c r="C2591" s="17"/>
      <c r="D2591" s="18"/>
      <c r="E2591" s="17"/>
      <c r="F2591" s="22"/>
      <c r="G2591"/>
    </row>
    <row r="2592" spans="1:7">
      <c r="A2592" s="17"/>
      <c r="B2592" s="18"/>
      <c r="C2592" s="17"/>
      <c r="D2592" s="18"/>
      <c r="E2592" s="17"/>
      <c r="F2592" s="22"/>
      <c r="G2592"/>
    </row>
    <row r="2593" spans="1:7">
      <c r="A2593" s="17"/>
      <c r="B2593" s="18"/>
      <c r="C2593" s="17"/>
      <c r="D2593" s="18"/>
      <c r="E2593" s="17"/>
      <c r="F2593" s="22"/>
      <c r="G2593"/>
    </row>
    <row r="2594" spans="1:7">
      <c r="A2594" s="17"/>
      <c r="B2594" s="18"/>
      <c r="C2594" s="17"/>
      <c r="D2594" s="18"/>
      <c r="E2594" s="17"/>
      <c r="F2594" s="22"/>
      <c r="G2594"/>
    </row>
    <row r="2595" spans="1:7">
      <c r="A2595" s="17"/>
      <c r="B2595" s="18"/>
      <c r="C2595" s="17"/>
      <c r="D2595" s="18"/>
      <c r="E2595" s="17"/>
      <c r="F2595" s="22"/>
      <c r="G2595"/>
    </row>
    <row r="2596" spans="1:7">
      <c r="A2596" s="17"/>
      <c r="B2596" s="18"/>
      <c r="C2596" s="17"/>
      <c r="D2596" s="18"/>
      <c r="E2596" s="17"/>
      <c r="F2596" s="22"/>
      <c r="G2596"/>
    </row>
    <row r="2597" spans="1:7">
      <c r="A2597" s="17"/>
      <c r="B2597" s="18"/>
      <c r="C2597" s="17"/>
      <c r="D2597" s="18"/>
      <c r="E2597" s="17"/>
      <c r="F2597" s="22"/>
      <c r="G2597"/>
    </row>
    <row r="2598" spans="1:7">
      <c r="A2598" s="17"/>
      <c r="B2598" s="18"/>
      <c r="C2598" s="17"/>
      <c r="D2598" s="18"/>
      <c r="E2598" s="17"/>
      <c r="F2598" s="22"/>
      <c r="G2598"/>
    </row>
    <row r="2599" spans="1:7">
      <c r="A2599" s="17"/>
      <c r="B2599" s="18"/>
      <c r="C2599" s="17"/>
      <c r="D2599" s="18"/>
      <c r="E2599" s="17"/>
      <c r="F2599" s="22"/>
      <c r="G2599"/>
    </row>
    <row r="2600" spans="1:7">
      <c r="A2600" s="17"/>
      <c r="B2600" s="18"/>
      <c r="C2600" s="17"/>
      <c r="D2600" s="18"/>
      <c r="E2600" s="17"/>
      <c r="F2600" s="22"/>
      <c r="G2600"/>
    </row>
    <row r="2601" spans="1:7">
      <c r="A2601" s="17"/>
      <c r="B2601" s="18"/>
      <c r="C2601" s="17"/>
      <c r="D2601" s="18"/>
      <c r="E2601" s="17"/>
      <c r="F2601" s="22"/>
      <c r="G2601"/>
    </row>
    <row r="2602" spans="1:7">
      <c r="A2602" s="17"/>
      <c r="B2602" s="18"/>
      <c r="C2602" s="17"/>
      <c r="D2602" s="18"/>
      <c r="E2602" s="17"/>
      <c r="F2602" s="22"/>
      <c r="G2602"/>
    </row>
    <row r="2603" spans="1:7">
      <c r="A2603" s="17"/>
      <c r="B2603" s="18"/>
      <c r="C2603" s="17"/>
      <c r="D2603" s="18"/>
      <c r="E2603" s="17"/>
      <c r="F2603" s="22"/>
      <c r="G2603"/>
    </row>
    <row r="2604" spans="1:7">
      <c r="A2604" s="17"/>
      <c r="B2604" s="18"/>
      <c r="C2604" s="17"/>
      <c r="D2604" s="18"/>
      <c r="E2604" s="17"/>
      <c r="F2604" s="22"/>
      <c r="G2604"/>
    </row>
    <row r="2605" spans="1:7">
      <c r="A2605" s="17"/>
      <c r="B2605" s="18"/>
      <c r="C2605" s="17"/>
      <c r="D2605" s="18"/>
      <c r="E2605" s="17"/>
      <c r="F2605" s="22"/>
      <c r="G2605"/>
    </row>
    <row r="2606" spans="1:7">
      <c r="A2606" s="17"/>
      <c r="B2606" s="18"/>
      <c r="C2606" s="17"/>
      <c r="D2606" s="18"/>
      <c r="E2606" s="17"/>
      <c r="F2606" s="22"/>
      <c r="G2606"/>
    </row>
    <row r="2607" spans="1:7">
      <c r="A2607" s="17"/>
      <c r="B2607" s="18"/>
      <c r="C2607" s="17"/>
      <c r="D2607" s="18"/>
      <c r="E2607" s="17"/>
      <c r="F2607" s="22"/>
      <c r="G2607"/>
    </row>
    <row r="2608" spans="1:7">
      <c r="A2608" s="17"/>
      <c r="B2608" s="18"/>
      <c r="C2608" s="17"/>
      <c r="D2608" s="18"/>
      <c r="E2608" s="17"/>
      <c r="F2608" s="22"/>
      <c r="G2608"/>
    </row>
    <row r="2609" spans="1:7">
      <c r="A2609" s="17"/>
      <c r="B2609" s="18"/>
      <c r="C2609" s="17"/>
      <c r="D2609" s="18"/>
      <c r="E2609" s="17"/>
      <c r="F2609" s="22"/>
      <c r="G2609"/>
    </row>
    <row r="2610" spans="1:7">
      <c r="A2610" s="17"/>
      <c r="B2610" s="18"/>
      <c r="C2610" s="17"/>
      <c r="D2610" s="18"/>
      <c r="E2610" s="17"/>
      <c r="F2610" s="22"/>
      <c r="G2610"/>
    </row>
    <row r="2611" spans="1:7">
      <c r="A2611" s="17"/>
      <c r="B2611" s="18"/>
      <c r="C2611" s="17"/>
      <c r="D2611" s="18"/>
      <c r="E2611" s="17"/>
      <c r="F2611" s="22"/>
      <c r="G2611"/>
    </row>
    <row r="2612" spans="1:7">
      <c r="A2612" s="17"/>
      <c r="B2612" s="18"/>
      <c r="C2612" s="17"/>
      <c r="D2612" s="18"/>
      <c r="E2612" s="17"/>
      <c r="F2612" s="22"/>
      <c r="G2612"/>
    </row>
    <row r="2613" spans="1:7">
      <c r="A2613" s="17"/>
      <c r="B2613" s="18"/>
      <c r="C2613" s="17"/>
      <c r="D2613" s="18"/>
      <c r="E2613" s="17"/>
      <c r="F2613" s="22"/>
      <c r="G2613"/>
    </row>
    <row r="2614" spans="1:7">
      <c r="A2614" s="17"/>
      <c r="B2614" s="18"/>
      <c r="C2614" s="17"/>
      <c r="D2614" s="18"/>
      <c r="E2614" s="17"/>
      <c r="F2614" s="22"/>
      <c r="G2614"/>
    </row>
    <row r="2615" spans="1:7">
      <c r="A2615" s="17"/>
      <c r="B2615" s="18"/>
      <c r="C2615" s="17"/>
      <c r="D2615" s="18"/>
      <c r="E2615" s="17"/>
      <c r="F2615" s="22"/>
      <c r="G2615"/>
    </row>
    <row r="2616" spans="1:7">
      <c r="A2616" s="17"/>
      <c r="B2616" s="18"/>
      <c r="C2616" s="17"/>
      <c r="D2616" s="18"/>
      <c r="E2616" s="17"/>
      <c r="F2616" s="22"/>
      <c r="G2616"/>
    </row>
    <row r="2617" spans="1:7">
      <c r="A2617" s="17"/>
      <c r="B2617" s="18"/>
      <c r="C2617" s="17"/>
      <c r="D2617" s="18"/>
      <c r="E2617" s="17"/>
      <c r="F2617" s="22"/>
      <c r="G2617"/>
    </row>
    <row r="2618" spans="1:7">
      <c r="A2618" s="17"/>
      <c r="B2618" s="18"/>
      <c r="C2618" s="17"/>
      <c r="D2618" s="18"/>
      <c r="E2618" s="17"/>
      <c r="F2618" s="22"/>
      <c r="G2618"/>
    </row>
    <row r="2619" spans="1:7">
      <c r="A2619" s="17"/>
      <c r="B2619" s="18"/>
      <c r="C2619" s="17"/>
      <c r="D2619" s="18"/>
      <c r="E2619" s="17"/>
      <c r="F2619" s="22"/>
      <c r="G2619"/>
    </row>
    <row r="2620" spans="1:7">
      <c r="A2620" s="17"/>
      <c r="B2620" s="18"/>
      <c r="C2620" s="17"/>
      <c r="D2620" s="18"/>
      <c r="E2620" s="17"/>
      <c r="F2620" s="22"/>
      <c r="G2620"/>
    </row>
    <row r="2621" spans="1:7">
      <c r="A2621" s="17"/>
      <c r="B2621" s="18"/>
      <c r="C2621" s="17"/>
      <c r="D2621" s="18"/>
      <c r="E2621" s="17"/>
      <c r="F2621" s="22"/>
      <c r="G2621"/>
    </row>
    <row r="2622" spans="1:7">
      <c r="A2622" s="17"/>
      <c r="B2622" s="18"/>
      <c r="C2622" s="17"/>
      <c r="D2622" s="18"/>
      <c r="E2622" s="17"/>
      <c r="F2622" s="22"/>
      <c r="G2622"/>
    </row>
    <row r="2623" spans="1:7">
      <c r="A2623" s="17"/>
      <c r="B2623" s="18"/>
      <c r="C2623" s="17"/>
      <c r="D2623" s="18"/>
      <c r="E2623" s="17"/>
      <c r="F2623" s="22"/>
      <c r="G2623"/>
    </row>
    <row r="2624" spans="1:7">
      <c r="A2624" s="17"/>
      <c r="B2624" s="18"/>
      <c r="C2624" s="17"/>
      <c r="D2624" s="18"/>
      <c r="E2624" s="17"/>
      <c r="F2624" s="22"/>
      <c r="G2624"/>
    </row>
    <row r="2625" spans="1:7">
      <c r="A2625" s="17"/>
      <c r="B2625" s="18"/>
      <c r="C2625" s="17"/>
      <c r="D2625" s="18"/>
      <c r="E2625" s="17"/>
      <c r="F2625" s="22"/>
      <c r="G2625"/>
    </row>
    <row r="2626" spans="1:7">
      <c r="A2626" s="17"/>
      <c r="B2626" s="18"/>
      <c r="C2626" s="17"/>
      <c r="D2626" s="18"/>
      <c r="E2626" s="17"/>
      <c r="F2626" s="22"/>
      <c r="G2626"/>
    </row>
    <row r="2627" spans="1:7">
      <c r="A2627" s="17"/>
      <c r="B2627" s="18"/>
      <c r="C2627" s="17"/>
      <c r="D2627" s="18"/>
      <c r="E2627" s="17"/>
      <c r="F2627" s="22"/>
      <c r="G2627"/>
    </row>
    <row r="2628" spans="1:7">
      <c r="A2628" s="17"/>
      <c r="B2628" s="18"/>
      <c r="C2628" s="17"/>
      <c r="D2628" s="18"/>
      <c r="E2628" s="17"/>
      <c r="F2628" s="22"/>
      <c r="G2628"/>
    </row>
    <row r="2629" spans="1:7">
      <c r="A2629" s="17"/>
      <c r="B2629" s="18"/>
      <c r="C2629" s="17"/>
      <c r="D2629" s="18"/>
      <c r="E2629" s="17"/>
      <c r="F2629" s="22"/>
      <c r="G2629"/>
    </row>
    <row r="2630" spans="1:7">
      <c r="A2630" s="17"/>
      <c r="B2630" s="18"/>
      <c r="C2630" s="17"/>
      <c r="D2630" s="18"/>
      <c r="E2630" s="17"/>
      <c r="F2630" s="22"/>
      <c r="G2630"/>
    </row>
    <row r="2631" spans="1:7">
      <c r="A2631" s="17"/>
      <c r="B2631" s="18"/>
      <c r="C2631" s="17"/>
      <c r="D2631" s="18"/>
      <c r="E2631" s="17"/>
      <c r="F2631" s="22"/>
      <c r="G2631"/>
    </row>
    <row r="2632" spans="1:7">
      <c r="A2632" s="17"/>
      <c r="B2632" s="18"/>
      <c r="C2632" s="17"/>
      <c r="D2632" s="18"/>
      <c r="E2632" s="17"/>
      <c r="F2632" s="22"/>
      <c r="G2632"/>
    </row>
    <row r="2633" spans="1:7">
      <c r="A2633" s="17"/>
      <c r="B2633" s="18"/>
      <c r="C2633" s="17"/>
      <c r="D2633" s="18"/>
      <c r="E2633" s="17"/>
      <c r="F2633" s="22"/>
      <c r="G2633"/>
    </row>
    <row r="2634" spans="1:7">
      <c r="A2634" s="17"/>
      <c r="B2634" s="18"/>
      <c r="C2634" s="17"/>
      <c r="D2634" s="18"/>
      <c r="E2634" s="17"/>
      <c r="F2634" s="22"/>
      <c r="G2634"/>
    </row>
    <row r="2635" spans="1:7">
      <c r="A2635" s="17"/>
      <c r="B2635" s="18"/>
      <c r="C2635" s="17"/>
      <c r="D2635" s="18"/>
      <c r="E2635" s="17"/>
      <c r="F2635" s="22"/>
      <c r="G2635"/>
    </row>
    <row r="2636" spans="1:7">
      <c r="A2636" s="17"/>
      <c r="B2636" s="18"/>
      <c r="C2636" s="17"/>
      <c r="D2636" s="18"/>
      <c r="E2636" s="17"/>
      <c r="F2636" s="22"/>
      <c r="G2636"/>
    </row>
    <row r="2637" spans="1:7">
      <c r="A2637" s="17"/>
      <c r="B2637" s="18"/>
      <c r="C2637" s="17"/>
      <c r="D2637" s="18"/>
      <c r="E2637" s="17"/>
      <c r="F2637" s="22"/>
      <c r="G2637"/>
    </row>
    <row r="2638" spans="1:7">
      <c r="A2638" s="17"/>
      <c r="B2638" s="18"/>
      <c r="C2638" s="17"/>
      <c r="D2638" s="18"/>
      <c r="E2638" s="17"/>
      <c r="F2638" s="22"/>
      <c r="G2638"/>
    </row>
    <row r="2639" spans="1:7">
      <c r="A2639" s="17"/>
      <c r="B2639" s="18"/>
      <c r="C2639" s="17"/>
      <c r="D2639" s="18"/>
      <c r="E2639" s="17"/>
      <c r="F2639" s="22"/>
      <c r="G2639"/>
    </row>
    <row r="2640" spans="1:7">
      <c r="A2640" s="17"/>
      <c r="B2640" s="18"/>
      <c r="C2640" s="17"/>
      <c r="D2640" s="18"/>
      <c r="E2640" s="17"/>
      <c r="F2640" s="22"/>
      <c r="G2640"/>
    </row>
    <row r="2641" spans="1:7">
      <c r="A2641" s="17"/>
      <c r="B2641" s="18"/>
      <c r="C2641" s="17"/>
      <c r="D2641" s="18"/>
      <c r="E2641" s="17"/>
      <c r="F2641" s="22"/>
      <c r="G2641"/>
    </row>
    <row r="2642" spans="1:7">
      <c r="A2642" s="17"/>
      <c r="B2642" s="18"/>
      <c r="C2642" s="17"/>
      <c r="D2642" s="18"/>
      <c r="E2642" s="17"/>
      <c r="F2642" s="22"/>
      <c r="G2642"/>
    </row>
    <row r="2643" spans="1:7">
      <c r="A2643" s="17"/>
      <c r="B2643" s="18"/>
      <c r="C2643" s="17"/>
      <c r="D2643" s="18"/>
      <c r="E2643" s="17"/>
      <c r="F2643" s="22"/>
      <c r="G2643"/>
    </row>
    <row r="2644" spans="1:7">
      <c r="A2644" s="17"/>
      <c r="B2644" s="18"/>
      <c r="C2644" s="17"/>
      <c r="D2644" s="18"/>
      <c r="E2644" s="17"/>
      <c r="F2644" s="22"/>
      <c r="G2644"/>
    </row>
    <row r="2645" spans="1:7">
      <c r="A2645" s="17"/>
      <c r="B2645" s="18"/>
      <c r="C2645" s="17"/>
      <c r="D2645" s="18"/>
      <c r="E2645" s="17"/>
      <c r="F2645" s="22"/>
      <c r="G2645"/>
    </row>
    <row r="2646" spans="1:7">
      <c r="A2646" s="17"/>
      <c r="B2646" s="18"/>
      <c r="C2646" s="17"/>
      <c r="D2646" s="18"/>
      <c r="E2646" s="17"/>
      <c r="F2646" s="22"/>
      <c r="G2646"/>
    </row>
    <row r="2647" spans="1:7">
      <c r="A2647" s="17"/>
      <c r="B2647" s="18"/>
      <c r="C2647" s="17"/>
      <c r="D2647" s="18"/>
      <c r="E2647" s="17"/>
      <c r="F2647" s="22"/>
      <c r="G2647"/>
    </row>
    <row r="2648" spans="1:7">
      <c r="A2648" s="17"/>
      <c r="B2648" s="18"/>
      <c r="C2648" s="17"/>
      <c r="D2648" s="18"/>
      <c r="E2648" s="17"/>
      <c r="F2648" s="22"/>
      <c r="G2648"/>
    </row>
    <row r="2649" spans="1:7">
      <c r="A2649" s="17"/>
      <c r="B2649" s="18"/>
      <c r="C2649" s="17"/>
      <c r="D2649" s="18"/>
      <c r="E2649" s="17"/>
      <c r="F2649" s="22"/>
      <c r="G2649"/>
    </row>
    <row r="2650" spans="1:7">
      <c r="A2650" s="17"/>
      <c r="B2650" s="18"/>
      <c r="C2650" s="17"/>
      <c r="D2650" s="18"/>
      <c r="E2650" s="17"/>
      <c r="F2650" s="22"/>
      <c r="G2650"/>
    </row>
    <row r="2651" spans="1:7">
      <c r="A2651" s="17"/>
      <c r="B2651" s="18"/>
      <c r="C2651" s="17"/>
      <c r="D2651" s="18"/>
      <c r="E2651" s="17"/>
      <c r="F2651" s="22"/>
      <c r="G2651"/>
    </row>
    <row r="2652" spans="1:7">
      <c r="A2652" s="17"/>
      <c r="B2652" s="18"/>
      <c r="C2652" s="17"/>
      <c r="D2652" s="18"/>
      <c r="E2652" s="17"/>
      <c r="F2652" s="22"/>
      <c r="G2652"/>
    </row>
    <row r="2653" spans="1:7">
      <c r="A2653" s="17"/>
      <c r="B2653" s="18"/>
      <c r="C2653" s="17"/>
      <c r="D2653" s="18"/>
      <c r="E2653" s="17"/>
      <c r="F2653" s="22"/>
      <c r="G2653"/>
    </row>
    <row r="2654" spans="1:7">
      <c r="A2654" s="17"/>
      <c r="B2654" s="18"/>
      <c r="C2654" s="17"/>
      <c r="D2654" s="18"/>
      <c r="E2654" s="17"/>
      <c r="F2654" s="22"/>
      <c r="G2654"/>
    </row>
    <row r="2655" spans="1:7">
      <c r="A2655" s="17"/>
      <c r="B2655" s="18"/>
      <c r="C2655" s="17"/>
      <c r="D2655" s="18"/>
      <c r="E2655" s="17"/>
      <c r="F2655" s="22"/>
      <c r="G2655"/>
    </row>
    <row r="2656" spans="1:7">
      <c r="A2656" s="17"/>
      <c r="B2656" s="18"/>
      <c r="C2656" s="17"/>
      <c r="D2656" s="18"/>
      <c r="E2656" s="17"/>
      <c r="F2656" s="22"/>
      <c r="G2656"/>
    </row>
    <row r="2657" spans="1:7">
      <c r="A2657" s="17"/>
      <c r="B2657" s="18"/>
      <c r="C2657" s="17"/>
      <c r="D2657" s="18"/>
      <c r="E2657" s="17"/>
      <c r="F2657" s="22"/>
      <c r="G2657"/>
    </row>
    <row r="2658" spans="1:7">
      <c r="A2658" s="17"/>
      <c r="B2658" s="18"/>
      <c r="C2658" s="17"/>
      <c r="D2658" s="18"/>
      <c r="E2658" s="17"/>
      <c r="F2658" s="22"/>
      <c r="G2658"/>
    </row>
    <row r="2659" spans="1:7">
      <c r="A2659" s="17"/>
      <c r="B2659" s="18"/>
      <c r="C2659" s="17"/>
      <c r="D2659" s="18"/>
      <c r="E2659" s="17"/>
      <c r="F2659" s="22"/>
      <c r="G2659"/>
    </row>
    <row r="2660" spans="1:7">
      <c r="A2660" s="17"/>
      <c r="B2660" s="18"/>
      <c r="C2660" s="17"/>
      <c r="D2660" s="18"/>
      <c r="E2660" s="17"/>
      <c r="F2660" s="22"/>
      <c r="G2660"/>
    </row>
    <row r="2661" spans="1:7">
      <c r="A2661" s="17"/>
      <c r="B2661" s="18"/>
      <c r="C2661" s="17"/>
      <c r="D2661" s="18"/>
      <c r="E2661" s="17"/>
      <c r="F2661" s="22"/>
      <c r="G2661"/>
    </row>
    <row r="2662" spans="1:7">
      <c r="A2662" s="17"/>
      <c r="B2662" s="18"/>
      <c r="C2662" s="17"/>
      <c r="D2662" s="18"/>
      <c r="E2662" s="17"/>
      <c r="F2662" s="22"/>
      <c r="G2662"/>
    </row>
    <row r="2663" spans="1:7">
      <c r="A2663" s="17"/>
      <c r="B2663" s="18"/>
      <c r="C2663" s="17"/>
      <c r="D2663" s="18"/>
      <c r="E2663" s="17"/>
      <c r="F2663" s="22"/>
      <c r="G2663"/>
    </row>
    <row r="2664" spans="1:7">
      <c r="A2664" s="17"/>
      <c r="B2664" s="18"/>
      <c r="C2664" s="17"/>
      <c r="D2664" s="18"/>
      <c r="E2664" s="17"/>
      <c r="F2664" s="22"/>
      <c r="G2664"/>
    </row>
    <row r="2665" spans="1:7">
      <c r="A2665" s="17"/>
      <c r="B2665" s="18"/>
      <c r="C2665" s="17"/>
      <c r="D2665" s="18"/>
      <c r="E2665" s="17"/>
      <c r="F2665" s="22"/>
      <c r="G2665"/>
    </row>
    <row r="2666" spans="1:7">
      <c r="A2666" s="17"/>
      <c r="B2666" s="18"/>
      <c r="C2666" s="17"/>
      <c r="D2666" s="18"/>
      <c r="E2666" s="17"/>
      <c r="F2666" s="22"/>
      <c r="G2666"/>
    </row>
    <row r="2667" spans="1:7">
      <c r="A2667" s="17"/>
      <c r="B2667" s="18"/>
      <c r="C2667" s="17"/>
      <c r="D2667" s="18"/>
      <c r="E2667" s="17"/>
      <c r="F2667" s="22"/>
      <c r="G2667"/>
    </row>
    <row r="2668" spans="1:7">
      <c r="A2668" s="17"/>
      <c r="B2668" s="18"/>
      <c r="C2668" s="17"/>
      <c r="D2668" s="18"/>
      <c r="E2668" s="17"/>
      <c r="F2668" s="22"/>
      <c r="G2668"/>
    </row>
    <row r="2669" spans="1:7">
      <c r="A2669" s="17"/>
      <c r="B2669" s="18"/>
      <c r="C2669" s="17"/>
      <c r="D2669" s="18"/>
      <c r="E2669" s="17"/>
      <c r="F2669" s="22"/>
      <c r="G2669"/>
    </row>
    <row r="2670" spans="1:7">
      <c r="A2670" s="17"/>
      <c r="B2670" s="18"/>
      <c r="C2670" s="17"/>
      <c r="D2670" s="18"/>
      <c r="E2670" s="17"/>
      <c r="F2670" s="22"/>
      <c r="G2670"/>
    </row>
    <row r="2671" spans="1:7">
      <c r="A2671" s="17"/>
      <c r="B2671" s="18"/>
      <c r="C2671" s="17"/>
      <c r="D2671" s="18"/>
      <c r="E2671" s="17"/>
      <c r="F2671" s="22"/>
      <c r="G2671"/>
    </row>
    <row r="2672" spans="1:7">
      <c r="A2672" s="17"/>
      <c r="B2672" s="18"/>
      <c r="C2672" s="17"/>
      <c r="D2672" s="18"/>
      <c r="E2672" s="17"/>
      <c r="F2672" s="22"/>
      <c r="G2672"/>
    </row>
    <row r="2673" spans="1:7">
      <c r="A2673" s="17"/>
      <c r="B2673" s="18"/>
      <c r="C2673" s="17"/>
      <c r="D2673" s="18"/>
      <c r="E2673" s="17"/>
      <c r="F2673" s="22"/>
      <c r="G2673"/>
    </row>
    <row r="2674" spans="1:7">
      <c r="A2674" s="17"/>
      <c r="B2674" s="18"/>
      <c r="C2674" s="17"/>
      <c r="D2674" s="18"/>
      <c r="E2674" s="17"/>
      <c r="F2674" s="22"/>
      <c r="G2674"/>
    </row>
    <row r="2675" spans="1:7">
      <c r="A2675" s="17"/>
      <c r="B2675" s="18"/>
      <c r="C2675" s="17"/>
      <c r="D2675" s="18"/>
      <c r="E2675" s="17"/>
      <c r="F2675" s="22"/>
      <c r="G2675"/>
    </row>
    <row r="2676" spans="1:7">
      <c r="A2676" s="17"/>
      <c r="B2676" s="18"/>
      <c r="C2676" s="17"/>
      <c r="D2676" s="18"/>
      <c r="E2676" s="17"/>
      <c r="F2676" s="22"/>
      <c r="G2676"/>
    </row>
    <row r="2677" spans="1:7">
      <c r="A2677" s="17"/>
      <c r="B2677" s="18"/>
      <c r="C2677" s="17"/>
      <c r="D2677" s="18"/>
      <c r="E2677" s="17"/>
      <c r="F2677" s="22"/>
      <c r="G2677"/>
    </row>
    <row r="2678" spans="1:7">
      <c r="A2678" s="17"/>
      <c r="B2678" s="18"/>
      <c r="C2678" s="17"/>
      <c r="D2678" s="18"/>
      <c r="E2678" s="17"/>
      <c r="F2678" s="22"/>
      <c r="G2678"/>
    </row>
    <row r="2679" spans="1:7">
      <c r="A2679" s="17"/>
      <c r="B2679" s="18"/>
      <c r="C2679" s="17"/>
      <c r="D2679" s="18"/>
      <c r="E2679" s="17"/>
      <c r="F2679" s="22"/>
      <c r="G2679"/>
    </row>
    <row r="2680" spans="1:7">
      <c r="A2680" s="17"/>
      <c r="B2680" s="18"/>
      <c r="C2680" s="17"/>
      <c r="D2680" s="18"/>
      <c r="E2680" s="17"/>
      <c r="F2680" s="22"/>
      <c r="G2680"/>
    </row>
    <row r="2681" spans="1:7">
      <c r="A2681" s="17"/>
      <c r="B2681" s="18"/>
      <c r="C2681" s="17"/>
      <c r="D2681" s="18"/>
      <c r="E2681" s="17"/>
      <c r="F2681" s="22"/>
      <c r="G2681"/>
    </row>
    <row r="2682" spans="1:7">
      <c r="A2682" s="17"/>
      <c r="B2682" s="18"/>
      <c r="C2682" s="17"/>
      <c r="D2682" s="18"/>
      <c r="E2682" s="17"/>
      <c r="F2682" s="22"/>
      <c r="G2682"/>
    </row>
    <row r="2683" spans="1:7">
      <c r="A2683" s="17"/>
      <c r="B2683" s="18"/>
      <c r="C2683" s="17"/>
      <c r="D2683" s="18"/>
      <c r="E2683" s="17"/>
      <c r="F2683" s="22"/>
      <c r="G2683"/>
    </row>
    <row r="2684" spans="1:7">
      <c r="A2684" s="17"/>
      <c r="B2684" s="18"/>
      <c r="C2684" s="17"/>
      <c r="D2684" s="18"/>
      <c r="E2684" s="17"/>
      <c r="F2684" s="22"/>
      <c r="G2684"/>
    </row>
    <row r="2685" spans="1:7">
      <c r="A2685" s="17"/>
      <c r="B2685" s="18"/>
      <c r="C2685" s="17"/>
      <c r="D2685" s="18"/>
      <c r="E2685" s="17"/>
      <c r="F2685" s="22"/>
      <c r="G2685"/>
    </row>
    <row r="2686" spans="1:7">
      <c r="A2686" s="17"/>
      <c r="B2686" s="18"/>
      <c r="C2686" s="17"/>
      <c r="D2686" s="18"/>
      <c r="E2686" s="17"/>
      <c r="F2686" s="22"/>
      <c r="G2686"/>
    </row>
    <row r="2687" spans="1:7">
      <c r="A2687" s="17"/>
      <c r="B2687" s="18"/>
      <c r="C2687" s="17"/>
      <c r="D2687" s="18"/>
      <c r="E2687" s="17"/>
      <c r="F2687" s="22"/>
      <c r="G2687"/>
    </row>
    <row r="2688" spans="1:7">
      <c r="A2688" s="17"/>
      <c r="B2688" s="18"/>
      <c r="C2688" s="17"/>
      <c r="D2688" s="18"/>
      <c r="E2688" s="17"/>
      <c r="F2688" s="22"/>
      <c r="G2688"/>
    </row>
    <row r="2689" spans="1:7">
      <c r="A2689" s="17"/>
      <c r="B2689" s="18"/>
      <c r="C2689" s="17"/>
      <c r="D2689" s="18"/>
      <c r="E2689" s="17"/>
      <c r="F2689" s="22"/>
      <c r="G2689"/>
    </row>
    <row r="2690" spans="1:7">
      <c r="A2690" s="17"/>
      <c r="B2690" s="18"/>
      <c r="C2690" s="17"/>
      <c r="D2690" s="18"/>
      <c r="E2690" s="17"/>
      <c r="F2690" s="22"/>
      <c r="G2690"/>
    </row>
    <row r="2691" spans="1:7">
      <c r="A2691" s="17"/>
      <c r="B2691" s="18"/>
      <c r="C2691" s="17"/>
      <c r="D2691" s="18"/>
      <c r="E2691" s="17"/>
      <c r="F2691" s="22"/>
      <c r="G2691"/>
    </row>
    <row r="2692" spans="1:7">
      <c r="A2692" s="17"/>
      <c r="B2692" s="18"/>
      <c r="C2692" s="17"/>
      <c r="D2692" s="18"/>
      <c r="E2692" s="17"/>
      <c r="F2692" s="22"/>
      <c r="G2692"/>
    </row>
    <row r="2693" spans="1:7">
      <c r="A2693" s="17"/>
      <c r="B2693" s="18"/>
      <c r="C2693" s="17"/>
      <c r="D2693" s="18"/>
      <c r="E2693" s="17"/>
      <c r="F2693" s="22"/>
      <c r="G2693"/>
    </row>
    <row r="2694" spans="1:7">
      <c r="A2694" s="17"/>
      <c r="B2694" s="18"/>
      <c r="C2694" s="17"/>
      <c r="D2694" s="18"/>
      <c r="E2694" s="17"/>
      <c r="F2694" s="22"/>
      <c r="G2694"/>
    </row>
    <row r="2695" spans="1:7">
      <c r="A2695" s="17"/>
      <c r="B2695" s="18"/>
      <c r="C2695" s="17"/>
      <c r="D2695" s="18"/>
      <c r="E2695" s="17"/>
      <c r="F2695" s="22"/>
      <c r="G2695"/>
    </row>
    <row r="2696" spans="1:7">
      <c r="A2696" s="17"/>
      <c r="B2696" s="18"/>
      <c r="C2696" s="17"/>
      <c r="D2696" s="18"/>
      <c r="E2696" s="17"/>
      <c r="F2696" s="22"/>
      <c r="G2696"/>
    </row>
    <row r="2697" spans="1:7">
      <c r="A2697" s="17"/>
      <c r="B2697" s="18"/>
      <c r="C2697" s="17"/>
      <c r="D2697" s="18"/>
      <c r="E2697" s="17"/>
      <c r="F2697" s="22"/>
      <c r="G2697"/>
    </row>
    <row r="2698" spans="1:7">
      <c r="A2698" s="17"/>
      <c r="B2698" s="18"/>
      <c r="C2698" s="17"/>
      <c r="D2698" s="18"/>
      <c r="E2698" s="17"/>
      <c r="F2698" s="22"/>
      <c r="G2698"/>
    </row>
    <row r="2699" spans="1:7">
      <c r="A2699" s="17"/>
      <c r="B2699" s="18"/>
      <c r="C2699" s="17"/>
      <c r="D2699" s="18"/>
      <c r="E2699" s="17"/>
      <c r="F2699" s="22"/>
      <c r="G2699"/>
    </row>
    <row r="2700" spans="1:7">
      <c r="A2700" s="17"/>
      <c r="B2700" s="18"/>
      <c r="C2700" s="17"/>
      <c r="D2700" s="18"/>
      <c r="E2700" s="17"/>
      <c r="F2700" s="22"/>
      <c r="G2700"/>
    </row>
    <row r="2701" spans="1:7">
      <c r="A2701" s="17"/>
      <c r="B2701" s="18"/>
      <c r="C2701" s="17"/>
      <c r="D2701" s="18"/>
      <c r="E2701" s="17"/>
      <c r="F2701" s="22"/>
      <c r="G2701"/>
    </row>
    <row r="2702" spans="1:7">
      <c r="A2702" s="17"/>
      <c r="B2702" s="18"/>
      <c r="C2702" s="17"/>
      <c r="D2702" s="18"/>
      <c r="E2702" s="17"/>
      <c r="F2702" s="22"/>
      <c r="G2702"/>
    </row>
    <row r="2703" spans="1:7">
      <c r="A2703" s="17"/>
      <c r="B2703" s="18"/>
      <c r="C2703" s="17"/>
      <c r="D2703" s="18"/>
      <c r="E2703" s="17"/>
      <c r="F2703" s="22"/>
      <c r="G2703"/>
    </row>
    <row r="2704" spans="1:7">
      <c r="A2704" s="17"/>
      <c r="B2704" s="18"/>
      <c r="C2704" s="17"/>
      <c r="D2704" s="18"/>
      <c r="E2704" s="17"/>
      <c r="F2704" s="22"/>
      <c r="G2704"/>
    </row>
    <row r="2705" spans="1:7">
      <c r="A2705" s="17"/>
      <c r="B2705" s="18"/>
      <c r="C2705" s="17"/>
      <c r="D2705" s="18"/>
      <c r="E2705" s="17"/>
      <c r="F2705" s="22"/>
      <c r="G2705"/>
    </row>
    <row r="2706" spans="1:7">
      <c r="A2706" s="17"/>
      <c r="B2706" s="18"/>
      <c r="C2706" s="17"/>
      <c r="D2706" s="18"/>
      <c r="E2706" s="17"/>
      <c r="F2706" s="22"/>
      <c r="G2706"/>
    </row>
    <row r="2707" spans="1:7">
      <c r="A2707" s="17"/>
      <c r="B2707" s="18"/>
      <c r="C2707" s="17"/>
      <c r="D2707" s="18"/>
      <c r="E2707" s="17"/>
      <c r="F2707" s="22"/>
      <c r="G2707"/>
    </row>
    <row r="2708" spans="1:7">
      <c r="A2708" s="17"/>
      <c r="B2708" s="18"/>
      <c r="C2708" s="17"/>
      <c r="D2708" s="18"/>
      <c r="E2708" s="17"/>
      <c r="F2708" s="22"/>
      <c r="G2708"/>
    </row>
    <row r="2709" spans="1:7">
      <c r="A2709" s="17"/>
      <c r="B2709" s="18"/>
      <c r="C2709" s="17"/>
      <c r="D2709" s="18"/>
      <c r="E2709" s="17"/>
      <c r="F2709" s="22"/>
      <c r="G2709"/>
    </row>
    <row r="2710" spans="1:7">
      <c r="A2710" s="17"/>
      <c r="B2710" s="18"/>
      <c r="C2710" s="17"/>
      <c r="D2710" s="18"/>
      <c r="E2710" s="17"/>
      <c r="F2710" s="22"/>
      <c r="G2710"/>
    </row>
    <row r="2711" spans="1:7">
      <c r="A2711" s="17"/>
      <c r="B2711" s="18"/>
      <c r="C2711" s="17"/>
      <c r="D2711" s="18"/>
      <c r="E2711" s="17"/>
      <c r="F2711" s="22"/>
      <c r="G2711"/>
    </row>
    <row r="2712" spans="1:7">
      <c r="A2712" s="17"/>
      <c r="B2712" s="18"/>
      <c r="C2712" s="17"/>
      <c r="D2712" s="18"/>
      <c r="E2712" s="17"/>
      <c r="F2712" s="22"/>
      <c r="G2712"/>
    </row>
    <row r="2713" spans="1:7">
      <c r="A2713" s="17"/>
      <c r="B2713" s="18"/>
      <c r="C2713" s="17"/>
      <c r="D2713" s="18"/>
      <c r="E2713" s="17"/>
      <c r="F2713" s="22"/>
      <c r="G2713"/>
    </row>
    <row r="2714" spans="1:7">
      <c r="A2714" s="17"/>
      <c r="B2714" s="18"/>
      <c r="C2714" s="17"/>
      <c r="D2714" s="18"/>
      <c r="E2714" s="17"/>
      <c r="F2714" s="22"/>
      <c r="G2714"/>
    </row>
    <row r="2715" spans="1:7">
      <c r="A2715" s="17"/>
      <c r="B2715" s="18"/>
      <c r="C2715" s="17"/>
      <c r="D2715" s="18"/>
      <c r="E2715" s="17"/>
      <c r="F2715" s="22"/>
      <c r="G2715"/>
    </row>
    <row r="2716" spans="1:7">
      <c r="A2716" s="17"/>
      <c r="B2716" s="18"/>
      <c r="C2716" s="17"/>
      <c r="D2716" s="18"/>
      <c r="E2716" s="17"/>
      <c r="F2716" s="22"/>
      <c r="G2716"/>
    </row>
    <row r="2717" spans="1:7">
      <c r="A2717" s="17"/>
      <c r="B2717" s="18"/>
      <c r="C2717" s="17"/>
      <c r="D2717" s="18"/>
      <c r="E2717" s="17"/>
      <c r="F2717" s="22"/>
      <c r="G2717"/>
    </row>
    <row r="2718" spans="1:7">
      <c r="A2718" s="17"/>
      <c r="B2718" s="18"/>
      <c r="C2718" s="17"/>
      <c r="D2718" s="18"/>
      <c r="E2718" s="17"/>
      <c r="F2718" s="22"/>
      <c r="G2718"/>
    </row>
    <row r="2719" spans="1:7">
      <c r="A2719" s="17"/>
      <c r="B2719" s="18"/>
      <c r="C2719" s="17"/>
      <c r="D2719" s="18"/>
      <c r="E2719" s="17"/>
      <c r="F2719" s="22"/>
      <c r="G2719"/>
    </row>
    <row r="2720" spans="1:7">
      <c r="A2720" s="17"/>
      <c r="B2720" s="18"/>
      <c r="C2720" s="17"/>
      <c r="D2720" s="18"/>
      <c r="E2720" s="17"/>
      <c r="F2720" s="22"/>
      <c r="G2720"/>
    </row>
    <row r="2721" spans="1:7">
      <c r="A2721" s="17"/>
      <c r="B2721" s="18"/>
      <c r="C2721" s="17"/>
      <c r="D2721" s="18"/>
      <c r="E2721" s="17"/>
      <c r="F2721" s="22"/>
      <c r="G2721"/>
    </row>
    <row r="2722" spans="1:7">
      <c r="A2722" s="17"/>
      <c r="B2722" s="18"/>
      <c r="C2722" s="17"/>
      <c r="D2722" s="18"/>
      <c r="E2722" s="17"/>
      <c r="F2722" s="22"/>
      <c r="G2722"/>
    </row>
    <row r="2723" spans="1:7">
      <c r="A2723" s="17"/>
      <c r="B2723" s="18"/>
      <c r="C2723" s="17"/>
      <c r="D2723" s="18"/>
      <c r="E2723" s="17"/>
      <c r="F2723" s="22"/>
      <c r="G2723"/>
    </row>
    <row r="2724" spans="1:7">
      <c r="A2724" s="17"/>
      <c r="B2724" s="18"/>
      <c r="C2724" s="17"/>
      <c r="D2724" s="18"/>
      <c r="E2724" s="17"/>
      <c r="F2724" s="22"/>
      <c r="G2724"/>
    </row>
    <row r="2725" spans="1:7">
      <c r="A2725" s="17"/>
      <c r="B2725" s="18"/>
      <c r="C2725" s="17"/>
      <c r="D2725" s="18"/>
      <c r="E2725" s="17"/>
      <c r="F2725" s="22"/>
      <c r="G2725"/>
    </row>
    <row r="2726" spans="1:7">
      <c r="A2726" s="17"/>
      <c r="B2726" s="18"/>
      <c r="C2726" s="17"/>
      <c r="D2726" s="18"/>
      <c r="E2726" s="17"/>
      <c r="F2726" s="22"/>
      <c r="G2726"/>
    </row>
    <row r="2727" spans="1:7">
      <c r="A2727" s="17"/>
      <c r="B2727" s="18"/>
      <c r="C2727" s="17"/>
      <c r="D2727" s="18"/>
      <c r="E2727" s="17"/>
      <c r="F2727" s="22"/>
      <c r="G2727"/>
    </row>
    <row r="2728" spans="1:7">
      <c r="A2728" s="17"/>
      <c r="B2728" s="18"/>
      <c r="C2728" s="17"/>
      <c r="D2728" s="18"/>
      <c r="E2728" s="17"/>
      <c r="F2728" s="22"/>
      <c r="G2728"/>
    </row>
    <row r="2729" spans="1:7">
      <c r="A2729" s="17"/>
      <c r="B2729" s="18"/>
      <c r="C2729" s="17"/>
      <c r="D2729" s="18"/>
      <c r="E2729" s="17"/>
      <c r="F2729" s="22"/>
      <c r="G2729"/>
    </row>
    <row r="2730" spans="1:7">
      <c r="A2730" s="17"/>
      <c r="B2730" s="18"/>
      <c r="C2730" s="17"/>
      <c r="D2730" s="18"/>
      <c r="E2730" s="17"/>
      <c r="F2730" s="22"/>
      <c r="G2730"/>
    </row>
    <row r="2731" spans="1:7">
      <c r="A2731" s="17"/>
      <c r="B2731" s="18"/>
      <c r="C2731" s="17"/>
      <c r="D2731" s="18"/>
      <c r="E2731" s="17"/>
      <c r="F2731" s="22"/>
      <c r="G2731"/>
    </row>
    <row r="2732" spans="1:7">
      <c r="A2732" s="17"/>
      <c r="B2732" s="18"/>
      <c r="C2732" s="17"/>
      <c r="D2732" s="18"/>
      <c r="E2732" s="17"/>
      <c r="F2732" s="22"/>
      <c r="G2732"/>
    </row>
    <row r="2733" spans="1:7">
      <c r="A2733" s="17"/>
      <c r="B2733" s="18"/>
      <c r="C2733" s="17"/>
      <c r="D2733" s="18"/>
      <c r="E2733" s="17"/>
      <c r="F2733" s="22"/>
      <c r="G2733"/>
    </row>
    <row r="2734" spans="1:7">
      <c r="A2734" s="17"/>
      <c r="B2734" s="18"/>
      <c r="C2734" s="17"/>
      <c r="D2734" s="18"/>
      <c r="E2734" s="17"/>
      <c r="F2734" s="22"/>
      <c r="G2734"/>
    </row>
    <row r="2735" spans="1:7">
      <c r="A2735" s="17"/>
      <c r="B2735" s="18"/>
      <c r="C2735" s="17"/>
      <c r="D2735" s="18"/>
      <c r="E2735" s="17"/>
      <c r="F2735" s="22"/>
      <c r="G2735"/>
    </row>
    <row r="2736" spans="1:7">
      <c r="A2736" s="17"/>
      <c r="B2736" s="18"/>
      <c r="C2736" s="17"/>
      <c r="D2736" s="18"/>
      <c r="E2736" s="17"/>
      <c r="F2736" s="22"/>
      <c r="G2736"/>
    </row>
    <row r="2737" spans="1:7">
      <c r="A2737" s="17"/>
      <c r="B2737" s="18"/>
      <c r="C2737" s="17"/>
      <c r="D2737" s="18"/>
      <c r="E2737" s="17"/>
      <c r="F2737" s="22"/>
      <c r="G2737"/>
    </row>
    <row r="2738" spans="1:7">
      <c r="A2738" s="17"/>
      <c r="B2738" s="18"/>
      <c r="C2738" s="17"/>
      <c r="D2738" s="18"/>
      <c r="E2738" s="17"/>
      <c r="F2738" s="22"/>
      <c r="G2738"/>
    </row>
    <row r="2739" spans="1:7">
      <c r="A2739" s="17"/>
      <c r="B2739" s="18"/>
      <c r="C2739" s="17"/>
      <c r="D2739" s="18"/>
      <c r="E2739" s="17"/>
      <c r="F2739" s="22"/>
      <c r="G2739"/>
    </row>
    <row r="2740" spans="1:7">
      <c r="A2740" s="17"/>
      <c r="B2740" s="18"/>
      <c r="C2740" s="17"/>
      <c r="D2740" s="18"/>
      <c r="E2740" s="17"/>
      <c r="F2740" s="22"/>
      <c r="G2740"/>
    </row>
    <row r="2741" spans="1:7">
      <c r="A2741" s="17"/>
      <c r="B2741" s="18"/>
      <c r="C2741" s="17"/>
      <c r="D2741" s="18"/>
      <c r="E2741" s="17"/>
      <c r="F2741" s="22"/>
      <c r="G2741"/>
    </row>
    <row r="2742" spans="1:7">
      <c r="A2742" s="17"/>
      <c r="B2742" s="18"/>
      <c r="C2742" s="17"/>
      <c r="D2742" s="18"/>
      <c r="E2742" s="17"/>
      <c r="F2742" s="22"/>
      <c r="G2742"/>
    </row>
    <row r="2743" spans="1:7">
      <c r="A2743" s="17"/>
      <c r="B2743" s="18"/>
      <c r="C2743" s="17"/>
      <c r="D2743" s="18"/>
      <c r="E2743" s="17"/>
      <c r="F2743" s="22"/>
      <c r="G2743"/>
    </row>
    <row r="2744" spans="1:7">
      <c r="A2744" s="17"/>
      <c r="B2744" s="18"/>
      <c r="C2744" s="17"/>
      <c r="D2744" s="18"/>
      <c r="E2744" s="17"/>
      <c r="F2744" s="22"/>
      <c r="G2744"/>
    </row>
    <row r="2745" spans="1:7">
      <c r="A2745" s="17"/>
      <c r="B2745" s="18"/>
      <c r="C2745" s="17"/>
      <c r="D2745" s="18"/>
      <c r="E2745" s="17"/>
      <c r="F2745" s="22"/>
      <c r="G2745"/>
    </row>
    <row r="2746" spans="1:7">
      <c r="A2746" s="17"/>
      <c r="B2746" s="18"/>
      <c r="C2746" s="17"/>
      <c r="D2746" s="18"/>
      <c r="E2746" s="17"/>
      <c r="F2746" s="22"/>
      <c r="G2746"/>
    </row>
    <row r="2747" spans="1:7">
      <c r="A2747" s="17"/>
      <c r="B2747" s="18"/>
      <c r="C2747" s="17"/>
      <c r="D2747" s="18"/>
      <c r="E2747" s="17"/>
      <c r="F2747" s="22"/>
      <c r="G2747"/>
    </row>
    <row r="2748" spans="1:7">
      <c r="A2748" s="17"/>
      <c r="B2748" s="18"/>
      <c r="C2748" s="17"/>
      <c r="D2748" s="18"/>
      <c r="E2748" s="17"/>
      <c r="F2748" s="22"/>
      <c r="G2748"/>
    </row>
    <row r="2749" spans="1:7">
      <c r="A2749" s="17"/>
      <c r="B2749" s="18"/>
      <c r="C2749" s="17"/>
      <c r="D2749" s="18"/>
      <c r="E2749" s="17"/>
      <c r="F2749" s="22"/>
      <c r="G2749"/>
    </row>
    <row r="2750" spans="1:7">
      <c r="A2750" s="17"/>
      <c r="B2750" s="18"/>
      <c r="C2750" s="17"/>
      <c r="D2750" s="18"/>
      <c r="E2750" s="17"/>
      <c r="F2750" s="22"/>
      <c r="G2750"/>
    </row>
    <row r="2751" spans="1:7">
      <c r="A2751" s="17"/>
      <c r="B2751" s="18"/>
      <c r="C2751" s="17"/>
      <c r="D2751" s="18"/>
      <c r="E2751" s="17"/>
      <c r="F2751" s="22"/>
      <c r="G2751"/>
    </row>
    <row r="2752" spans="1:7">
      <c r="A2752" s="17"/>
      <c r="B2752" s="18"/>
      <c r="C2752" s="17"/>
      <c r="D2752" s="18"/>
      <c r="E2752" s="17"/>
      <c r="F2752" s="22"/>
      <c r="G2752"/>
    </row>
    <row r="2753" spans="1:7">
      <c r="A2753" s="17"/>
      <c r="B2753" s="18"/>
      <c r="C2753" s="17"/>
      <c r="D2753" s="18"/>
      <c r="E2753" s="17"/>
      <c r="F2753" s="22"/>
      <c r="G2753"/>
    </row>
    <row r="2754" spans="1:7">
      <c r="A2754" s="17"/>
      <c r="B2754" s="18"/>
      <c r="C2754" s="17"/>
      <c r="D2754" s="18"/>
      <c r="E2754" s="17"/>
      <c r="F2754" s="22"/>
      <c r="G2754"/>
    </row>
    <row r="2755" spans="1:7">
      <c r="A2755" s="17"/>
      <c r="B2755" s="18"/>
      <c r="C2755" s="17"/>
      <c r="D2755" s="18"/>
      <c r="E2755" s="17"/>
      <c r="F2755" s="22"/>
      <c r="G2755"/>
    </row>
    <row r="2756" spans="1:7">
      <c r="A2756" s="17"/>
      <c r="B2756" s="18"/>
      <c r="C2756" s="17"/>
      <c r="D2756" s="18"/>
      <c r="E2756" s="17"/>
      <c r="F2756" s="22"/>
      <c r="G2756"/>
    </row>
    <row r="2757" spans="1:7">
      <c r="A2757" s="17"/>
      <c r="B2757" s="18"/>
      <c r="C2757" s="17"/>
      <c r="D2757" s="18"/>
      <c r="E2757" s="17"/>
      <c r="F2757" s="22"/>
      <c r="G2757"/>
    </row>
    <row r="2758" spans="1:7">
      <c r="A2758" s="17"/>
      <c r="B2758" s="18"/>
      <c r="C2758" s="17"/>
      <c r="D2758" s="18"/>
      <c r="E2758" s="17"/>
      <c r="F2758" s="22"/>
      <c r="G2758"/>
    </row>
    <row r="2759" spans="1:7">
      <c r="A2759" s="17"/>
      <c r="B2759" s="18"/>
      <c r="C2759" s="17"/>
      <c r="D2759" s="18"/>
      <c r="E2759" s="17"/>
      <c r="F2759" s="22"/>
      <c r="G2759"/>
    </row>
    <row r="2760" spans="1:7">
      <c r="A2760" s="17"/>
      <c r="B2760" s="18"/>
      <c r="C2760" s="17"/>
      <c r="D2760" s="18"/>
      <c r="E2760" s="17"/>
      <c r="F2760" s="22"/>
      <c r="G2760"/>
    </row>
    <row r="2761" spans="1:7">
      <c r="A2761" s="17"/>
      <c r="B2761" s="18"/>
      <c r="C2761" s="17"/>
      <c r="D2761" s="18"/>
      <c r="E2761" s="17"/>
      <c r="F2761" s="22"/>
      <c r="G2761"/>
    </row>
    <row r="2762" spans="1:7">
      <c r="A2762" s="17"/>
      <c r="B2762" s="18"/>
      <c r="C2762" s="17"/>
      <c r="D2762" s="18"/>
      <c r="E2762" s="17"/>
      <c r="F2762" s="22"/>
      <c r="G2762"/>
    </row>
    <row r="2763" spans="1:7">
      <c r="A2763" s="17"/>
      <c r="B2763" s="18"/>
      <c r="C2763" s="17"/>
      <c r="D2763" s="18"/>
      <c r="E2763" s="17"/>
      <c r="F2763" s="22"/>
      <c r="G2763"/>
    </row>
    <row r="2764" spans="1:7">
      <c r="A2764" s="17"/>
      <c r="B2764" s="18"/>
      <c r="C2764" s="17"/>
      <c r="D2764" s="18"/>
      <c r="E2764" s="17"/>
      <c r="F2764" s="22"/>
      <c r="G2764"/>
    </row>
    <row r="2765" spans="1:7">
      <c r="A2765" s="17"/>
      <c r="B2765" s="18"/>
      <c r="C2765" s="17"/>
      <c r="D2765" s="18"/>
      <c r="E2765" s="17"/>
      <c r="F2765" s="22"/>
      <c r="G2765"/>
    </row>
    <row r="2766" spans="1:7">
      <c r="A2766" s="17"/>
      <c r="B2766" s="18"/>
      <c r="C2766" s="17"/>
      <c r="D2766" s="18"/>
      <c r="E2766" s="17"/>
      <c r="F2766" s="22"/>
      <c r="G2766"/>
    </row>
    <row r="2767" spans="1:7">
      <c r="A2767" s="17"/>
      <c r="B2767" s="18"/>
      <c r="C2767" s="17"/>
      <c r="D2767" s="18"/>
      <c r="E2767" s="17"/>
      <c r="F2767" s="22"/>
      <c r="G2767"/>
    </row>
    <row r="2768" spans="1:7">
      <c r="A2768" s="17"/>
      <c r="B2768" s="18"/>
      <c r="C2768" s="17"/>
      <c r="D2768" s="18"/>
      <c r="E2768" s="17"/>
      <c r="F2768" s="22"/>
      <c r="G2768"/>
    </row>
    <row r="2769" spans="1:7">
      <c r="A2769" s="17"/>
      <c r="B2769" s="18"/>
      <c r="C2769" s="17"/>
      <c r="D2769" s="18"/>
      <c r="E2769" s="17"/>
      <c r="F2769" s="22"/>
      <c r="G2769"/>
    </row>
    <row r="2770" spans="1:7">
      <c r="A2770" s="17"/>
      <c r="B2770" s="18"/>
      <c r="C2770" s="17"/>
      <c r="D2770" s="18"/>
      <c r="E2770" s="17"/>
      <c r="F2770" s="22"/>
      <c r="G2770"/>
    </row>
    <row r="2771" spans="1:7">
      <c r="A2771" s="17"/>
      <c r="B2771" s="18"/>
      <c r="C2771" s="17"/>
      <c r="D2771" s="18"/>
      <c r="E2771" s="17"/>
      <c r="F2771" s="22"/>
      <c r="G2771"/>
    </row>
    <row r="2772" spans="1:7">
      <c r="A2772" s="17"/>
      <c r="B2772" s="18"/>
      <c r="C2772" s="17"/>
      <c r="D2772" s="18"/>
      <c r="E2772" s="17"/>
      <c r="F2772" s="22"/>
      <c r="G2772"/>
    </row>
    <row r="2773" spans="1:7">
      <c r="A2773" s="17"/>
      <c r="B2773" s="18"/>
      <c r="C2773" s="17"/>
      <c r="D2773" s="18"/>
      <c r="E2773" s="17"/>
      <c r="F2773" s="22"/>
      <c r="G2773"/>
    </row>
    <row r="2774" spans="1:7">
      <c r="A2774" s="17"/>
      <c r="B2774" s="18"/>
      <c r="C2774" s="17"/>
      <c r="D2774" s="18"/>
      <c r="E2774" s="17"/>
      <c r="F2774" s="22"/>
      <c r="G2774"/>
    </row>
    <row r="2775" spans="1:7">
      <c r="A2775" s="17"/>
      <c r="B2775" s="18"/>
      <c r="C2775" s="17"/>
      <c r="D2775" s="18"/>
      <c r="E2775" s="17"/>
      <c r="F2775" s="22"/>
      <c r="G2775"/>
    </row>
    <row r="2776" spans="1:7">
      <c r="A2776" s="17"/>
      <c r="B2776" s="18"/>
      <c r="C2776" s="17"/>
      <c r="D2776" s="18"/>
      <c r="E2776" s="17"/>
      <c r="F2776" s="22"/>
      <c r="G2776"/>
    </row>
    <row r="2777" spans="1:7">
      <c r="A2777" s="17"/>
      <c r="B2777" s="18"/>
      <c r="C2777" s="17"/>
      <c r="D2777" s="18"/>
      <c r="E2777" s="17"/>
      <c r="F2777" s="22"/>
      <c r="G2777"/>
    </row>
    <row r="2778" spans="1:7">
      <c r="A2778" s="17"/>
      <c r="B2778" s="18"/>
      <c r="C2778" s="17"/>
      <c r="D2778" s="18"/>
      <c r="E2778" s="17"/>
      <c r="F2778" s="22"/>
      <c r="G2778"/>
    </row>
    <row r="2779" spans="1:7">
      <c r="A2779" s="17"/>
      <c r="B2779" s="18"/>
      <c r="C2779" s="17"/>
      <c r="D2779" s="18"/>
      <c r="E2779" s="17"/>
      <c r="F2779" s="22"/>
      <c r="G2779"/>
    </row>
    <row r="2780" spans="1:7">
      <c r="A2780" s="17"/>
      <c r="B2780" s="18"/>
      <c r="C2780" s="17"/>
      <c r="D2780" s="18"/>
      <c r="E2780" s="17"/>
      <c r="F2780" s="22"/>
      <c r="G2780"/>
    </row>
    <row r="2781" spans="1:7">
      <c r="A2781" s="17"/>
      <c r="B2781" s="18"/>
      <c r="C2781" s="17"/>
      <c r="D2781" s="18"/>
      <c r="E2781" s="17"/>
      <c r="F2781" s="22"/>
      <c r="G2781"/>
    </row>
    <row r="2782" spans="1:7">
      <c r="A2782" s="17"/>
      <c r="B2782" s="18"/>
      <c r="C2782" s="17"/>
      <c r="D2782" s="18"/>
      <c r="E2782" s="17"/>
      <c r="F2782" s="22"/>
      <c r="G2782"/>
    </row>
    <row r="2783" spans="1:7">
      <c r="A2783" s="17"/>
      <c r="B2783" s="18"/>
      <c r="C2783" s="17"/>
      <c r="D2783" s="18"/>
      <c r="E2783" s="17"/>
      <c r="F2783" s="22"/>
      <c r="G2783"/>
    </row>
    <row r="2784" spans="1:7">
      <c r="A2784" s="17"/>
      <c r="B2784" s="18"/>
      <c r="C2784" s="17"/>
      <c r="D2784" s="18"/>
      <c r="E2784" s="17"/>
      <c r="F2784" s="22"/>
      <c r="G2784"/>
    </row>
    <row r="2785" spans="1:7">
      <c r="A2785" s="17"/>
      <c r="B2785" s="18"/>
      <c r="C2785" s="17"/>
      <c r="D2785" s="18"/>
      <c r="E2785" s="17"/>
      <c r="F2785" s="22"/>
      <c r="G2785"/>
    </row>
    <row r="2786" spans="1:7">
      <c r="A2786" s="17"/>
      <c r="B2786" s="18"/>
      <c r="C2786" s="17"/>
      <c r="D2786" s="18"/>
      <c r="E2786" s="17"/>
      <c r="F2786" s="22"/>
      <c r="G2786"/>
    </row>
    <row r="2787" spans="1:7">
      <c r="A2787" s="17"/>
      <c r="B2787" s="18"/>
      <c r="C2787" s="17"/>
      <c r="D2787" s="18"/>
      <c r="E2787" s="17"/>
      <c r="F2787" s="22"/>
      <c r="G2787"/>
    </row>
    <row r="2788" spans="1:7">
      <c r="A2788" s="17"/>
      <c r="B2788" s="18"/>
      <c r="C2788" s="17"/>
      <c r="D2788" s="18"/>
      <c r="E2788" s="17"/>
      <c r="F2788" s="22"/>
      <c r="G2788"/>
    </row>
    <row r="2789" spans="1:7">
      <c r="A2789" s="17"/>
      <c r="B2789" s="18"/>
      <c r="C2789" s="17"/>
      <c r="D2789" s="18"/>
      <c r="E2789" s="17"/>
      <c r="F2789" s="22"/>
      <c r="G2789"/>
    </row>
    <row r="2790" spans="1:7">
      <c r="A2790" s="17"/>
      <c r="B2790" s="18"/>
      <c r="C2790" s="17"/>
      <c r="D2790" s="18"/>
      <c r="E2790" s="17"/>
      <c r="F2790" s="22"/>
      <c r="G2790"/>
    </row>
    <row r="2791" spans="1:7">
      <c r="A2791" s="17"/>
      <c r="B2791" s="18"/>
      <c r="C2791" s="17"/>
      <c r="D2791" s="18"/>
      <c r="E2791" s="17"/>
      <c r="F2791" s="22"/>
      <c r="G2791"/>
    </row>
    <row r="2792" spans="1:7">
      <c r="A2792" s="17"/>
      <c r="B2792" s="18"/>
      <c r="C2792" s="17"/>
      <c r="D2792" s="18"/>
      <c r="E2792" s="17"/>
      <c r="F2792" s="22"/>
      <c r="G2792"/>
    </row>
    <row r="2793" spans="1:7">
      <c r="A2793" s="17"/>
      <c r="B2793" s="18"/>
      <c r="C2793" s="17"/>
      <c r="D2793" s="18"/>
      <c r="E2793" s="17"/>
      <c r="F2793" s="22"/>
      <c r="G2793"/>
    </row>
    <row r="2794" spans="1:7">
      <c r="A2794" s="17"/>
      <c r="B2794" s="18"/>
      <c r="C2794" s="17"/>
      <c r="D2794" s="18"/>
      <c r="E2794" s="17"/>
      <c r="F2794" s="22"/>
      <c r="G2794"/>
    </row>
    <row r="2795" spans="1:7">
      <c r="A2795" s="17"/>
      <c r="B2795" s="18"/>
      <c r="C2795" s="17"/>
      <c r="D2795" s="18"/>
      <c r="E2795" s="17"/>
      <c r="F2795" s="22"/>
      <c r="G2795"/>
    </row>
    <row r="2796" spans="1:7">
      <c r="A2796" s="17"/>
      <c r="B2796" s="18"/>
      <c r="C2796" s="17"/>
      <c r="D2796" s="18"/>
      <c r="E2796" s="17"/>
      <c r="F2796" s="22"/>
      <c r="G2796"/>
    </row>
    <row r="2797" spans="1:7">
      <c r="A2797" s="17"/>
      <c r="B2797" s="18"/>
      <c r="C2797" s="17"/>
      <c r="D2797" s="18"/>
      <c r="E2797" s="17"/>
      <c r="F2797" s="22"/>
      <c r="G2797"/>
    </row>
    <row r="2798" spans="1:7">
      <c r="A2798" s="17"/>
      <c r="B2798" s="18"/>
      <c r="C2798" s="17"/>
      <c r="D2798" s="18"/>
      <c r="E2798" s="17"/>
      <c r="F2798" s="22"/>
      <c r="G2798"/>
    </row>
    <row r="2799" spans="1:7">
      <c r="A2799" s="17"/>
      <c r="B2799" s="18"/>
      <c r="C2799" s="17"/>
      <c r="D2799" s="18"/>
      <c r="E2799" s="17"/>
      <c r="F2799" s="22"/>
      <c r="G2799"/>
    </row>
    <row r="2800" spans="1:7">
      <c r="A2800" s="17"/>
      <c r="B2800" s="18"/>
      <c r="C2800" s="17"/>
      <c r="D2800" s="18"/>
      <c r="E2800" s="17"/>
      <c r="F2800" s="22"/>
      <c r="G2800"/>
    </row>
    <row r="2801" spans="1:7">
      <c r="A2801" s="17"/>
      <c r="B2801" s="18"/>
      <c r="C2801" s="17"/>
      <c r="D2801" s="18"/>
      <c r="E2801" s="17"/>
      <c r="F2801" s="22"/>
      <c r="G2801"/>
    </row>
    <row r="2802" spans="1:7">
      <c r="A2802" s="17"/>
      <c r="B2802" s="18"/>
      <c r="C2802" s="17"/>
      <c r="D2802" s="18"/>
      <c r="E2802" s="17"/>
      <c r="F2802" s="22"/>
      <c r="G2802"/>
    </row>
    <row r="2803" spans="1:7">
      <c r="A2803" s="17"/>
      <c r="B2803" s="18"/>
      <c r="C2803" s="17"/>
      <c r="D2803" s="18"/>
      <c r="E2803" s="17"/>
      <c r="F2803" s="22"/>
      <c r="G2803"/>
    </row>
    <row r="2804" spans="1:7">
      <c r="A2804" s="17"/>
      <c r="B2804" s="18"/>
      <c r="C2804" s="17"/>
      <c r="D2804" s="18"/>
      <c r="E2804" s="17"/>
      <c r="F2804" s="22"/>
      <c r="G2804"/>
    </row>
    <row r="2805" spans="1:7">
      <c r="A2805" s="17"/>
      <c r="B2805" s="18"/>
      <c r="C2805" s="17"/>
      <c r="D2805" s="18"/>
      <c r="E2805" s="17"/>
      <c r="F2805" s="22"/>
      <c r="G2805"/>
    </row>
    <row r="2806" spans="1:7">
      <c r="A2806" s="17"/>
      <c r="B2806" s="18"/>
      <c r="C2806" s="17"/>
      <c r="D2806" s="18"/>
      <c r="E2806" s="17"/>
      <c r="F2806" s="22"/>
      <c r="G2806"/>
    </row>
    <row r="2807" spans="1:7">
      <c r="A2807" s="17"/>
      <c r="B2807" s="18"/>
      <c r="C2807" s="17"/>
      <c r="D2807" s="18"/>
      <c r="E2807" s="17"/>
      <c r="F2807" s="22"/>
      <c r="G2807"/>
    </row>
    <row r="2808" spans="1:7">
      <c r="A2808" s="17"/>
      <c r="B2808" s="18"/>
      <c r="C2808" s="17"/>
      <c r="D2808" s="18"/>
      <c r="E2808" s="17"/>
      <c r="F2808" s="22"/>
      <c r="G2808"/>
    </row>
    <row r="2809" spans="1:7">
      <c r="A2809" s="17"/>
      <c r="B2809" s="18"/>
      <c r="C2809" s="17"/>
      <c r="D2809" s="18"/>
      <c r="E2809" s="17"/>
      <c r="F2809" s="22"/>
      <c r="G2809"/>
    </row>
    <row r="2810" spans="1:7">
      <c r="A2810" s="17"/>
      <c r="B2810" s="18"/>
      <c r="C2810" s="17"/>
      <c r="D2810" s="18"/>
      <c r="E2810" s="17"/>
      <c r="F2810" s="22"/>
      <c r="G2810"/>
    </row>
    <row r="2811" spans="1:7">
      <c r="A2811" s="17"/>
      <c r="B2811" s="18"/>
      <c r="C2811" s="17"/>
      <c r="D2811" s="18"/>
      <c r="E2811" s="17"/>
      <c r="F2811" s="22"/>
      <c r="G2811"/>
    </row>
    <row r="2812" spans="1:7">
      <c r="A2812" s="17"/>
      <c r="B2812" s="18"/>
      <c r="C2812" s="17"/>
      <c r="D2812" s="18"/>
      <c r="E2812" s="17"/>
      <c r="F2812" s="22"/>
      <c r="G2812"/>
    </row>
    <row r="2813" spans="1:7">
      <c r="A2813" s="17"/>
      <c r="B2813" s="18"/>
      <c r="C2813" s="17"/>
      <c r="D2813" s="18"/>
      <c r="E2813" s="17"/>
      <c r="F2813" s="22"/>
      <c r="G2813"/>
    </row>
    <row r="2814" spans="1:7">
      <c r="A2814" s="17"/>
      <c r="B2814" s="18"/>
      <c r="C2814" s="17"/>
      <c r="D2814" s="18"/>
      <c r="E2814" s="17"/>
      <c r="F2814" s="22"/>
      <c r="G2814"/>
    </row>
    <row r="2815" spans="1:7">
      <c r="A2815" s="17"/>
      <c r="B2815" s="18"/>
      <c r="C2815" s="17"/>
      <c r="D2815" s="18"/>
      <c r="E2815" s="17"/>
      <c r="F2815" s="22"/>
      <c r="G2815"/>
    </row>
    <row r="2816" spans="1:7">
      <c r="A2816" s="17"/>
      <c r="B2816" s="18"/>
      <c r="C2816" s="17"/>
      <c r="D2816" s="18"/>
      <c r="E2816" s="17"/>
      <c r="F2816" s="22"/>
      <c r="G2816"/>
    </row>
    <row r="2817" spans="1:7">
      <c r="A2817" s="17"/>
      <c r="B2817" s="18"/>
      <c r="C2817" s="17"/>
      <c r="D2817" s="18"/>
      <c r="E2817" s="17"/>
      <c r="F2817" s="22"/>
      <c r="G2817"/>
    </row>
    <row r="2818" spans="1:7">
      <c r="A2818" s="17"/>
      <c r="B2818" s="18"/>
      <c r="C2818" s="17"/>
      <c r="D2818" s="18"/>
      <c r="E2818" s="17"/>
      <c r="F2818" s="22"/>
      <c r="G2818"/>
    </row>
    <row r="2819" spans="1:7">
      <c r="A2819" s="17"/>
      <c r="B2819" s="18"/>
      <c r="C2819" s="17"/>
      <c r="D2819" s="18"/>
      <c r="E2819" s="17"/>
      <c r="F2819" s="22"/>
      <c r="G2819"/>
    </row>
    <row r="2820" spans="1:7">
      <c r="A2820" s="17"/>
      <c r="B2820" s="18"/>
      <c r="C2820" s="17"/>
      <c r="D2820" s="18"/>
      <c r="E2820" s="17"/>
      <c r="F2820" s="22"/>
      <c r="G2820"/>
    </row>
    <row r="2821" spans="1:7">
      <c r="A2821" s="17"/>
      <c r="B2821" s="18"/>
      <c r="C2821" s="17"/>
      <c r="D2821" s="18"/>
      <c r="E2821" s="17"/>
      <c r="F2821" s="22"/>
      <c r="G2821"/>
    </row>
    <row r="2822" spans="1:7">
      <c r="A2822" s="17"/>
      <c r="B2822" s="18"/>
      <c r="C2822" s="17"/>
      <c r="D2822" s="18"/>
      <c r="E2822" s="17"/>
      <c r="F2822" s="22"/>
      <c r="G2822"/>
    </row>
    <row r="2823" spans="1:7">
      <c r="A2823" s="17"/>
      <c r="B2823" s="18"/>
      <c r="C2823" s="17"/>
      <c r="D2823" s="18"/>
      <c r="E2823" s="17"/>
      <c r="F2823" s="22"/>
      <c r="G2823"/>
    </row>
    <row r="2824" spans="1:7">
      <c r="A2824" s="17"/>
      <c r="B2824" s="18"/>
      <c r="C2824" s="17"/>
      <c r="D2824" s="18"/>
      <c r="E2824" s="17"/>
      <c r="F2824" s="22"/>
      <c r="G2824"/>
    </row>
    <row r="2825" spans="1:7">
      <c r="A2825" s="17"/>
      <c r="B2825" s="18"/>
      <c r="C2825" s="17"/>
      <c r="D2825" s="18"/>
      <c r="E2825" s="17"/>
      <c r="F2825" s="22"/>
      <c r="G2825"/>
    </row>
    <row r="2826" spans="1:7">
      <c r="A2826" s="17"/>
      <c r="B2826" s="18"/>
      <c r="C2826" s="17"/>
      <c r="D2826" s="18"/>
      <c r="E2826" s="17"/>
      <c r="F2826" s="22"/>
      <c r="G2826"/>
    </row>
    <row r="2827" spans="1:7">
      <c r="A2827" s="17"/>
      <c r="B2827" s="18"/>
      <c r="C2827" s="17"/>
      <c r="D2827" s="18"/>
      <c r="E2827" s="17"/>
      <c r="F2827" s="22"/>
      <c r="G2827"/>
    </row>
    <row r="2828" spans="1:7">
      <c r="A2828" s="17"/>
      <c r="B2828" s="18"/>
      <c r="C2828" s="17"/>
      <c r="D2828" s="18"/>
      <c r="E2828" s="17"/>
      <c r="F2828" s="22"/>
      <c r="G2828"/>
    </row>
    <row r="2829" spans="1:7">
      <c r="A2829" s="17"/>
      <c r="B2829" s="18"/>
      <c r="C2829" s="17"/>
      <c r="D2829" s="18"/>
      <c r="E2829" s="17"/>
      <c r="F2829" s="22"/>
      <c r="G2829"/>
    </row>
    <row r="2830" spans="1:7">
      <c r="A2830" s="17"/>
      <c r="B2830" s="18"/>
      <c r="C2830" s="17"/>
      <c r="D2830" s="18"/>
      <c r="E2830" s="17"/>
      <c r="F2830" s="22"/>
      <c r="G2830"/>
    </row>
    <row r="2831" spans="1:7">
      <c r="A2831" s="17"/>
      <c r="B2831" s="18"/>
      <c r="C2831" s="17"/>
      <c r="D2831" s="18"/>
      <c r="E2831" s="17"/>
      <c r="F2831" s="22"/>
      <c r="G2831"/>
    </row>
    <row r="2832" spans="1:7">
      <c r="A2832" s="17"/>
      <c r="B2832" s="18"/>
      <c r="C2832" s="17"/>
      <c r="D2832" s="18"/>
      <c r="E2832" s="17"/>
      <c r="F2832" s="22"/>
      <c r="G2832"/>
    </row>
    <row r="2833" spans="1:7">
      <c r="A2833" s="17"/>
      <c r="B2833" s="18"/>
      <c r="C2833" s="17"/>
      <c r="D2833" s="18"/>
      <c r="E2833" s="17"/>
      <c r="F2833" s="22"/>
      <c r="G2833"/>
    </row>
    <row r="2834" spans="1:7">
      <c r="A2834" s="17"/>
      <c r="B2834" s="18"/>
      <c r="C2834" s="17"/>
      <c r="D2834" s="18"/>
      <c r="E2834" s="17"/>
      <c r="F2834" s="22"/>
      <c r="G2834"/>
    </row>
    <row r="2835" spans="1:7">
      <c r="A2835" s="17"/>
      <c r="B2835" s="18"/>
      <c r="C2835" s="17"/>
      <c r="D2835" s="18"/>
      <c r="E2835" s="17"/>
      <c r="F2835" s="22"/>
      <c r="G2835"/>
    </row>
    <row r="2836" spans="1:7">
      <c r="A2836" s="17"/>
      <c r="B2836" s="18"/>
      <c r="C2836" s="17"/>
      <c r="D2836" s="18"/>
      <c r="E2836" s="17"/>
      <c r="F2836" s="22"/>
      <c r="G2836"/>
    </row>
    <row r="2837" spans="1:7">
      <c r="A2837" s="17"/>
      <c r="B2837" s="18"/>
      <c r="C2837" s="17"/>
      <c r="D2837" s="18"/>
      <c r="E2837" s="17"/>
      <c r="F2837" s="22"/>
      <c r="G2837"/>
    </row>
    <row r="2838" spans="1:7">
      <c r="A2838" s="17"/>
      <c r="B2838" s="18"/>
      <c r="C2838" s="17"/>
      <c r="D2838" s="18"/>
      <c r="E2838" s="17"/>
      <c r="F2838" s="22"/>
      <c r="G2838"/>
    </row>
    <row r="2839" spans="1:7">
      <c r="A2839" s="17"/>
      <c r="B2839" s="18"/>
      <c r="C2839" s="17"/>
      <c r="D2839" s="18"/>
      <c r="E2839" s="17"/>
      <c r="F2839" s="22"/>
      <c r="G2839"/>
    </row>
    <row r="2840" spans="1:7">
      <c r="A2840" s="17"/>
      <c r="B2840" s="18"/>
      <c r="C2840" s="17"/>
      <c r="D2840" s="18"/>
      <c r="E2840" s="17"/>
      <c r="F2840" s="22"/>
      <c r="G2840"/>
    </row>
    <row r="2841" spans="1:7">
      <c r="A2841" s="17"/>
      <c r="B2841" s="18"/>
      <c r="C2841" s="17"/>
      <c r="D2841" s="18"/>
      <c r="E2841" s="17"/>
      <c r="F2841" s="22"/>
      <c r="G2841"/>
    </row>
    <row r="2842" spans="1:7">
      <c r="A2842" s="17"/>
      <c r="B2842" s="18"/>
      <c r="C2842" s="17"/>
      <c r="D2842" s="18"/>
      <c r="E2842" s="17"/>
      <c r="F2842" s="22"/>
      <c r="G2842"/>
    </row>
    <row r="2843" spans="1:7">
      <c r="A2843" s="17"/>
      <c r="B2843" s="18"/>
      <c r="C2843" s="17"/>
      <c r="D2843" s="18"/>
      <c r="E2843" s="17"/>
      <c r="F2843" s="22"/>
      <c r="G2843"/>
    </row>
    <row r="2844" spans="1:7">
      <c r="A2844" s="17"/>
      <c r="B2844" s="18"/>
      <c r="C2844" s="17"/>
      <c r="D2844" s="18"/>
      <c r="E2844" s="17"/>
      <c r="F2844" s="22"/>
      <c r="G2844"/>
    </row>
    <row r="2845" spans="1:7">
      <c r="A2845" s="17"/>
      <c r="B2845" s="18"/>
      <c r="C2845" s="17"/>
      <c r="D2845" s="18"/>
      <c r="E2845" s="17"/>
      <c r="F2845" s="22"/>
      <c r="G2845"/>
    </row>
    <row r="2846" spans="1:7">
      <c r="A2846" s="17"/>
      <c r="B2846" s="18"/>
      <c r="C2846" s="17"/>
      <c r="D2846" s="18"/>
      <c r="E2846" s="17"/>
      <c r="F2846" s="22"/>
      <c r="G2846"/>
    </row>
    <row r="2847" spans="1:7">
      <c r="A2847" s="17"/>
      <c r="B2847" s="18"/>
      <c r="C2847" s="17"/>
      <c r="D2847" s="18"/>
      <c r="E2847" s="17"/>
      <c r="F2847" s="22"/>
      <c r="G2847"/>
    </row>
    <row r="2848" spans="1:7">
      <c r="A2848" s="17"/>
      <c r="B2848" s="18"/>
      <c r="C2848" s="17"/>
      <c r="D2848" s="18"/>
      <c r="E2848" s="17"/>
      <c r="F2848" s="22"/>
      <c r="G2848"/>
    </row>
    <row r="2849" spans="1:7">
      <c r="A2849" s="17"/>
      <c r="B2849" s="18"/>
      <c r="C2849" s="17"/>
      <c r="D2849" s="18"/>
      <c r="E2849" s="17"/>
      <c r="F2849" s="22"/>
      <c r="G2849"/>
    </row>
    <row r="2850" spans="1:7">
      <c r="A2850" s="17"/>
      <c r="B2850" s="18"/>
      <c r="C2850" s="17"/>
      <c r="D2850" s="18"/>
      <c r="E2850" s="17"/>
      <c r="F2850" s="22"/>
      <c r="G2850"/>
    </row>
    <row r="2851" spans="1:7">
      <c r="A2851" s="17"/>
      <c r="B2851" s="18"/>
      <c r="C2851" s="17"/>
      <c r="D2851" s="18"/>
      <c r="E2851" s="17"/>
      <c r="F2851" s="22"/>
      <c r="G2851"/>
    </row>
    <row r="2852" spans="1:7">
      <c r="A2852" s="17"/>
      <c r="B2852" s="18"/>
      <c r="C2852" s="17"/>
      <c r="D2852" s="18"/>
      <c r="E2852" s="17"/>
      <c r="F2852" s="22"/>
      <c r="G2852"/>
    </row>
    <row r="2853" spans="1:7">
      <c r="A2853" s="17"/>
      <c r="B2853" s="18"/>
      <c r="C2853" s="17"/>
      <c r="D2853" s="18"/>
      <c r="E2853" s="17"/>
      <c r="F2853" s="22"/>
      <c r="G2853"/>
    </row>
    <row r="2854" spans="1:7">
      <c r="A2854" s="17"/>
      <c r="B2854" s="18"/>
      <c r="C2854" s="17"/>
      <c r="D2854" s="18"/>
      <c r="E2854" s="17"/>
      <c r="F2854" s="22"/>
      <c r="G2854"/>
    </row>
    <row r="2855" spans="1:7">
      <c r="A2855" s="17"/>
      <c r="B2855" s="18"/>
      <c r="C2855" s="17"/>
      <c r="D2855" s="18"/>
      <c r="E2855" s="17"/>
      <c r="F2855" s="22"/>
      <c r="G2855"/>
    </row>
    <row r="2856" spans="1:7">
      <c r="A2856" s="17"/>
      <c r="B2856" s="18"/>
      <c r="C2856" s="17"/>
      <c r="D2856" s="18"/>
      <c r="E2856" s="17"/>
      <c r="F2856" s="22"/>
      <c r="G2856"/>
    </row>
    <row r="2857" spans="1:7">
      <c r="A2857" s="17"/>
      <c r="B2857" s="18"/>
      <c r="C2857" s="17"/>
      <c r="D2857" s="18"/>
      <c r="E2857" s="17"/>
      <c r="F2857" s="22"/>
      <c r="G2857"/>
    </row>
    <row r="2858" spans="1:7">
      <c r="A2858" s="17"/>
      <c r="B2858" s="18"/>
      <c r="C2858" s="17"/>
      <c r="D2858" s="18"/>
      <c r="E2858" s="17"/>
      <c r="F2858" s="22"/>
      <c r="G2858"/>
    </row>
    <row r="2859" spans="1:7">
      <c r="A2859" s="17"/>
      <c r="B2859" s="18"/>
      <c r="C2859" s="17"/>
      <c r="D2859" s="18"/>
      <c r="E2859" s="17"/>
      <c r="F2859" s="22"/>
      <c r="G2859"/>
    </row>
    <row r="2860" spans="1:7">
      <c r="A2860" s="17"/>
      <c r="B2860" s="18"/>
      <c r="C2860" s="17"/>
      <c r="D2860" s="18"/>
      <c r="E2860" s="17"/>
      <c r="F2860" s="22"/>
      <c r="G2860"/>
    </row>
    <row r="2861" spans="1:7">
      <c r="A2861" s="17"/>
      <c r="B2861" s="18"/>
      <c r="C2861" s="17"/>
      <c r="D2861" s="18"/>
      <c r="E2861" s="17"/>
      <c r="F2861" s="22"/>
      <c r="G2861"/>
    </row>
    <row r="2862" spans="1:7">
      <c r="A2862" s="17"/>
      <c r="B2862" s="18"/>
      <c r="C2862" s="17"/>
      <c r="D2862" s="18"/>
      <c r="E2862" s="17"/>
      <c r="F2862" s="22"/>
      <c r="G2862"/>
    </row>
    <row r="2863" spans="1:7">
      <c r="A2863" s="17"/>
      <c r="B2863" s="18"/>
      <c r="C2863" s="17"/>
      <c r="D2863" s="18"/>
      <c r="E2863" s="17"/>
      <c r="F2863" s="22"/>
      <c r="G2863"/>
    </row>
    <row r="2864" spans="1:7">
      <c r="A2864" s="17"/>
      <c r="B2864" s="18"/>
      <c r="C2864" s="17"/>
      <c r="D2864" s="18"/>
      <c r="E2864" s="17"/>
      <c r="F2864" s="22"/>
      <c r="G2864"/>
    </row>
    <row r="2865" spans="1:7">
      <c r="A2865" s="17"/>
      <c r="B2865" s="18"/>
      <c r="C2865" s="17"/>
      <c r="D2865" s="18"/>
      <c r="E2865" s="17"/>
      <c r="F2865" s="22"/>
      <c r="G2865"/>
    </row>
    <row r="2866" spans="1:7">
      <c r="A2866" s="17"/>
      <c r="B2866" s="18"/>
      <c r="C2866" s="17"/>
      <c r="D2866" s="18"/>
      <c r="E2866" s="17"/>
      <c r="F2866" s="22"/>
      <c r="G2866"/>
    </row>
    <row r="2867" spans="1:7">
      <c r="A2867" s="17"/>
      <c r="B2867" s="18"/>
      <c r="C2867" s="17"/>
      <c r="D2867" s="18"/>
      <c r="E2867" s="17"/>
      <c r="F2867" s="22"/>
      <c r="G2867"/>
    </row>
    <row r="2868" spans="1:7">
      <c r="A2868" s="17"/>
      <c r="B2868" s="18"/>
      <c r="C2868" s="17"/>
      <c r="D2868" s="18"/>
      <c r="E2868" s="17"/>
      <c r="F2868" s="22"/>
      <c r="G2868"/>
    </row>
    <row r="2869" spans="1:7">
      <c r="A2869" s="17"/>
      <c r="B2869" s="18"/>
      <c r="C2869" s="17"/>
      <c r="D2869" s="18"/>
      <c r="E2869" s="17"/>
      <c r="F2869" s="22"/>
      <c r="G2869"/>
    </row>
    <row r="2870" spans="1:7">
      <c r="A2870" s="17"/>
      <c r="B2870" s="18"/>
      <c r="C2870" s="17"/>
      <c r="D2870" s="18"/>
      <c r="E2870" s="17"/>
      <c r="F2870" s="22"/>
      <c r="G2870"/>
    </row>
    <row r="2871" spans="1:7">
      <c r="A2871" s="17"/>
      <c r="B2871" s="18"/>
      <c r="C2871" s="17"/>
      <c r="D2871" s="18"/>
      <c r="E2871" s="17"/>
      <c r="F2871" s="22"/>
      <c r="G2871"/>
    </row>
    <row r="2872" spans="1:7">
      <c r="A2872" s="17"/>
      <c r="B2872" s="18"/>
      <c r="C2872" s="17"/>
      <c r="D2872" s="18"/>
      <c r="E2872" s="17"/>
      <c r="F2872" s="22"/>
      <c r="G2872"/>
    </row>
    <row r="2873" spans="1:7">
      <c r="A2873" s="17"/>
      <c r="B2873" s="18"/>
      <c r="C2873" s="17"/>
      <c r="D2873" s="18"/>
      <c r="E2873" s="17"/>
      <c r="F2873" s="22"/>
      <c r="G2873"/>
    </row>
    <row r="2874" spans="1:7">
      <c r="A2874" s="17"/>
      <c r="B2874" s="18"/>
      <c r="C2874" s="17"/>
      <c r="D2874" s="18"/>
      <c r="E2874" s="17"/>
      <c r="F2874" s="22"/>
      <c r="G2874"/>
    </row>
    <row r="2875" spans="1:7">
      <c r="A2875" s="17"/>
      <c r="B2875" s="18"/>
      <c r="C2875" s="17"/>
      <c r="D2875" s="18"/>
      <c r="E2875" s="17"/>
      <c r="F2875" s="22"/>
      <c r="G2875"/>
    </row>
    <row r="2876" spans="1:7">
      <c r="A2876" s="17"/>
      <c r="B2876" s="18"/>
      <c r="C2876" s="17"/>
      <c r="D2876" s="18"/>
      <c r="E2876" s="17"/>
      <c r="F2876" s="22"/>
      <c r="G2876"/>
    </row>
    <row r="2877" spans="1:7">
      <c r="A2877" s="17"/>
      <c r="B2877" s="18"/>
      <c r="C2877" s="17"/>
      <c r="D2877" s="18"/>
      <c r="E2877" s="17"/>
      <c r="F2877" s="22"/>
      <c r="G2877"/>
    </row>
    <row r="2878" spans="1:7">
      <c r="A2878" s="17"/>
      <c r="B2878" s="18"/>
      <c r="C2878" s="17"/>
      <c r="D2878" s="18"/>
      <c r="E2878" s="17"/>
      <c r="F2878" s="22"/>
      <c r="G2878"/>
    </row>
    <row r="2879" spans="1:7">
      <c r="A2879" s="17"/>
      <c r="B2879" s="18"/>
      <c r="C2879" s="17"/>
      <c r="D2879" s="18"/>
      <c r="E2879" s="17"/>
      <c r="F2879" s="22"/>
      <c r="G2879"/>
    </row>
    <row r="2880" spans="1:7">
      <c r="A2880" s="17"/>
      <c r="B2880" s="18"/>
      <c r="C2880" s="17"/>
      <c r="D2880" s="18"/>
      <c r="E2880" s="17"/>
      <c r="F2880" s="22"/>
      <c r="G2880"/>
    </row>
    <row r="2881" spans="1:7">
      <c r="A2881" s="17"/>
      <c r="B2881" s="18"/>
      <c r="C2881" s="17"/>
      <c r="D2881" s="18"/>
      <c r="E2881" s="17"/>
      <c r="F2881" s="22"/>
      <c r="G2881"/>
    </row>
    <row r="2882" spans="1:7">
      <c r="A2882" s="17"/>
      <c r="B2882" s="18"/>
      <c r="C2882" s="17"/>
      <c r="D2882" s="18"/>
      <c r="E2882" s="17"/>
      <c r="F2882" s="22"/>
      <c r="G2882"/>
    </row>
    <row r="2883" spans="1:7">
      <c r="A2883" s="17"/>
      <c r="B2883" s="18"/>
      <c r="C2883" s="17"/>
      <c r="D2883" s="18"/>
      <c r="E2883" s="17"/>
      <c r="F2883" s="22"/>
      <c r="G2883"/>
    </row>
    <row r="2884" spans="1:7">
      <c r="A2884" s="17"/>
      <c r="B2884" s="18"/>
      <c r="C2884" s="17"/>
      <c r="D2884" s="18"/>
      <c r="E2884" s="17"/>
      <c r="F2884" s="22"/>
      <c r="G2884"/>
    </row>
    <row r="2885" spans="1:7">
      <c r="A2885" s="17"/>
      <c r="B2885" s="18"/>
      <c r="C2885" s="17"/>
      <c r="D2885" s="18"/>
      <c r="E2885" s="17"/>
      <c r="F2885" s="22"/>
      <c r="G2885"/>
    </row>
    <row r="2886" spans="1:7">
      <c r="A2886" s="17"/>
      <c r="B2886" s="18"/>
      <c r="C2886" s="17"/>
      <c r="D2886" s="18"/>
      <c r="E2886" s="17"/>
      <c r="F2886" s="22"/>
      <c r="G2886"/>
    </row>
    <row r="2887" spans="1:7">
      <c r="A2887" s="17"/>
      <c r="B2887" s="18"/>
      <c r="C2887" s="17"/>
      <c r="D2887" s="18"/>
      <c r="E2887" s="17"/>
      <c r="F2887" s="22"/>
      <c r="G2887"/>
    </row>
    <row r="2888" spans="1:7">
      <c r="A2888" s="17"/>
      <c r="B2888" s="18"/>
      <c r="C2888" s="17"/>
      <c r="D2888" s="18"/>
      <c r="E2888" s="17"/>
      <c r="F2888" s="22"/>
      <c r="G2888"/>
    </row>
    <row r="2889" spans="1:7">
      <c r="A2889" s="17"/>
      <c r="B2889" s="18"/>
      <c r="C2889" s="17"/>
      <c r="D2889" s="18"/>
      <c r="E2889" s="17"/>
      <c r="F2889" s="22"/>
      <c r="G2889"/>
    </row>
    <row r="2890" spans="1:7">
      <c r="A2890" s="17"/>
      <c r="B2890" s="18"/>
      <c r="C2890" s="17"/>
      <c r="D2890" s="18"/>
      <c r="E2890" s="17"/>
      <c r="F2890" s="22"/>
      <c r="G2890"/>
    </row>
    <row r="2891" spans="1:7">
      <c r="A2891" s="17"/>
      <c r="B2891" s="18"/>
      <c r="C2891" s="17"/>
      <c r="D2891" s="18"/>
      <c r="E2891" s="17"/>
      <c r="F2891" s="22"/>
      <c r="G2891"/>
    </row>
    <row r="2892" spans="1:7">
      <c r="A2892" s="17"/>
      <c r="B2892" s="18"/>
      <c r="C2892" s="17"/>
      <c r="D2892" s="18"/>
      <c r="E2892" s="17"/>
      <c r="F2892" s="22"/>
      <c r="G2892"/>
    </row>
    <row r="2893" spans="1:7">
      <c r="A2893" s="17"/>
      <c r="B2893" s="18"/>
      <c r="C2893" s="17"/>
      <c r="D2893" s="18"/>
      <c r="E2893" s="17"/>
      <c r="F2893" s="22"/>
      <c r="G2893"/>
    </row>
    <row r="2894" spans="1:7">
      <c r="A2894" s="17"/>
      <c r="B2894" s="18"/>
      <c r="C2894" s="17"/>
      <c r="D2894" s="18"/>
      <c r="E2894" s="17"/>
      <c r="F2894" s="22"/>
      <c r="G2894"/>
    </row>
    <row r="2895" spans="1:7">
      <c r="A2895" s="17"/>
      <c r="B2895" s="18"/>
      <c r="C2895" s="17"/>
      <c r="D2895" s="18"/>
      <c r="E2895" s="17"/>
      <c r="F2895" s="22"/>
      <c r="G2895"/>
    </row>
    <row r="2896" spans="1:7">
      <c r="A2896" s="17"/>
      <c r="B2896" s="18"/>
      <c r="C2896" s="17"/>
      <c r="D2896" s="18"/>
      <c r="E2896" s="17"/>
      <c r="F2896" s="22"/>
      <c r="G2896"/>
    </row>
    <row r="2897" spans="1:7">
      <c r="A2897" s="17"/>
      <c r="B2897" s="18"/>
      <c r="C2897" s="17"/>
      <c r="D2897" s="18"/>
      <c r="E2897" s="17"/>
      <c r="F2897" s="22"/>
      <c r="G2897"/>
    </row>
    <row r="2898" spans="1:7">
      <c r="A2898" s="17"/>
      <c r="B2898" s="18"/>
      <c r="C2898" s="17"/>
      <c r="D2898" s="18"/>
      <c r="E2898" s="17"/>
      <c r="F2898" s="22"/>
      <c r="G2898"/>
    </row>
    <row r="2899" spans="1:7">
      <c r="A2899" s="17"/>
      <c r="B2899" s="18"/>
      <c r="C2899" s="17"/>
      <c r="D2899" s="18"/>
      <c r="E2899" s="17"/>
      <c r="F2899" s="22"/>
      <c r="G2899"/>
    </row>
    <row r="2900" spans="1:7">
      <c r="A2900" s="17"/>
      <c r="B2900" s="18"/>
      <c r="C2900" s="17"/>
      <c r="D2900" s="18"/>
      <c r="E2900" s="17"/>
      <c r="F2900" s="22"/>
      <c r="G2900"/>
    </row>
    <row r="2901" spans="1:7">
      <c r="A2901" s="17"/>
      <c r="B2901" s="18"/>
      <c r="C2901" s="17"/>
      <c r="D2901" s="18"/>
      <c r="E2901" s="17"/>
      <c r="F2901" s="22"/>
      <c r="G2901"/>
    </row>
    <row r="2902" spans="1:7">
      <c r="A2902" s="17"/>
      <c r="B2902" s="18"/>
      <c r="C2902" s="17"/>
      <c r="D2902" s="18"/>
      <c r="E2902" s="17"/>
      <c r="F2902" s="22"/>
      <c r="G2902"/>
    </row>
    <row r="2903" spans="1:7">
      <c r="A2903" s="17"/>
      <c r="B2903" s="18"/>
      <c r="C2903" s="17"/>
      <c r="D2903" s="18"/>
      <c r="E2903" s="17"/>
      <c r="F2903" s="22"/>
      <c r="G2903"/>
    </row>
    <row r="2904" spans="1:7">
      <c r="A2904" s="17"/>
      <c r="B2904" s="18"/>
      <c r="C2904" s="17"/>
      <c r="D2904" s="18"/>
      <c r="E2904" s="17"/>
      <c r="F2904" s="22"/>
      <c r="G2904"/>
    </row>
    <row r="2905" spans="1:7">
      <c r="A2905" s="17"/>
      <c r="B2905" s="18"/>
      <c r="C2905" s="17"/>
      <c r="D2905" s="18"/>
      <c r="E2905" s="17"/>
      <c r="F2905" s="22"/>
      <c r="G2905"/>
    </row>
    <row r="2906" spans="1:7">
      <c r="A2906" s="17"/>
      <c r="B2906" s="18"/>
      <c r="C2906" s="17"/>
      <c r="D2906" s="18"/>
      <c r="E2906" s="17"/>
      <c r="F2906" s="22"/>
      <c r="G2906"/>
    </row>
    <row r="2907" spans="1:7">
      <c r="A2907" s="17"/>
      <c r="B2907" s="18"/>
      <c r="C2907" s="17"/>
      <c r="D2907" s="18"/>
      <c r="E2907" s="17"/>
      <c r="F2907" s="22"/>
      <c r="G2907"/>
    </row>
    <row r="2908" spans="1:7">
      <c r="A2908" s="17"/>
      <c r="B2908" s="18"/>
      <c r="C2908" s="17"/>
      <c r="D2908" s="18"/>
      <c r="E2908" s="17"/>
      <c r="F2908" s="22"/>
      <c r="G2908"/>
    </row>
    <row r="2909" spans="1:7">
      <c r="A2909" s="17"/>
      <c r="B2909" s="18"/>
      <c r="C2909" s="17"/>
      <c r="D2909" s="18"/>
      <c r="E2909" s="17"/>
      <c r="F2909" s="22"/>
      <c r="G2909"/>
    </row>
    <row r="2910" spans="1:7">
      <c r="A2910" s="17"/>
      <c r="B2910" s="18"/>
      <c r="C2910" s="17"/>
      <c r="D2910" s="18"/>
      <c r="E2910" s="17"/>
      <c r="F2910" s="22"/>
      <c r="G2910"/>
    </row>
    <row r="2911" spans="1:7">
      <c r="A2911" s="17"/>
      <c r="B2911" s="18"/>
      <c r="C2911" s="17"/>
      <c r="D2911" s="18"/>
      <c r="E2911" s="17"/>
      <c r="F2911" s="22"/>
      <c r="G2911"/>
    </row>
    <row r="2912" spans="1:7">
      <c r="A2912" s="17"/>
      <c r="B2912" s="18"/>
      <c r="C2912" s="17"/>
      <c r="D2912" s="18"/>
      <c r="E2912" s="17"/>
      <c r="F2912" s="22"/>
      <c r="G2912"/>
    </row>
    <row r="2913" spans="1:7">
      <c r="A2913" s="17"/>
      <c r="B2913" s="18"/>
      <c r="C2913" s="17"/>
      <c r="D2913" s="18"/>
      <c r="E2913" s="17"/>
      <c r="F2913" s="22"/>
      <c r="G2913"/>
    </row>
    <row r="2914" spans="1:7">
      <c r="A2914" s="17"/>
      <c r="B2914" s="18"/>
      <c r="C2914" s="17"/>
      <c r="D2914" s="18"/>
      <c r="E2914" s="17"/>
      <c r="F2914" s="22"/>
      <c r="G2914"/>
    </row>
    <row r="2915" spans="1:7">
      <c r="A2915" s="17"/>
      <c r="B2915" s="18"/>
      <c r="C2915" s="17"/>
      <c r="D2915" s="18"/>
      <c r="E2915" s="17"/>
      <c r="F2915" s="22"/>
      <c r="G2915"/>
    </row>
    <row r="2916" spans="1:7">
      <c r="A2916" s="17"/>
      <c r="B2916" s="18"/>
      <c r="C2916" s="17"/>
      <c r="D2916" s="18"/>
      <c r="E2916" s="17"/>
      <c r="F2916" s="22"/>
      <c r="G2916"/>
    </row>
    <row r="2917" spans="1:7">
      <c r="A2917" s="17"/>
      <c r="B2917" s="18"/>
      <c r="C2917" s="17"/>
      <c r="D2917" s="18"/>
      <c r="E2917" s="17"/>
      <c r="F2917" s="22"/>
      <c r="G2917"/>
    </row>
    <row r="2918" spans="1:7">
      <c r="A2918" s="17"/>
      <c r="B2918" s="18"/>
      <c r="C2918" s="17"/>
      <c r="D2918" s="18"/>
      <c r="E2918" s="17"/>
      <c r="F2918" s="22"/>
      <c r="G2918"/>
    </row>
    <row r="2919" spans="1:7">
      <c r="A2919" s="17"/>
      <c r="B2919" s="18"/>
      <c r="C2919" s="17"/>
      <c r="D2919" s="18"/>
      <c r="E2919" s="17"/>
      <c r="F2919" s="22"/>
      <c r="G2919"/>
    </row>
    <row r="2920" spans="1:7">
      <c r="A2920" s="17"/>
      <c r="B2920" s="18"/>
      <c r="C2920" s="17"/>
      <c r="D2920" s="18"/>
      <c r="E2920" s="17"/>
      <c r="F2920" s="22"/>
      <c r="G2920"/>
    </row>
    <row r="2921" spans="1:7">
      <c r="A2921" s="17"/>
      <c r="B2921" s="18"/>
      <c r="C2921" s="17"/>
      <c r="D2921" s="18"/>
      <c r="E2921" s="17"/>
      <c r="F2921" s="22"/>
      <c r="G2921"/>
    </row>
    <row r="2922" spans="1:7">
      <c r="A2922" s="17"/>
      <c r="B2922" s="18"/>
      <c r="C2922" s="17"/>
      <c r="D2922" s="18"/>
      <c r="E2922" s="17"/>
      <c r="F2922" s="22"/>
      <c r="G2922"/>
    </row>
    <row r="2923" spans="1:7">
      <c r="A2923" s="17"/>
      <c r="B2923" s="18"/>
      <c r="C2923" s="17"/>
      <c r="D2923" s="18"/>
      <c r="E2923" s="17"/>
      <c r="F2923" s="22"/>
      <c r="G2923"/>
    </row>
    <row r="2924" spans="1:7">
      <c r="A2924" s="17"/>
      <c r="B2924" s="18"/>
      <c r="C2924" s="17"/>
      <c r="D2924" s="18"/>
      <c r="E2924" s="17"/>
      <c r="F2924" s="22"/>
      <c r="G2924"/>
    </row>
    <row r="2925" spans="1:7">
      <c r="A2925" s="17"/>
      <c r="B2925" s="18"/>
      <c r="C2925" s="17"/>
      <c r="D2925" s="18"/>
      <c r="E2925" s="17"/>
      <c r="F2925" s="22"/>
      <c r="G2925"/>
    </row>
    <row r="2926" spans="1:7">
      <c r="A2926" s="17"/>
      <c r="B2926" s="18"/>
      <c r="C2926" s="17"/>
      <c r="D2926" s="18"/>
      <c r="E2926" s="17"/>
      <c r="F2926" s="22"/>
      <c r="G2926"/>
    </row>
    <row r="2927" spans="1:7">
      <c r="A2927" s="17"/>
      <c r="B2927" s="18"/>
      <c r="C2927" s="17"/>
      <c r="D2927" s="18"/>
      <c r="E2927" s="17"/>
      <c r="F2927" s="22"/>
      <c r="G2927"/>
    </row>
    <row r="2928" spans="1:7">
      <c r="A2928" s="17"/>
      <c r="B2928" s="18"/>
      <c r="C2928" s="17"/>
      <c r="D2928" s="18"/>
      <c r="E2928" s="17"/>
      <c r="F2928" s="22"/>
      <c r="G2928"/>
    </row>
    <row r="2929" spans="1:7">
      <c r="A2929" s="17"/>
      <c r="B2929" s="18"/>
      <c r="C2929" s="17"/>
      <c r="D2929" s="18"/>
      <c r="E2929" s="17"/>
      <c r="F2929" s="22"/>
      <c r="G2929"/>
    </row>
    <row r="2930" spans="1:7">
      <c r="A2930" s="17"/>
      <c r="B2930" s="18"/>
      <c r="C2930" s="17"/>
      <c r="D2930" s="18"/>
      <c r="E2930" s="17"/>
      <c r="F2930" s="22"/>
      <c r="G2930"/>
    </row>
    <row r="2931" spans="1:7">
      <c r="A2931" s="17"/>
      <c r="B2931" s="18"/>
      <c r="C2931" s="17"/>
      <c r="D2931" s="18"/>
      <c r="E2931" s="17"/>
      <c r="F2931" s="22"/>
      <c r="G2931"/>
    </row>
    <row r="2932" spans="1:7">
      <c r="A2932" s="17"/>
      <c r="B2932" s="18"/>
      <c r="C2932" s="17"/>
      <c r="D2932" s="18"/>
      <c r="E2932" s="17"/>
      <c r="F2932" s="22"/>
      <c r="G2932"/>
    </row>
    <row r="2933" spans="1:7">
      <c r="A2933" s="17"/>
      <c r="B2933" s="18"/>
      <c r="C2933" s="17"/>
      <c r="D2933" s="18"/>
      <c r="E2933" s="17"/>
      <c r="F2933" s="22"/>
      <c r="G2933"/>
    </row>
    <row r="2934" spans="1:7">
      <c r="A2934" s="17"/>
      <c r="B2934" s="18"/>
      <c r="C2934" s="17"/>
      <c r="D2934" s="18"/>
      <c r="E2934" s="17"/>
      <c r="F2934" s="22"/>
      <c r="G2934"/>
    </row>
    <row r="2935" spans="1:7">
      <c r="A2935" s="17"/>
      <c r="B2935" s="18"/>
      <c r="C2935" s="17"/>
      <c r="D2935" s="18"/>
      <c r="E2935" s="17"/>
      <c r="F2935" s="22"/>
      <c r="G2935"/>
    </row>
    <row r="2936" spans="1:7">
      <c r="A2936" s="17"/>
      <c r="B2936" s="18"/>
      <c r="C2936" s="17"/>
      <c r="D2936" s="18"/>
      <c r="E2936" s="17"/>
      <c r="F2936" s="22"/>
      <c r="G2936"/>
    </row>
    <row r="2937" spans="1:7">
      <c r="A2937" s="17"/>
      <c r="B2937" s="18"/>
      <c r="C2937" s="17"/>
      <c r="D2937" s="18"/>
      <c r="E2937" s="17"/>
      <c r="F2937" s="22"/>
      <c r="G2937"/>
    </row>
    <row r="2938" spans="1:7">
      <c r="A2938" s="17"/>
      <c r="B2938" s="18"/>
      <c r="C2938" s="17"/>
      <c r="D2938" s="18"/>
      <c r="E2938" s="17"/>
      <c r="F2938" s="22"/>
      <c r="G2938"/>
    </row>
    <row r="2939" spans="1:7">
      <c r="A2939" s="17"/>
      <c r="B2939" s="18"/>
      <c r="C2939" s="17"/>
      <c r="D2939" s="18"/>
      <c r="E2939" s="17"/>
      <c r="F2939" s="22"/>
      <c r="G2939"/>
    </row>
    <row r="2940" spans="1:7">
      <c r="A2940" s="17"/>
      <c r="B2940" s="18"/>
      <c r="C2940" s="17"/>
      <c r="D2940" s="18"/>
      <c r="E2940" s="17"/>
      <c r="F2940" s="22"/>
      <c r="G2940"/>
    </row>
    <row r="2941" spans="1:7">
      <c r="A2941" s="17"/>
      <c r="B2941" s="18"/>
      <c r="C2941" s="17"/>
      <c r="D2941" s="18"/>
      <c r="E2941" s="17"/>
      <c r="F2941" s="22"/>
      <c r="G2941"/>
    </row>
    <row r="2942" spans="1:7">
      <c r="A2942" s="17"/>
      <c r="B2942" s="18"/>
      <c r="C2942" s="17"/>
      <c r="D2942" s="18"/>
      <c r="E2942" s="17"/>
      <c r="F2942" s="22"/>
      <c r="G2942"/>
    </row>
    <row r="2943" spans="1:7">
      <c r="A2943" s="17"/>
      <c r="B2943" s="18"/>
      <c r="C2943" s="17"/>
      <c r="D2943" s="18"/>
      <c r="E2943" s="17"/>
      <c r="F2943" s="22"/>
      <c r="G2943"/>
    </row>
    <row r="2944" spans="1:7">
      <c r="A2944" s="17"/>
      <c r="B2944" s="18"/>
      <c r="C2944" s="17"/>
      <c r="D2944" s="18"/>
      <c r="E2944" s="17"/>
      <c r="F2944" s="22"/>
      <c r="G2944"/>
    </row>
    <row r="2945" spans="1:7">
      <c r="A2945" s="17"/>
      <c r="B2945" s="18"/>
      <c r="C2945" s="17"/>
      <c r="D2945" s="18"/>
      <c r="E2945" s="17"/>
      <c r="F2945" s="22"/>
      <c r="G2945"/>
    </row>
    <row r="2946" spans="1:7">
      <c r="A2946" s="17"/>
      <c r="B2946" s="18"/>
      <c r="C2946" s="17"/>
      <c r="D2946" s="18"/>
      <c r="E2946" s="17"/>
      <c r="F2946" s="22"/>
      <c r="G2946"/>
    </row>
    <row r="2947" spans="1:7">
      <c r="A2947" s="17"/>
      <c r="B2947" s="18"/>
      <c r="C2947" s="17"/>
      <c r="D2947" s="18"/>
      <c r="E2947" s="17"/>
      <c r="F2947" s="22"/>
      <c r="G2947"/>
    </row>
    <row r="2948" spans="1:7">
      <c r="A2948" s="17"/>
      <c r="B2948" s="18"/>
      <c r="C2948" s="17"/>
      <c r="D2948" s="18"/>
      <c r="E2948" s="17"/>
      <c r="F2948" s="22"/>
      <c r="G2948"/>
    </row>
    <row r="2949" spans="1:7">
      <c r="A2949" s="17"/>
      <c r="B2949" s="18"/>
      <c r="C2949" s="17"/>
      <c r="D2949" s="18"/>
      <c r="E2949" s="17"/>
      <c r="F2949" s="22"/>
      <c r="G2949"/>
    </row>
    <row r="2950" spans="1:7">
      <c r="A2950" s="17"/>
      <c r="B2950" s="18"/>
      <c r="C2950" s="17"/>
      <c r="D2950" s="18"/>
      <c r="E2950" s="17"/>
      <c r="F2950" s="22"/>
      <c r="G2950"/>
    </row>
    <row r="2951" spans="1:7">
      <c r="A2951" s="17"/>
      <c r="B2951" s="18"/>
      <c r="C2951" s="17"/>
      <c r="D2951" s="18"/>
      <c r="E2951" s="17"/>
      <c r="F2951" s="22"/>
      <c r="G2951"/>
    </row>
    <row r="2952" spans="1:7">
      <c r="A2952" s="17"/>
      <c r="B2952" s="18"/>
      <c r="C2952" s="17"/>
      <c r="D2952" s="18"/>
      <c r="E2952" s="17"/>
      <c r="F2952" s="22"/>
      <c r="G2952"/>
    </row>
    <row r="2953" spans="1:7">
      <c r="A2953" s="17"/>
      <c r="B2953" s="18"/>
      <c r="C2953" s="17"/>
      <c r="D2953" s="18"/>
      <c r="E2953" s="17"/>
      <c r="F2953" s="22"/>
      <c r="G2953"/>
    </row>
    <row r="2954" spans="1:7">
      <c r="A2954" s="17"/>
      <c r="B2954" s="18"/>
      <c r="C2954" s="17"/>
      <c r="D2954" s="18"/>
      <c r="E2954" s="17"/>
      <c r="F2954" s="22"/>
      <c r="G2954"/>
    </row>
    <row r="2955" spans="1:7">
      <c r="A2955" s="17"/>
      <c r="B2955" s="18"/>
      <c r="C2955" s="17"/>
      <c r="D2955" s="18"/>
      <c r="E2955" s="17"/>
      <c r="F2955" s="22"/>
      <c r="G2955"/>
    </row>
    <row r="2956" spans="1:7">
      <c r="A2956" s="17"/>
      <c r="B2956" s="18"/>
      <c r="C2956" s="17"/>
      <c r="D2956" s="18"/>
      <c r="E2956" s="17"/>
      <c r="F2956" s="22"/>
      <c r="G2956"/>
    </row>
    <row r="2957" spans="1:7">
      <c r="A2957" s="17"/>
      <c r="B2957" s="18"/>
      <c r="C2957" s="17"/>
      <c r="D2957" s="18"/>
      <c r="E2957" s="17"/>
      <c r="F2957" s="22"/>
      <c r="G2957"/>
    </row>
    <row r="2958" spans="1:7">
      <c r="A2958" s="17"/>
      <c r="B2958" s="18"/>
      <c r="C2958" s="17"/>
      <c r="D2958" s="18"/>
      <c r="E2958" s="17"/>
      <c r="F2958" s="22"/>
      <c r="G2958"/>
    </row>
    <row r="2959" spans="1:7">
      <c r="A2959" s="17"/>
      <c r="B2959" s="18"/>
      <c r="C2959" s="17"/>
      <c r="D2959" s="18"/>
      <c r="E2959" s="17"/>
      <c r="F2959" s="22"/>
      <c r="G2959"/>
    </row>
    <row r="2960" spans="1:7">
      <c r="A2960" s="17"/>
      <c r="B2960" s="18"/>
      <c r="C2960" s="17"/>
      <c r="D2960" s="18"/>
      <c r="E2960" s="17"/>
      <c r="F2960" s="22"/>
      <c r="G2960"/>
    </row>
    <row r="2961" spans="1:7">
      <c r="A2961" s="17"/>
      <c r="B2961" s="18"/>
      <c r="C2961" s="17"/>
      <c r="D2961" s="18"/>
      <c r="E2961" s="17"/>
      <c r="F2961" s="22"/>
      <c r="G2961"/>
    </row>
    <row r="2962" spans="1:7">
      <c r="A2962" s="17"/>
      <c r="B2962" s="18"/>
      <c r="C2962" s="17"/>
      <c r="D2962" s="18"/>
      <c r="E2962" s="17"/>
      <c r="F2962" s="22"/>
      <c r="G2962"/>
    </row>
    <row r="2963" spans="1:7">
      <c r="A2963" s="17"/>
      <c r="B2963" s="18"/>
      <c r="C2963" s="17"/>
      <c r="D2963" s="18"/>
      <c r="E2963" s="17"/>
      <c r="F2963" s="22"/>
      <c r="G2963"/>
    </row>
    <row r="2964" spans="1:7">
      <c r="A2964" s="17"/>
      <c r="B2964" s="18"/>
      <c r="C2964" s="17"/>
      <c r="D2964" s="18"/>
      <c r="E2964" s="17"/>
      <c r="F2964" s="22"/>
      <c r="G2964"/>
    </row>
    <row r="2965" spans="1:7">
      <c r="A2965" s="17"/>
      <c r="B2965" s="18"/>
      <c r="C2965" s="17"/>
      <c r="D2965" s="18"/>
      <c r="E2965" s="17"/>
      <c r="F2965" s="22"/>
      <c r="G2965"/>
    </row>
    <row r="2966" spans="1:7">
      <c r="A2966" s="17"/>
      <c r="B2966" s="18"/>
      <c r="C2966" s="17"/>
      <c r="D2966" s="18"/>
      <c r="E2966" s="17"/>
      <c r="F2966" s="22"/>
      <c r="G2966"/>
    </row>
    <row r="2967" spans="1:7">
      <c r="A2967" s="17"/>
      <c r="B2967" s="18"/>
      <c r="C2967" s="17"/>
      <c r="D2967" s="18"/>
      <c r="E2967" s="17"/>
      <c r="F2967" s="22"/>
      <c r="G2967"/>
    </row>
    <row r="2968" spans="1:7">
      <c r="A2968" s="17"/>
      <c r="B2968" s="18"/>
      <c r="C2968" s="17"/>
      <c r="D2968" s="18"/>
      <c r="E2968" s="17"/>
      <c r="F2968" s="22"/>
      <c r="G2968"/>
    </row>
    <row r="2969" spans="1:7">
      <c r="A2969" s="17"/>
      <c r="B2969" s="18"/>
      <c r="C2969" s="17"/>
      <c r="D2969" s="18"/>
      <c r="E2969" s="17"/>
      <c r="F2969" s="22"/>
      <c r="G2969"/>
    </row>
    <row r="2970" spans="1:7">
      <c r="A2970" s="17"/>
      <c r="B2970" s="18"/>
      <c r="C2970" s="17"/>
      <c r="D2970" s="18"/>
      <c r="E2970" s="17"/>
      <c r="F2970" s="22"/>
      <c r="G2970"/>
    </row>
    <row r="2971" spans="1:7">
      <c r="A2971" s="17"/>
      <c r="B2971" s="18"/>
      <c r="C2971" s="17"/>
      <c r="D2971" s="18"/>
      <c r="E2971" s="17"/>
      <c r="F2971" s="22"/>
      <c r="G2971"/>
    </row>
    <row r="2972" spans="1:7">
      <c r="A2972" s="17"/>
      <c r="B2972" s="18"/>
      <c r="C2972" s="17"/>
      <c r="D2972" s="18"/>
      <c r="E2972" s="17"/>
      <c r="F2972" s="22"/>
      <c r="G2972"/>
    </row>
    <row r="2973" spans="1:7">
      <c r="A2973" s="17"/>
      <c r="B2973" s="18"/>
      <c r="C2973" s="17"/>
      <c r="D2973" s="18"/>
      <c r="E2973" s="17"/>
      <c r="F2973" s="22"/>
      <c r="G2973"/>
    </row>
    <row r="2974" spans="1:7">
      <c r="A2974" s="17"/>
      <c r="B2974" s="18"/>
      <c r="C2974" s="17"/>
      <c r="D2974" s="18"/>
      <c r="E2974" s="17"/>
      <c r="F2974" s="22"/>
      <c r="G2974"/>
    </row>
    <row r="2975" spans="1:7">
      <c r="A2975" s="17"/>
      <c r="B2975" s="18"/>
      <c r="C2975" s="17"/>
      <c r="D2975" s="18"/>
      <c r="E2975" s="17"/>
      <c r="F2975" s="22"/>
      <c r="G2975"/>
    </row>
    <row r="2976" spans="1:7">
      <c r="A2976" s="17"/>
      <c r="B2976" s="18"/>
      <c r="C2976" s="17"/>
      <c r="D2976" s="18"/>
      <c r="E2976" s="17"/>
      <c r="F2976" s="22"/>
      <c r="G2976"/>
    </row>
    <row r="2977" spans="1:7">
      <c r="A2977" s="17"/>
      <c r="B2977" s="18"/>
      <c r="C2977" s="17"/>
      <c r="D2977" s="18"/>
      <c r="E2977" s="17"/>
      <c r="F2977" s="22"/>
      <c r="G2977"/>
    </row>
    <row r="2978" spans="1:7">
      <c r="A2978" s="17"/>
      <c r="B2978" s="18"/>
      <c r="C2978" s="17"/>
      <c r="D2978" s="18"/>
      <c r="E2978" s="17"/>
      <c r="F2978" s="22"/>
      <c r="G2978"/>
    </row>
    <row r="2979" spans="1:7">
      <c r="A2979" s="17"/>
      <c r="B2979" s="18"/>
      <c r="C2979" s="17"/>
      <c r="D2979" s="18"/>
      <c r="E2979" s="17"/>
      <c r="F2979" s="22"/>
      <c r="G2979"/>
    </row>
    <row r="2980" spans="1:7">
      <c r="A2980" s="17"/>
      <c r="B2980" s="18"/>
      <c r="C2980" s="17"/>
      <c r="D2980" s="18"/>
      <c r="E2980" s="17"/>
      <c r="F2980" s="22"/>
      <c r="G2980"/>
    </row>
    <row r="2981" spans="1:7">
      <c r="A2981" s="17"/>
      <c r="B2981" s="18"/>
      <c r="C2981" s="17"/>
      <c r="D2981" s="18"/>
      <c r="E2981" s="17"/>
      <c r="F2981" s="22"/>
      <c r="G2981"/>
    </row>
    <row r="2982" spans="1:7">
      <c r="A2982" s="17"/>
      <c r="B2982" s="18"/>
      <c r="C2982" s="17"/>
      <c r="D2982" s="18"/>
      <c r="E2982" s="17"/>
      <c r="F2982" s="22"/>
      <c r="G2982"/>
    </row>
    <row r="2983" spans="1:7">
      <c r="A2983" s="17"/>
      <c r="B2983" s="18"/>
      <c r="C2983" s="17"/>
      <c r="D2983" s="18"/>
      <c r="E2983" s="17"/>
      <c r="F2983" s="22"/>
      <c r="G2983"/>
    </row>
    <row r="2984" spans="1:7">
      <c r="A2984" s="17"/>
      <c r="B2984" s="18"/>
      <c r="C2984" s="17"/>
      <c r="D2984" s="18"/>
      <c r="E2984" s="17"/>
      <c r="F2984" s="22"/>
      <c r="G2984"/>
    </row>
    <row r="2985" spans="1:7">
      <c r="A2985" s="17"/>
      <c r="B2985" s="18"/>
      <c r="C2985" s="17"/>
      <c r="D2985" s="18"/>
      <c r="E2985" s="17"/>
      <c r="F2985" s="22"/>
      <c r="G2985"/>
    </row>
    <row r="2986" spans="1:7">
      <c r="A2986" s="17"/>
      <c r="B2986" s="18"/>
      <c r="C2986" s="17"/>
      <c r="D2986" s="18"/>
      <c r="E2986" s="17"/>
      <c r="F2986" s="22"/>
      <c r="G2986"/>
    </row>
    <row r="2987" spans="1:7">
      <c r="A2987" s="17"/>
      <c r="B2987" s="18"/>
      <c r="C2987" s="17"/>
      <c r="D2987" s="18"/>
      <c r="E2987" s="17"/>
      <c r="F2987" s="22"/>
      <c r="G2987"/>
    </row>
    <row r="2988" spans="1:7">
      <c r="A2988" s="17"/>
      <c r="B2988" s="18"/>
      <c r="C2988" s="17"/>
      <c r="D2988" s="18"/>
      <c r="E2988" s="17"/>
      <c r="F2988" s="22"/>
      <c r="G2988"/>
    </row>
    <row r="2989" spans="1:7">
      <c r="A2989" s="17"/>
      <c r="B2989" s="18"/>
      <c r="C2989" s="17"/>
      <c r="D2989" s="18"/>
      <c r="E2989" s="17"/>
      <c r="F2989" s="22"/>
      <c r="G2989"/>
    </row>
    <row r="2990" spans="1:7">
      <c r="A2990" s="17"/>
      <c r="B2990" s="18"/>
      <c r="C2990" s="17"/>
      <c r="D2990" s="18"/>
      <c r="E2990" s="17"/>
      <c r="F2990" s="22"/>
      <c r="G2990"/>
    </row>
    <row r="2991" spans="1:7">
      <c r="A2991" s="17"/>
      <c r="B2991" s="18"/>
      <c r="C2991" s="17"/>
      <c r="D2991" s="18"/>
      <c r="E2991" s="17"/>
      <c r="F2991" s="22"/>
      <c r="G2991"/>
    </row>
    <row r="2992" spans="1:7">
      <c r="A2992" s="17"/>
      <c r="B2992" s="18"/>
      <c r="C2992" s="17"/>
      <c r="D2992" s="18"/>
      <c r="E2992" s="17"/>
      <c r="F2992" s="22"/>
      <c r="G2992"/>
    </row>
    <row r="2993" spans="1:7">
      <c r="A2993" s="17"/>
      <c r="B2993" s="18"/>
      <c r="C2993" s="17"/>
      <c r="D2993" s="18"/>
      <c r="E2993" s="17"/>
      <c r="F2993" s="22"/>
      <c r="G2993"/>
    </row>
    <row r="2994" spans="1:7">
      <c r="A2994" s="17"/>
      <c r="B2994" s="18"/>
      <c r="C2994" s="17"/>
      <c r="D2994" s="18"/>
      <c r="E2994" s="17"/>
      <c r="F2994" s="22"/>
      <c r="G2994"/>
    </row>
    <row r="2995" spans="1:7">
      <c r="A2995" s="17"/>
      <c r="B2995" s="18"/>
      <c r="C2995" s="17"/>
      <c r="D2995" s="18"/>
      <c r="E2995" s="17"/>
      <c r="F2995" s="22"/>
      <c r="G2995"/>
    </row>
    <row r="2996" spans="1:7">
      <c r="A2996" s="17"/>
      <c r="B2996" s="18"/>
      <c r="C2996" s="17"/>
      <c r="D2996" s="18"/>
      <c r="E2996" s="17"/>
      <c r="F2996" s="22"/>
      <c r="G2996"/>
    </row>
    <row r="2997" spans="1:7">
      <c r="A2997" s="17"/>
      <c r="B2997" s="18"/>
      <c r="C2997" s="17"/>
      <c r="D2997" s="18"/>
      <c r="E2997" s="17"/>
      <c r="F2997" s="22"/>
      <c r="G2997"/>
    </row>
    <row r="2998" spans="1:7">
      <c r="A2998" s="17"/>
      <c r="B2998" s="18"/>
      <c r="C2998" s="17"/>
      <c r="D2998" s="18"/>
      <c r="E2998" s="17"/>
      <c r="F2998" s="22"/>
      <c r="G2998"/>
    </row>
    <row r="2999" spans="1:7">
      <c r="A2999" s="17"/>
      <c r="B2999" s="18"/>
      <c r="C2999" s="17"/>
      <c r="D2999" s="18"/>
      <c r="E2999" s="17"/>
      <c r="F2999" s="22"/>
      <c r="G2999"/>
    </row>
    <row r="3000" spans="1:7">
      <c r="A3000" s="17"/>
      <c r="B3000" s="18"/>
      <c r="C3000" s="17"/>
      <c r="D3000" s="18"/>
      <c r="E3000" s="17"/>
      <c r="F3000" s="22"/>
      <c r="G3000"/>
    </row>
    <row r="3001" spans="1:7">
      <c r="A3001" s="17"/>
      <c r="B3001" s="18"/>
      <c r="C3001" s="17"/>
      <c r="D3001" s="18"/>
      <c r="E3001" s="17"/>
      <c r="F3001" s="22"/>
      <c r="G3001"/>
    </row>
    <row r="3002" spans="1:7">
      <c r="A3002" s="17"/>
      <c r="B3002" s="18"/>
      <c r="C3002" s="17"/>
      <c r="D3002" s="18"/>
      <c r="E3002" s="17"/>
      <c r="F3002" s="22"/>
      <c r="G3002"/>
    </row>
    <row r="3003" spans="1:7">
      <c r="A3003" s="17"/>
      <c r="B3003" s="18"/>
      <c r="C3003" s="17"/>
      <c r="D3003" s="18"/>
      <c r="E3003" s="17"/>
      <c r="F3003" s="22"/>
      <c r="G3003"/>
    </row>
    <row r="3004" spans="1:7">
      <c r="A3004" s="17"/>
      <c r="B3004" s="18"/>
      <c r="C3004" s="17"/>
      <c r="D3004" s="18"/>
      <c r="E3004" s="17"/>
      <c r="F3004" s="22"/>
      <c r="G3004"/>
    </row>
    <row r="3005" spans="1:7">
      <c r="A3005" s="17"/>
      <c r="B3005" s="18"/>
      <c r="C3005" s="17"/>
      <c r="D3005" s="18"/>
      <c r="E3005" s="17"/>
      <c r="F3005" s="22"/>
      <c r="G3005"/>
    </row>
    <row r="3006" spans="1:7">
      <c r="A3006" s="17"/>
      <c r="B3006" s="18"/>
      <c r="C3006" s="17"/>
      <c r="D3006" s="18"/>
      <c r="E3006" s="17"/>
      <c r="F3006" s="22"/>
      <c r="G3006"/>
    </row>
    <row r="3007" spans="1:7">
      <c r="A3007" s="17"/>
      <c r="B3007" s="18"/>
      <c r="C3007" s="17"/>
      <c r="D3007" s="18"/>
      <c r="E3007" s="17"/>
      <c r="F3007" s="22"/>
      <c r="G3007"/>
    </row>
    <row r="3008" spans="1:7">
      <c r="A3008" s="17"/>
      <c r="B3008" s="18"/>
      <c r="C3008" s="17"/>
      <c r="D3008" s="18"/>
      <c r="E3008" s="17"/>
      <c r="F3008" s="22"/>
      <c r="G3008"/>
    </row>
    <row r="3009" spans="1:7">
      <c r="A3009" s="17"/>
      <c r="B3009" s="18"/>
      <c r="C3009" s="17"/>
      <c r="D3009" s="18"/>
      <c r="E3009" s="17"/>
      <c r="F3009" s="22"/>
      <c r="G3009"/>
    </row>
    <row r="3010" spans="1:7">
      <c r="A3010" s="17"/>
      <c r="B3010" s="18"/>
      <c r="C3010" s="17"/>
      <c r="D3010" s="18"/>
      <c r="E3010" s="17"/>
      <c r="F3010" s="22"/>
      <c r="G3010"/>
    </row>
    <row r="3011" spans="1:7">
      <c r="A3011" s="17"/>
      <c r="B3011" s="18"/>
      <c r="C3011" s="17"/>
      <c r="D3011" s="18"/>
      <c r="E3011" s="17"/>
      <c r="F3011" s="22"/>
      <c r="G3011"/>
    </row>
    <row r="3012" spans="1:7">
      <c r="A3012" s="17"/>
      <c r="B3012" s="18"/>
      <c r="C3012" s="17"/>
      <c r="D3012" s="18"/>
      <c r="E3012" s="17"/>
      <c r="F3012" s="22"/>
      <c r="G3012"/>
    </row>
    <row r="3013" spans="1:7">
      <c r="A3013" s="17"/>
      <c r="B3013" s="18"/>
      <c r="C3013" s="17"/>
      <c r="D3013" s="18"/>
      <c r="E3013" s="17"/>
      <c r="F3013" s="22"/>
      <c r="G3013"/>
    </row>
    <row r="3014" spans="1:7">
      <c r="A3014" s="17"/>
      <c r="B3014" s="18"/>
      <c r="C3014" s="17"/>
      <c r="D3014" s="18"/>
      <c r="E3014" s="17"/>
      <c r="F3014" s="22"/>
      <c r="G3014"/>
    </row>
    <row r="3015" spans="1:7">
      <c r="A3015" s="17"/>
      <c r="B3015" s="18"/>
      <c r="C3015" s="17"/>
      <c r="D3015" s="18"/>
      <c r="E3015" s="17"/>
      <c r="F3015" s="22"/>
      <c r="G3015"/>
    </row>
    <row r="3016" spans="1:7">
      <c r="A3016" s="17"/>
      <c r="B3016" s="18"/>
      <c r="C3016" s="17"/>
      <c r="D3016" s="18"/>
      <c r="E3016" s="17"/>
      <c r="F3016" s="22"/>
      <c r="G3016"/>
    </row>
    <row r="3017" spans="1:7">
      <c r="A3017" s="17"/>
      <c r="B3017" s="18"/>
      <c r="C3017" s="17"/>
      <c r="D3017" s="18"/>
      <c r="E3017" s="17"/>
      <c r="F3017" s="22"/>
      <c r="G3017"/>
    </row>
    <row r="3018" spans="1:7">
      <c r="A3018" s="17"/>
      <c r="B3018" s="18"/>
      <c r="C3018" s="17"/>
      <c r="D3018" s="18"/>
      <c r="E3018" s="17"/>
      <c r="F3018" s="22"/>
      <c r="G3018"/>
    </row>
    <row r="3019" spans="1:7">
      <c r="A3019" s="17"/>
      <c r="B3019" s="18"/>
      <c r="C3019" s="17"/>
      <c r="D3019" s="18"/>
      <c r="E3019" s="17"/>
      <c r="F3019" s="22"/>
      <c r="G3019"/>
    </row>
    <row r="3020" spans="1:7">
      <c r="A3020" s="17"/>
      <c r="B3020" s="18"/>
      <c r="C3020" s="17"/>
      <c r="D3020" s="18"/>
      <c r="E3020" s="17"/>
      <c r="F3020" s="22"/>
      <c r="G3020"/>
    </row>
    <row r="3021" spans="1:7">
      <c r="A3021" s="17"/>
      <c r="B3021" s="18"/>
      <c r="C3021" s="17"/>
      <c r="D3021" s="18"/>
      <c r="E3021" s="17"/>
      <c r="F3021" s="22"/>
      <c r="G3021"/>
    </row>
    <row r="3022" spans="1:7">
      <c r="A3022" s="17"/>
      <c r="B3022" s="18"/>
      <c r="C3022" s="17"/>
      <c r="D3022" s="18"/>
      <c r="E3022" s="17"/>
      <c r="F3022" s="22"/>
      <c r="G3022"/>
    </row>
    <row r="3023" spans="1:7">
      <c r="A3023" s="17"/>
      <c r="B3023" s="18"/>
      <c r="C3023" s="17"/>
      <c r="D3023" s="18"/>
      <c r="E3023" s="17"/>
      <c r="F3023" s="22"/>
      <c r="G3023"/>
    </row>
    <row r="3024" spans="1:7">
      <c r="A3024" s="17"/>
      <c r="B3024" s="18"/>
      <c r="C3024" s="17"/>
      <c r="D3024" s="18"/>
      <c r="E3024" s="17"/>
      <c r="F3024" s="22"/>
      <c r="G3024"/>
    </row>
    <row r="3025" spans="1:7">
      <c r="A3025" s="17"/>
      <c r="B3025" s="18"/>
      <c r="C3025" s="17"/>
      <c r="D3025" s="18"/>
      <c r="E3025" s="17"/>
      <c r="F3025" s="22"/>
      <c r="G3025"/>
    </row>
    <row r="3026" spans="1:7">
      <c r="A3026" s="17"/>
      <c r="B3026" s="18"/>
      <c r="C3026" s="17"/>
      <c r="D3026" s="18"/>
      <c r="E3026" s="17"/>
      <c r="F3026" s="22"/>
      <c r="G3026"/>
    </row>
    <row r="3027" spans="1:7">
      <c r="A3027" s="17"/>
      <c r="B3027" s="18"/>
      <c r="C3027" s="17"/>
      <c r="D3027" s="18"/>
      <c r="E3027" s="17"/>
      <c r="F3027" s="22"/>
      <c r="G3027"/>
    </row>
    <row r="3028" spans="1:7">
      <c r="A3028" s="17"/>
      <c r="B3028" s="18"/>
      <c r="C3028" s="17"/>
      <c r="D3028" s="18"/>
      <c r="E3028" s="17"/>
      <c r="F3028" s="22"/>
      <c r="G3028"/>
    </row>
    <row r="3029" spans="1:7">
      <c r="A3029" s="17"/>
      <c r="B3029" s="18"/>
      <c r="C3029" s="17"/>
      <c r="D3029" s="18"/>
      <c r="E3029" s="17"/>
      <c r="F3029" s="22"/>
      <c r="G3029"/>
    </row>
    <row r="3030" spans="1:7">
      <c r="A3030" s="17"/>
      <c r="B3030" s="18"/>
      <c r="C3030" s="17"/>
      <c r="D3030" s="18"/>
      <c r="E3030" s="17"/>
      <c r="F3030" s="22"/>
      <c r="G3030"/>
    </row>
    <row r="3031" spans="1:7">
      <c r="A3031" s="17"/>
      <c r="B3031" s="18"/>
      <c r="C3031" s="17"/>
      <c r="D3031" s="18"/>
      <c r="E3031" s="17"/>
      <c r="F3031" s="22"/>
      <c r="G3031"/>
    </row>
    <row r="3032" spans="1:7">
      <c r="A3032" s="17"/>
      <c r="B3032" s="18"/>
      <c r="C3032" s="17"/>
      <c r="D3032" s="18"/>
      <c r="E3032" s="17"/>
      <c r="F3032" s="22"/>
      <c r="G3032"/>
    </row>
    <row r="3033" spans="1:7">
      <c r="A3033" s="17"/>
      <c r="B3033" s="18"/>
      <c r="C3033" s="17"/>
      <c r="D3033" s="18"/>
      <c r="E3033" s="17"/>
      <c r="F3033" s="22"/>
      <c r="G3033"/>
    </row>
    <row r="3034" spans="1:7">
      <c r="A3034" s="17"/>
      <c r="B3034" s="18"/>
      <c r="C3034" s="17"/>
      <c r="D3034" s="18"/>
      <c r="E3034" s="17"/>
      <c r="F3034" s="22"/>
      <c r="G3034"/>
    </row>
    <row r="3035" spans="1:7">
      <c r="A3035" s="17"/>
      <c r="B3035" s="18"/>
      <c r="C3035" s="17"/>
      <c r="D3035" s="18"/>
      <c r="E3035" s="17"/>
      <c r="F3035" s="22"/>
      <c r="G3035"/>
    </row>
    <row r="3036" spans="1:7">
      <c r="A3036" s="17"/>
      <c r="B3036" s="18"/>
      <c r="C3036" s="17"/>
      <c r="D3036" s="18"/>
      <c r="E3036" s="17"/>
      <c r="F3036" s="22"/>
      <c r="G3036"/>
    </row>
    <row r="3037" spans="1:7">
      <c r="A3037" s="17"/>
      <c r="B3037" s="18"/>
      <c r="C3037" s="17"/>
      <c r="D3037" s="18"/>
      <c r="E3037" s="17"/>
      <c r="F3037" s="22"/>
      <c r="G3037"/>
    </row>
    <row r="3038" spans="1:7">
      <c r="A3038" s="17"/>
      <c r="B3038" s="18"/>
      <c r="C3038" s="17"/>
      <c r="D3038" s="18"/>
      <c r="E3038" s="17"/>
      <c r="F3038" s="22"/>
      <c r="G3038"/>
    </row>
    <row r="3039" spans="1:7">
      <c r="A3039" s="17"/>
      <c r="B3039" s="18"/>
      <c r="C3039" s="17"/>
      <c r="D3039" s="18"/>
      <c r="E3039" s="17"/>
      <c r="F3039" s="22"/>
      <c r="G3039"/>
    </row>
    <row r="3040" spans="1:7">
      <c r="A3040" s="17"/>
      <c r="B3040" s="18"/>
      <c r="C3040" s="17"/>
      <c r="D3040" s="18"/>
      <c r="E3040" s="17"/>
      <c r="F3040" s="22"/>
      <c r="G3040"/>
    </row>
    <row r="3041" spans="1:7">
      <c r="A3041" s="17"/>
      <c r="B3041" s="18"/>
      <c r="C3041" s="17"/>
      <c r="D3041" s="18"/>
      <c r="E3041" s="17"/>
      <c r="F3041" s="22"/>
      <c r="G3041"/>
    </row>
    <row r="3042" spans="1:7">
      <c r="A3042" s="17"/>
      <c r="B3042" s="18"/>
      <c r="C3042" s="17"/>
      <c r="D3042" s="18"/>
      <c r="E3042" s="17"/>
      <c r="F3042" s="22"/>
      <c r="G3042"/>
    </row>
    <row r="3043" spans="1:7">
      <c r="A3043" s="17"/>
      <c r="B3043" s="18"/>
      <c r="C3043" s="17"/>
      <c r="D3043" s="18"/>
      <c r="E3043" s="17"/>
      <c r="F3043" s="22"/>
      <c r="G3043"/>
    </row>
    <row r="3044" spans="1:7">
      <c r="A3044" s="17"/>
      <c r="B3044" s="18"/>
      <c r="C3044" s="17"/>
      <c r="D3044" s="18"/>
      <c r="E3044" s="17"/>
      <c r="F3044" s="22"/>
      <c r="G3044"/>
    </row>
    <row r="3045" spans="1:7">
      <c r="A3045" s="17"/>
      <c r="B3045" s="18"/>
      <c r="C3045" s="17"/>
      <c r="D3045" s="18"/>
      <c r="E3045" s="17"/>
      <c r="F3045" s="22"/>
      <c r="G3045"/>
    </row>
    <row r="3046" spans="1:7">
      <c r="A3046" s="17"/>
      <c r="B3046" s="18"/>
      <c r="C3046" s="17"/>
      <c r="D3046" s="18"/>
      <c r="E3046" s="17"/>
      <c r="F3046" s="22"/>
      <c r="G3046"/>
    </row>
    <row r="3047" spans="1:7">
      <c r="A3047" s="17"/>
      <c r="B3047" s="18"/>
      <c r="C3047" s="17"/>
      <c r="D3047" s="18"/>
      <c r="E3047" s="17"/>
      <c r="F3047" s="22"/>
      <c r="G3047"/>
    </row>
    <row r="3048" spans="1:7">
      <c r="A3048" s="17"/>
      <c r="B3048" s="18"/>
      <c r="C3048" s="17"/>
      <c r="D3048" s="18"/>
      <c r="E3048" s="17"/>
      <c r="F3048" s="22"/>
      <c r="G3048"/>
    </row>
    <row r="3049" spans="1:7">
      <c r="A3049" s="17"/>
      <c r="B3049" s="18"/>
      <c r="C3049" s="17"/>
      <c r="D3049" s="18"/>
      <c r="E3049" s="17"/>
      <c r="F3049" s="22"/>
      <c r="G3049"/>
    </row>
    <row r="3050" spans="1:7">
      <c r="A3050" s="17"/>
      <c r="B3050" s="18"/>
      <c r="C3050" s="17"/>
      <c r="D3050" s="18"/>
      <c r="E3050" s="17"/>
      <c r="F3050" s="22"/>
      <c r="G3050"/>
    </row>
    <row r="3051" spans="1:7">
      <c r="A3051" s="17"/>
      <c r="B3051" s="18"/>
      <c r="C3051" s="17"/>
      <c r="D3051" s="18"/>
      <c r="E3051" s="17"/>
      <c r="F3051" s="22"/>
      <c r="G3051"/>
    </row>
    <row r="3052" spans="1:7">
      <c r="A3052" s="17"/>
      <c r="B3052" s="18"/>
      <c r="C3052" s="17"/>
      <c r="D3052" s="18"/>
      <c r="E3052" s="17"/>
      <c r="F3052" s="22"/>
      <c r="G3052"/>
    </row>
    <row r="3053" spans="1:7">
      <c r="A3053" s="17"/>
      <c r="B3053" s="18"/>
      <c r="C3053" s="17"/>
      <c r="D3053" s="18"/>
      <c r="E3053" s="17"/>
      <c r="F3053" s="22"/>
      <c r="G3053"/>
    </row>
    <row r="3054" spans="1:7">
      <c r="A3054" s="17"/>
      <c r="B3054" s="18"/>
      <c r="C3054" s="17"/>
      <c r="D3054" s="18"/>
      <c r="E3054" s="17"/>
      <c r="F3054" s="22"/>
      <c r="G3054"/>
    </row>
    <row r="3055" spans="1:7">
      <c r="A3055" s="17"/>
      <c r="B3055" s="18"/>
      <c r="C3055" s="17"/>
      <c r="D3055" s="18"/>
      <c r="E3055" s="17"/>
      <c r="F3055" s="22"/>
      <c r="G3055"/>
    </row>
    <row r="3056" spans="1:7">
      <c r="A3056" s="17"/>
      <c r="B3056" s="18"/>
      <c r="C3056" s="17"/>
      <c r="D3056" s="18"/>
      <c r="E3056" s="17"/>
      <c r="F3056" s="22"/>
      <c r="G3056"/>
    </row>
    <row r="3057" spans="1:7">
      <c r="A3057" s="17"/>
      <c r="B3057" s="18"/>
      <c r="C3057" s="17"/>
      <c r="D3057" s="18"/>
      <c r="E3057" s="17"/>
      <c r="F3057" s="22"/>
      <c r="G3057"/>
    </row>
    <row r="3058" spans="1:7">
      <c r="A3058" s="17"/>
      <c r="B3058" s="18"/>
      <c r="C3058" s="17"/>
      <c r="D3058" s="18"/>
      <c r="E3058" s="17"/>
      <c r="F3058" s="22"/>
      <c r="G3058"/>
    </row>
    <row r="3059" spans="1:7">
      <c r="A3059" s="17"/>
      <c r="B3059" s="18"/>
      <c r="C3059" s="17"/>
      <c r="D3059" s="18"/>
      <c r="E3059" s="17"/>
      <c r="F3059" s="22"/>
      <c r="G3059"/>
    </row>
    <row r="3060" spans="1:7">
      <c r="A3060" s="17"/>
      <c r="B3060" s="18"/>
      <c r="C3060" s="17"/>
      <c r="D3060" s="18"/>
      <c r="E3060" s="17"/>
      <c r="F3060" s="22"/>
      <c r="G3060"/>
    </row>
    <row r="3061" spans="1:7">
      <c r="A3061" s="17"/>
      <c r="B3061" s="18"/>
      <c r="C3061" s="17"/>
      <c r="D3061" s="18"/>
      <c r="E3061" s="17"/>
      <c r="F3061" s="22"/>
      <c r="G3061"/>
    </row>
    <row r="3062" spans="1:7">
      <c r="A3062" s="17"/>
      <c r="B3062" s="18"/>
      <c r="C3062" s="17"/>
      <c r="D3062" s="18"/>
      <c r="E3062" s="17"/>
      <c r="F3062" s="22"/>
      <c r="G3062"/>
    </row>
    <row r="3063" spans="1:7">
      <c r="A3063" s="17"/>
      <c r="B3063" s="18"/>
      <c r="C3063" s="17"/>
      <c r="D3063" s="18"/>
      <c r="E3063" s="17"/>
      <c r="F3063" s="22"/>
      <c r="G3063"/>
    </row>
    <row r="3064" spans="1:7">
      <c r="A3064" s="17"/>
      <c r="B3064" s="18"/>
      <c r="C3064" s="17"/>
      <c r="D3064" s="18"/>
      <c r="E3064" s="17"/>
      <c r="F3064" s="22"/>
      <c r="G3064"/>
    </row>
    <row r="3065" spans="1:7">
      <c r="A3065" s="17"/>
      <c r="B3065" s="18"/>
      <c r="C3065" s="17"/>
      <c r="D3065" s="18"/>
      <c r="E3065" s="17"/>
      <c r="F3065" s="22"/>
      <c r="G3065"/>
    </row>
    <row r="3066" spans="1:7">
      <c r="A3066" s="17"/>
      <c r="B3066" s="18"/>
      <c r="C3066" s="17"/>
      <c r="D3066" s="18"/>
      <c r="E3066" s="17"/>
      <c r="F3066" s="22"/>
      <c r="G3066"/>
    </row>
    <row r="3067" spans="1:7">
      <c r="A3067" s="17"/>
      <c r="B3067" s="18"/>
      <c r="C3067" s="17"/>
      <c r="D3067" s="18"/>
      <c r="E3067" s="17"/>
      <c r="F3067" s="22"/>
      <c r="G3067"/>
    </row>
    <row r="3068" spans="1:7">
      <c r="A3068" s="17"/>
      <c r="B3068" s="18"/>
      <c r="C3068" s="17"/>
      <c r="D3068" s="18"/>
      <c r="E3068" s="17"/>
      <c r="F3068" s="22"/>
      <c r="G3068"/>
    </row>
    <row r="3069" spans="1:7">
      <c r="A3069" s="17"/>
      <c r="B3069" s="18"/>
      <c r="C3069" s="17"/>
      <c r="D3069" s="18"/>
      <c r="E3069" s="17"/>
      <c r="F3069" s="22"/>
      <c r="G3069"/>
    </row>
    <row r="3070" spans="1:7">
      <c r="A3070" s="17"/>
      <c r="B3070" s="18"/>
      <c r="C3070" s="17"/>
      <c r="D3070" s="18"/>
      <c r="E3070" s="17"/>
      <c r="F3070" s="22"/>
      <c r="G3070"/>
    </row>
    <row r="3071" spans="1:7">
      <c r="A3071" s="17"/>
      <c r="B3071" s="18"/>
      <c r="C3071" s="17"/>
      <c r="D3071" s="18"/>
      <c r="E3071" s="17"/>
      <c r="F3071" s="22"/>
      <c r="G3071"/>
    </row>
    <row r="3072" spans="1:7">
      <c r="A3072" s="17"/>
      <c r="B3072" s="18"/>
      <c r="C3072" s="17"/>
      <c r="D3072" s="18"/>
      <c r="E3072" s="17"/>
      <c r="F3072" s="22"/>
      <c r="G3072"/>
    </row>
    <row r="3073" spans="1:7">
      <c r="A3073" s="17"/>
      <c r="B3073" s="18"/>
      <c r="C3073" s="17"/>
      <c r="D3073" s="18"/>
      <c r="E3073" s="17"/>
      <c r="F3073" s="22"/>
      <c r="G3073"/>
    </row>
    <row r="3074" spans="1:7">
      <c r="A3074" s="17"/>
      <c r="B3074" s="18"/>
      <c r="C3074" s="17"/>
      <c r="D3074" s="18"/>
      <c r="E3074" s="17"/>
      <c r="F3074" s="22"/>
      <c r="G3074"/>
    </row>
    <row r="3075" spans="1:7">
      <c r="A3075" s="17"/>
      <c r="B3075" s="18"/>
      <c r="C3075" s="17"/>
      <c r="D3075" s="18"/>
      <c r="E3075" s="17"/>
      <c r="F3075" s="22"/>
      <c r="G3075"/>
    </row>
    <row r="3076" spans="1:7">
      <c r="A3076" s="17"/>
      <c r="B3076" s="18"/>
      <c r="C3076" s="17"/>
      <c r="D3076" s="18"/>
      <c r="E3076" s="17"/>
      <c r="F3076" s="22"/>
      <c r="G3076"/>
    </row>
    <row r="3077" spans="1:7">
      <c r="A3077" s="17"/>
      <c r="B3077" s="18"/>
      <c r="C3077" s="17"/>
      <c r="D3077" s="18"/>
      <c r="E3077" s="17"/>
      <c r="F3077" s="22"/>
      <c r="G3077"/>
    </row>
    <row r="3078" spans="1:7">
      <c r="A3078" s="17"/>
      <c r="B3078" s="18"/>
      <c r="C3078" s="17"/>
      <c r="D3078" s="18"/>
      <c r="E3078" s="17"/>
      <c r="F3078" s="22"/>
      <c r="G3078"/>
    </row>
    <row r="3079" spans="1:7">
      <c r="A3079" s="17"/>
      <c r="B3079" s="18"/>
      <c r="C3079" s="17"/>
      <c r="D3079" s="18"/>
      <c r="E3079" s="17"/>
      <c r="F3079" s="22"/>
      <c r="G3079"/>
    </row>
    <row r="3080" spans="1:7">
      <c r="A3080" s="17"/>
      <c r="B3080" s="18"/>
      <c r="C3080" s="17"/>
      <c r="D3080" s="18"/>
      <c r="E3080" s="17"/>
      <c r="F3080" s="22"/>
      <c r="G3080"/>
    </row>
    <row r="3081" spans="1:7">
      <c r="A3081" s="17"/>
      <c r="B3081" s="18"/>
      <c r="C3081" s="17"/>
      <c r="D3081" s="18"/>
      <c r="E3081" s="17"/>
      <c r="F3081" s="22"/>
      <c r="G3081"/>
    </row>
    <row r="3082" spans="1:7">
      <c r="A3082" s="17"/>
      <c r="B3082" s="18"/>
      <c r="C3082" s="17"/>
      <c r="D3082" s="18"/>
      <c r="E3082" s="17"/>
      <c r="F3082" s="22"/>
      <c r="G3082"/>
    </row>
    <row r="3083" spans="1:7">
      <c r="A3083" s="17"/>
      <c r="B3083" s="18"/>
      <c r="C3083" s="17"/>
      <c r="D3083" s="18"/>
      <c r="E3083" s="17"/>
      <c r="F3083" s="22"/>
      <c r="G3083"/>
    </row>
    <row r="3084" spans="1:7">
      <c r="A3084" s="17"/>
      <c r="B3084" s="18"/>
      <c r="C3084" s="17"/>
      <c r="D3084" s="18"/>
      <c r="E3084" s="17"/>
      <c r="F3084" s="22"/>
      <c r="G3084"/>
    </row>
    <row r="3085" spans="1:7">
      <c r="A3085" s="17"/>
      <c r="B3085" s="18"/>
      <c r="C3085" s="17"/>
      <c r="D3085" s="18"/>
      <c r="E3085" s="17"/>
      <c r="F3085" s="22"/>
      <c r="G3085"/>
    </row>
    <row r="3086" spans="1:7">
      <c r="A3086" s="17"/>
      <c r="B3086" s="18"/>
      <c r="C3086" s="17"/>
      <c r="D3086" s="18"/>
      <c r="E3086" s="17"/>
      <c r="F3086" s="22"/>
      <c r="G3086"/>
    </row>
    <row r="3087" spans="1:7">
      <c r="A3087" s="17"/>
      <c r="B3087" s="18"/>
      <c r="C3087" s="17"/>
      <c r="D3087" s="18"/>
      <c r="E3087" s="17"/>
      <c r="F3087" s="22"/>
      <c r="G3087"/>
    </row>
    <row r="3088" spans="1:7">
      <c r="A3088" s="17"/>
      <c r="B3088" s="18"/>
      <c r="C3088" s="17"/>
      <c r="D3088" s="18"/>
      <c r="E3088" s="17"/>
      <c r="F3088" s="22"/>
      <c r="G3088"/>
    </row>
    <row r="3089" spans="1:7">
      <c r="A3089" s="17"/>
      <c r="B3089" s="18"/>
      <c r="C3089" s="17"/>
      <c r="D3089" s="18"/>
      <c r="E3089" s="17"/>
      <c r="F3089" s="22"/>
      <c r="G3089"/>
    </row>
    <row r="3090" spans="1:7">
      <c r="A3090" s="17"/>
      <c r="B3090" s="18"/>
      <c r="C3090" s="17"/>
      <c r="D3090" s="18"/>
      <c r="E3090" s="17"/>
      <c r="F3090" s="22"/>
      <c r="G3090"/>
    </row>
    <row r="3091" spans="1:7">
      <c r="A3091" s="17"/>
      <c r="B3091" s="18"/>
      <c r="C3091" s="17"/>
      <c r="D3091" s="18"/>
      <c r="E3091" s="17"/>
      <c r="F3091" s="22"/>
      <c r="G3091"/>
    </row>
    <row r="3092" spans="1:7">
      <c r="A3092" s="17"/>
      <c r="B3092" s="18"/>
      <c r="C3092" s="17"/>
      <c r="D3092" s="18"/>
      <c r="E3092" s="17"/>
      <c r="F3092" s="22"/>
      <c r="G3092"/>
    </row>
    <row r="3093" spans="1:7">
      <c r="A3093" s="17"/>
      <c r="B3093" s="18"/>
      <c r="C3093" s="17"/>
      <c r="D3093" s="18"/>
      <c r="E3093" s="17"/>
      <c r="F3093" s="22"/>
      <c r="G3093"/>
    </row>
    <row r="3094" spans="1:7">
      <c r="A3094" s="17"/>
      <c r="B3094" s="18"/>
      <c r="C3094" s="17"/>
      <c r="D3094" s="18"/>
      <c r="E3094" s="17"/>
      <c r="F3094" s="22"/>
      <c r="G3094"/>
    </row>
    <row r="3095" spans="1:7">
      <c r="A3095" s="17"/>
      <c r="B3095" s="18"/>
      <c r="C3095" s="17"/>
      <c r="D3095" s="18"/>
      <c r="E3095" s="17"/>
      <c r="F3095" s="22"/>
      <c r="G3095"/>
    </row>
    <row r="3096" spans="1:7">
      <c r="A3096" s="17"/>
      <c r="B3096" s="18"/>
      <c r="C3096" s="17"/>
      <c r="D3096" s="18"/>
      <c r="E3096" s="17"/>
      <c r="F3096" s="22"/>
      <c r="G3096"/>
    </row>
    <row r="3097" spans="1:7">
      <c r="A3097" s="17"/>
      <c r="B3097" s="18"/>
      <c r="C3097" s="17"/>
      <c r="D3097" s="18"/>
      <c r="E3097" s="17"/>
      <c r="F3097" s="22"/>
      <c r="G3097"/>
    </row>
    <row r="3098" spans="1:7">
      <c r="A3098" s="17"/>
      <c r="B3098" s="18"/>
      <c r="C3098" s="17"/>
      <c r="D3098" s="18"/>
      <c r="E3098" s="17"/>
      <c r="F3098" s="22"/>
      <c r="G3098"/>
    </row>
    <row r="3099" spans="1:7">
      <c r="A3099" s="17"/>
      <c r="B3099" s="18"/>
      <c r="C3099" s="17"/>
      <c r="D3099" s="18"/>
      <c r="E3099" s="17"/>
      <c r="F3099" s="22"/>
      <c r="G3099"/>
    </row>
    <row r="3100" spans="1:7">
      <c r="A3100" s="17"/>
      <c r="B3100" s="18"/>
      <c r="C3100" s="17"/>
      <c r="D3100" s="18"/>
      <c r="E3100" s="17"/>
      <c r="F3100" s="22"/>
      <c r="G3100"/>
    </row>
    <row r="3101" spans="1:7">
      <c r="A3101" s="17"/>
      <c r="B3101" s="18"/>
      <c r="C3101" s="17"/>
      <c r="D3101" s="18"/>
      <c r="E3101" s="17"/>
      <c r="F3101" s="22"/>
      <c r="G3101"/>
    </row>
    <row r="3102" spans="1:7">
      <c r="A3102" s="17"/>
      <c r="B3102" s="18"/>
      <c r="C3102" s="17"/>
      <c r="D3102" s="18"/>
      <c r="E3102" s="17"/>
      <c r="F3102" s="22"/>
      <c r="G3102"/>
    </row>
    <row r="3103" spans="1:7">
      <c r="A3103" s="17"/>
      <c r="B3103" s="18"/>
      <c r="C3103" s="17"/>
      <c r="D3103" s="18"/>
      <c r="E3103" s="17"/>
      <c r="F3103" s="22"/>
      <c r="G3103"/>
    </row>
    <row r="3104" spans="1:7">
      <c r="A3104" s="17"/>
      <c r="B3104" s="18"/>
      <c r="C3104" s="17"/>
      <c r="D3104" s="18"/>
      <c r="E3104" s="17"/>
      <c r="F3104" s="22"/>
      <c r="G3104"/>
    </row>
    <row r="3105" spans="1:7">
      <c r="A3105" s="17"/>
      <c r="B3105" s="18"/>
      <c r="C3105" s="17"/>
      <c r="D3105" s="18"/>
      <c r="E3105" s="17"/>
      <c r="F3105" s="22"/>
      <c r="G3105"/>
    </row>
    <row r="3106" spans="1:7">
      <c r="A3106" s="17"/>
      <c r="B3106" s="18"/>
      <c r="C3106" s="17"/>
      <c r="D3106" s="18"/>
      <c r="E3106" s="17"/>
      <c r="F3106" s="22"/>
      <c r="G3106"/>
    </row>
    <row r="3107" spans="1:7">
      <c r="A3107" s="17"/>
      <c r="B3107" s="18"/>
      <c r="C3107" s="17"/>
      <c r="D3107" s="18"/>
      <c r="E3107" s="17"/>
      <c r="F3107" s="22"/>
      <c r="G3107"/>
    </row>
    <row r="3108" spans="1:7">
      <c r="A3108" s="17"/>
      <c r="B3108" s="18"/>
      <c r="C3108" s="17"/>
      <c r="D3108" s="18"/>
      <c r="E3108" s="17"/>
      <c r="F3108" s="22"/>
      <c r="G3108"/>
    </row>
    <row r="3109" spans="1:7">
      <c r="A3109" s="17"/>
      <c r="B3109" s="18"/>
      <c r="C3109" s="17"/>
      <c r="D3109" s="18"/>
      <c r="E3109" s="17"/>
      <c r="F3109" s="22"/>
      <c r="G3109"/>
    </row>
    <row r="3110" spans="1:7">
      <c r="A3110" s="17"/>
      <c r="B3110" s="18"/>
      <c r="C3110" s="17"/>
      <c r="D3110" s="18"/>
      <c r="E3110" s="17"/>
      <c r="F3110" s="22"/>
      <c r="G3110"/>
    </row>
    <row r="3111" spans="1:7">
      <c r="A3111" s="17"/>
      <c r="B3111" s="18"/>
      <c r="C3111" s="17"/>
      <c r="D3111" s="18"/>
      <c r="E3111" s="17"/>
      <c r="F3111" s="22"/>
      <c r="G3111"/>
    </row>
    <row r="3112" spans="1:7">
      <c r="A3112" s="17"/>
      <c r="B3112" s="18"/>
      <c r="C3112" s="17"/>
      <c r="D3112" s="18"/>
      <c r="E3112" s="17"/>
      <c r="F3112" s="22"/>
      <c r="G3112"/>
    </row>
    <row r="3113" spans="1:7">
      <c r="A3113" s="17"/>
      <c r="B3113" s="18"/>
      <c r="C3113" s="17"/>
      <c r="D3113" s="18"/>
      <c r="E3113" s="17"/>
      <c r="F3113" s="22"/>
      <c r="G3113"/>
    </row>
    <row r="3114" spans="1:7">
      <c r="A3114" s="17"/>
      <c r="B3114" s="18"/>
      <c r="C3114" s="17"/>
      <c r="D3114" s="18"/>
      <c r="E3114" s="17"/>
      <c r="F3114" s="22"/>
      <c r="G3114"/>
    </row>
    <row r="3115" spans="1:7">
      <c r="A3115" s="17"/>
      <c r="B3115" s="18"/>
      <c r="C3115" s="17"/>
      <c r="D3115" s="18"/>
      <c r="E3115" s="17"/>
      <c r="F3115" s="22"/>
      <c r="G3115"/>
    </row>
    <row r="3116" spans="1:7">
      <c r="A3116" s="17"/>
      <c r="B3116" s="18"/>
      <c r="C3116" s="17"/>
      <c r="D3116" s="18"/>
      <c r="E3116" s="17"/>
      <c r="F3116" s="22"/>
      <c r="G3116"/>
    </row>
    <row r="3117" spans="1:7">
      <c r="A3117" s="17"/>
      <c r="B3117" s="18"/>
      <c r="C3117" s="17"/>
      <c r="D3117" s="18"/>
      <c r="E3117" s="17"/>
      <c r="F3117" s="22"/>
      <c r="G3117"/>
    </row>
    <row r="3118" spans="1:7">
      <c r="A3118" s="17"/>
      <c r="B3118" s="18"/>
      <c r="C3118" s="17"/>
      <c r="D3118" s="18"/>
      <c r="E3118" s="17"/>
      <c r="F3118" s="22"/>
      <c r="G3118"/>
    </row>
    <row r="3119" spans="1:7">
      <c r="A3119" s="17"/>
      <c r="B3119" s="18"/>
      <c r="C3119" s="17"/>
      <c r="D3119" s="18"/>
      <c r="E3119" s="17"/>
      <c r="F3119" s="22"/>
      <c r="G3119"/>
    </row>
    <row r="3120" spans="1:7">
      <c r="A3120" s="17"/>
      <c r="B3120" s="18"/>
      <c r="C3120" s="17"/>
      <c r="D3120" s="18"/>
      <c r="E3120" s="17"/>
      <c r="F3120" s="22"/>
      <c r="G3120"/>
    </row>
    <row r="3121" spans="1:7">
      <c r="A3121" s="17"/>
      <c r="B3121" s="18"/>
      <c r="C3121" s="17"/>
      <c r="D3121" s="18"/>
      <c r="E3121" s="17"/>
      <c r="F3121" s="22"/>
      <c r="G3121"/>
    </row>
    <row r="3122" spans="1:7">
      <c r="A3122" s="17"/>
      <c r="B3122" s="18"/>
      <c r="C3122" s="17"/>
      <c r="D3122" s="18"/>
      <c r="E3122" s="17"/>
      <c r="F3122" s="22"/>
      <c r="G3122"/>
    </row>
    <row r="3123" spans="1:7">
      <c r="A3123" s="17"/>
      <c r="B3123" s="18"/>
      <c r="C3123" s="17"/>
      <c r="D3123" s="18"/>
      <c r="E3123" s="17"/>
      <c r="F3123" s="22"/>
      <c r="G3123"/>
    </row>
    <row r="3124" spans="1:7">
      <c r="A3124" s="17"/>
      <c r="B3124" s="18"/>
      <c r="C3124" s="17"/>
      <c r="D3124" s="18"/>
      <c r="E3124" s="17"/>
      <c r="F3124" s="22"/>
      <c r="G3124"/>
    </row>
    <row r="3125" spans="1:7">
      <c r="A3125" s="17"/>
      <c r="B3125" s="18"/>
      <c r="C3125" s="17"/>
      <c r="D3125" s="18"/>
      <c r="E3125" s="17"/>
      <c r="F3125" s="22"/>
      <c r="G3125"/>
    </row>
    <row r="3126" spans="1:7">
      <c r="A3126" s="17"/>
      <c r="B3126" s="18"/>
      <c r="C3126" s="17"/>
      <c r="D3126" s="18"/>
      <c r="E3126" s="17"/>
      <c r="F3126" s="22"/>
      <c r="G3126"/>
    </row>
    <row r="3127" spans="1:7">
      <c r="A3127" s="17"/>
      <c r="B3127" s="18"/>
      <c r="C3127" s="17"/>
      <c r="D3127" s="18"/>
      <c r="E3127" s="17"/>
      <c r="F3127" s="22"/>
      <c r="G3127"/>
    </row>
    <row r="3128" spans="1:7">
      <c r="A3128" s="17"/>
      <c r="B3128" s="18"/>
      <c r="C3128" s="17"/>
      <c r="D3128" s="18"/>
      <c r="E3128" s="17"/>
      <c r="F3128" s="22"/>
      <c r="G3128"/>
    </row>
    <row r="3129" spans="1:7">
      <c r="A3129" s="17"/>
      <c r="B3129" s="18"/>
      <c r="C3129" s="17"/>
      <c r="D3129" s="18"/>
      <c r="E3129" s="17"/>
      <c r="F3129" s="22"/>
      <c r="G3129"/>
    </row>
    <row r="3130" spans="1:7">
      <c r="A3130" s="17"/>
      <c r="B3130" s="18"/>
      <c r="C3130" s="17"/>
      <c r="D3130" s="18"/>
      <c r="E3130" s="17"/>
      <c r="F3130" s="22"/>
      <c r="G3130"/>
    </row>
    <row r="3131" spans="1:7">
      <c r="A3131" s="17"/>
      <c r="B3131" s="18"/>
      <c r="C3131" s="17"/>
      <c r="D3131" s="18"/>
      <c r="E3131" s="17"/>
      <c r="F3131" s="22"/>
      <c r="G3131"/>
    </row>
    <row r="3132" spans="1:7">
      <c r="A3132" s="17"/>
      <c r="B3132" s="18"/>
      <c r="C3132" s="17"/>
      <c r="D3132" s="18"/>
      <c r="E3132" s="17"/>
      <c r="F3132" s="22"/>
      <c r="G3132"/>
    </row>
    <row r="3133" spans="1:7">
      <c r="A3133" s="17"/>
      <c r="B3133" s="18"/>
      <c r="C3133" s="17"/>
      <c r="D3133" s="18"/>
      <c r="E3133" s="17"/>
      <c r="F3133" s="22"/>
      <c r="G3133"/>
    </row>
    <row r="3134" spans="1:7">
      <c r="A3134" s="17"/>
      <c r="B3134" s="18"/>
      <c r="C3134" s="17"/>
      <c r="D3134" s="18"/>
      <c r="E3134" s="17"/>
      <c r="F3134" s="22"/>
      <c r="G3134"/>
    </row>
    <row r="3135" spans="1:7">
      <c r="A3135" s="17"/>
      <c r="B3135" s="18"/>
      <c r="C3135" s="17"/>
      <c r="D3135" s="18"/>
      <c r="E3135" s="17"/>
      <c r="F3135" s="22"/>
      <c r="G3135"/>
    </row>
    <row r="3136" spans="1:7">
      <c r="A3136" s="17"/>
      <c r="B3136" s="18"/>
      <c r="C3136" s="17"/>
      <c r="D3136" s="18"/>
      <c r="E3136" s="17"/>
      <c r="F3136" s="22"/>
      <c r="G3136"/>
    </row>
    <row r="3137" spans="1:7">
      <c r="A3137" s="17"/>
      <c r="B3137" s="18"/>
      <c r="C3137" s="17"/>
      <c r="D3137" s="18"/>
      <c r="E3137" s="17"/>
      <c r="F3137" s="22"/>
      <c r="G3137"/>
    </row>
    <row r="3138" spans="1:7">
      <c r="A3138" s="17"/>
      <c r="B3138" s="18"/>
      <c r="C3138" s="17"/>
      <c r="D3138" s="18"/>
      <c r="E3138" s="17"/>
      <c r="F3138" s="22"/>
      <c r="G3138"/>
    </row>
    <row r="3139" spans="1:7">
      <c r="A3139" s="17"/>
      <c r="B3139" s="18"/>
      <c r="C3139" s="17"/>
      <c r="D3139" s="18"/>
      <c r="E3139" s="17"/>
      <c r="F3139" s="22"/>
      <c r="G3139"/>
    </row>
    <row r="3140" spans="1:7">
      <c r="A3140" s="17"/>
      <c r="B3140" s="18"/>
      <c r="C3140" s="17"/>
      <c r="D3140" s="18"/>
      <c r="E3140" s="17"/>
      <c r="F3140" s="22"/>
      <c r="G3140"/>
    </row>
    <row r="3141" spans="1:7">
      <c r="A3141" s="17"/>
      <c r="B3141" s="18"/>
      <c r="C3141" s="17"/>
      <c r="D3141" s="18"/>
      <c r="E3141" s="17"/>
      <c r="F3141" s="22"/>
      <c r="G3141"/>
    </row>
    <row r="3142" spans="1:7">
      <c r="A3142" s="17"/>
      <c r="B3142" s="18"/>
      <c r="C3142" s="17"/>
      <c r="D3142" s="18"/>
      <c r="E3142" s="17"/>
      <c r="F3142" s="22"/>
      <c r="G3142"/>
    </row>
    <row r="3143" spans="1:7">
      <c r="A3143" s="17"/>
      <c r="B3143" s="18"/>
      <c r="C3143" s="17"/>
      <c r="D3143" s="18"/>
      <c r="E3143" s="17"/>
      <c r="F3143" s="22"/>
      <c r="G3143"/>
    </row>
    <row r="3144" spans="1:7">
      <c r="A3144" s="17"/>
      <c r="B3144" s="18"/>
      <c r="C3144" s="17"/>
      <c r="D3144" s="18"/>
      <c r="E3144" s="17"/>
      <c r="F3144" s="22"/>
      <c r="G3144"/>
    </row>
    <row r="3145" spans="1:7">
      <c r="A3145" s="17"/>
      <c r="B3145" s="18"/>
      <c r="C3145" s="17"/>
      <c r="D3145" s="18"/>
      <c r="E3145" s="17"/>
      <c r="F3145" s="22"/>
      <c r="G3145"/>
    </row>
    <row r="3146" spans="1:7">
      <c r="A3146" s="17"/>
      <c r="B3146" s="18"/>
      <c r="C3146" s="17"/>
      <c r="D3146" s="18"/>
      <c r="E3146" s="17"/>
      <c r="F3146" s="22"/>
      <c r="G3146"/>
    </row>
    <row r="3147" spans="1:7">
      <c r="A3147" s="17"/>
      <c r="B3147" s="18"/>
      <c r="C3147" s="17"/>
      <c r="D3147" s="18"/>
      <c r="E3147" s="17"/>
      <c r="F3147" s="22"/>
      <c r="G3147"/>
    </row>
    <row r="3148" spans="1:7">
      <c r="A3148" s="17"/>
      <c r="B3148" s="18"/>
      <c r="C3148" s="17"/>
      <c r="D3148" s="18"/>
      <c r="E3148" s="17"/>
      <c r="F3148" s="22"/>
      <c r="G3148"/>
    </row>
    <row r="3149" spans="1:7">
      <c r="A3149" s="17"/>
      <c r="B3149" s="18"/>
      <c r="C3149" s="17"/>
      <c r="D3149" s="18"/>
      <c r="E3149" s="17"/>
      <c r="F3149" s="22"/>
      <c r="G3149"/>
    </row>
    <row r="3150" spans="1:7">
      <c r="A3150" s="17"/>
      <c r="B3150" s="18"/>
      <c r="C3150" s="17"/>
      <c r="D3150" s="18"/>
      <c r="E3150" s="17"/>
      <c r="F3150" s="22"/>
      <c r="G3150"/>
    </row>
    <row r="3151" spans="1:7">
      <c r="A3151" s="17"/>
      <c r="B3151" s="18"/>
      <c r="C3151" s="17"/>
      <c r="D3151" s="18"/>
      <c r="E3151" s="17"/>
      <c r="F3151" s="22"/>
      <c r="G3151"/>
    </row>
    <row r="3152" spans="1:7">
      <c r="A3152" s="17"/>
      <c r="B3152" s="18"/>
      <c r="C3152" s="17"/>
      <c r="D3152" s="18"/>
      <c r="E3152" s="17"/>
      <c r="F3152" s="22"/>
      <c r="G3152"/>
    </row>
    <row r="3153" spans="1:7">
      <c r="A3153" s="17"/>
      <c r="B3153" s="18"/>
      <c r="C3153" s="17"/>
      <c r="D3153" s="18"/>
      <c r="E3153" s="17"/>
      <c r="F3153" s="22"/>
      <c r="G3153"/>
    </row>
    <row r="3154" spans="1:7">
      <c r="A3154" s="17"/>
      <c r="B3154" s="18"/>
      <c r="C3154" s="17"/>
      <c r="D3154" s="18"/>
      <c r="E3154" s="17"/>
      <c r="F3154" s="22"/>
      <c r="G3154"/>
    </row>
    <row r="3155" spans="1:7">
      <c r="A3155" s="17"/>
      <c r="B3155" s="18"/>
      <c r="C3155" s="17"/>
      <c r="D3155" s="18"/>
      <c r="E3155" s="17"/>
      <c r="F3155" s="22"/>
      <c r="G3155"/>
    </row>
    <row r="3156" spans="1:7">
      <c r="A3156" s="17"/>
      <c r="B3156" s="18"/>
      <c r="C3156" s="17"/>
      <c r="D3156" s="18"/>
      <c r="E3156" s="17"/>
      <c r="F3156" s="22"/>
      <c r="G3156"/>
    </row>
    <row r="3157" spans="1:7">
      <c r="A3157" s="17"/>
      <c r="B3157" s="18"/>
      <c r="C3157" s="17"/>
      <c r="D3157" s="18"/>
      <c r="E3157" s="17"/>
      <c r="F3157" s="22"/>
      <c r="G3157"/>
    </row>
    <row r="3158" spans="1:7">
      <c r="A3158" s="17"/>
      <c r="B3158" s="18"/>
      <c r="C3158" s="17"/>
      <c r="D3158" s="18"/>
      <c r="E3158" s="17"/>
      <c r="F3158" s="22"/>
      <c r="G3158"/>
    </row>
    <row r="3159" spans="1:7">
      <c r="A3159" s="17"/>
      <c r="B3159" s="18"/>
      <c r="C3159" s="17"/>
      <c r="D3159" s="18"/>
      <c r="E3159" s="17"/>
      <c r="F3159" s="22"/>
      <c r="G3159"/>
    </row>
    <row r="3160" spans="1:7">
      <c r="A3160" s="17"/>
      <c r="B3160" s="18"/>
      <c r="C3160" s="17"/>
      <c r="D3160" s="18"/>
      <c r="E3160" s="17"/>
      <c r="F3160" s="22"/>
      <c r="G3160"/>
    </row>
    <row r="3161" spans="1:7">
      <c r="A3161" s="17"/>
      <c r="B3161" s="18"/>
      <c r="C3161" s="17"/>
      <c r="D3161" s="18"/>
      <c r="E3161" s="17"/>
      <c r="F3161" s="22"/>
      <c r="G3161"/>
    </row>
    <row r="3162" spans="1:7">
      <c r="A3162" s="17"/>
      <c r="B3162" s="18"/>
      <c r="C3162" s="17"/>
      <c r="D3162" s="18"/>
      <c r="E3162" s="17"/>
      <c r="F3162" s="22"/>
      <c r="G3162"/>
    </row>
    <row r="3163" spans="1:7">
      <c r="A3163" s="17"/>
      <c r="B3163" s="18"/>
      <c r="C3163" s="17"/>
      <c r="D3163" s="18"/>
      <c r="E3163" s="17"/>
      <c r="F3163" s="22"/>
      <c r="G3163"/>
    </row>
    <row r="3164" spans="1:7">
      <c r="A3164" s="17"/>
      <c r="B3164" s="18"/>
      <c r="C3164" s="17"/>
      <c r="D3164" s="18"/>
      <c r="E3164" s="17"/>
      <c r="F3164" s="22"/>
      <c r="G3164"/>
    </row>
    <row r="3165" spans="1:7">
      <c r="A3165" s="17"/>
      <c r="B3165" s="18"/>
      <c r="C3165" s="17"/>
      <c r="D3165" s="18"/>
      <c r="E3165" s="17"/>
      <c r="F3165" s="22"/>
      <c r="G3165"/>
    </row>
    <row r="3166" spans="1:7">
      <c r="A3166" s="17"/>
      <c r="B3166" s="18"/>
      <c r="C3166" s="17"/>
      <c r="D3166" s="18"/>
      <c r="E3166" s="17"/>
      <c r="F3166" s="22"/>
      <c r="G3166"/>
    </row>
    <row r="3167" spans="1:7">
      <c r="A3167" s="17"/>
      <c r="B3167" s="18"/>
      <c r="C3167" s="17"/>
      <c r="D3167" s="18"/>
      <c r="E3167" s="17"/>
      <c r="F3167" s="22"/>
      <c r="G3167"/>
    </row>
    <row r="3168" spans="1:7">
      <c r="A3168" s="17"/>
      <c r="B3168" s="18"/>
      <c r="C3168" s="17"/>
      <c r="D3168" s="18"/>
      <c r="E3168" s="17"/>
      <c r="F3168" s="22"/>
      <c r="G3168"/>
    </row>
    <row r="3169" spans="1:7">
      <c r="A3169" s="17"/>
      <c r="B3169" s="18"/>
      <c r="C3169" s="17"/>
      <c r="D3169" s="18"/>
      <c r="E3169" s="17"/>
      <c r="F3169" s="22"/>
      <c r="G3169"/>
    </row>
    <row r="3170" spans="1:7">
      <c r="A3170" s="17"/>
      <c r="B3170" s="18"/>
      <c r="C3170" s="17"/>
      <c r="D3170" s="18"/>
      <c r="E3170" s="17"/>
      <c r="F3170" s="22"/>
      <c r="G3170"/>
    </row>
    <row r="3171" spans="1:7">
      <c r="A3171" s="17"/>
      <c r="B3171" s="18"/>
      <c r="C3171" s="17"/>
      <c r="D3171" s="18"/>
      <c r="E3171" s="17"/>
      <c r="F3171" s="22"/>
      <c r="G3171"/>
    </row>
    <row r="3172" spans="1:7">
      <c r="A3172" s="17"/>
      <c r="B3172" s="18"/>
      <c r="C3172" s="17"/>
      <c r="D3172" s="18"/>
      <c r="E3172" s="17"/>
      <c r="F3172" s="22"/>
      <c r="G3172"/>
    </row>
    <row r="3173" spans="1:7">
      <c r="A3173" s="17"/>
      <c r="B3173" s="18"/>
      <c r="C3173" s="17"/>
      <c r="D3173" s="18"/>
      <c r="E3173" s="17"/>
      <c r="F3173" s="22"/>
      <c r="G3173"/>
    </row>
    <row r="3174" spans="1:7">
      <c r="A3174" s="17"/>
      <c r="B3174" s="18"/>
      <c r="C3174" s="17"/>
      <c r="D3174" s="18"/>
      <c r="E3174" s="17"/>
      <c r="F3174" s="22"/>
      <c r="G3174"/>
    </row>
    <row r="3175" spans="1:7">
      <c r="A3175" s="17"/>
      <c r="B3175" s="18"/>
      <c r="C3175" s="17"/>
      <c r="D3175" s="18"/>
      <c r="E3175" s="17"/>
      <c r="F3175" s="22"/>
      <c r="G3175"/>
    </row>
    <row r="3176" spans="1:7">
      <c r="A3176" s="17"/>
      <c r="B3176" s="18"/>
      <c r="C3176" s="17"/>
      <c r="D3176" s="18"/>
      <c r="E3176" s="17"/>
      <c r="F3176" s="22"/>
      <c r="G3176"/>
    </row>
    <row r="3177" spans="1:7">
      <c r="A3177" s="17"/>
      <c r="B3177" s="18"/>
      <c r="C3177" s="17"/>
      <c r="D3177" s="18"/>
      <c r="E3177" s="17"/>
      <c r="F3177" s="22"/>
      <c r="G3177"/>
    </row>
    <row r="3178" spans="1:7">
      <c r="A3178" s="17"/>
      <c r="B3178" s="18"/>
      <c r="C3178" s="17"/>
      <c r="D3178" s="18"/>
      <c r="E3178" s="17"/>
      <c r="F3178" s="22"/>
      <c r="G3178"/>
    </row>
    <row r="3179" spans="1:7">
      <c r="A3179" s="17"/>
      <c r="B3179" s="18"/>
      <c r="C3179" s="17"/>
      <c r="D3179" s="18"/>
      <c r="E3179" s="17"/>
      <c r="F3179" s="22"/>
      <c r="G3179"/>
    </row>
    <row r="3180" spans="1:7">
      <c r="A3180" s="17"/>
      <c r="B3180" s="18"/>
      <c r="C3180" s="17"/>
      <c r="D3180" s="18"/>
      <c r="E3180" s="17"/>
      <c r="F3180" s="22"/>
      <c r="G3180"/>
    </row>
    <row r="3181" spans="1:7">
      <c r="A3181" s="17"/>
      <c r="B3181" s="18"/>
      <c r="C3181" s="17"/>
      <c r="D3181" s="18"/>
      <c r="E3181" s="17"/>
      <c r="F3181" s="22"/>
      <c r="G3181"/>
    </row>
    <row r="3182" spans="1:7">
      <c r="A3182" s="17"/>
      <c r="B3182" s="18"/>
      <c r="C3182" s="17"/>
      <c r="D3182" s="18"/>
      <c r="E3182" s="17"/>
      <c r="F3182" s="22"/>
      <c r="G3182"/>
    </row>
    <row r="3183" spans="1:7">
      <c r="A3183" s="17"/>
      <c r="B3183" s="18"/>
      <c r="C3183" s="17"/>
      <c r="D3183" s="18"/>
      <c r="E3183" s="17"/>
      <c r="F3183" s="22"/>
      <c r="G3183"/>
    </row>
    <row r="3184" spans="1:7">
      <c r="A3184" s="17"/>
      <c r="B3184" s="18"/>
      <c r="C3184" s="17"/>
      <c r="D3184" s="18"/>
      <c r="E3184" s="17"/>
      <c r="F3184" s="22"/>
      <c r="G3184"/>
    </row>
    <row r="3185" spans="1:7">
      <c r="A3185" s="17"/>
      <c r="B3185" s="18"/>
      <c r="C3185" s="17"/>
      <c r="D3185" s="18"/>
      <c r="E3185" s="17"/>
      <c r="F3185" s="22"/>
      <c r="G3185"/>
    </row>
    <row r="3186" spans="1:7">
      <c r="A3186" s="17"/>
      <c r="B3186" s="18"/>
      <c r="C3186" s="17"/>
      <c r="D3186" s="18"/>
      <c r="E3186" s="17"/>
      <c r="F3186" s="22"/>
      <c r="G3186"/>
    </row>
    <row r="3187" spans="1:7">
      <c r="A3187" s="17"/>
      <c r="B3187" s="18"/>
      <c r="C3187" s="17"/>
      <c r="D3187" s="18"/>
      <c r="E3187" s="17"/>
      <c r="F3187" s="22"/>
      <c r="G3187"/>
    </row>
    <row r="3188" spans="1:7">
      <c r="A3188" s="17"/>
      <c r="B3188" s="18"/>
      <c r="C3188" s="17"/>
      <c r="D3188" s="18"/>
      <c r="E3188" s="17"/>
      <c r="F3188" s="22"/>
      <c r="G3188"/>
    </row>
    <row r="3189" spans="1:7">
      <c r="A3189" s="17"/>
      <c r="B3189" s="18"/>
      <c r="C3189" s="17"/>
      <c r="D3189" s="18"/>
      <c r="E3189" s="17"/>
      <c r="F3189" s="22"/>
      <c r="G3189"/>
    </row>
    <row r="3190" spans="1:7">
      <c r="A3190" s="17"/>
      <c r="B3190" s="18"/>
      <c r="C3190" s="17"/>
      <c r="D3190" s="18"/>
      <c r="E3190" s="17"/>
      <c r="F3190" s="22"/>
      <c r="G3190"/>
    </row>
    <row r="3191" spans="1:7">
      <c r="A3191" s="17"/>
      <c r="B3191" s="18"/>
      <c r="C3191" s="17"/>
      <c r="D3191" s="18"/>
      <c r="E3191" s="17"/>
      <c r="F3191" s="22"/>
      <c r="G3191"/>
    </row>
    <row r="3192" spans="1:7">
      <c r="A3192" s="17"/>
      <c r="B3192" s="18"/>
      <c r="C3192" s="17"/>
      <c r="D3192" s="18"/>
      <c r="E3192" s="17"/>
      <c r="F3192" s="22"/>
      <c r="G3192"/>
    </row>
    <row r="3193" spans="1:7">
      <c r="A3193" s="17"/>
      <c r="B3193" s="18"/>
      <c r="C3193" s="17"/>
      <c r="D3193" s="18"/>
      <c r="E3193" s="17"/>
      <c r="F3193" s="22"/>
      <c r="G3193"/>
    </row>
    <row r="3194" spans="1:7">
      <c r="A3194" s="17"/>
      <c r="B3194" s="18"/>
      <c r="C3194" s="17"/>
      <c r="D3194" s="18"/>
      <c r="E3194" s="17"/>
      <c r="F3194" s="22"/>
      <c r="G3194"/>
    </row>
    <row r="3195" spans="1:7">
      <c r="A3195" s="17"/>
      <c r="B3195" s="18"/>
      <c r="C3195" s="17"/>
      <c r="D3195" s="18"/>
      <c r="E3195" s="17"/>
      <c r="F3195" s="22"/>
      <c r="G3195"/>
    </row>
    <row r="3196" spans="1:7">
      <c r="A3196" s="17"/>
      <c r="B3196" s="18"/>
      <c r="C3196" s="17"/>
      <c r="D3196" s="18"/>
      <c r="E3196" s="17"/>
      <c r="F3196" s="22"/>
      <c r="G3196"/>
    </row>
    <row r="3197" spans="1:7">
      <c r="A3197" s="17"/>
      <c r="B3197" s="18"/>
      <c r="C3197" s="17"/>
      <c r="D3197" s="18"/>
      <c r="E3197" s="17"/>
      <c r="F3197" s="22"/>
      <c r="G3197"/>
    </row>
    <row r="3198" spans="1:7">
      <c r="A3198" s="17"/>
      <c r="B3198" s="18"/>
      <c r="C3198" s="17"/>
      <c r="D3198" s="18"/>
      <c r="E3198" s="17"/>
      <c r="F3198" s="22"/>
      <c r="G3198"/>
    </row>
    <row r="3199" spans="1:7">
      <c r="A3199" s="17"/>
      <c r="B3199" s="18"/>
      <c r="C3199" s="17"/>
      <c r="D3199" s="18"/>
      <c r="E3199" s="17"/>
      <c r="F3199" s="22"/>
      <c r="G3199"/>
    </row>
    <row r="3200" spans="1:7">
      <c r="A3200" s="17"/>
      <c r="B3200" s="18"/>
      <c r="C3200" s="17"/>
      <c r="D3200" s="18"/>
      <c r="E3200" s="17"/>
      <c r="F3200" s="22"/>
      <c r="G3200"/>
    </row>
    <row r="3201" spans="1:7">
      <c r="A3201" s="17"/>
      <c r="B3201" s="18"/>
      <c r="C3201" s="17"/>
      <c r="D3201" s="18"/>
      <c r="E3201" s="17"/>
      <c r="F3201" s="22"/>
      <c r="G3201"/>
    </row>
    <row r="3202" spans="1:7">
      <c r="A3202" s="17"/>
      <c r="B3202" s="18"/>
      <c r="C3202" s="17"/>
      <c r="D3202" s="18"/>
      <c r="E3202" s="17"/>
      <c r="F3202" s="22"/>
      <c r="G3202"/>
    </row>
    <row r="3203" spans="1:7">
      <c r="A3203" s="17"/>
      <c r="B3203" s="18"/>
      <c r="C3203" s="17"/>
      <c r="D3203" s="18"/>
      <c r="E3203" s="17"/>
      <c r="F3203" s="22"/>
      <c r="G3203"/>
    </row>
    <row r="3204" spans="1:7">
      <c r="A3204" s="17"/>
      <c r="B3204" s="18"/>
      <c r="C3204" s="17"/>
      <c r="D3204" s="18"/>
      <c r="E3204" s="17"/>
      <c r="F3204" s="22"/>
      <c r="G3204"/>
    </row>
    <row r="3205" spans="1:7">
      <c r="A3205" s="17"/>
      <c r="B3205" s="18"/>
      <c r="C3205" s="17"/>
      <c r="D3205" s="18"/>
      <c r="E3205" s="17"/>
      <c r="F3205" s="22"/>
      <c r="G3205"/>
    </row>
    <row r="3206" spans="1:7">
      <c r="A3206" s="17"/>
      <c r="B3206" s="18"/>
      <c r="C3206" s="17"/>
      <c r="D3206" s="18"/>
      <c r="E3206" s="17"/>
      <c r="F3206" s="22"/>
      <c r="G3206"/>
    </row>
    <row r="3207" spans="1:7">
      <c r="A3207" s="17"/>
      <c r="B3207" s="18"/>
      <c r="C3207" s="17"/>
      <c r="D3207" s="18"/>
      <c r="E3207" s="17"/>
      <c r="F3207" s="22"/>
      <c r="G3207"/>
    </row>
    <row r="3208" spans="1:7">
      <c r="A3208" s="17"/>
      <c r="B3208" s="18"/>
      <c r="C3208" s="17"/>
      <c r="D3208" s="18"/>
      <c r="E3208" s="17"/>
      <c r="F3208" s="22"/>
      <c r="G3208"/>
    </row>
    <row r="3209" spans="1:7">
      <c r="A3209" s="17"/>
      <c r="B3209" s="18"/>
      <c r="C3209" s="17"/>
      <c r="D3209" s="18"/>
      <c r="E3209" s="17"/>
      <c r="F3209" s="22"/>
      <c r="G3209"/>
    </row>
    <row r="3210" spans="1:7">
      <c r="A3210" s="17"/>
      <c r="B3210" s="18"/>
      <c r="C3210" s="17"/>
      <c r="D3210" s="18"/>
      <c r="E3210" s="17"/>
      <c r="F3210" s="22"/>
      <c r="G3210"/>
    </row>
    <row r="3211" spans="1:7">
      <c r="A3211" s="17"/>
      <c r="B3211" s="18"/>
      <c r="C3211" s="17"/>
      <c r="D3211" s="18"/>
      <c r="E3211" s="17"/>
      <c r="F3211" s="22"/>
      <c r="G3211"/>
    </row>
    <row r="3212" spans="1:7">
      <c r="A3212" s="17"/>
      <c r="B3212" s="18"/>
      <c r="C3212" s="17"/>
      <c r="D3212" s="18"/>
      <c r="E3212" s="17"/>
      <c r="F3212" s="22"/>
      <c r="G3212"/>
    </row>
    <row r="3213" spans="1:7">
      <c r="A3213" s="17"/>
      <c r="B3213" s="18"/>
      <c r="C3213" s="17"/>
      <c r="D3213" s="18"/>
      <c r="E3213" s="17"/>
      <c r="F3213" s="22"/>
      <c r="G3213"/>
    </row>
    <row r="3214" spans="1:7">
      <c r="A3214" s="17"/>
      <c r="B3214" s="18"/>
      <c r="C3214" s="17"/>
      <c r="D3214" s="18"/>
      <c r="E3214" s="17"/>
      <c r="F3214" s="22"/>
      <c r="G3214"/>
    </row>
    <row r="3215" spans="1:7">
      <c r="A3215" s="17"/>
      <c r="B3215" s="18"/>
      <c r="C3215" s="17"/>
      <c r="D3215" s="18"/>
      <c r="E3215" s="17"/>
      <c r="F3215" s="22"/>
      <c r="G3215"/>
    </row>
    <row r="3216" spans="1:7">
      <c r="A3216" s="17"/>
      <c r="B3216" s="18"/>
      <c r="C3216" s="17"/>
      <c r="D3216" s="18"/>
      <c r="E3216" s="17"/>
      <c r="F3216" s="22"/>
      <c r="G3216"/>
    </row>
    <row r="3217" spans="1:7">
      <c r="A3217" s="17"/>
      <c r="B3217" s="18"/>
      <c r="C3217" s="17"/>
      <c r="D3217" s="18"/>
      <c r="E3217" s="17"/>
      <c r="F3217" s="22"/>
      <c r="G3217"/>
    </row>
    <row r="3218" spans="1:7">
      <c r="A3218" s="17"/>
      <c r="B3218" s="18"/>
      <c r="C3218" s="17"/>
      <c r="D3218" s="18"/>
      <c r="E3218" s="17"/>
      <c r="F3218" s="22"/>
      <c r="G3218"/>
    </row>
    <row r="3219" spans="1:7">
      <c r="A3219" s="17"/>
      <c r="B3219" s="18"/>
      <c r="C3219" s="17"/>
      <c r="D3219" s="18"/>
      <c r="E3219" s="17"/>
      <c r="F3219" s="22"/>
      <c r="G3219"/>
    </row>
    <row r="3220" spans="1:7">
      <c r="A3220" s="17"/>
      <c r="B3220" s="18"/>
      <c r="C3220" s="17"/>
      <c r="D3220" s="18"/>
      <c r="E3220" s="17"/>
      <c r="F3220" s="22"/>
      <c r="G3220"/>
    </row>
    <row r="3221" spans="1:7">
      <c r="A3221" s="17"/>
      <c r="B3221" s="18"/>
      <c r="C3221" s="17"/>
      <c r="D3221" s="18"/>
      <c r="E3221" s="17"/>
      <c r="F3221" s="22"/>
      <c r="G3221"/>
    </row>
    <row r="3222" spans="1:7">
      <c r="A3222" s="17"/>
      <c r="B3222" s="18"/>
      <c r="C3222" s="17"/>
      <c r="D3222" s="18"/>
      <c r="E3222" s="17"/>
      <c r="F3222" s="22"/>
      <c r="G3222"/>
    </row>
    <row r="3223" spans="1:7">
      <c r="A3223" s="17"/>
      <c r="B3223" s="18"/>
      <c r="C3223" s="17"/>
      <c r="D3223" s="18"/>
      <c r="E3223" s="17"/>
      <c r="F3223" s="22"/>
      <c r="G3223"/>
    </row>
    <row r="3224" spans="1:7">
      <c r="A3224" s="17"/>
      <c r="B3224" s="18"/>
      <c r="C3224" s="17"/>
      <c r="D3224" s="18"/>
      <c r="E3224" s="17"/>
      <c r="F3224" s="22"/>
      <c r="G3224"/>
    </row>
    <row r="3225" spans="1:7">
      <c r="A3225" s="17"/>
      <c r="B3225" s="18"/>
      <c r="C3225" s="17"/>
      <c r="D3225" s="18"/>
      <c r="E3225" s="17"/>
      <c r="F3225" s="22"/>
      <c r="G3225"/>
    </row>
    <row r="3226" spans="1:7">
      <c r="A3226" s="17"/>
      <c r="B3226" s="18"/>
      <c r="C3226" s="17"/>
      <c r="D3226" s="18"/>
      <c r="E3226" s="17"/>
      <c r="F3226" s="22"/>
      <c r="G3226"/>
    </row>
    <row r="3227" spans="1:7">
      <c r="A3227" s="17"/>
      <c r="B3227" s="18"/>
      <c r="C3227" s="17"/>
      <c r="D3227" s="18"/>
      <c r="E3227" s="17"/>
      <c r="F3227" s="22"/>
      <c r="G3227"/>
    </row>
    <row r="3228" spans="1:7">
      <c r="A3228" s="17"/>
      <c r="B3228" s="18"/>
      <c r="C3228" s="17"/>
      <c r="D3228" s="18"/>
      <c r="E3228" s="17"/>
      <c r="F3228" s="22"/>
      <c r="G3228"/>
    </row>
    <row r="3229" spans="1:7">
      <c r="A3229" s="17"/>
      <c r="B3229" s="18"/>
      <c r="C3229" s="17"/>
      <c r="D3229" s="18"/>
      <c r="E3229" s="17"/>
      <c r="F3229" s="22"/>
      <c r="G3229"/>
    </row>
    <row r="3230" spans="1:7">
      <c r="A3230" s="17"/>
      <c r="B3230" s="18"/>
      <c r="C3230" s="17"/>
      <c r="D3230" s="18"/>
      <c r="E3230" s="17"/>
      <c r="F3230" s="22"/>
      <c r="G3230"/>
    </row>
    <row r="3231" spans="1:7">
      <c r="A3231" s="17"/>
      <c r="B3231" s="18"/>
      <c r="C3231" s="17"/>
      <c r="D3231" s="18"/>
      <c r="E3231" s="17"/>
      <c r="F3231" s="22"/>
      <c r="G3231"/>
    </row>
    <row r="3232" spans="1:7">
      <c r="A3232" s="17"/>
      <c r="B3232" s="18"/>
      <c r="C3232" s="17"/>
      <c r="D3232" s="18"/>
      <c r="E3232" s="17"/>
      <c r="F3232" s="22"/>
      <c r="G3232"/>
    </row>
    <row r="3233" spans="1:7">
      <c r="A3233" s="17"/>
      <c r="B3233" s="18"/>
      <c r="C3233" s="17"/>
      <c r="D3233" s="18"/>
      <c r="E3233" s="17"/>
      <c r="F3233" s="22"/>
      <c r="G3233"/>
    </row>
    <row r="3234" spans="1:7">
      <c r="A3234" s="17"/>
      <c r="B3234" s="18"/>
      <c r="C3234" s="17"/>
      <c r="D3234" s="18"/>
      <c r="E3234" s="17"/>
      <c r="F3234" s="22"/>
      <c r="G3234"/>
    </row>
    <row r="3235" spans="1:7">
      <c r="A3235" s="17"/>
      <c r="B3235" s="18"/>
      <c r="C3235" s="17"/>
      <c r="D3235" s="18"/>
      <c r="E3235" s="17"/>
      <c r="F3235" s="22"/>
      <c r="G3235"/>
    </row>
    <row r="3236" spans="1:7">
      <c r="A3236" s="17"/>
      <c r="B3236" s="18"/>
      <c r="C3236" s="17"/>
      <c r="D3236" s="18"/>
      <c r="E3236" s="17"/>
      <c r="F3236" s="22"/>
      <c r="G3236"/>
    </row>
    <row r="3237" spans="1:7">
      <c r="A3237" s="17"/>
      <c r="B3237" s="18"/>
      <c r="C3237" s="17"/>
      <c r="D3237" s="18"/>
      <c r="E3237" s="17"/>
      <c r="F3237" s="22"/>
      <c r="G3237"/>
    </row>
    <row r="3238" spans="1:7">
      <c r="A3238" s="17"/>
      <c r="B3238" s="18"/>
      <c r="C3238" s="17"/>
      <c r="D3238" s="18"/>
      <c r="E3238" s="17"/>
      <c r="F3238" s="22"/>
      <c r="G3238"/>
    </row>
    <row r="3239" spans="1:7">
      <c r="A3239" s="17"/>
      <c r="B3239" s="18"/>
      <c r="C3239" s="17"/>
      <c r="D3239" s="18"/>
      <c r="E3239" s="17"/>
      <c r="F3239" s="22"/>
      <c r="G3239"/>
    </row>
    <row r="3240" spans="1:7">
      <c r="A3240" s="17"/>
      <c r="B3240" s="18"/>
      <c r="C3240" s="17"/>
      <c r="D3240" s="18"/>
      <c r="E3240" s="17"/>
      <c r="F3240" s="22"/>
      <c r="G3240"/>
    </row>
    <row r="3241" spans="1:7">
      <c r="A3241" s="17"/>
      <c r="B3241" s="18"/>
      <c r="C3241" s="17"/>
      <c r="D3241" s="18"/>
      <c r="E3241" s="17"/>
      <c r="F3241" s="22"/>
      <c r="G3241"/>
    </row>
    <row r="3242" spans="1:7">
      <c r="A3242" s="17"/>
      <c r="B3242" s="18"/>
      <c r="C3242" s="17"/>
      <c r="D3242" s="18"/>
      <c r="E3242" s="17"/>
      <c r="F3242" s="22"/>
      <c r="G3242"/>
    </row>
    <row r="3243" spans="1:7">
      <c r="A3243" s="17"/>
      <c r="B3243" s="18"/>
      <c r="C3243" s="17"/>
      <c r="D3243" s="18"/>
      <c r="E3243" s="17"/>
      <c r="F3243" s="22"/>
      <c r="G3243"/>
    </row>
    <row r="3244" spans="1:7">
      <c r="A3244" s="17"/>
      <c r="B3244" s="18"/>
      <c r="C3244" s="17"/>
      <c r="D3244" s="18"/>
      <c r="E3244" s="17"/>
      <c r="F3244" s="22"/>
      <c r="G3244"/>
    </row>
    <row r="3245" spans="1:7">
      <c r="A3245" s="17"/>
      <c r="B3245" s="18"/>
      <c r="C3245" s="17"/>
      <c r="D3245" s="18"/>
      <c r="E3245" s="17"/>
      <c r="F3245" s="22"/>
      <c r="G3245"/>
    </row>
    <row r="3246" spans="1:7">
      <c r="A3246" s="17"/>
      <c r="B3246" s="18"/>
      <c r="C3246" s="17"/>
      <c r="D3246" s="18"/>
      <c r="E3246" s="17"/>
      <c r="F3246" s="22"/>
      <c r="G3246"/>
    </row>
    <row r="3247" spans="1:7">
      <c r="A3247" s="17"/>
      <c r="B3247" s="18"/>
      <c r="C3247" s="17"/>
      <c r="D3247" s="18"/>
      <c r="E3247" s="17"/>
      <c r="F3247" s="22"/>
      <c r="G3247"/>
    </row>
    <row r="3248" spans="1:7">
      <c r="A3248" s="17"/>
      <c r="B3248" s="18"/>
      <c r="C3248" s="17"/>
      <c r="D3248" s="18"/>
      <c r="E3248" s="17"/>
      <c r="F3248" s="22"/>
      <c r="G3248"/>
    </row>
    <row r="3249" spans="1:7">
      <c r="A3249" s="17"/>
      <c r="B3249" s="18"/>
      <c r="C3249" s="17"/>
      <c r="D3249" s="18"/>
      <c r="E3249" s="17"/>
      <c r="F3249" s="22"/>
      <c r="G3249"/>
    </row>
    <row r="3250" spans="1:7">
      <c r="A3250" s="17"/>
      <c r="B3250" s="18"/>
      <c r="C3250" s="17"/>
      <c r="D3250" s="18"/>
      <c r="E3250" s="17"/>
      <c r="F3250" s="22"/>
      <c r="G3250"/>
    </row>
    <row r="3251" spans="1:7">
      <c r="A3251" s="17"/>
      <c r="B3251" s="18"/>
      <c r="C3251" s="17"/>
      <c r="D3251" s="18"/>
      <c r="E3251" s="17"/>
      <c r="F3251" s="22"/>
      <c r="G3251"/>
    </row>
    <row r="3252" spans="1:7">
      <c r="A3252" s="17"/>
      <c r="B3252" s="18"/>
      <c r="C3252" s="17"/>
      <c r="D3252" s="18"/>
      <c r="E3252" s="17"/>
      <c r="F3252" s="22"/>
      <c r="G3252"/>
    </row>
    <row r="3253" spans="1:7">
      <c r="A3253" s="17"/>
      <c r="B3253" s="18"/>
      <c r="C3253" s="17"/>
      <c r="D3253" s="18"/>
      <c r="E3253" s="17"/>
      <c r="F3253" s="22"/>
      <c r="G3253"/>
    </row>
    <row r="3254" spans="1:7">
      <c r="A3254" s="17"/>
      <c r="B3254" s="18"/>
      <c r="C3254" s="17"/>
      <c r="D3254" s="18"/>
      <c r="E3254" s="17"/>
      <c r="F3254" s="22"/>
      <c r="G3254"/>
    </row>
    <row r="3255" spans="1:7">
      <c r="A3255" s="17"/>
      <c r="B3255" s="18"/>
      <c r="C3255" s="17"/>
      <c r="D3255" s="18"/>
      <c r="E3255" s="17"/>
      <c r="F3255" s="22"/>
      <c r="G3255"/>
    </row>
    <row r="3256" spans="1:7">
      <c r="A3256" s="17"/>
      <c r="B3256" s="18"/>
      <c r="C3256" s="17"/>
      <c r="D3256" s="18"/>
      <c r="E3256" s="17"/>
      <c r="F3256" s="22"/>
      <c r="G3256"/>
    </row>
    <row r="3257" spans="1:7">
      <c r="A3257" s="17"/>
      <c r="B3257" s="18"/>
      <c r="C3257" s="17"/>
      <c r="D3257" s="18"/>
      <c r="E3257" s="17"/>
      <c r="F3257" s="22"/>
      <c r="G3257"/>
    </row>
    <row r="3258" spans="1:7">
      <c r="A3258" s="17"/>
      <c r="B3258" s="18"/>
      <c r="C3258" s="17"/>
      <c r="D3258" s="18"/>
      <c r="E3258" s="17"/>
      <c r="F3258" s="22"/>
      <c r="G3258"/>
    </row>
    <row r="3259" spans="1:7">
      <c r="A3259" s="17"/>
      <c r="B3259" s="18"/>
      <c r="C3259" s="17"/>
      <c r="D3259" s="18"/>
      <c r="E3259" s="17"/>
      <c r="F3259" s="22"/>
      <c r="G3259"/>
    </row>
    <row r="3260" spans="1:7">
      <c r="A3260" s="17"/>
      <c r="B3260" s="18"/>
      <c r="C3260" s="17"/>
      <c r="D3260" s="18"/>
      <c r="E3260" s="17"/>
      <c r="F3260" s="22"/>
      <c r="G3260"/>
    </row>
    <row r="3261" spans="1:7">
      <c r="A3261" s="17"/>
      <c r="B3261" s="18"/>
      <c r="C3261" s="17"/>
      <c r="D3261" s="18"/>
      <c r="E3261" s="17"/>
      <c r="F3261" s="22"/>
      <c r="G3261"/>
    </row>
    <row r="3262" spans="1:7">
      <c r="A3262" s="17"/>
      <c r="B3262" s="18"/>
      <c r="C3262" s="17"/>
      <c r="D3262" s="18"/>
      <c r="E3262" s="17"/>
      <c r="F3262" s="22"/>
      <c r="G3262"/>
    </row>
    <row r="3263" spans="1:7">
      <c r="A3263" s="17"/>
      <c r="B3263" s="18"/>
      <c r="C3263" s="17"/>
      <c r="D3263" s="18"/>
      <c r="E3263" s="17"/>
      <c r="F3263" s="22"/>
      <c r="G3263"/>
    </row>
    <row r="3264" spans="1:7">
      <c r="A3264" s="17"/>
      <c r="B3264" s="18"/>
      <c r="C3264" s="17"/>
      <c r="D3264" s="18"/>
      <c r="E3264" s="17"/>
      <c r="F3264" s="22"/>
      <c r="G3264"/>
    </row>
    <row r="3265" spans="1:7">
      <c r="A3265" s="17"/>
      <c r="B3265" s="18"/>
      <c r="C3265" s="17"/>
      <c r="D3265" s="18"/>
      <c r="E3265" s="17"/>
      <c r="F3265" s="22"/>
      <c r="G3265"/>
    </row>
    <row r="3266" spans="1:7">
      <c r="A3266" s="17"/>
      <c r="B3266" s="18"/>
      <c r="C3266" s="17"/>
      <c r="D3266" s="18"/>
      <c r="E3266" s="17"/>
      <c r="F3266" s="22"/>
      <c r="G3266"/>
    </row>
    <row r="3267" spans="1:7">
      <c r="A3267" s="17"/>
      <c r="B3267" s="18"/>
      <c r="C3267" s="17"/>
      <c r="D3267" s="18"/>
      <c r="E3267" s="17"/>
      <c r="F3267" s="22"/>
      <c r="G3267"/>
    </row>
    <row r="3268" spans="1:7">
      <c r="A3268" s="17"/>
      <c r="B3268" s="18"/>
      <c r="C3268" s="17"/>
      <c r="D3268" s="18"/>
      <c r="E3268" s="17"/>
      <c r="F3268" s="22"/>
      <c r="G3268"/>
    </row>
    <row r="3269" spans="1:7">
      <c r="A3269" s="17"/>
      <c r="B3269" s="18"/>
      <c r="C3269" s="17"/>
      <c r="D3269" s="18"/>
      <c r="E3269" s="17"/>
      <c r="F3269" s="22"/>
      <c r="G3269"/>
    </row>
    <row r="3270" spans="1:7">
      <c r="A3270" s="17"/>
      <c r="B3270" s="18"/>
      <c r="C3270" s="17"/>
      <c r="D3270" s="18"/>
      <c r="E3270" s="17"/>
      <c r="F3270" s="22"/>
      <c r="G3270"/>
    </row>
    <row r="3271" spans="1:7">
      <c r="A3271" s="17"/>
      <c r="B3271" s="18"/>
      <c r="C3271" s="17"/>
      <c r="D3271" s="18"/>
      <c r="E3271" s="17"/>
      <c r="F3271" s="22"/>
      <c r="G3271"/>
    </row>
    <row r="3272" spans="1:7">
      <c r="A3272" s="17"/>
      <c r="B3272" s="18"/>
      <c r="C3272" s="17"/>
      <c r="D3272" s="18"/>
      <c r="E3272" s="17"/>
      <c r="F3272" s="22"/>
      <c r="G3272"/>
    </row>
    <row r="3273" spans="1:7">
      <c r="A3273" s="17"/>
      <c r="B3273" s="18"/>
      <c r="C3273" s="17"/>
      <c r="D3273" s="18"/>
      <c r="E3273" s="17"/>
      <c r="F3273" s="22"/>
      <c r="G3273"/>
    </row>
    <row r="3274" spans="1:7">
      <c r="A3274" s="17"/>
      <c r="B3274" s="18"/>
      <c r="C3274" s="17"/>
      <c r="D3274" s="18"/>
      <c r="E3274" s="17"/>
      <c r="F3274" s="22"/>
      <c r="G3274"/>
    </row>
    <row r="3275" spans="1:7">
      <c r="A3275" s="17"/>
      <c r="B3275" s="18"/>
      <c r="C3275" s="17"/>
      <c r="D3275" s="18"/>
      <c r="E3275" s="17"/>
      <c r="F3275" s="22"/>
      <c r="G3275"/>
    </row>
    <row r="3276" spans="1:7">
      <c r="A3276" s="17"/>
      <c r="B3276" s="18"/>
      <c r="C3276" s="17"/>
      <c r="D3276" s="18"/>
      <c r="E3276" s="17"/>
      <c r="F3276" s="22"/>
      <c r="G3276"/>
    </row>
    <row r="3277" spans="1:7">
      <c r="A3277" s="17"/>
      <c r="B3277" s="18"/>
      <c r="C3277" s="17"/>
      <c r="D3277" s="18"/>
      <c r="E3277" s="17"/>
      <c r="F3277" s="22"/>
      <c r="G3277"/>
    </row>
    <row r="3278" spans="1:7">
      <c r="A3278" s="17"/>
      <c r="B3278" s="18"/>
      <c r="C3278" s="17"/>
      <c r="D3278" s="18"/>
      <c r="E3278" s="17"/>
      <c r="F3278" s="22"/>
      <c r="G3278"/>
    </row>
    <row r="3279" spans="1:7">
      <c r="A3279" s="17"/>
      <c r="B3279" s="18"/>
      <c r="C3279" s="17"/>
      <c r="D3279" s="18"/>
      <c r="E3279" s="17"/>
      <c r="F3279" s="22"/>
      <c r="G3279"/>
    </row>
    <row r="3280" spans="1:7">
      <c r="A3280" s="17"/>
      <c r="B3280" s="18"/>
      <c r="C3280" s="17"/>
      <c r="D3280" s="18"/>
      <c r="E3280" s="17"/>
      <c r="F3280" s="22"/>
      <c r="G3280"/>
    </row>
    <row r="3281" spans="1:7">
      <c r="A3281" s="17"/>
      <c r="B3281" s="18"/>
      <c r="C3281" s="17"/>
      <c r="D3281" s="18"/>
      <c r="E3281" s="17"/>
      <c r="F3281" s="22"/>
      <c r="G3281"/>
    </row>
    <row r="3282" spans="1:7">
      <c r="A3282" s="17"/>
      <c r="B3282" s="18"/>
      <c r="C3282" s="17"/>
      <c r="D3282" s="18"/>
      <c r="E3282" s="17"/>
      <c r="F3282" s="22"/>
      <c r="G3282"/>
    </row>
    <row r="3283" spans="1:7">
      <c r="A3283" s="17"/>
      <c r="B3283" s="18"/>
      <c r="C3283" s="17"/>
      <c r="D3283" s="18"/>
      <c r="E3283" s="17"/>
      <c r="F3283" s="22"/>
      <c r="G3283"/>
    </row>
    <row r="3284" spans="1:7">
      <c r="A3284" s="17"/>
      <c r="B3284" s="18"/>
      <c r="C3284" s="17"/>
      <c r="D3284" s="18"/>
      <c r="E3284" s="17"/>
      <c r="F3284" s="22"/>
      <c r="G3284"/>
    </row>
    <row r="3285" spans="1:7">
      <c r="A3285" s="17"/>
      <c r="B3285" s="18"/>
      <c r="C3285" s="17"/>
      <c r="D3285" s="18"/>
      <c r="E3285" s="17"/>
      <c r="F3285" s="22"/>
      <c r="G3285"/>
    </row>
    <row r="3286" spans="1:7">
      <c r="A3286" s="17"/>
      <c r="B3286" s="18"/>
      <c r="C3286" s="17"/>
      <c r="D3286" s="18"/>
      <c r="E3286" s="17"/>
      <c r="F3286" s="22"/>
      <c r="G3286"/>
    </row>
    <row r="3287" spans="1:7">
      <c r="A3287" s="17"/>
      <c r="B3287" s="18"/>
      <c r="C3287" s="17"/>
      <c r="D3287" s="18"/>
      <c r="E3287" s="17"/>
      <c r="F3287" s="22"/>
      <c r="G3287"/>
    </row>
    <row r="3288" spans="1:7">
      <c r="A3288" s="17"/>
      <c r="B3288" s="18"/>
      <c r="C3288" s="17"/>
      <c r="D3288" s="18"/>
      <c r="E3288" s="17"/>
      <c r="F3288" s="22"/>
      <c r="G3288"/>
    </row>
    <row r="3289" spans="1:7">
      <c r="A3289" s="17"/>
      <c r="B3289" s="18"/>
      <c r="C3289" s="17"/>
      <c r="D3289" s="18"/>
      <c r="E3289" s="17"/>
      <c r="F3289" s="22"/>
      <c r="G3289"/>
    </row>
    <row r="3290" spans="1:7">
      <c r="A3290" s="17"/>
      <c r="B3290" s="18"/>
      <c r="C3290" s="17"/>
      <c r="D3290" s="18"/>
      <c r="E3290" s="17"/>
      <c r="F3290" s="22"/>
      <c r="G3290"/>
    </row>
    <row r="3291" spans="1:7">
      <c r="A3291" s="17"/>
      <c r="B3291" s="18"/>
      <c r="C3291" s="17"/>
      <c r="D3291" s="18"/>
      <c r="E3291" s="17"/>
      <c r="F3291" s="22"/>
      <c r="G3291"/>
    </row>
    <row r="3292" spans="1:7">
      <c r="A3292" s="17"/>
      <c r="B3292" s="18"/>
      <c r="C3292" s="17"/>
      <c r="D3292" s="18"/>
      <c r="E3292" s="17"/>
      <c r="F3292" s="22"/>
      <c r="G3292"/>
    </row>
    <row r="3293" spans="1:7">
      <c r="A3293" s="17"/>
      <c r="B3293" s="18"/>
      <c r="C3293" s="17"/>
      <c r="D3293" s="18"/>
      <c r="E3293" s="17"/>
      <c r="F3293" s="22"/>
      <c r="G3293"/>
    </row>
    <row r="3294" spans="1:7">
      <c r="A3294" s="17"/>
      <c r="B3294" s="18"/>
      <c r="C3294" s="17"/>
      <c r="D3294" s="18"/>
      <c r="E3294" s="17"/>
      <c r="F3294" s="22"/>
      <c r="G3294"/>
    </row>
    <row r="3295" spans="1:7">
      <c r="A3295" s="17"/>
      <c r="B3295" s="18"/>
      <c r="C3295" s="17"/>
      <c r="D3295" s="18"/>
      <c r="E3295" s="17"/>
      <c r="F3295" s="22"/>
      <c r="G3295"/>
    </row>
    <row r="3296" spans="1:7">
      <c r="A3296" s="17"/>
      <c r="B3296" s="18"/>
      <c r="C3296" s="17"/>
      <c r="D3296" s="18"/>
      <c r="E3296" s="17"/>
      <c r="F3296" s="22"/>
      <c r="G3296"/>
    </row>
    <row r="3297" spans="1:7">
      <c r="A3297" s="17"/>
      <c r="B3297" s="18"/>
      <c r="C3297" s="17"/>
      <c r="D3297" s="18"/>
      <c r="E3297" s="17"/>
      <c r="F3297" s="22"/>
      <c r="G3297"/>
    </row>
    <row r="3298" spans="1:7">
      <c r="A3298" s="17"/>
      <c r="B3298" s="18"/>
      <c r="C3298" s="17"/>
      <c r="D3298" s="18"/>
      <c r="E3298" s="17"/>
      <c r="F3298" s="22"/>
      <c r="G3298"/>
    </row>
    <row r="3299" spans="1:7">
      <c r="A3299" s="17"/>
      <c r="B3299" s="18"/>
      <c r="C3299" s="17"/>
      <c r="D3299" s="18"/>
      <c r="E3299" s="17"/>
      <c r="F3299" s="22"/>
      <c r="G3299"/>
    </row>
    <row r="3300" spans="1:7">
      <c r="A3300" s="17"/>
      <c r="B3300" s="18"/>
      <c r="C3300" s="17"/>
      <c r="D3300" s="18"/>
      <c r="E3300" s="17"/>
      <c r="F3300" s="22"/>
      <c r="G3300"/>
    </row>
    <row r="3301" spans="1:7">
      <c r="A3301" s="17"/>
      <c r="B3301" s="18"/>
      <c r="C3301" s="17"/>
      <c r="D3301" s="18"/>
      <c r="E3301" s="17"/>
      <c r="F3301" s="22"/>
      <c r="G3301"/>
    </row>
    <row r="3302" spans="1:7">
      <c r="A3302" s="17"/>
      <c r="B3302" s="18"/>
      <c r="C3302" s="17"/>
      <c r="D3302" s="18"/>
      <c r="E3302" s="17"/>
      <c r="F3302" s="22"/>
      <c r="G3302"/>
    </row>
    <row r="3303" spans="1:7">
      <c r="A3303" s="17"/>
      <c r="B3303" s="18"/>
      <c r="C3303" s="17"/>
      <c r="D3303" s="18"/>
      <c r="E3303" s="17"/>
      <c r="F3303" s="22"/>
      <c r="G3303"/>
    </row>
    <row r="3304" spans="1:7">
      <c r="A3304" s="17"/>
      <c r="B3304" s="18"/>
      <c r="C3304" s="17"/>
      <c r="D3304" s="18"/>
      <c r="E3304" s="17"/>
      <c r="F3304" s="22"/>
      <c r="G3304"/>
    </row>
    <row r="3305" spans="1:7">
      <c r="A3305" s="17"/>
      <c r="B3305" s="18"/>
      <c r="C3305" s="17"/>
      <c r="D3305" s="18"/>
      <c r="E3305" s="17"/>
      <c r="F3305" s="22"/>
      <c r="G3305"/>
    </row>
    <row r="3306" spans="1:7">
      <c r="A3306" s="17"/>
      <c r="B3306" s="18"/>
      <c r="C3306" s="17"/>
      <c r="D3306" s="18"/>
      <c r="E3306" s="17"/>
      <c r="F3306" s="22"/>
      <c r="G3306"/>
    </row>
    <row r="3307" spans="1:7">
      <c r="A3307" s="17"/>
      <c r="B3307" s="18"/>
      <c r="C3307" s="17"/>
      <c r="D3307" s="18"/>
      <c r="E3307" s="17"/>
      <c r="F3307" s="22"/>
      <c r="G3307"/>
    </row>
    <row r="3308" spans="1:7">
      <c r="A3308" s="17"/>
      <c r="B3308" s="18"/>
      <c r="C3308" s="17"/>
      <c r="D3308" s="18"/>
      <c r="E3308" s="17"/>
      <c r="F3308" s="22"/>
      <c r="G3308"/>
    </row>
    <row r="3309" spans="1:7">
      <c r="A3309" s="17"/>
      <c r="B3309" s="18"/>
      <c r="C3309" s="17"/>
      <c r="D3309" s="18"/>
      <c r="E3309" s="17"/>
      <c r="F3309" s="22"/>
      <c r="G3309"/>
    </row>
    <row r="3310" spans="1:7">
      <c r="A3310" s="17"/>
      <c r="B3310" s="18"/>
      <c r="C3310" s="17"/>
      <c r="D3310" s="18"/>
      <c r="E3310" s="17"/>
      <c r="F3310" s="22"/>
      <c r="G3310"/>
    </row>
    <row r="3311" spans="1:7">
      <c r="A3311" s="17"/>
      <c r="B3311" s="18"/>
      <c r="C3311" s="17"/>
      <c r="D3311" s="18"/>
      <c r="E3311" s="17"/>
      <c r="F3311" s="22"/>
      <c r="G3311"/>
    </row>
    <row r="3312" spans="1:7">
      <c r="A3312" s="17"/>
      <c r="B3312" s="18"/>
      <c r="C3312" s="17"/>
      <c r="D3312" s="18"/>
      <c r="E3312" s="17"/>
      <c r="F3312" s="22"/>
      <c r="G3312"/>
    </row>
    <row r="3313" spans="1:7">
      <c r="A3313" s="17"/>
      <c r="B3313" s="18"/>
      <c r="C3313" s="17"/>
      <c r="D3313" s="18"/>
      <c r="E3313" s="17"/>
      <c r="F3313" s="22"/>
      <c r="G3313"/>
    </row>
    <row r="3314" spans="1:7">
      <c r="A3314" s="17"/>
      <c r="B3314" s="18"/>
      <c r="C3314" s="17"/>
      <c r="D3314" s="18"/>
      <c r="E3314" s="17"/>
      <c r="F3314" s="22"/>
      <c r="G3314"/>
    </row>
    <row r="3315" spans="1:7">
      <c r="A3315" s="17"/>
      <c r="B3315" s="18"/>
      <c r="C3315" s="17"/>
      <c r="D3315" s="18"/>
      <c r="E3315" s="17"/>
      <c r="F3315" s="22"/>
      <c r="G3315"/>
    </row>
    <row r="3316" spans="1:7">
      <c r="A3316" s="17"/>
      <c r="B3316" s="18"/>
      <c r="C3316" s="17"/>
      <c r="D3316" s="18"/>
      <c r="E3316" s="17"/>
      <c r="F3316" s="22"/>
      <c r="G3316"/>
    </row>
    <row r="3317" spans="1:7">
      <c r="A3317" s="17"/>
      <c r="B3317" s="18"/>
      <c r="C3317" s="17"/>
      <c r="D3317" s="18"/>
      <c r="E3317" s="17"/>
      <c r="F3317" s="22"/>
      <c r="G3317"/>
    </row>
    <row r="3318" spans="1:7">
      <c r="A3318" s="17"/>
      <c r="B3318" s="18"/>
      <c r="C3318" s="17"/>
      <c r="D3318" s="18"/>
      <c r="E3318" s="17"/>
      <c r="F3318" s="22"/>
      <c r="G3318"/>
    </row>
    <row r="3319" spans="1:7">
      <c r="A3319" s="17"/>
      <c r="B3319" s="18"/>
      <c r="C3319" s="17"/>
      <c r="D3319" s="18"/>
      <c r="E3319" s="17"/>
      <c r="F3319" s="22"/>
      <c r="G3319"/>
    </row>
    <row r="3320" spans="1:7">
      <c r="A3320" s="17"/>
      <c r="B3320" s="18"/>
      <c r="C3320" s="17"/>
      <c r="D3320" s="18"/>
      <c r="E3320" s="17"/>
      <c r="F3320" s="22"/>
      <c r="G3320"/>
    </row>
    <row r="3321" spans="1:7">
      <c r="A3321" s="17"/>
      <c r="B3321" s="18"/>
      <c r="C3321" s="17"/>
      <c r="D3321" s="18"/>
      <c r="E3321" s="17"/>
      <c r="F3321" s="22"/>
      <c r="G3321"/>
    </row>
    <row r="3322" spans="1:7">
      <c r="A3322" s="17"/>
      <c r="B3322" s="18"/>
      <c r="C3322" s="17"/>
      <c r="D3322" s="18"/>
      <c r="E3322" s="17"/>
      <c r="F3322" s="22"/>
      <c r="G3322"/>
    </row>
    <row r="3323" spans="1:7">
      <c r="A3323" s="17"/>
      <c r="B3323" s="18"/>
      <c r="C3323" s="17"/>
      <c r="D3323" s="18"/>
      <c r="E3323" s="17"/>
      <c r="F3323" s="22"/>
      <c r="G3323"/>
    </row>
    <row r="3324" spans="1:7">
      <c r="A3324" s="17"/>
      <c r="B3324" s="18"/>
      <c r="C3324" s="17"/>
      <c r="D3324" s="18"/>
      <c r="E3324" s="17"/>
      <c r="F3324" s="22"/>
      <c r="G3324"/>
    </row>
    <row r="3325" spans="1:7">
      <c r="A3325" s="17"/>
      <c r="B3325" s="18"/>
      <c r="C3325" s="17"/>
      <c r="D3325" s="18"/>
      <c r="E3325" s="17"/>
      <c r="F3325" s="22"/>
      <c r="G3325"/>
    </row>
    <row r="3326" spans="1:7">
      <c r="A3326" s="17"/>
      <c r="B3326" s="18"/>
      <c r="C3326" s="17"/>
      <c r="D3326" s="18"/>
      <c r="E3326" s="17"/>
      <c r="F3326" s="22"/>
      <c r="G3326"/>
    </row>
    <row r="3327" spans="1:7">
      <c r="A3327" s="17"/>
      <c r="B3327" s="18"/>
      <c r="C3327" s="17"/>
      <c r="D3327" s="18"/>
      <c r="E3327" s="17"/>
      <c r="F3327" s="22"/>
      <c r="G3327"/>
    </row>
    <row r="3328" spans="1:7">
      <c r="A3328" s="17"/>
      <c r="B3328" s="18"/>
      <c r="C3328" s="17"/>
      <c r="D3328" s="18"/>
      <c r="E3328" s="17"/>
      <c r="F3328" s="22"/>
      <c r="G3328"/>
    </row>
    <row r="3329" spans="1:7">
      <c r="A3329" s="17"/>
      <c r="B3329" s="18"/>
      <c r="C3329" s="17"/>
      <c r="D3329" s="18"/>
      <c r="E3329" s="17"/>
      <c r="F3329" s="22"/>
      <c r="G3329"/>
    </row>
    <row r="3330" spans="1:7">
      <c r="A3330" s="17"/>
      <c r="B3330" s="18"/>
      <c r="C3330" s="17"/>
      <c r="D3330" s="18"/>
      <c r="E3330" s="17"/>
      <c r="F3330" s="22"/>
      <c r="G3330"/>
    </row>
    <row r="3331" spans="1:7">
      <c r="A3331" s="17"/>
      <c r="B3331" s="18"/>
      <c r="C3331" s="17"/>
      <c r="D3331" s="18"/>
      <c r="E3331" s="17"/>
      <c r="F3331" s="22"/>
      <c r="G3331"/>
    </row>
    <row r="3332" spans="1:7">
      <c r="A3332" s="17"/>
      <c r="B3332" s="18"/>
      <c r="C3332" s="17"/>
      <c r="D3332" s="18"/>
      <c r="E3332" s="17"/>
      <c r="F3332" s="22"/>
      <c r="G3332"/>
    </row>
    <row r="3333" spans="1:7">
      <c r="A3333" s="17"/>
      <c r="B3333" s="18"/>
      <c r="C3333" s="17"/>
      <c r="D3333" s="18"/>
      <c r="E3333" s="17"/>
      <c r="F3333" s="22"/>
      <c r="G3333"/>
    </row>
    <row r="3334" spans="1:7">
      <c r="A3334" s="17"/>
      <c r="B3334" s="18"/>
      <c r="C3334" s="17"/>
      <c r="D3334" s="18"/>
      <c r="E3334" s="17"/>
      <c r="F3334" s="22"/>
      <c r="G3334"/>
    </row>
    <row r="3335" spans="1:7">
      <c r="A3335" s="17"/>
      <c r="B3335" s="18"/>
      <c r="C3335" s="17"/>
      <c r="D3335" s="18"/>
      <c r="E3335" s="17"/>
      <c r="F3335" s="22"/>
      <c r="G3335"/>
    </row>
    <row r="3336" spans="1:7">
      <c r="A3336" s="17"/>
      <c r="B3336" s="18"/>
      <c r="C3336" s="17"/>
      <c r="D3336" s="18"/>
      <c r="E3336" s="17"/>
      <c r="F3336" s="22"/>
      <c r="G3336"/>
    </row>
    <row r="3337" spans="1:7">
      <c r="A3337" s="17"/>
      <c r="B3337" s="18"/>
      <c r="C3337" s="17"/>
      <c r="D3337" s="18"/>
      <c r="E3337" s="17"/>
      <c r="F3337" s="22"/>
      <c r="G3337"/>
    </row>
    <row r="3338" spans="1:7">
      <c r="A3338" s="17"/>
      <c r="B3338" s="18"/>
      <c r="C3338" s="17"/>
      <c r="D3338" s="18"/>
      <c r="E3338" s="17"/>
      <c r="F3338" s="22"/>
      <c r="G3338"/>
    </row>
    <row r="3339" spans="1:7">
      <c r="A3339" s="17"/>
      <c r="B3339" s="18"/>
      <c r="C3339" s="17"/>
      <c r="D3339" s="18"/>
      <c r="E3339" s="17"/>
      <c r="F3339" s="22"/>
      <c r="G3339"/>
    </row>
    <row r="3340" spans="1:7">
      <c r="A3340" s="17"/>
      <c r="B3340" s="18"/>
      <c r="C3340" s="17"/>
      <c r="D3340" s="18"/>
      <c r="E3340" s="17"/>
      <c r="F3340" s="22"/>
      <c r="G3340"/>
    </row>
    <row r="3341" spans="1:7">
      <c r="A3341" s="17"/>
      <c r="B3341" s="18"/>
      <c r="C3341" s="17"/>
      <c r="D3341" s="18"/>
      <c r="E3341" s="17"/>
      <c r="F3341" s="22"/>
      <c r="G3341"/>
    </row>
    <row r="3342" spans="1:7">
      <c r="A3342" s="17"/>
      <c r="B3342" s="18"/>
      <c r="C3342" s="17"/>
      <c r="D3342" s="18"/>
      <c r="E3342" s="17"/>
      <c r="F3342" s="22"/>
      <c r="G3342"/>
    </row>
    <row r="3343" spans="1:7">
      <c r="A3343" s="17"/>
      <c r="B3343" s="18"/>
      <c r="C3343" s="17"/>
      <c r="D3343" s="18"/>
      <c r="E3343" s="17"/>
      <c r="F3343" s="22"/>
      <c r="G3343"/>
    </row>
    <row r="3344" spans="1:7">
      <c r="A3344" s="17"/>
      <c r="B3344" s="18"/>
      <c r="C3344" s="17"/>
      <c r="D3344" s="18"/>
      <c r="E3344" s="17"/>
      <c r="F3344" s="22"/>
      <c r="G3344"/>
    </row>
    <row r="3345" spans="1:7">
      <c r="A3345" s="17"/>
      <c r="B3345" s="18"/>
      <c r="C3345" s="17"/>
      <c r="D3345" s="18"/>
      <c r="E3345" s="17"/>
      <c r="F3345" s="22"/>
      <c r="G3345"/>
    </row>
    <row r="3346" spans="1:7">
      <c r="A3346" s="17"/>
      <c r="B3346" s="18"/>
      <c r="C3346" s="17"/>
      <c r="D3346" s="18"/>
      <c r="E3346" s="17"/>
      <c r="F3346" s="22"/>
      <c r="G3346"/>
    </row>
    <row r="3347" spans="1:7">
      <c r="A3347" s="17"/>
      <c r="B3347" s="18"/>
      <c r="C3347" s="17"/>
      <c r="D3347" s="18"/>
      <c r="E3347" s="17"/>
      <c r="F3347" s="22"/>
      <c r="G3347"/>
    </row>
    <row r="3348" spans="1:7">
      <c r="A3348" s="17"/>
      <c r="B3348" s="18"/>
      <c r="C3348" s="17"/>
      <c r="D3348" s="18"/>
      <c r="E3348" s="17"/>
      <c r="F3348" s="22"/>
      <c r="G3348"/>
    </row>
    <row r="3349" spans="1:7">
      <c r="A3349" s="17"/>
      <c r="B3349" s="18"/>
      <c r="C3349" s="17"/>
      <c r="D3349" s="18"/>
      <c r="E3349" s="17"/>
      <c r="F3349" s="22"/>
      <c r="G3349"/>
    </row>
    <row r="3350" spans="1:7">
      <c r="A3350" s="17"/>
      <c r="B3350" s="18"/>
      <c r="C3350" s="17"/>
      <c r="D3350" s="18"/>
      <c r="E3350" s="17"/>
      <c r="F3350" s="22"/>
      <c r="G3350"/>
    </row>
    <row r="3351" spans="1:7">
      <c r="A3351" s="17"/>
      <c r="B3351" s="18"/>
      <c r="C3351" s="17"/>
      <c r="D3351" s="18"/>
      <c r="E3351" s="17"/>
      <c r="F3351" s="22"/>
      <c r="G3351"/>
    </row>
    <row r="3352" spans="1:7">
      <c r="A3352" s="17"/>
      <c r="B3352" s="18"/>
      <c r="C3352" s="17"/>
      <c r="D3352" s="18"/>
      <c r="E3352" s="17"/>
      <c r="F3352" s="22"/>
      <c r="G3352"/>
    </row>
    <row r="3353" spans="1:7">
      <c r="A3353" s="17"/>
      <c r="B3353" s="18"/>
      <c r="C3353" s="17"/>
      <c r="D3353" s="18"/>
      <c r="E3353" s="17"/>
      <c r="F3353" s="22"/>
      <c r="G3353"/>
    </row>
    <row r="3354" spans="1:7">
      <c r="A3354" s="17"/>
      <c r="B3354" s="18"/>
      <c r="C3354" s="17"/>
      <c r="D3354" s="18"/>
      <c r="E3354" s="17"/>
      <c r="F3354" s="22"/>
      <c r="G3354"/>
    </row>
    <row r="3355" spans="1:7">
      <c r="A3355" s="17"/>
      <c r="B3355" s="18"/>
      <c r="C3355" s="17"/>
      <c r="D3355" s="18"/>
      <c r="E3355" s="17"/>
      <c r="F3355" s="22"/>
      <c r="G3355"/>
    </row>
    <row r="3356" spans="1:7">
      <c r="A3356" s="17"/>
      <c r="B3356" s="18"/>
      <c r="C3356" s="17"/>
      <c r="D3356" s="18"/>
      <c r="E3356" s="17"/>
      <c r="F3356" s="22"/>
      <c r="G3356"/>
    </row>
    <row r="3357" spans="1:7">
      <c r="A3357" s="17"/>
      <c r="B3357" s="18"/>
      <c r="C3357" s="17"/>
      <c r="D3357" s="18"/>
      <c r="E3357" s="17"/>
      <c r="F3357" s="22"/>
      <c r="G3357"/>
    </row>
    <row r="3358" spans="1:7">
      <c r="A3358" s="17"/>
      <c r="B3358" s="18"/>
      <c r="C3358" s="17"/>
      <c r="D3358" s="18"/>
      <c r="E3358" s="17"/>
      <c r="F3358" s="22"/>
      <c r="G3358"/>
    </row>
    <row r="3359" spans="1:7">
      <c r="A3359" s="17"/>
      <c r="B3359" s="18"/>
      <c r="C3359" s="17"/>
      <c r="D3359" s="18"/>
      <c r="E3359" s="17"/>
      <c r="F3359" s="22"/>
      <c r="G3359"/>
    </row>
    <row r="3360" spans="1:7">
      <c r="A3360" s="17"/>
      <c r="B3360" s="18"/>
      <c r="C3360" s="17"/>
      <c r="D3360" s="18"/>
      <c r="E3360" s="17"/>
      <c r="F3360" s="22"/>
      <c r="G3360"/>
    </row>
    <row r="3361" spans="1:7">
      <c r="A3361" s="17"/>
      <c r="B3361" s="18"/>
      <c r="C3361" s="17"/>
      <c r="D3361" s="18"/>
      <c r="E3361" s="17"/>
      <c r="F3361" s="22"/>
      <c r="G3361"/>
    </row>
    <row r="3362" spans="1:7">
      <c r="A3362" s="17"/>
      <c r="B3362" s="18"/>
      <c r="C3362" s="17"/>
      <c r="D3362" s="18"/>
      <c r="E3362" s="17"/>
      <c r="F3362" s="22"/>
      <c r="G3362"/>
    </row>
    <row r="3363" spans="1:7">
      <c r="A3363" s="17"/>
      <c r="B3363" s="18"/>
      <c r="C3363" s="17"/>
      <c r="D3363" s="18"/>
      <c r="E3363" s="17"/>
      <c r="F3363" s="22"/>
      <c r="G3363"/>
    </row>
    <row r="3364" spans="1:7">
      <c r="A3364" s="17"/>
      <c r="B3364" s="18"/>
      <c r="C3364" s="17"/>
      <c r="D3364" s="18"/>
      <c r="E3364" s="17"/>
      <c r="F3364" s="22"/>
      <c r="G3364"/>
    </row>
    <row r="3365" spans="1:7">
      <c r="A3365" s="17"/>
      <c r="B3365" s="18"/>
      <c r="C3365" s="17"/>
      <c r="D3365" s="18"/>
      <c r="E3365" s="17"/>
      <c r="F3365" s="22"/>
      <c r="G3365"/>
    </row>
    <row r="3366" spans="1:7">
      <c r="A3366" s="17"/>
      <c r="B3366" s="18"/>
      <c r="C3366" s="17"/>
      <c r="D3366" s="18"/>
      <c r="E3366" s="17"/>
      <c r="F3366" s="22"/>
      <c r="G3366"/>
    </row>
    <row r="3367" spans="1:7">
      <c r="A3367" s="17"/>
      <c r="B3367" s="18"/>
      <c r="C3367" s="17"/>
      <c r="D3367" s="18"/>
      <c r="E3367" s="17"/>
      <c r="F3367" s="22"/>
      <c r="G3367"/>
    </row>
    <row r="3368" spans="1:7">
      <c r="A3368" s="17"/>
      <c r="B3368" s="18"/>
      <c r="C3368" s="17"/>
      <c r="D3368" s="18"/>
      <c r="E3368" s="17"/>
      <c r="F3368" s="22"/>
      <c r="G3368"/>
    </row>
    <row r="3369" spans="1:7">
      <c r="A3369" s="17"/>
      <c r="B3369" s="18"/>
      <c r="C3369" s="17"/>
      <c r="D3369" s="18"/>
      <c r="E3369" s="17"/>
      <c r="F3369" s="22"/>
      <c r="G3369"/>
    </row>
    <row r="3370" spans="1:7">
      <c r="A3370" s="17"/>
      <c r="B3370" s="18"/>
      <c r="C3370" s="17"/>
      <c r="D3370" s="18"/>
      <c r="E3370" s="17"/>
      <c r="F3370" s="22"/>
      <c r="G3370"/>
    </row>
    <row r="3371" spans="1:7">
      <c r="A3371" s="17"/>
      <c r="B3371" s="18"/>
      <c r="C3371" s="17"/>
      <c r="D3371" s="18"/>
      <c r="E3371" s="17"/>
      <c r="F3371" s="22"/>
      <c r="G3371"/>
    </row>
    <row r="3372" spans="1:7">
      <c r="A3372" s="17"/>
      <c r="B3372" s="18"/>
      <c r="C3372" s="17"/>
      <c r="D3372" s="18"/>
      <c r="E3372" s="17"/>
      <c r="F3372" s="22"/>
      <c r="G3372"/>
    </row>
    <row r="3373" spans="1:7">
      <c r="A3373" s="17"/>
      <c r="B3373" s="18"/>
      <c r="C3373" s="17"/>
      <c r="D3373" s="18"/>
      <c r="E3373" s="17"/>
      <c r="F3373" s="22"/>
      <c r="G3373"/>
    </row>
    <row r="3374" spans="1:7">
      <c r="A3374" s="17"/>
      <c r="B3374" s="18"/>
      <c r="C3374" s="17"/>
      <c r="D3374" s="18"/>
      <c r="E3374" s="17"/>
      <c r="F3374" s="22"/>
      <c r="G3374"/>
    </row>
    <row r="3375" spans="1:7">
      <c r="A3375" s="17"/>
      <c r="B3375" s="18"/>
      <c r="C3375" s="17"/>
      <c r="D3375" s="18"/>
      <c r="E3375" s="17"/>
      <c r="F3375" s="22"/>
      <c r="G3375"/>
    </row>
    <row r="3376" spans="1:7">
      <c r="A3376" s="17"/>
      <c r="B3376" s="18"/>
      <c r="C3376" s="17"/>
      <c r="D3376" s="18"/>
      <c r="E3376" s="17"/>
      <c r="F3376" s="22"/>
      <c r="G3376"/>
    </row>
    <row r="3377" spans="1:7">
      <c r="A3377" s="17"/>
      <c r="B3377" s="18"/>
      <c r="C3377" s="17"/>
      <c r="D3377" s="18"/>
      <c r="E3377" s="17"/>
      <c r="F3377" s="22"/>
      <c r="G3377"/>
    </row>
    <row r="3378" spans="1:7">
      <c r="A3378" s="17"/>
      <c r="B3378" s="18"/>
      <c r="C3378" s="17"/>
      <c r="D3378" s="18"/>
      <c r="E3378" s="17"/>
      <c r="F3378" s="22"/>
      <c r="G3378"/>
    </row>
    <row r="3379" spans="1:7">
      <c r="A3379" s="17"/>
      <c r="B3379" s="18"/>
      <c r="C3379" s="17"/>
      <c r="D3379" s="18"/>
      <c r="E3379" s="17"/>
      <c r="F3379" s="22"/>
      <c r="G3379"/>
    </row>
    <row r="3380" spans="1:7">
      <c r="A3380" s="17"/>
      <c r="B3380" s="18"/>
      <c r="C3380" s="17"/>
      <c r="D3380" s="18"/>
      <c r="E3380" s="17"/>
      <c r="F3380" s="22"/>
      <c r="G3380"/>
    </row>
    <row r="3381" spans="1:7">
      <c r="A3381" s="17"/>
      <c r="B3381" s="18"/>
      <c r="C3381" s="17"/>
      <c r="D3381" s="18"/>
      <c r="E3381" s="17"/>
      <c r="F3381" s="22"/>
      <c r="G3381"/>
    </row>
    <row r="3382" spans="1:7">
      <c r="A3382" s="17"/>
      <c r="B3382" s="18"/>
      <c r="C3382" s="17"/>
      <c r="D3382" s="18"/>
      <c r="E3382" s="17"/>
      <c r="F3382" s="22"/>
      <c r="G3382"/>
    </row>
    <row r="3383" spans="1:7">
      <c r="A3383" s="17"/>
      <c r="B3383" s="18"/>
      <c r="C3383" s="17"/>
      <c r="D3383" s="18"/>
      <c r="E3383" s="17"/>
      <c r="F3383" s="22"/>
      <c r="G3383"/>
    </row>
    <row r="3384" spans="1:7">
      <c r="A3384" s="17"/>
      <c r="B3384" s="18"/>
      <c r="C3384" s="17"/>
      <c r="D3384" s="18"/>
      <c r="E3384" s="17"/>
      <c r="F3384" s="22"/>
      <c r="G3384"/>
    </row>
    <row r="3385" spans="1:7">
      <c r="A3385" s="17"/>
      <c r="B3385" s="18"/>
      <c r="C3385" s="17"/>
      <c r="D3385" s="18"/>
      <c r="E3385" s="17"/>
      <c r="F3385" s="22"/>
      <c r="G3385"/>
    </row>
    <row r="3386" spans="1:7">
      <c r="A3386" s="17"/>
      <c r="B3386" s="18"/>
      <c r="C3386" s="17"/>
      <c r="D3386" s="18"/>
      <c r="E3386" s="17"/>
      <c r="F3386" s="22"/>
      <c r="G3386"/>
    </row>
    <row r="3387" spans="1:7">
      <c r="A3387" s="17"/>
      <c r="B3387" s="18"/>
      <c r="C3387" s="17"/>
      <c r="D3387" s="18"/>
      <c r="E3387" s="17"/>
      <c r="F3387" s="22"/>
      <c r="G3387"/>
    </row>
    <row r="3388" spans="1:7">
      <c r="A3388" s="17"/>
      <c r="B3388" s="18"/>
      <c r="C3388" s="17"/>
      <c r="D3388" s="18"/>
      <c r="E3388" s="17"/>
      <c r="F3388" s="22"/>
      <c r="G3388"/>
    </row>
    <row r="3389" spans="1:7">
      <c r="A3389" s="17"/>
      <c r="B3389" s="18"/>
      <c r="C3389" s="17"/>
      <c r="D3389" s="18"/>
      <c r="E3389" s="17"/>
      <c r="F3389" s="22"/>
      <c r="G3389"/>
    </row>
    <row r="3390" spans="1:7">
      <c r="A3390" s="17"/>
      <c r="B3390" s="18"/>
      <c r="C3390" s="17"/>
      <c r="D3390" s="18"/>
      <c r="E3390" s="17"/>
      <c r="F3390" s="22"/>
      <c r="G3390"/>
    </row>
    <row r="3391" spans="1:7">
      <c r="A3391" s="17"/>
      <c r="B3391" s="18"/>
      <c r="C3391" s="17"/>
      <c r="D3391" s="18"/>
      <c r="E3391" s="17"/>
      <c r="F3391" s="22"/>
      <c r="G3391"/>
    </row>
    <row r="3392" spans="1:7">
      <c r="A3392" s="17"/>
      <c r="B3392" s="18"/>
      <c r="C3392" s="17"/>
      <c r="D3392" s="18"/>
      <c r="E3392" s="17"/>
      <c r="F3392" s="22"/>
      <c r="G3392"/>
    </row>
    <row r="3393" spans="1:7">
      <c r="A3393" s="17"/>
      <c r="B3393" s="18"/>
      <c r="C3393" s="17"/>
      <c r="D3393" s="18"/>
      <c r="E3393" s="17"/>
      <c r="F3393" s="22"/>
      <c r="G3393"/>
    </row>
    <row r="3394" spans="1:7">
      <c r="A3394" s="17"/>
      <c r="B3394" s="18"/>
      <c r="C3394" s="17"/>
      <c r="D3394" s="18"/>
      <c r="E3394" s="17"/>
      <c r="F3394" s="22"/>
      <c r="G3394"/>
    </row>
    <row r="3395" spans="1:7">
      <c r="A3395" s="17"/>
      <c r="B3395" s="18"/>
      <c r="C3395" s="17"/>
      <c r="D3395" s="18"/>
      <c r="E3395" s="17"/>
      <c r="F3395" s="22"/>
      <c r="G3395"/>
    </row>
    <row r="3396" spans="1:7">
      <c r="A3396" s="17"/>
      <c r="B3396" s="18"/>
      <c r="C3396" s="17"/>
      <c r="D3396" s="18"/>
      <c r="E3396" s="17"/>
      <c r="F3396" s="22"/>
      <c r="G3396"/>
    </row>
    <row r="3397" spans="1:7">
      <c r="A3397" s="17"/>
      <c r="B3397" s="18"/>
      <c r="C3397" s="17"/>
      <c r="D3397" s="18"/>
      <c r="E3397" s="17"/>
      <c r="F3397" s="22"/>
      <c r="G3397"/>
    </row>
    <row r="3398" spans="1:7">
      <c r="A3398" s="17"/>
      <c r="B3398" s="18"/>
      <c r="C3398" s="17"/>
      <c r="D3398" s="18"/>
      <c r="E3398" s="17"/>
      <c r="F3398" s="22"/>
      <c r="G3398"/>
    </row>
    <row r="3399" spans="1:7">
      <c r="A3399" s="17"/>
      <c r="B3399" s="18"/>
      <c r="C3399" s="17"/>
      <c r="D3399" s="18"/>
      <c r="E3399" s="17"/>
      <c r="F3399" s="22"/>
      <c r="G3399"/>
    </row>
    <row r="3400" spans="1:7">
      <c r="A3400" s="17"/>
      <c r="B3400" s="18"/>
      <c r="C3400" s="17"/>
      <c r="D3400" s="18"/>
      <c r="E3400" s="17"/>
      <c r="F3400" s="22"/>
      <c r="G3400"/>
    </row>
    <row r="3401" spans="1:7">
      <c r="A3401" s="17"/>
      <c r="B3401" s="18"/>
      <c r="C3401" s="17"/>
      <c r="D3401" s="18"/>
      <c r="E3401" s="17"/>
      <c r="F3401" s="22"/>
      <c r="G3401"/>
    </row>
    <row r="3402" spans="1:7">
      <c r="A3402" s="17"/>
      <c r="B3402" s="18"/>
      <c r="C3402" s="17"/>
      <c r="D3402" s="18"/>
      <c r="E3402" s="17"/>
      <c r="F3402" s="22"/>
      <c r="G3402"/>
    </row>
    <row r="3403" spans="1:7">
      <c r="A3403" s="17"/>
      <c r="B3403" s="18"/>
      <c r="C3403" s="17"/>
      <c r="D3403" s="18"/>
      <c r="E3403" s="17"/>
      <c r="F3403" s="22"/>
      <c r="G3403"/>
    </row>
    <row r="3404" spans="1:7">
      <c r="A3404" s="17"/>
      <c r="B3404" s="18"/>
      <c r="C3404" s="17"/>
      <c r="D3404" s="18"/>
      <c r="E3404" s="17"/>
      <c r="F3404" s="22"/>
      <c r="G3404"/>
    </row>
    <row r="3405" spans="1:7">
      <c r="A3405" s="17"/>
      <c r="B3405" s="18"/>
      <c r="C3405" s="17"/>
      <c r="D3405" s="18"/>
      <c r="E3405" s="17"/>
      <c r="F3405" s="22"/>
      <c r="G3405"/>
    </row>
    <row r="3406" spans="1:7">
      <c r="A3406" s="17"/>
      <c r="B3406" s="18"/>
      <c r="C3406" s="17"/>
      <c r="D3406" s="18"/>
      <c r="E3406" s="17"/>
      <c r="F3406" s="22"/>
      <c r="G3406"/>
    </row>
    <row r="3407" spans="1:7">
      <c r="A3407" s="17"/>
      <c r="B3407" s="18"/>
      <c r="C3407" s="17"/>
      <c r="D3407" s="18"/>
      <c r="E3407" s="17"/>
      <c r="F3407" s="22"/>
      <c r="G3407"/>
    </row>
    <row r="3408" spans="1:7">
      <c r="A3408" s="17"/>
      <c r="B3408" s="18"/>
      <c r="C3408" s="17"/>
      <c r="D3408" s="18"/>
      <c r="E3408" s="17"/>
      <c r="F3408" s="22"/>
      <c r="G3408"/>
    </row>
    <row r="3409" spans="1:7">
      <c r="A3409" s="17"/>
      <c r="B3409" s="18"/>
      <c r="C3409" s="17"/>
      <c r="D3409" s="18"/>
      <c r="E3409" s="17"/>
      <c r="F3409" s="22"/>
      <c r="G3409"/>
    </row>
    <row r="3410" spans="1:7">
      <c r="A3410" s="17"/>
      <c r="B3410" s="18"/>
      <c r="C3410" s="17"/>
      <c r="D3410" s="18"/>
      <c r="E3410" s="17"/>
      <c r="F3410" s="22"/>
      <c r="G3410"/>
    </row>
    <row r="3411" spans="1:7">
      <c r="A3411" s="17"/>
      <c r="B3411" s="18"/>
      <c r="C3411" s="17"/>
      <c r="D3411" s="18"/>
      <c r="E3411" s="17"/>
      <c r="F3411" s="22"/>
      <c r="G3411"/>
    </row>
    <row r="3412" spans="1:7">
      <c r="A3412" s="17"/>
      <c r="B3412" s="18"/>
      <c r="C3412" s="17"/>
      <c r="D3412" s="18"/>
      <c r="E3412" s="17"/>
      <c r="F3412" s="22"/>
      <c r="G3412"/>
    </row>
    <row r="3413" spans="1:7">
      <c r="A3413" s="17"/>
      <c r="B3413" s="18"/>
      <c r="C3413" s="17"/>
      <c r="D3413" s="18"/>
      <c r="E3413" s="17"/>
      <c r="F3413" s="22"/>
      <c r="G3413"/>
    </row>
    <row r="3414" spans="1:7">
      <c r="A3414" s="17"/>
      <c r="B3414" s="18"/>
      <c r="C3414" s="17"/>
      <c r="D3414" s="18"/>
      <c r="E3414" s="17"/>
      <c r="F3414" s="22"/>
      <c r="G3414"/>
    </row>
    <row r="3415" spans="1:7">
      <c r="A3415" s="17"/>
      <c r="B3415" s="18"/>
      <c r="C3415" s="17"/>
      <c r="D3415" s="18"/>
      <c r="E3415" s="17"/>
      <c r="F3415" s="22"/>
      <c r="G3415"/>
    </row>
    <row r="3416" spans="1:7">
      <c r="A3416" s="17"/>
      <c r="B3416" s="18"/>
      <c r="C3416" s="17"/>
      <c r="D3416" s="18"/>
      <c r="E3416" s="17"/>
      <c r="F3416" s="22"/>
      <c r="G3416"/>
    </row>
    <row r="3417" spans="1:7">
      <c r="A3417" s="17"/>
      <c r="B3417" s="18"/>
      <c r="C3417" s="17"/>
      <c r="D3417" s="18"/>
      <c r="E3417" s="17"/>
      <c r="F3417" s="22"/>
      <c r="G3417"/>
    </row>
    <row r="3418" spans="1:7">
      <c r="A3418" s="17"/>
      <c r="B3418" s="18"/>
      <c r="C3418" s="17"/>
      <c r="D3418" s="18"/>
      <c r="E3418" s="17"/>
      <c r="F3418" s="22"/>
      <c r="G3418"/>
    </row>
    <row r="3419" spans="1:7">
      <c r="A3419" s="17"/>
      <c r="B3419" s="18"/>
      <c r="C3419" s="17"/>
      <c r="D3419" s="18"/>
      <c r="E3419" s="17"/>
      <c r="F3419" s="22"/>
      <c r="G3419"/>
    </row>
    <row r="3420" spans="1:7">
      <c r="A3420" s="17"/>
      <c r="B3420" s="18"/>
      <c r="C3420" s="17"/>
      <c r="D3420" s="18"/>
      <c r="E3420" s="17"/>
      <c r="F3420" s="22"/>
      <c r="G3420"/>
    </row>
    <row r="3421" spans="1:7">
      <c r="A3421" s="17"/>
      <c r="B3421" s="18"/>
      <c r="C3421" s="17"/>
      <c r="D3421" s="18"/>
      <c r="E3421" s="17"/>
      <c r="F3421" s="22"/>
      <c r="G3421"/>
    </row>
    <row r="3422" spans="1:7">
      <c r="A3422" s="17"/>
      <c r="B3422" s="18"/>
      <c r="C3422" s="17"/>
      <c r="D3422" s="18"/>
      <c r="E3422" s="17"/>
      <c r="F3422" s="22"/>
      <c r="G3422"/>
    </row>
    <row r="3423" spans="1:7">
      <c r="A3423" s="17"/>
      <c r="B3423" s="18"/>
      <c r="C3423" s="17"/>
      <c r="D3423" s="18"/>
      <c r="E3423" s="17"/>
      <c r="F3423" s="22"/>
      <c r="G3423"/>
    </row>
    <row r="3424" spans="1:7">
      <c r="A3424" s="17"/>
      <c r="B3424" s="18"/>
      <c r="C3424" s="17"/>
      <c r="D3424" s="18"/>
      <c r="E3424" s="17"/>
      <c r="F3424" s="22"/>
      <c r="G3424"/>
    </row>
    <row r="3425" spans="1:7">
      <c r="A3425" s="17"/>
      <c r="B3425" s="18"/>
      <c r="C3425" s="17"/>
      <c r="D3425" s="18"/>
      <c r="E3425" s="17"/>
      <c r="F3425" s="22"/>
      <c r="G3425"/>
    </row>
    <row r="3426" spans="1:7">
      <c r="A3426" s="17"/>
      <c r="B3426" s="18"/>
      <c r="C3426" s="17"/>
      <c r="D3426" s="18"/>
      <c r="E3426" s="17"/>
      <c r="F3426" s="22"/>
      <c r="G3426"/>
    </row>
    <row r="3427" spans="1:7">
      <c r="A3427" s="17"/>
      <c r="B3427" s="18"/>
      <c r="C3427" s="17"/>
      <c r="D3427" s="18"/>
      <c r="E3427" s="17"/>
      <c r="F3427" s="22"/>
      <c r="G3427"/>
    </row>
    <row r="3428" spans="1:7">
      <c r="A3428" s="17"/>
      <c r="B3428" s="18"/>
      <c r="C3428" s="17"/>
      <c r="D3428" s="18"/>
      <c r="E3428" s="17"/>
      <c r="F3428" s="22"/>
      <c r="G3428"/>
    </row>
    <row r="3429" spans="1:7">
      <c r="A3429" s="17"/>
      <c r="B3429" s="18"/>
      <c r="C3429" s="17"/>
      <c r="D3429" s="18"/>
      <c r="E3429" s="17"/>
      <c r="F3429" s="22"/>
      <c r="G3429"/>
    </row>
    <row r="3430" spans="1:7">
      <c r="A3430" s="17"/>
      <c r="B3430" s="18"/>
      <c r="C3430" s="17"/>
      <c r="D3430" s="18"/>
      <c r="E3430" s="17"/>
      <c r="F3430" s="22"/>
      <c r="G3430"/>
    </row>
    <row r="3431" spans="1:7">
      <c r="A3431" s="17"/>
      <c r="B3431" s="18"/>
      <c r="C3431" s="17"/>
      <c r="D3431" s="18"/>
      <c r="E3431" s="17"/>
      <c r="F3431" s="22"/>
      <c r="G3431"/>
    </row>
    <row r="3432" spans="1:7">
      <c r="A3432" s="17"/>
      <c r="B3432" s="18"/>
      <c r="C3432" s="17"/>
      <c r="D3432" s="18"/>
      <c r="E3432" s="17"/>
      <c r="F3432" s="22"/>
      <c r="G3432"/>
    </row>
    <row r="3433" spans="1:7">
      <c r="A3433" s="17"/>
      <c r="B3433" s="18"/>
      <c r="C3433" s="17"/>
      <c r="D3433" s="18"/>
      <c r="E3433" s="17"/>
      <c r="F3433" s="22"/>
      <c r="G3433"/>
    </row>
    <row r="3434" spans="1:7">
      <c r="A3434" s="17"/>
      <c r="B3434" s="18"/>
      <c r="C3434" s="17"/>
      <c r="D3434" s="18"/>
      <c r="E3434" s="17"/>
      <c r="F3434" s="22"/>
      <c r="G3434"/>
    </row>
    <row r="3435" spans="1:7">
      <c r="A3435" s="17"/>
      <c r="B3435" s="18"/>
      <c r="C3435" s="17"/>
      <c r="D3435" s="18"/>
      <c r="E3435" s="17"/>
      <c r="F3435" s="22"/>
      <c r="G3435"/>
    </row>
    <row r="3436" spans="1:7">
      <c r="A3436" s="17"/>
      <c r="B3436" s="18"/>
      <c r="C3436" s="17"/>
      <c r="D3436" s="18"/>
      <c r="E3436" s="17"/>
      <c r="F3436" s="22"/>
      <c r="G3436"/>
    </row>
    <row r="3437" spans="1:7">
      <c r="A3437" s="17"/>
      <c r="B3437" s="18"/>
      <c r="C3437" s="17"/>
      <c r="D3437" s="18"/>
      <c r="E3437" s="17"/>
      <c r="F3437" s="22"/>
      <c r="G3437"/>
    </row>
    <row r="3438" spans="1:7">
      <c r="A3438" s="17"/>
      <c r="B3438" s="18"/>
      <c r="C3438" s="17"/>
      <c r="D3438" s="18"/>
      <c r="E3438" s="17"/>
      <c r="F3438" s="22"/>
      <c r="G3438"/>
    </row>
    <row r="3439" spans="1:7">
      <c r="A3439" s="17"/>
      <c r="B3439" s="18"/>
      <c r="C3439" s="17"/>
      <c r="D3439" s="18"/>
      <c r="E3439" s="17"/>
      <c r="F3439" s="22"/>
      <c r="G3439"/>
    </row>
    <row r="3440" spans="1:7">
      <c r="A3440" s="17"/>
      <c r="B3440" s="18"/>
      <c r="C3440" s="17"/>
      <c r="D3440" s="18"/>
      <c r="E3440" s="17"/>
      <c r="F3440" s="22"/>
      <c r="G3440"/>
    </row>
    <row r="3441" spans="1:7">
      <c r="A3441" s="17"/>
      <c r="B3441" s="18"/>
      <c r="C3441" s="17"/>
      <c r="D3441" s="18"/>
      <c r="E3441" s="17"/>
      <c r="F3441" s="22"/>
      <c r="G3441"/>
    </row>
    <row r="3442" spans="1:7">
      <c r="A3442" s="17"/>
      <c r="B3442" s="18"/>
      <c r="C3442" s="17"/>
      <c r="D3442" s="18"/>
      <c r="E3442" s="17"/>
      <c r="F3442" s="22"/>
      <c r="G3442"/>
    </row>
    <row r="3443" spans="1:7">
      <c r="A3443" s="17"/>
      <c r="B3443" s="18"/>
      <c r="C3443" s="17"/>
      <c r="D3443" s="18"/>
      <c r="E3443" s="17"/>
      <c r="F3443" s="22"/>
      <c r="G3443"/>
    </row>
    <row r="3444" spans="1:7">
      <c r="A3444" s="17"/>
      <c r="B3444" s="18"/>
      <c r="C3444" s="17"/>
      <c r="D3444" s="18"/>
      <c r="E3444" s="17"/>
      <c r="F3444" s="22"/>
      <c r="G3444"/>
    </row>
    <row r="3445" spans="1:7">
      <c r="A3445" s="17"/>
      <c r="B3445" s="18"/>
      <c r="C3445" s="17"/>
      <c r="D3445" s="18"/>
      <c r="E3445" s="17"/>
      <c r="F3445" s="22"/>
      <c r="G3445"/>
    </row>
    <row r="3446" spans="1:7">
      <c r="A3446" s="17"/>
      <c r="B3446" s="18"/>
      <c r="C3446" s="17"/>
      <c r="D3446" s="18"/>
      <c r="E3446" s="17"/>
      <c r="F3446" s="22"/>
      <c r="G3446"/>
    </row>
    <row r="3447" spans="1:7">
      <c r="A3447" s="17"/>
      <c r="B3447" s="18"/>
      <c r="C3447" s="17"/>
      <c r="D3447" s="18"/>
      <c r="E3447" s="17"/>
      <c r="F3447" s="22"/>
      <c r="G3447"/>
    </row>
    <row r="3448" spans="1:7">
      <c r="A3448" s="17"/>
      <c r="B3448" s="18"/>
      <c r="C3448" s="17"/>
      <c r="D3448" s="18"/>
      <c r="E3448" s="17"/>
      <c r="F3448" s="22"/>
      <c r="G3448"/>
    </row>
    <row r="3449" spans="1:7">
      <c r="A3449" s="17"/>
      <c r="B3449" s="18"/>
      <c r="C3449" s="17"/>
      <c r="D3449" s="18"/>
      <c r="E3449" s="17"/>
      <c r="F3449" s="22"/>
      <c r="G3449"/>
    </row>
    <row r="3450" spans="1:7">
      <c r="A3450" s="17"/>
      <c r="B3450" s="18"/>
      <c r="C3450" s="17"/>
      <c r="D3450" s="18"/>
      <c r="E3450" s="17"/>
      <c r="F3450" s="22"/>
      <c r="G3450"/>
    </row>
    <row r="3451" spans="1:7">
      <c r="A3451" s="17"/>
      <c r="B3451" s="18"/>
      <c r="C3451" s="17"/>
      <c r="D3451" s="18"/>
      <c r="E3451" s="17"/>
      <c r="F3451" s="22"/>
      <c r="G3451"/>
    </row>
    <row r="3452" spans="1:7">
      <c r="A3452" s="17"/>
      <c r="B3452" s="18"/>
      <c r="C3452" s="17"/>
      <c r="D3452" s="18"/>
      <c r="E3452" s="17"/>
      <c r="F3452" s="22"/>
      <c r="G3452"/>
    </row>
    <row r="3453" spans="1:7">
      <c r="A3453" s="17"/>
      <c r="B3453" s="18"/>
      <c r="C3453" s="17"/>
      <c r="D3453" s="18"/>
      <c r="E3453" s="17"/>
      <c r="F3453" s="22"/>
      <c r="G3453"/>
    </row>
    <row r="3454" spans="1:7">
      <c r="A3454" s="17"/>
      <c r="B3454" s="18"/>
      <c r="C3454" s="17"/>
      <c r="D3454" s="18"/>
      <c r="E3454" s="17"/>
      <c r="F3454" s="22"/>
      <c r="G3454"/>
    </row>
    <row r="3455" spans="1:7">
      <c r="A3455" s="17"/>
      <c r="B3455" s="18"/>
      <c r="C3455" s="17"/>
      <c r="D3455" s="18"/>
      <c r="E3455" s="17"/>
      <c r="F3455" s="22"/>
      <c r="G3455"/>
    </row>
    <row r="3456" spans="1:7">
      <c r="A3456" s="17"/>
      <c r="B3456" s="18"/>
      <c r="C3456" s="17"/>
      <c r="D3456" s="18"/>
      <c r="E3456" s="17"/>
      <c r="F3456" s="22"/>
      <c r="G3456"/>
    </row>
    <row r="3457" spans="1:7">
      <c r="A3457" s="17"/>
      <c r="B3457" s="18"/>
      <c r="C3457" s="17"/>
      <c r="D3457" s="18"/>
      <c r="E3457" s="17"/>
      <c r="F3457" s="22"/>
      <c r="G3457"/>
    </row>
    <row r="3458" spans="1:7">
      <c r="A3458" s="17"/>
      <c r="B3458" s="18"/>
      <c r="C3458" s="17"/>
      <c r="D3458" s="18"/>
      <c r="E3458" s="17"/>
      <c r="F3458" s="22"/>
      <c r="G3458"/>
    </row>
    <row r="3459" spans="1:7">
      <c r="A3459" s="17"/>
      <c r="B3459" s="18"/>
      <c r="C3459" s="17"/>
      <c r="D3459" s="18"/>
      <c r="E3459" s="17"/>
      <c r="F3459" s="22"/>
      <c r="G3459"/>
    </row>
    <row r="3460" spans="1:7">
      <c r="A3460" s="17"/>
      <c r="B3460" s="18"/>
      <c r="C3460" s="17"/>
      <c r="D3460" s="18"/>
      <c r="E3460" s="17"/>
      <c r="F3460" s="22"/>
      <c r="G3460"/>
    </row>
    <row r="3461" spans="1:7">
      <c r="A3461" s="17"/>
      <c r="B3461" s="18"/>
      <c r="C3461" s="17"/>
      <c r="D3461" s="18"/>
      <c r="E3461" s="17"/>
      <c r="F3461" s="22"/>
      <c r="G3461"/>
    </row>
    <row r="3462" spans="1:7">
      <c r="A3462" s="17"/>
      <c r="B3462" s="18"/>
      <c r="C3462" s="17"/>
      <c r="D3462" s="18"/>
      <c r="E3462" s="17"/>
      <c r="F3462" s="22"/>
      <c r="G3462"/>
    </row>
    <row r="3463" spans="1:7">
      <c r="A3463" s="17"/>
      <c r="B3463" s="18"/>
      <c r="C3463" s="17"/>
      <c r="D3463" s="18"/>
      <c r="E3463" s="17"/>
      <c r="F3463" s="22"/>
      <c r="G3463"/>
    </row>
    <row r="3464" spans="1:7">
      <c r="A3464" s="17"/>
      <c r="B3464" s="18"/>
      <c r="C3464" s="17"/>
      <c r="D3464" s="18"/>
      <c r="E3464" s="17"/>
      <c r="F3464" s="22"/>
      <c r="G3464"/>
    </row>
    <row r="3465" spans="1:7">
      <c r="A3465" s="17"/>
      <c r="B3465" s="18"/>
      <c r="C3465" s="17"/>
      <c r="D3465" s="18"/>
      <c r="E3465" s="17"/>
      <c r="F3465" s="22"/>
      <c r="G3465"/>
    </row>
    <row r="3466" spans="1:7">
      <c r="A3466" s="17"/>
      <c r="B3466" s="18"/>
      <c r="C3466" s="17"/>
      <c r="D3466" s="18"/>
      <c r="E3466" s="17"/>
      <c r="F3466" s="22"/>
      <c r="G3466"/>
    </row>
    <row r="3467" spans="1:7">
      <c r="A3467" s="17"/>
      <c r="B3467" s="18"/>
      <c r="C3467" s="17"/>
      <c r="D3467" s="18"/>
      <c r="E3467" s="17"/>
      <c r="F3467" s="22"/>
      <c r="G3467"/>
    </row>
    <row r="3468" spans="1:7">
      <c r="A3468" s="17"/>
      <c r="B3468" s="18"/>
      <c r="C3468" s="17"/>
      <c r="D3468" s="18"/>
      <c r="E3468" s="17"/>
      <c r="F3468" s="22"/>
      <c r="G3468"/>
    </row>
    <row r="3469" spans="1:7">
      <c r="A3469" s="17"/>
      <c r="B3469" s="18"/>
      <c r="C3469" s="17"/>
      <c r="D3469" s="18"/>
      <c r="E3469" s="17"/>
      <c r="F3469" s="22"/>
      <c r="G3469"/>
    </row>
    <row r="3470" spans="1:7">
      <c r="A3470" s="17"/>
      <c r="B3470" s="18"/>
      <c r="C3470" s="17"/>
      <c r="D3470" s="18"/>
      <c r="E3470" s="17"/>
      <c r="F3470" s="22"/>
      <c r="G3470"/>
    </row>
    <row r="3471" spans="1:7">
      <c r="A3471" s="17"/>
      <c r="B3471" s="18"/>
      <c r="C3471" s="17"/>
      <c r="D3471" s="18"/>
      <c r="E3471" s="17"/>
      <c r="F3471" s="22"/>
      <c r="G3471"/>
    </row>
    <row r="3472" spans="1:7">
      <c r="A3472" s="17"/>
      <c r="B3472" s="18"/>
      <c r="C3472" s="17"/>
      <c r="D3472" s="18"/>
      <c r="E3472" s="17"/>
      <c r="F3472" s="22"/>
      <c r="G3472"/>
    </row>
    <row r="3473" spans="1:7">
      <c r="A3473" s="17"/>
      <c r="B3473" s="18"/>
      <c r="C3473" s="17"/>
      <c r="D3473" s="18"/>
      <c r="E3473" s="17"/>
      <c r="F3473" s="22"/>
      <c r="G3473"/>
    </row>
    <row r="3474" spans="1:7">
      <c r="A3474" s="17"/>
      <c r="B3474" s="18"/>
      <c r="C3474" s="17"/>
      <c r="D3474" s="18"/>
      <c r="E3474" s="17"/>
      <c r="F3474" s="22"/>
      <c r="G3474"/>
    </row>
    <row r="3475" spans="1:7">
      <c r="A3475" s="17"/>
      <c r="B3475" s="18"/>
      <c r="C3475" s="17"/>
      <c r="D3475" s="18"/>
      <c r="E3475" s="17"/>
      <c r="F3475" s="22"/>
      <c r="G3475"/>
    </row>
    <row r="3476" spans="1:7">
      <c r="A3476" s="17"/>
      <c r="B3476" s="18"/>
      <c r="C3476" s="17"/>
      <c r="D3476" s="18"/>
      <c r="E3476" s="17"/>
      <c r="F3476" s="22"/>
      <c r="G3476"/>
    </row>
    <row r="3477" spans="1:7">
      <c r="A3477" s="17"/>
      <c r="B3477" s="18"/>
      <c r="C3477" s="17"/>
      <c r="D3477" s="18"/>
      <c r="E3477" s="17"/>
      <c r="F3477" s="22"/>
      <c r="G3477"/>
    </row>
    <row r="3478" spans="1:7">
      <c r="A3478" s="17"/>
      <c r="B3478" s="18"/>
      <c r="C3478" s="17"/>
      <c r="D3478" s="18"/>
      <c r="E3478" s="17"/>
      <c r="F3478" s="22"/>
      <c r="G3478"/>
    </row>
    <row r="3479" spans="1:7">
      <c r="A3479" s="17"/>
      <c r="B3479" s="18"/>
      <c r="C3479" s="17"/>
      <c r="D3479" s="18"/>
      <c r="E3479" s="17"/>
      <c r="F3479" s="22"/>
      <c r="G3479"/>
    </row>
    <row r="3480" spans="1:7">
      <c r="A3480" s="17"/>
      <c r="B3480" s="18"/>
      <c r="C3480" s="17"/>
      <c r="D3480" s="18"/>
      <c r="E3480" s="17"/>
      <c r="F3480" s="22"/>
      <c r="G3480"/>
    </row>
    <row r="3481" spans="1:7">
      <c r="A3481" s="17"/>
      <c r="B3481" s="18"/>
      <c r="C3481" s="17"/>
      <c r="D3481" s="18"/>
      <c r="E3481" s="17"/>
      <c r="F3481" s="22"/>
      <c r="G3481"/>
    </row>
    <row r="3482" spans="1:7">
      <c r="A3482" s="17"/>
      <c r="B3482" s="18"/>
      <c r="C3482" s="17"/>
      <c r="D3482" s="18"/>
      <c r="E3482" s="17"/>
      <c r="F3482" s="22"/>
      <c r="G3482"/>
    </row>
    <row r="3483" spans="1:7">
      <c r="A3483" s="17"/>
      <c r="B3483" s="18"/>
      <c r="C3483" s="17"/>
      <c r="D3483" s="18"/>
      <c r="E3483" s="17"/>
      <c r="F3483" s="22"/>
      <c r="G3483"/>
    </row>
    <row r="3484" spans="1:7">
      <c r="A3484" s="17"/>
      <c r="B3484" s="18"/>
      <c r="C3484" s="17"/>
      <c r="D3484" s="18"/>
      <c r="E3484" s="17"/>
      <c r="F3484" s="22"/>
      <c r="G3484"/>
    </row>
    <row r="3485" spans="1:7">
      <c r="A3485" s="17"/>
      <c r="B3485" s="18"/>
      <c r="C3485" s="17"/>
      <c r="D3485" s="18"/>
      <c r="E3485" s="17"/>
      <c r="F3485" s="22"/>
      <c r="G3485"/>
    </row>
    <row r="3486" spans="1:7">
      <c r="A3486" s="17"/>
      <c r="B3486" s="18"/>
      <c r="C3486" s="17"/>
      <c r="D3486" s="18"/>
      <c r="E3486" s="17"/>
      <c r="F3486" s="22"/>
      <c r="G3486"/>
    </row>
    <row r="3487" spans="1:7">
      <c r="A3487" s="17"/>
      <c r="B3487" s="18"/>
      <c r="C3487" s="17"/>
      <c r="D3487" s="18"/>
      <c r="E3487" s="17"/>
      <c r="F3487" s="22"/>
      <c r="G3487"/>
    </row>
    <row r="3488" spans="1:7">
      <c r="A3488" s="17"/>
      <c r="B3488" s="18"/>
      <c r="C3488" s="17"/>
      <c r="D3488" s="18"/>
      <c r="E3488" s="17"/>
      <c r="F3488" s="22"/>
      <c r="G3488"/>
    </row>
    <row r="3489" spans="1:7">
      <c r="A3489" s="17"/>
      <c r="B3489" s="18"/>
      <c r="C3489" s="17"/>
      <c r="D3489" s="18"/>
      <c r="E3489" s="17"/>
      <c r="F3489" s="22"/>
      <c r="G3489"/>
    </row>
    <row r="3490" spans="1:7">
      <c r="A3490" s="17"/>
      <c r="B3490" s="18"/>
      <c r="C3490" s="17"/>
      <c r="D3490" s="18"/>
      <c r="E3490" s="17"/>
      <c r="F3490" s="22"/>
      <c r="G3490"/>
    </row>
    <row r="3491" spans="1:7">
      <c r="A3491" s="17"/>
      <c r="B3491" s="18"/>
      <c r="C3491" s="17"/>
      <c r="D3491" s="18"/>
      <c r="E3491" s="17"/>
      <c r="F3491" s="22"/>
      <c r="G3491"/>
    </row>
    <row r="3492" spans="1:7">
      <c r="A3492" s="17"/>
      <c r="B3492" s="18"/>
      <c r="C3492" s="17"/>
      <c r="D3492" s="18"/>
      <c r="E3492" s="17"/>
      <c r="F3492" s="22"/>
      <c r="G3492"/>
    </row>
    <row r="3493" spans="1:7">
      <c r="A3493" s="17"/>
      <c r="B3493" s="18"/>
      <c r="C3493" s="17"/>
      <c r="D3493" s="18"/>
      <c r="E3493" s="17"/>
      <c r="F3493" s="22"/>
      <c r="G3493"/>
    </row>
    <row r="3494" spans="1:7">
      <c r="A3494" s="17"/>
      <c r="B3494" s="18"/>
      <c r="C3494" s="17"/>
      <c r="D3494" s="18"/>
      <c r="E3494" s="17"/>
      <c r="F3494" s="22"/>
      <c r="G3494"/>
    </row>
    <row r="3495" spans="1:7">
      <c r="A3495" s="17"/>
      <c r="B3495" s="18"/>
      <c r="C3495" s="17"/>
      <c r="D3495" s="18"/>
      <c r="E3495" s="17"/>
      <c r="F3495" s="22"/>
      <c r="G3495"/>
    </row>
    <row r="3496" spans="1:7">
      <c r="A3496" s="17"/>
      <c r="B3496" s="18"/>
      <c r="C3496" s="17"/>
      <c r="D3496" s="18"/>
      <c r="E3496" s="17"/>
      <c r="F3496" s="22"/>
      <c r="G3496"/>
    </row>
    <row r="3497" spans="1:7">
      <c r="A3497" s="17"/>
      <c r="B3497" s="18"/>
      <c r="C3497" s="17"/>
      <c r="D3497" s="18"/>
      <c r="E3497" s="17"/>
      <c r="F3497" s="22"/>
      <c r="G3497"/>
    </row>
    <row r="3498" spans="1:7">
      <c r="A3498" s="17"/>
      <c r="B3498" s="18"/>
      <c r="C3498" s="17"/>
      <c r="D3498" s="18"/>
      <c r="E3498" s="17"/>
      <c r="F3498" s="22"/>
      <c r="G3498"/>
    </row>
    <row r="3499" spans="1:7">
      <c r="A3499" s="17"/>
      <c r="B3499" s="18"/>
      <c r="C3499" s="17"/>
      <c r="D3499" s="18"/>
      <c r="E3499" s="17"/>
      <c r="F3499" s="22"/>
      <c r="G3499"/>
    </row>
    <row r="3500" spans="1:7">
      <c r="A3500" s="17"/>
      <c r="B3500" s="18"/>
      <c r="C3500" s="17"/>
      <c r="D3500" s="18"/>
      <c r="E3500" s="17"/>
      <c r="F3500" s="22"/>
      <c r="G3500"/>
    </row>
    <row r="3501" spans="1:7">
      <c r="A3501" s="17"/>
      <c r="B3501" s="18"/>
      <c r="C3501" s="17"/>
      <c r="D3501" s="18"/>
      <c r="E3501" s="17"/>
      <c r="F3501" s="22"/>
      <c r="G3501"/>
    </row>
    <row r="3502" spans="1:7">
      <c r="A3502" s="17"/>
      <c r="B3502" s="18"/>
      <c r="C3502" s="17"/>
      <c r="D3502" s="18"/>
      <c r="E3502" s="17"/>
      <c r="F3502" s="22"/>
      <c r="G3502"/>
    </row>
    <row r="3503" spans="1:7">
      <c r="A3503" s="17"/>
      <c r="B3503" s="18"/>
      <c r="C3503" s="17"/>
      <c r="D3503" s="18"/>
      <c r="E3503" s="17"/>
      <c r="F3503" s="22"/>
      <c r="G3503"/>
    </row>
    <row r="3504" spans="1:7">
      <c r="A3504" s="17"/>
      <c r="B3504" s="18"/>
      <c r="C3504" s="17"/>
      <c r="D3504" s="18"/>
      <c r="E3504" s="17"/>
      <c r="F3504" s="22"/>
      <c r="G3504"/>
    </row>
    <row r="3505" spans="1:7">
      <c r="A3505" s="17"/>
      <c r="B3505" s="18"/>
      <c r="C3505" s="17"/>
      <c r="D3505" s="18"/>
      <c r="E3505" s="17"/>
      <c r="F3505" s="22"/>
      <c r="G3505"/>
    </row>
    <row r="3506" spans="1:7">
      <c r="A3506" s="17"/>
      <c r="B3506" s="18"/>
      <c r="C3506" s="17"/>
      <c r="D3506" s="18"/>
      <c r="E3506" s="17"/>
      <c r="F3506" s="22"/>
      <c r="G3506"/>
    </row>
    <row r="3507" spans="1:7">
      <c r="A3507" s="17"/>
      <c r="B3507" s="18"/>
      <c r="C3507" s="17"/>
      <c r="D3507" s="18"/>
      <c r="E3507" s="17"/>
      <c r="F3507" s="22"/>
      <c r="G3507"/>
    </row>
    <row r="3508" spans="1:7">
      <c r="A3508" s="17"/>
      <c r="B3508" s="18"/>
      <c r="C3508" s="17"/>
      <c r="D3508" s="18"/>
      <c r="E3508" s="17"/>
      <c r="F3508" s="22"/>
      <c r="G3508"/>
    </row>
    <row r="3509" spans="1:7">
      <c r="A3509" s="17"/>
      <c r="B3509" s="18"/>
      <c r="C3509" s="17"/>
      <c r="D3509" s="18"/>
      <c r="E3509" s="17"/>
      <c r="F3509" s="22"/>
      <c r="G3509"/>
    </row>
    <row r="3510" spans="1:7">
      <c r="A3510" s="17"/>
      <c r="B3510" s="18"/>
      <c r="C3510" s="17"/>
      <c r="D3510" s="18"/>
      <c r="E3510" s="17"/>
      <c r="F3510" s="22"/>
      <c r="G3510"/>
    </row>
    <row r="3511" spans="1:7">
      <c r="A3511" s="17"/>
      <c r="B3511" s="18"/>
      <c r="C3511" s="17"/>
      <c r="D3511" s="18"/>
      <c r="E3511" s="17"/>
      <c r="F3511" s="22"/>
      <c r="G3511"/>
    </row>
    <row r="3512" spans="1:7">
      <c r="A3512" s="17"/>
      <c r="B3512" s="18"/>
      <c r="C3512" s="17"/>
      <c r="D3512" s="18"/>
      <c r="E3512" s="17"/>
      <c r="F3512" s="22"/>
      <c r="G3512"/>
    </row>
    <row r="3513" spans="1:7">
      <c r="A3513" s="17"/>
      <c r="B3513" s="18"/>
      <c r="C3513" s="17"/>
      <c r="D3513" s="18"/>
      <c r="E3513" s="17"/>
      <c r="F3513" s="22"/>
      <c r="G3513"/>
    </row>
    <row r="3514" spans="1:7">
      <c r="A3514" s="17"/>
      <c r="B3514" s="18"/>
      <c r="C3514" s="17"/>
      <c r="D3514" s="18"/>
      <c r="E3514" s="17"/>
      <c r="F3514" s="22"/>
      <c r="G3514"/>
    </row>
    <row r="3515" spans="1:7">
      <c r="A3515" s="17"/>
      <c r="B3515" s="18"/>
      <c r="C3515" s="17"/>
      <c r="D3515" s="18"/>
      <c r="E3515" s="17"/>
      <c r="F3515" s="22"/>
      <c r="G3515"/>
    </row>
    <row r="3516" spans="1:7">
      <c r="A3516" s="17"/>
      <c r="B3516" s="18"/>
      <c r="C3516" s="17"/>
      <c r="D3516" s="18"/>
      <c r="E3516" s="17"/>
      <c r="F3516" s="22"/>
      <c r="G3516"/>
    </row>
    <row r="3517" spans="1:7">
      <c r="A3517" s="17"/>
      <c r="B3517" s="18"/>
      <c r="C3517" s="17"/>
      <c r="D3517" s="18"/>
      <c r="E3517" s="17"/>
      <c r="F3517" s="22"/>
      <c r="G3517"/>
    </row>
    <row r="3518" spans="1:7">
      <c r="A3518" s="17"/>
      <c r="B3518" s="18"/>
      <c r="C3518" s="17"/>
      <c r="D3518" s="18"/>
      <c r="E3518" s="17"/>
      <c r="F3518" s="22"/>
      <c r="G3518"/>
    </row>
    <row r="3519" spans="1:7">
      <c r="A3519" s="17"/>
      <c r="B3519" s="18"/>
      <c r="C3519" s="17"/>
      <c r="D3519" s="18"/>
      <c r="E3519" s="17"/>
      <c r="F3519" s="22"/>
      <c r="G3519"/>
    </row>
    <row r="3520" spans="1:7">
      <c r="A3520" s="17"/>
      <c r="B3520" s="18"/>
      <c r="C3520" s="17"/>
      <c r="D3520" s="18"/>
      <c r="E3520" s="17"/>
      <c r="F3520" s="22"/>
      <c r="G3520"/>
    </row>
    <row r="3521" spans="1:7">
      <c r="A3521" s="17"/>
      <c r="B3521" s="18"/>
      <c r="C3521" s="17"/>
      <c r="D3521" s="18"/>
      <c r="E3521" s="17"/>
      <c r="F3521" s="22"/>
      <c r="G3521"/>
    </row>
    <row r="3522" spans="1:7">
      <c r="A3522" s="17"/>
      <c r="B3522" s="18"/>
      <c r="C3522" s="17"/>
      <c r="D3522" s="18"/>
      <c r="E3522" s="17"/>
      <c r="F3522" s="22"/>
      <c r="G3522"/>
    </row>
    <row r="3523" spans="1:7">
      <c r="A3523" s="17"/>
      <c r="B3523" s="18"/>
      <c r="C3523" s="17"/>
      <c r="D3523" s="18"/>
      <c r="E3523" s="17"/>
      <c r="F3523" s="22"/>
      <c r="G3523"/>
    </row>
    <row r="3524" spans="1:7">
      <c r="A3524" s="17"/>
      <c r="B3524" s="18"/>
      <c r="C3524" s="17"/>
      <c r="D3524" s="18"/>
      <c r="E3524" s="17"/>
      <c r="F3524" s="22"/>
      <c r="G3524"/>
    </row>
    <row r="3525" spans="1:7">
      <c r="A3525" s="17"/>
      <c r="B3525" s="18"/>
      <c r="C3525" s="17"/>
      <c r="D3525" s="18"/>
      <c r="E3525" s="17"/>
      <c r="F3525" s="22"/>
      <c r="G3525"/>
    </row>
    <row r="3526" spans="1:7">
      <c r="A3526" s="17"/>
      <c r="B3526" s="18"/>
      <c r="C3526" s="17"/>
      <c r="D3526" s="18"/>
      <c r="E3526" s="17"/>
      <c r="F3526" s="22"/>
      <c r="G3526"/>
    </row>
    <row r="3527" spans="1:7">
      <c r="A3527" s="17"/>
      <c r="B3527" s="18"/>
      <c r="C3527" s="17"/>
      <c r="D3527" s="18"/>
      <c r="E3527" s="17"/>
      <c r="F3527" s="22"/>
      <c r="G3527"/>
    </row>
    <row r="3528" spans="1:7">
      <c r="A3528" s="17"/>
      <c r="B3528" s="18"/>
      <c r="C3528" s="17"/>
      <c r="D3528" s="18"/>
      <c r="E3528" s="17"/>
      <c r="F3528" s="22"/>
      <c r="G3528"/>
    </row>
    <row r="3529" spans="1:7">
      <c r="A3529" s="17"/>
      <c r="B3529" s="18"/>
      <c r="C3529" s="17"/>
      <c r="D3529" s="18"/>
      <c r="E3529" s="17"/>
      <c r="F3529" s="22"/>
      <c r="G3529"/>
    </row>
    <row r="3530" spans="1:7">
      <c r="A3530" s="17"/>
      <c r="B3530" s="18"/>
      <c r="C3530" s="17"/>
      <c r="D3530" s="18"/>
      <c r="E3530" s="17"/>
      <c r="F3530" s="22"/>
      <c r="G3530"/>
    </row>
    <row r="3531" spans="1:7">
      <c r="A3531" s="17"/>
      <c r="B3531" s="18"/>
      <c r="C3531" s="17"/>
      <c r="D3531" s="18"/>
      <c r="E3531" s="17"/>
      <c r="F3531" s="22"/>
      <c r="G3531"/>
    </row>
    <row r="3532" spans="1:7">
      <c r="A3532" s="17"/>
      <c r="B3532" s="18"/>
      <c r="C3532" s="17"/>
      <c r="D3532" s="18"/>
      <c r="E3532" s="17"/>
      <c r="F3532" s="22"/>
      <c r="G3532"/>
    </row>
    <row r="3533" spans="1:7">
      <c r="A3533" s="17"/>
      <c r="B3533" s="18"/>
      <c r="C3533" s="17"/>
      <c r="D3533" s="18"/>
      <c r="E3533" s="17"/>
      <c r="F3533" s="22"/>
      <c r="G3533"/>
    </row>
    <row r="3534" spans="1:7">
      <c r="A3534" s="17"/>
      <c r="B3534" s="18"/>
      <c r="C3534" s="17"/>
      <c r="D3534" s="18"/>
      <c r="E3534" s="17"/>
      <c r="F3534" s="22"/>
      <c r="G3534"/>
    </row>
    <row r="3535" spans="1:7">
      <c r="A3535" s="17"/>
      <c r="B3535" s="18"/>
      <c r="C3535" s="17"/>
      <c r="D3535" s="18"/>
      <c r="E3535" s="17"/>
      <c r="F3535" s="22"/>
      <c r="G3535"/>
    </row>
    <row r="3536" spans="1:7">
      <c r="A3536" s="17"/>
      <c r="B3536" s="18"/>
      <c r="C3536" s="17"/>
      <c r="D3536" s="18"/>
      <c r="E3536" s="17"/>
      <c r="F3536" s="22"/>
      <c r="G3536"/>
    </row>
    <row r="3537" spans="1:7">
      <c r="A3537" s="17"/>
      <c r="B3537" s="18"/>
      <c r="C3537" s="17"/>
      <c r="D3537" s="18"/>
      <c r="E3537" s="17"/>
      <c r="F3537" s="22"/>
      <c r="G3537"/>
    </row>
    <row r="3538" spans="1:7">
      <c r="A3538" s="17"/>
      <c r="B3538" s="18"/>
      <c r="C3538" s="17"/>
      <c r="D3538" s="18"/>
      <c r="E3538" s="17"/>
      <c r="F3538" s="22"/>
      <c r="G3538"/>
    </row>
    <row r="3539" spans="1:7">
      <c r="A3539" s="17"/>
      <c r="B3539" s="18"/>
      <c r="C3539" s="17"/>
      <c r="D3539" s="18"/>
      <c r="E3539" s="17"/>
      <c r="F3539" s="22"/>
      <c r="G3539"/>
    </row>
    <row r="3540" spans="1:7">
      <c r="A3540" s="17"/>
      <c r="B3540" s="18"/>
      <c r="C3540" s="17"/>
      <c r="D3540" s="18"/>
      <c r="E3540" s="17"/>
      <c r="F3540" s="22"/>
      <c r="G3540"/>
    </row>
    <row r="3541" spans="1:7">
      <c r="A3541" s="17"/>
      <c r="B3541" s="18"/>
      <c r="C3541" s="17"/>
      <c r="D3541" s="18"/>
      <c r="E3541" s="17"/>
      <c r="F3541" s="22"/>
      <c r="G3541"/>
    </row>
    <row r="3542" spans="1:7">
      <c r="A3542" s="17"/>
      <c r="B3542" s="18"/>
      <c r="C3542" s="17"/>
      <c r="D3542" s="18"/>
      <c r="E3542" s="17"/>
      <c r="F3542" s="22"/>
      <c r="G3542"/>
    </row>
    <row r="3543" spans="1:7">
      <c r="A3543" s="17"/>
      <c r="B3543" s="18"/>
      <c r="C3543" s="17"/>
      <c r="D3543" s="18"/>
      <c r="E3543" s="17"/>
      <c r="F3543" s="22"/>
      <c r="G3543"/>
    </row>
    <row r="3544" spans="1:7">
      <c r="A3544" s="17"/>
      <c r="B3544" s="18"/>
      <c r="C3544" s="17"/>
      <c r="D3544" s="18"/>
      <c r="E3544" s="17"/>
      <c r="F3544" s="22"/>
      <c r="G3544"/>
    </row>
    <row r="3545" spans="1:7">
      <c r="A3545" s="17"/>
      <c r="B3545" s="18"/>
      <c r="C3545" s="17"/>
      <c r="D3545" s="18"/>
      <c r="E3545" s="17"/>
      <c r="F3545" s="22"/>
      <c r="G3545"/>
    </row>
    <row r="3546" spans="1:7">
      <c r="A3546" s="17"/>
      <c r="B3546" s="18"/>
      <c r="C3546" s="17"/>
      <c r="D3546" s="18"/>
      <c r="E3546" s="17"/>
      <c r="F3546" s="22"/>
      <c r="G3546"/>
    </row>
    <row r="3547" spans="1:7">
      <c r="A3547" s="17"/>
      <c r="B3547" s="18"/>
      <c r="C3547" s="17"/>
      <c r="D3547" s="18"/>
      <c r="E3547" s="17"/>
      <c r="F3547" s="22"/>
      <c r="G3547"/>
    </row>
    <row r="3548" spans="1:7">
      <c r="A3548" s="17"/>
      <c r="B3548" s="18"/>
      <c r="C3548" s="17"/>
      <c r="D3548" s="18"/>
      <c r="E3548" s="17"/>
      <c r="F3548" s="22"/>
      <c r="G3548"/>
    </row>
    <row r="3549" spans="1:7">
      <c r="A3549" s="17"/>
      <c r="B3549" s="18"/>
      <c r="C3549" s="17"/>
      <c r="D3549" s="18"/>
      <c r="E3549" s="17"/>
      <c r="F3549" s="22"/>
      <c r="G3549"/>
    </row>
    <row r="3550" spans="1:7">
      <c r="A3550" s="17"/>
      <c r="B3550" s="18"/>
      <c r="C3550" s="17"/>
      <c r="D3550" s="18"/>
      <c r="E3550" s="17"/>
      <c r="F3550" s="22"/>
      <c r="G3550"/>
    </row>
    <row r="3551" spans="1:7">
      <c r="A3551" s="17"/>
      <c r="B3551" s="18"/>
      <c r="C3551" s="17"/>
      <c r="D3551" s="18"/>
      <c r="E3551" s="17"/>
      <c r="F3551" s="22"/>
      <c r="G3551"/>
    </row>
    <row r="3552" spans="1:7">
      <c r="A3552" s="17"/>
      <c r="B3552" s="18"/>
      <c r="C3552" s="17"/>
      <c r="D3552" s="18"/>
      <c r="E3552" s="17"/>
      <c r="F3552" s="22"/>
      <c r="G3552"/>
    </row>
    <row r="3553" spans="1:7">
      <c r="A3553" s="17"/>
      <c r="B3553" s="18"/>
      <c r="C3553" s="17"/>
      <c r="D3553" s="18"/>
      <c r="E3553" s="17"/>
      <c r="F3553" s="22"/>
      <c r="G3553"/>
    </row>
    <row r="3554" spans="1:7">
      <c r="A3554" s="17"/>
      <c r="B3554" s="18"/>
      <c r="C3554" s="17"/>
      <c r="D3554" s="18"/>
      <c r="E3554" s="17"/>
      <c r="F3554" s="22"/>
      <c r="G3554"/>
    </row>
    <row r="3555" spans="1:7">
      <c r="A3555" s="17"/>
      <c r="B3555" s="18"/>
      <c r="C3555" s="17"/>
      <c r="D3555" s="18"/>
      <c r="E3555" s="17"/>
      <c r="F3555" s="22"/>
      <c r="G3555"/>
    </row>
    <row r="3556" spans="1:7">
      <c r="A3556" s="17"/>
      <c r="B3556" s="18"/>
      <c r="C3556" s="17"/>
      <c r="D3556" s="18"/>
      <c r="E3556" s="17"/>
      <c r="F3556" s="22"/>
      <c r="G3556"/>
    </row>
    <row r="3557" spans="1:7">
      <c r="A3557" s="17"/>
      <c r="B3557" s="18"/>
      <c r="C3557" s="17"/>
      <c r="D3557" s="18"/>
      <c r="E3557" s="17"/>
      <c r="F3557" s="22"/>
      <c r="G3557"/>
    </row>
    <row r="3558" spans="1:7">
      <c r="A3558" s="17"/>
      <c r="B3558" s="18"/>
      <c r="C3558" s="17"/>
      <c r="D3558" s="18"/>
      <c r="E3558" s="17"/>
      <c r="F3558" s="22"/>
      <c r="G3558"/>
    </row>
    <row r="3559" spans="1:7">
      <c r="A3559" s="17"/>
      <c r="B3559" s="18"/>
      <c r="C3559" s="17"/>
      <c r="D3559" s="18"/>
      <c r="E3559" s="17"/>
      <c r="F3559" s="22"/>
      <c r="G3559"/>
    </row>
    <row r="3560" spans="1:7">
      <c r="A3560" s="17"/>
      <c r="B3560" s="18"/>
      <c r="C3560" s="17"/>
      <c r="D3560" s="18"/>
      <c r="E3560" s="17"/>
      <c r="F3560" s="22"/>
      <c r="G3560"/>
    </row>
    <row r="3561" spans="1:7">
      <c r="A3561" s="17"/>
      <c r="B3561" s="18"/>
      <c r="C3561" s="17"/>
      <c r="D3561" s="18"/>
      <c r="E3561" s="17"/>
      <c r="F3561" s="22"/>
      <c r="G3561"/>
    </row>
    <row r="3562" spans="1:7">
      <c r="A3562" s="17"/>
      <c r="B3562" s="18"/>
      <c r="C3562" s="17"/>
      <c r="D3562" s="18"/>
      <c r="E3562" s="17"/>
      <c r="F3562" s="22"/>
      <c r="G3562"/>
    </row>
    <row r="3563" spans="1:7">
      <c r="A3563" s="17"/>
      <c r="B3563" s="18"/>
      <c r="C3563" s="17"/>
      <c r="D3563" s="18"/>
      <c r="E3563" s="17"/>
      <c r="F3563" s="22"/>
      <c r="G3563"/>
    </row>
    <row r="3564" spans="1:7">
      <c r="A3564" s="17"/>
      <c r="B3564" s="18"/>
      <c r="C3564" s="17"/>
      <c r="D3564" s="18"/>
      <c r="E3564" s="17"/>
      <c r="F3564" s="22"/>
      <c r="G3564"/>
    </row>
    <row r="3565" spans="1:7">
      <c r="A3565" s="17"/>
      <c r="B3565" s="18"/>
      <c r="C3565" s="17"/>
      <c r="D3565" s="18"/>
      <c r="E3565" s="17"/>
      <c r="F3565" s="22"/>
      <c r="G3565"/>
    </row>
    <row r="3566" spans="1:7">
      <c r="A3566" s="17"/>
      <c r="B3566" s="18"/>
      <c r="C3566" s="17"/>
      <c r="D3566" s="18"/>
      <c r="E3566" s="17"/>
      <c r="F3566" s="22"/>
      <c r="G3566"/>
    </row>
    <row r="3567" spans="1:7">
      <c r="A3567" s="17"/>
      <c r="B3567" s="18"/>
      <c r="C3567" s="17"/>
      <c r="D3567" s="18"/>
      <c r="E3567" s="17"/>
      <c r="F3567" s="22"/>
      <c r="G3567"/>
    </row>
    <row r="3568" spans="1:7">
      <c r="A3568" s="17"/>
      <c r="B3568" s="18"/>
      <c r="C3568" s="17"/>
      <c r="D3568" s="18"/>
      <c r="E3568" s="17"/>
      <c r="F3568" s="22"/>
      <c r="G3568"/>
    </row>
    <row r="3569" spans="1:7">
      <c r="A3569" s="17"/>
      <c r="B3569" s="18"/>
      <c r="C3569" s="17"/>
      <c r="D3569" s="18"/>
      <c r="E3569" s="17"/>
      <c r="F3569" s="22"/>
      <c r="G3569"/>
    </row>
    <row r="3570" spans="1:7">
      <c r="A3570" s="17"/>
      <c r="B3570" s="18"/>
      <c r="C3570" s="17"/>
      <c r="D3570" s="18"/>
      <c r="E3570" s="17"/>
      <c r="F3570" s="22"/>
      <c r="G3570"/>
    </row>
    <row r="3571" spans="1:7">
      <c r="A3571" s="17"/>
      <c r="B3571" s="18"/>
      <c r="C3571" s="17"/>
      <c r="D3571" s="18"/>
      <c r="E3571" s="17"/>
      <c r="F3571" s="22"/>
      <c r="G3571"/>
    </row>
    <row r="3572" spans="1:7">
      <c r="A3572" s="17"/>
      <c r="B3572" s="18"/>
      <c r="C3572" s="17"/>
      <c r="D3572" s="18"/>
      <c r="E3572" s="17"/>
      <c r="F3572" s="22"/>
      <c r="G3572"/>
    </row>
    <row r="3573" spans="1:7">
      <c r="A3573" s="17"/>
      <c r="B3573" s="18"/>
      <c r="C3573" s="17"/>
      <c r="D3573" s="18"/>
      <c r="E3573" s="17"/>
      <c r="F3573" s="22"/>
      <c r="G3573"/>
    </row>
    <row r="3574" spans="1:7">
      <c r="A3574" s="17"/>
      <c r="B3574" s="18"/>
      <c r="C3574" s="17"/>
      <c r="D3574" s="18"/>
      <c r="E3574" s="17"/>
      <c r="F3574" s="22"/>
      <c r="G3574"/>
    </row>
    <row r="3575" spans="1:7">
      <c r="A3575" s="17"/>
      <c r="B3575" s="18"/>
      <c r="C3575" s="17"/>
      <c r="D3575" s="18"/>
      <c r="E3575" s="17"/>
      <c r="F3575" s="22"/>
      <c r="G3575"/>
    </row>
    <row r="3576" spans="1:7">
      <c r="A3576" s="17"/>
      <c r="B3576" s="18"/>
      <c r="C3576" s="17"/>
      <c r="D3576" s="18"/>
      <c r="E3576" s="17"/>
      <c r="F3576" s="22"/>
      <c r="G3576"/>
    </row>
    <row r="3577" spans="1:7">
      <c r="A3577" s="17"/>
      <c r="B3577" s="18"/>
      <c r="C3577" s="17"/>
      <c r="D3577" s="18"/>
      <c r="E3577" s="17"/>
      <c r="F3577" s="22"/>
      <c r="G3577"/>
    </row>
    <row r="3578" spans="1:7">
      <c r="A3578" s="17"/>
      <c r="B3578" s="18"/>
      <c r="C3578" s="17"/>
      <c r="D3578" s="18"/>
      <c r="E3578" s="17"/>
      <c r="F3578" s="22"/>
      <c r="G3578"/>
    </row>
    <row r="3579" spans="1:7">
      <c r="A3579" s="17"/>
      <c r="B3579" s="18"/>
      <c r="C3579" s="17"/>
      <c r="D3579" s="18"/>
      <c r="E3579" s="17"/>
      <c r="F3579" s="22"/>
      <c r="G3579"/>
    </row>
    <row r="3580" spans="1:7">
      <c r="A3580" s="17"/>
      <c r="B3580" s="18"/>
      <c r="C3580" s="17"/>
      <c r="D3580" s="18"/>
      <c r="E3580" s="17"/>
      <c r="F3580" s="22"/>
      <c r="G3580"/>
    </row>
    <row r="3581" spans="1:7">
      <c r="A3581" s="17"/>
      <c r="B3581" s="18"/>
      <c r="C3581" s="17"/>
      <c r="D3581" s="18"/>
      <c r="E3581" s="17"/>
      <c r="F3581" s="22"/>
      <c r="G3581"/>
    </row>
    <row r="3582" spans="1:7">
      <c r="A3582" s="17"/>
      <c r="B3582" s="18"/>
      <c r="C3582" s="17"/>
      <c r="D3582" s="18"/>
      <c r="E3582" s="17"/>
      <c r="F3582" s="22"/>
      <c r="G3582"/>
    </row>
    <row r="3583" spans="1:7">
      <c r="A3583" s="17"/>
      <c r="B3583" s="18"/>
      <c r="C3583" s="17"/>
      <c r="D3583" s="18"/>
      <c r="E3583" s="17"/>
      <c r="F3583" s="22"/>
      <c r="G3583"/>
    </row>
    <row r="3584" spans="1:7">
      <c r="A3584" s="17"/>
      <c r="B3584" s="18"/>
      <c r="C3584" s="17"/>
      <c r="D3584" s="18"/>
      <c r="E3584" s="17"/>
      <c r="F3584" s="22"/>
      <c r="G3584"/>
    </row>
    <row r="3585" spans="1:7">
      <c r="A3585" s="17"/>
      <c r="B3585" s="18"/>
      <c r="C3585" s="17"/>
      <c r="D3585" s="18"/>
      <c r="E3585" s="17"/>
      <c r="F3585" s="22"/>
      <c r="G3585"/>
    </row>
    <row r="3586" spans="1:7">
      <c r="A3586" s="17"/>
      <c r="B3586" s="18"/>
      <c r="C3586" s="17"/>
      <c r="D3586" s="18"/>
      <c r="E3586" s="17"/>
      <c r="F3586" s="22"/>
      <c r="G3586"/>
    </row>
    <row r="3587" spans="1:7">
      <c r="A3587" s="17"/>
      <c r="B3587" s="18"/>
      <c r="C3587" s="17"/>
      <c r="D3587" s="18"/>
      <c r="E3587" s="17"/>
      <c r="F3587" s="22"/>
      <c r="G3587"/>
    </row>
    <row r="3588" spans="1:7">
      <c r="A3588" s="17"/>
      <c r="B3588" s="18"/>
      <c r="C3588" s="17"/>
      <c r="D3588" s="18"/>
      <c r="E3588" s="17"/>
      <c r="F3588" s="22"/>
      <c r="G3588"/>
    </row>
    <row r="3589" spans="1:7">
      <c r="A3589" s="17"/>
      <c r="B3589" s="18"/>
      <c r="C3589" s="17"/>
      <c r="D3589" s="18"/>
      <c r="E3589" s="17"/>
      <c r="F3589" s="22"/>
      <c r="G3589"/>
    </row>
    <row r="3590" spans="1:7">
      <c r="A3590" s="17"/>
      <c r="B3590" s="18"/>
      <c r="C3590" s="17"/>
      <c r="D3590" s="18"/>
      <c r="E3590" s="17"/>
      <c r="F3590" s="22"/>
      <c r="G3590"/>
    </row>
    <row r="3591" spans="1:7">
      <c r="A3591" s="17"/>
      <c r="B3591" s="18"/>
      <c r="C3591" s="17"/>
      <c r="D3591" s="18"/>
      <c r="E3591" s="17"/>
      <c r="F3591" s="22"/>
      <c r="G3591"/>
    </row>
    <row r="3592" spans="1:7">
      <c r="A3592" s="17"/>
      <c r="B3592" s="18"/>
      <c r="C3592" s="17"/>
      <c r="D3592" s="18"/>
      <c r="E3592" s="17"/>
      <c r="F3592" s="22"/>
      <c r="G3592"/>
    </row>
    <row r="3593" spans="1:7">
      <c r="A3593" s="17"/>
      <c r="B3593" s="18"/>
      <c r="C3593" s="17"/>
      <c r="D3593" s="18"/>
      <c r="E3593" s="17"/>
      <c r="F3593" s="22"/>
      <c r="G3593"/>
    </row>
    <row r="3594" spans="1:7">
      <c r="A3594" s="17"/>
      <c r="B3594" s="18"/>
      <c r="C3594" s="17"/>
      <c r="D3594" s="18"/>
      <c r="E3594" s="17"/>
      <c r="F3594" s="22"/>
      <c r="G3594"/>
    </row>
    <row r="3595" spans="1:7">
      <c r="A3595" s="17"/>
      <c r="B3595" s="18"/>
      <c r="C3595" s="17"/>
      <c r="D3595" s="18"/>
      <c r="E3595" s="17"/>
      <c r="F3595" s="22"/>
      <c r="G3595"/>
    </row>
    <row r="3596" spans="1:7">
      <c r="A3596" s="17"/>
      <c r="B3596" s="18"/>
      <c r="C3596" s="17"/>
      <c r="D3596" s="18"/>
      <c r="E3596" s="17"/>
      <c r="F3596" s="22"/>
      <c r="G3596"/>
    </row>
    <row r="3597" spans="1:7">
      <c r="A3597" s="17"/>
      <c r="B3597" s="18"/>
      <c r="C3597" s="17"/>
      <c r="D3597" s="18"/>
      <c r="E3597" s="17"/>
      <c r="F3597" s="22"/>
      <c r="G3597"/>
    </row>
    <row r="3598" spans="1:7">
      <c r="A3598" s="17"/>
      <c r="B3598" s="18"/>
      <c r="C3598" s="17"/>
      <c r="D3598" s="18"/>
      <c r="E3598" s="17"/>
      <c r="F3598" s="22"/>
      <c r="G3598"/>
    </row>
    <row r="3599" spans="1:7">
      <c r="A3599" s="17"/>
      <c r="B3599" s="18"/>
      <c r="C3599" s="17"/>
      <c r="D3599" s="18"/>
      <c r="E3599" s="17"/>
      <c r="F3599" s="22"/>
      <c r="G3599"/>
    </row>
    <row r="3600" spans="1:7">
      <c r="A3600" s="17"/>
      <c r="B3600" s="18"/>
      <c r="C3600" s="17"/>
      <c r="D3600" s="18"/>
      <c r="E3600" s="17"/>
      <c r="F3600" s="22"/>
      <c r="G3600"/>
    </row>
    <row r="3601" spans="1:7">
      <c r="A3601" s="17"/>
      <c r="B3601" s="18"/>
      <c r="C3601" s="17"/>
      <c r="D3601" s="18"/>
      <c r="E3601" s="17"/>
      <c r="F3601" s="22"/>
      <c r="G3601"/>
    </row>
    <row r="3602" spans="1:7">
      <c r="A3602" s="17"/>
      <c r="B3602" s="18"/>
      <c r="C3602" s="17"/>
      <c r="D3602" s="18"/>
      <c r="E3602" s="17"/>
      <c r="F3602" s="22"/>
      <c r="G3602"/>
    </row>
    <row r="3603" spans="1:7">
      <c r="A3603" s="17"/>
      <c r="B3603" s="18"/>
      <c r="C3603" s="17"/>
      <c r="D3603" s="18"/>
      <c r="E3603" s="17"/>
      <c r="F3603" s="22"/>
      <c r="G3603"/>
    </row>
    <row r="3604" spans="1:7">
      <c r="A3604" s="17"/>
      <c r="B3604" s="18"/>
      <c r="C3604" s="17"/>
      <c r="D3604" s="18"/>
      <c r="E3604" s="17"/>
      <c r="F3604" s="22"/>
      <c r="G3604"/>
    </row>
    <row r="3605" spans="1:7">
      <c r="A3605" s="17"/>
      <c r="B3605" s="18"/>
      <c r="C3605" s="17"/>
      <c r="D3605" s="18"/>
      <c r="E3605" s="17"/>
      <c r="F3605" s="22"/>
      <c r="G3605"/>
    </row>
    <row r="3606" spans="1:7">
      <c r="A3606" s="17"/>
      <c r="B3606" s="18"/>
      <c r="C3606" s="17"/>
      <c r="D3606" s="18"/>
      <c r="E3606" s="17"/>
      <c r="F3606" s="22"/>
      <c r="G3606"/>
    </row>
    <row r="3607" spans="1:7">
      <c r="A3607" s="17"/>
      <c r="B3607" s="18"/>
      <c r="C3607" s="17"/>
      <c r="D3607" s="18"/>
      <c r="E3607" s="17"/>
      <c r="F3607" s="22"/>
      <c r="G3607"/>
    </row>
    <row r="3608" spans="1:7">
      <c r="A3608" s="17"/>
      <c r="B3608" s="18"/>
      <c r="C3608" s="17"/>
      <c r="D3608" s="18"/>
      <c r="E3608" s="17"/>
      <c r="F3608" s="22"/>
      <c r="G3608"/>
    </row>
    <row r="3609" spans="1:7">
      <c r="A3609" s="17"/>
      <c r="B3609" s="18"/>
      <c r="C3609" s="17"/>
      <c r="D3609" s="18"/>
      <c r="E3609" s="17"/>
      <c r="F3609" s="22"/>
      <c r="G3609"/>
    </row>
    <row r="3610" spans="1:7">
      <c r="A3610" s="17"/>
      <c r="B3610" s="18"/>
      <c r="C3610" s="17"/>
      <c r="D3610" s="18"/>
      <c r="E3610" s="17"/>
      <c r="F3610" s="22"/>
      <c r="G3610"/>
    </row>
    <row r="3611" spans="1:7">
      <c r="A3611" s="17"/>
      <c r="B3611" s="18"/>
      <c r="C3611" s="17"/>
      <c r="D3611" s="18"/>
      <c r="E3611" s="17"/>
      <c r="F3611" s="22"/>
      <c r="G3611"/>
    </row>
    <row r="3612" spans="1:7">
      <c r="A3612" s="17"/>
      <c r="B3612" s="18"/>
      <c r="C3612" s="17"/>
      <c r="D3612" s="18"/>
      <c r="E3612" s="17"/>
      <c r="F3612" s="22"/>
      <c r="G3612"/>
    </row>
    <row r="3613" spans="1:7">
      <c r="A3613" s="17"/>
      <c r="B3613" s="18"/>
      <c r="C3613" s="17"/>
      <c r="D3613" s="18"/>
      <c r="E3613" s="17"/>
      <c r="F3613" s="22"/>
      <c r="G3613"/>
    </row>
    <row r="3614" spans="1:7">
      <c r="A3614" s="17"/>
      <c r="B3614" s="18"/>
      <c r="C3614" s="17"/>
      <c r="D3614" s="18"/>
      <c r="E3614" s="17"/>
      <c r="F3614" s="22"/>
      <c r="G3614"/>
    </row>
    <row r="3615" spans="1:7">
      <c r="A3615" s="17"/>
      <c r="B3615" s="18"/>
      <c r="C3615" s="17"/>
      <c r="D3615" s="18"/>
      <c r="E3615" s="17"/>
      <c r="F3615" s="22"/>
      <c r="G3615"/>
    </row>
    <row r="3616" spans="1:7">
      <c r="A3616" s="17"/>
      <c r="B3616" s="18"/>
      <c r="C3616" s="17"/>
      <c r="D3616" s="18"/>
      <c r="E3616" s="17"/>
      <c r="F3616" s="22"/>
      <c r="G3616"/>
    </row>
    <row r="3617" spans="1:7">
      <c r="A3617" s="17"/>
      <c r="B3617" s="18"/>
      <c r="C3617" s="17"/>
      <c r="D3617" s="18"/>
      <c r="E3617" s="17"/>
      <c r="F3617" s="22"/>
      <c r="G3617"/>
    </row>
    <row r="3618" spans="1:7">
      <c r="A3618" s="17"/>
      <c r="B3618" s="18"/>
      <c r="C3618" s="17"/>
      <c r="D3618" s="18"/>
      <c r="E3618" s="17"/>
      <c r="F3618" s="22"/>
      <c r="G3618"/>
    </row>
    <row r="3619" spans="1:7">
      <c r="A3619" s="17"/>
      <c r="B3619" s="18"/>
      <c r="C3619" s="17"/>
      <c r="D3619" s="18"/>
      <c r="E3619" s="17"/>
      <c r="F3619" s="22"/>
      <c r="G3619"/>
    </row>
    <row r="3620" spans="1:7">
      <c r="A3620" s="17"/>
      <c r="B3620" s="18"/>
      <c r="C3620" s="17"/>
      <c r="D3620" s="18"/>
      <c r="E3620" s="17"/>
      <c r="F3620" s="22"/>
      <c r="G3620"/>
    </row>
    <row r="3621" spans="1:7">
      <c r="A3621" s="17"/>
      <c r="B3621" s="18"/>
      <c r="C3621" s="17"/>
      <c r="D3621" s="18"/>
      <c r="E3621" s="17"/>
      <c r="F3621" s="22"/>
      <c r="G3621"/>
    </row>
    <row r="3622" spans="1:7">
      <c r="A3622" s="17"/>
      <c r="B3622" s="18"/>
      <c r="C3622" s="17"/>
      <c r="D3622" s="18"/>
      <c r="E3622" s="17"/>
      <c r="F3622" s="22"/>
      <c r="G3622"/>
    </row>
    <row r="3623" spans="1:7">
      <c r="A3623" s="17"/>
      <c r="B3623" s="18"/>
      <c r="C3623" s="17"/>
      <c r="D3623" s="18"/>
      <c r="E3623" s="17"/>
      <c r="F3623" s="22"/>
      <c r="G3623"/>
    </row>
    <row r="3624" spans="1:7">
      <c r="A3624" s="17"/>
      <c r="B3624" s="18"/>
      <c r="C3624" s="17"/>
      <c r="D3624" s="18"/>
      <c r="E3624" s="17"/>
      <c r="F3624" s="22"/>
      <c r="G3624"/>
    </row>
    <row r="3625" spans="1:7">
      <c r="A3625" s="17"/>
      <c r="B3625" s="18"/>
      <c r="C3625" s="17"/>
      <c r="D3625" s="18"/>
      <c r="E3625" s="17"/>
      <c r="F3625" s="22"/>
      <c r="G3625"/>
    </row>
    <row r="3626" spans="1:7">
      <c r="A3626" s="17"/>
      <c r="B3626" s="18"/>
      <c r="C3626" s="17"/>
      <c r="D3626" s="18"/>
      <c r="E3626" s="17"/>
      <c r="F3626" s="22"/>
      <c r="G3626"/>
    </row>
    <row r="3627" spans="1:7">
      <c r="A3627" s="17"/>
      <c r="B3627" s="18"/>
      <c r="C3627" s="17"/>
      <c r="D3627" s="18"/>
      <c r="E3627" s="17"/>
      <c r="F3627" s="22"/>
      <c r="G3627"/>
    </row>
    <row r="3628" spans="1:7">
      <c r="A3628" s="17"/>
      <c r="B3628" s="18"/>
      <c r="C3628" s="17"/>
      <c r="D3628" s="18"/>
      <c r="E3628" s="17"/>
      <c r="F3628" s="22"/>
      <c r="G3628"/>
    </row>
    <row r="3629" spans="1:7">
      <c r="A3629" s="17"/>
      <c r="B3629" s="18"/>
      <c r="C3629" s="17"/>
      <c r="D3629" s="18"/>
      <c r="E3629" s="17"/>
      <c r="F3629" s="22"/>
      <c r="G3629"/>
    </row>
    <row r="3630" spans="1:7">
      <c r="A3630" s="17"/>
      <c r="B3630" s="18"/>
      <c r="C3630" s="17"/>
      <c r="D3630" s="18"/>
      <c r="E3630" s="17"/>
      <c r="F3630" s="22"/>
      <c r="G3630"/>
    </row>
    <row r="3631" spans="1:7">
      <c r="A3631" s="17"/>
      <c r="B3631" s="18"/>
      <c r="C3631" s="17"/>
      <c r="D3631" s="18"/>
      <c r="E3631" s="17"/>
      <c r="F3631" s="22"/>
      <c r="G3631"/>
    </row>
    <row r="3632" spans="1:7">
      <c r="A3632" s="17"/>
      <c r="B3632" s="18"/>
      <c r="C3632" s="17"/>
      <c r="D3632" s="18"/>
      <c r="E3632" s="17"/>
      <c r="F3632" s="22"/>
      <c r="G3632"/>
    </row>
    <row r="3633" spans="1:7">
      <c r="A3633" s="17"/>
      <c r="B3633" s="18"/>
      <c r="C3633" s="17"/>
      <c r="D3633" s="18"/>
      <c r="E3633" s="17"/>
      <c r="F3633" s="22"/>
      <c r="G3633"/>
    </row>
    <row r="3634" spans="1:7">
      <c r="A3634" s="17"/>
      <c r="B3634" s="18"/>
      <c r="C3634" s="17"/>
      <c r="D3634" s="18"/>
      <c r="E3634" s="17"/>
      <c r="F3634" s="22"/>
      <c r="G3634"/>
    </row>
    <row r="3635" spans="1:7">
      <c r="A3635" s="17"/>
      <c r="B3635" s="18"/>
      <c r="C3635" s="17"/>
      <c r="D3635" s="18"/>
      <c r="E3635" s="17"/>
      <c r="F3635" s="22"/>
      <c r="G3635"/>
    </row>
    <row r="3636" spans="1:7">
      <c r="A3636" s="17"/>
      <c r="B3636" s="18"/>
      <c r="C3636" s="17"/>
      <c r="D3636" s="18"/>
      <c r="E3636" s="17"/>
      <c r="F3636" s="22"/>
      <c r="G3636"/>
    </row>
    <row r="3637" spans="1:7">
      <c r="A3637" s="17"/>
      <c r="B3637" s="18"/>
      <c r="C3637" s="17"/>
      <c r="D3637" s="18"/>
      <c r="E3637" s="17"/>
      <c r="F3637" s="22"/>
      <c r="G3637"/>
    </row>
    <row r="3638" spans="1:7">
      <c r="A3638" s="17"/>
      <c r="B3638" s="18"/>
      <c r="C3638" s="17"/>
      <c r="D3638" s="18"/>
      <c r="E3638" s="17"/>
      <c r="F3638" s="22"/>
      <c r="G3638"/>
    </row>
    <row r="3639" spans="1:7">
      <c r="A3639" s="17"/>
      <c r="B3639" s="18"/>
      <c r="C3639" s="17"/>
      <c r="D3639" s="18"/>
      <c r="E3639" s="17"/>
      <c r="F3639" s="22"/>
      <c r="G3639"/>
    </row>
    <row r="3640" spans="1:7">
      <c r="A3640" s="17"/>
      <c r="B3640" s="18"/>
      <c r="C3640" s="17"/>
      <c r="D3640" s="18"/>
      <c r="E3640" s="17"/>
      <c r="F3640" s="22"/>
      <c r="G3640"/>
    </row>
    <row r="3641" spans="1:7">
      <c r="A3641" s="17"/>
      <c r="B3641" s="18"/>
      <c r="C3641" s="17"/>
      <c r="D3641" s="18"/>
      <c r="E3641" s="17"/>
      <c r="F3641" s="22"/>
      <c r="G3641"/>
    </row>
    <row r="3642" spans="1:7">
      <c r="A3642" s="17"/>
      <c r="B3642" s="18"/>
      <c r="C3642" s="17"/>
      <c r="D3642" s="18"/>
      <c r="E3642" s="17"/>
      <c r="F3642" s="22"/>
      <c r="G3642"/>
    </row>
    <row r="3643" spans="1:7">
      <c r="A3643" s="17"/>
      <c r="B3643" s="18"/>
      <c r="C3643" s="17"/>
      <c r="D3643" s="18"/>
      <c r="E3643" s="17"/>
      <c r="F3643" s="22"/>
      <c r="G3643"/>
    </row>
    <row r="3644" spans="1:7">
      <c r="A3644" s="17"/>
      <c r="B3644" s="18"/>
      <c r="C3644" s="17"/>
      <c r="D3644" s="18"/>
      <c r="E3644" s="17"/>
      <c r="F3644" s="22"/>
      <c r="G3644"/>
    </row>
    <row r="3645" spans="1:7">
      <c r="A3645" s="17"/>
      <c r="B3645" s="18"/>
      <c r="C3645" s="17"/>
      <c r="D3645" s="18"/>
      <c r="E3645" s="17"/>
      <c r="F3645" s="22"/>
      <c r="G3645"/>
    </row>
    <row r="3646" spans="1:7">
      <c r="A3646" s="17"/>
      <c r="B3646" s="18"/>
      <c r="C3646" s="17"/>
      <c r="D3646" s="18"/>
      <c r="E3646" s="17"/>
      <c r="F3646" s="22"/>
      <c r="G3646"/>
    </row>
    <row r="3647" spans="1:7">
      <c r="A3647" s="17"/>
      <c r="B3647" s="18"/>
      <c r="C3647" s="17"/>
      <c r="D3647" s="18"/>
      <c r="E3647" s="17"/>
      <c r="F3647" s="22"/>
      <c r="G3647"/>
    </row>
    <row r="3648" spans="1:7">
      <c r="A3648" s="17"/>
      <c r="B3648" s="18"/>
      <c r="C3648" s="17"/>
      <c r="D3648" s="18"/>
      <c r="E3648" s="17"/>
      <c r="F3648" s="22"/>
      <c r="G3648"/>
    </row>
    <row r="3649" spans="1:7">
      <c r="A3649" s="17"/>
      <c r="B3649" s="18"/>
      <c r="C3649" s="17"/>
      <c r="D3649" s="18"/>
      <c r="E3649" s="17"/>
      <c r="F3649" s="22"/>
      <c r="G3649"/>
    </row>
    <row r="3650" spans="1:7">
      <c r="A3650" s="17"/>
      <c r="B3650" s="18"/>
      <c r="C3650" s="17"/>
      <c r="D3650" s="18"/>
      <c r="E3650" s="17"/>
      <c r="F3650" s="22"/>
      <c r="G3650"/>
    </row>
    <row r="3651" spans="1:7">
      <c r="A3651" s="17"/>
      <c r="B3651" s="18"/>
      <c r="C3651" s="17"/>
      <c r="D3651" s="18"/>
      <c r="E3651" s="17"/>
      <c r="F3651" s="22"/>
      <c r="G3651"/>
    </row>
    <row r="3652" spans="1:7">
      <c r="A3652" s="17"/>
      <c r="B3652" s="18"/>
      <c r="C3652" s="17"/>
      <c r="D3652" s="18"/>
      <c r="E3652" s="17"/>
      <c r="F3652" s="22"/>
      <c r="G3652"/>
    </row>
    <row r="3653" spans="1:7">
      <c r="A3653" s="17"/>
      <c r="B3653" s="18"/>
      <c r="C3653" s="17"/>
      <c r="D3653" s="18"/>
      <c r="E3653" s="17"/>
      <c r="F3653" s="22"/>
      <c r="G3653"/>
    </row>
    <row r="3654" spans="1:7">
      <c r="A3654" s="17"/>
      <c r="B3654" s="18"/>
      <c r="C3654" s="17"/>
      <c r="D3654" s="18"/>
      <c r="E3654" s="17"/>
      <c r="F3654" s="22"/>
      <c r="G3654"/>
    </row>
    <row r="3655" spans="1:7">
      <c r="A3655" s="17"/>
      <c r="B3655" s="18"/>
      <c r="C3655" s="17"/>
      <c r="D3655" s="18"/>
      <c r="E3655" s="17"/>
      <c r="F3655" s="22"/>
      <c r="G3655"/>
    </row>
    <row r="3656" spans="1:7">
      <c r="A3656" s="17"/>
      <c r="B3656" s="18"/>
      <c r="C3656" s="17"/>
      <c r="D3656" s="18"/>
      <c r="E3656" s="17"/>
      <c r="F3656" s="22"/>
      <c r="G3656"/>
    </row>
    <row r="3657" spans="1:7">
      <c r="A3657" s="17"/>
      <c r="B3657" s="18"/>
      <c r="C3657" s="17"/>
      <c r="D3657" s="18"/>
      <c r="E3657" s="17"/>
      <c r="F3657" s="22"/>
      <c r="G3657"/>
    </row>
    <row r="3658" spans="1:7">
      <c r="A3658" s="17"/>
      <c r="B3658" s="18"/>
      <c r="C3658" s="17"/>
      <c r="D3658" s="18"/>
      <c r="E3658" s="17"/>
      <c r="F3658" s="22"/>
      <c r="G3658"/>
    </row>
    <row r="3659" spans="1:7">
      <c r="A3659" s="17"/>
      <c r="B3659" s="18"/>
      <c r="C3659" s="17"/>
      <c r="D3659" s="18"/>
      <c r="E3659" s="17"/>
      <c r="F3659" s="22"/>
      <c r="G3659"/>
    </row>
    <row r="3660" spans="1:7">
      <c r="A3660" s="17"/>
      <c r="B3660" s="18"/>
      <c r="C3660" s="17"/>
      <c r="D3660" s="18"/>
      <c r="E3660" s="17"/>
      <c r="F3660" s="22"/>
      <c r="G3660"/>
    </row>
    <row r="3661" spans="1:7">
      <c r="A3661" s="17"/>
      <c r="B3661" s="18"/>
      <c r="C3661" s="17"/>
      <c r="D3661" s="18"/>
      <c r="E3661" s="17"/>
      <c r="F3661" s="22"/>
      <c r="G3661"/>
    </row>
    <row r="3662" spans="1:7">
      <c r="A3662" s="17"/>
      <c r="B3662" s="18"/>
      <c r="C3662" s="17"/>
      <c r="D3662" s="18"/>
      <c r="E3662" s="17"/>
      <c r="F3662" s="22"/>
      <c r="G3662"/>
    </row>
    <row r="3663" spans="1:7">
      <c r="A3663" s="17"/>
      <c r="B3663" s="18"/>
      <c r="C3663" s="17"/>
      <c r="D3663" s="18"/>
      <c r="E3663" s="17"/>
      <c r="F3663" s="22"/>
      <c r="G3663"/>
    </row>
    <row r="3664" spans="1:7">
      <c r="A3664" s="17"/>
      <c r="B3664" s="18"/>
      <c r="C3664" s="17"/>
      <c r="D3664" s="18"/>
      <c r="E3664" s="17"/>
      <c r="F3664" s="22"/>
      <c r="G3664"/>
    </row>
    <row r="3665" spans="1:7">
      <c r="A3665" s="17"/>
      <c r="B3665" s="18"/>
      <c r="C3665" s="17"/>
      <c r="D3665" s="18"/>
      <c r="E3665" s="17"/>
      <c r="F3665" s="22"/>
      <c r="G3665"/>
    </row>
    <row r="3666" spans="1:7">
      <c r="A3666" s="17"/>
      <c r="B3666" s="18"/>
      <c r="C3666" s="17"/>
      <c r="D3666" s="18"/>
      <c r="E3666" s="17"/>
      <c r="F3666" s="22"/>
      <c r="G3666"/>
    </row>
    <row r="3667" spans="1:7">
      <c r="A3667" s="17"/>
      <c r="B3667" s="18"/>
      <c r="C3667" s="17"/>
      <c r="D3667" s="18"/>
      <c r="E3667" s="17"/>
      <c r="F3667" s="22"/>
      <c r="G3667"/>
    </row>
    <row r="3668" spans="1:7">
      <c r="A3668" s="17"/>
      <c r="B3668" s="18"/>
      <c r="C3668" s="17"/>
      <c r="D3668" s="18"/>
      <c r="E3668" s="17"/>
      <c r="F3668" s="22"/>
      <c r="G3668"/>
    </row>
    <row r="3669" spans="1:7">
      <c r="A3669" s="17"/>
      <c r="B3669" s="18"/>
      <c r="C3669" s="17"/>
      <c r="D3669" s="18"/>
      <c r="E3669" s="17"/>
      <c r="F3669" s="22"/>
      <c r="G3669"/>
    </row>
    <row r="3670" spans="1:7">
      <c r="A3670" s="17"/>
      <c r="B3670" s="18"/>
      <c r="C3670" s="17"/>
      <c r="D3670" s="18"/>
      <c r="E3670" s="17"/>
      <c r="F3670" s="22"/>
      <c r="G3670"/>
    </row>
    <row r="3671" spans="1:7">
      <c r="A3671" s="17"/>
      <c r="B3671" s="18"/>
      <c r="C3671" s="17"/>
      <c r="D3671" s="18"/>
      <c r="E3671" s="17"/>
      <c r="F3671" s="22"/>
      <c r="G3671"/>
    </row>
    <row r="3672" spans="1:7">
      <c r="A3672" s="17"/>
      <c r="B3672" s="18"/>
      <c r="C3672" s="17"/>
      <c r="D3672" s="18"/>
      <c r="E3672" s="17"/>
      <c r="F3672" s="22"/>
      <c r="G3672"/>
    </row>
    <row r="3673" spans="1:7">
      <c r="A3673" s="17"/>
      <c r="B3673" s="18"/>
      <c r="C3673" s="17"/>
      <c r="D3673" s="18"/>
      <c r="E3673" s="17"/>
      <c r="F3673" s="22"/>
      <c r="G3673"/>
    </row>
    <row r="3674" spans="1:7">
      <c r="A3674" s="17"/>
      <c r="B3674" s="18"/>
      <c r="C3674" s="17"/>
      <c r="D3674" s="18"/>
      <c r="E3674" s="17"/>
      <c r="F3674" s="22"/>
      <c r="G3674"/>
    </row>
    <row r="3675" spans="1:7">
      <c r="A3675" s="17"/>
      <c r="B3675" s="18"/>
      <c r="C3675" s="17"/>
      <c r="D3675" s="18"/>
      <c r="E3675" s="17"/>
      <c r="F3675" s="22"/>
      <c r="G3675"/>
    </row>
    <row r="3676" spans="1:7">
      <c r="A3676" s="17"/>
      <c r="B3676" s="18"/>
      <c r="C3676" s="17"/>
      <c r="D3676" s="18"/>
      <c r="E3676" s="17"/>
      <c r="F3676" s="22"/>
      <c r="G3676"/>
    </row>
    <row r="3677" spans="1:7">
      <c r="A3677" s="17"/>
      <c r="B3677" s="18"/>
      <c r="C3677" s="17"/>
      <c r="D3677" s="18"/>
      <c r="E3677" s="17"/>
      <c r="F3677" s="22"/>
      <c r="G3677"/>
    </row>
    <row r="3678" spans="1:7">
      <c r="A3678" s="17"/>
      <c r="B3678" s="18"/>
      <c r="C3678" s="17"/>
      <c r="D3678" s="18"/>
      <c r="E3678" s="17"/>
      <c r="F3678" s="22"/>
      <c r="G3678"/>
    </row>
    <row r="3679" spans="1:7">
      <c r="A3679" s="17"/>
      <c r="B3679" s="18"/>
      <c r="C3679" s="17"/>
      <c r="D3679" s="18"/>
      <c r="E3679" s="17"/>
      <c r="F3679" s="22"/>
      <c r="G3679"/>
    </row>
    <row r="3680" spans="1:7">
      <c r="A3680" s="17"/>
      <c r="B3680" s="18"/>
      <c r="C3680" s="17"/>
      <c r="D3680" s="18"/>
      <c r="E3680" s="17"/>
      <c r="F3680" s="22"/>
      <c r="G3680"/>
    </row>
    <row r="3681" spans="1:7">
      <c r="A3681" s="17"/>
      <c r="B3681" s="18"/>
      <c r="C3681" s="17"/>
      <c r="D3681" s="18"/>
      <c r="E3681" s="17"/>
      <c r="F3681" s="22"/>
      <c r="G3681"/>
    </row>
    <row r="3682" spans="1:7">
      <c r="A3682" s="17"/>
      <c r="B3682" s="18"/>
      <c r="C3682" s="17"/>
      <c r="D3682" s="18"/>
      <c r="E3682" s="17"/>
      <c r="F3682" s="22"/>
      <c r="G3682"/>
    </row>
    <row r="3683" spans="1:7">
      <c r="A3683" s="17"/>
      <c r="B3683" s="18"/>
      <c r="C3683" s="17"/>
      <c r="D3683" s="18"/>
      <c r="E3683" s="17"/>
      <c r="F3683" s="22"/>
      <c r="G3683"/>
    </row>
    <row r="3684" spans="1:7">
      <c r="A3684" s="17"/>
      <c r="B3684" s="18"/>
      <c r="C3684" s="17"/>
      <c r="D3684" s="18"/>
      <c r="E3684" s="17"/>
      <c r="F3684" s="22"/>
      <c r="G3684"/>
    </row>
    <row r="3685" spans="1:7">
      <c r="A3685" s="17"/>
      <c r="B3685" s="18"/>
      <c r="C3685" s="17"/>
      <c r="D3685" s="18"/>
      <c r="E3685" s="17"/>
      <c r="F3685" s="22"/>
      <c r="G3685"/>
    </row>
    <row r="3686" spans="1:7">
      <c r="A3686" s="17"/>
      <c r="B3686" s="18"/>
      <c r="C3686" s="17"/>
      <c r="D3686" s="18"/>
      <c r="E3686" s="17"/>
      <c r="F3686" s="22"/>
      <c r="G3686"/>
    </row>
    <row r="3687" spans="1:7">
      <c r="A3687" s="17"/>
      <c r="B3687" s="18"/>
      <c r="C3687" s="17"/>
      <c r="D3687" s="18"/>
      <c r="E3687" s="17"/>
      <c r="F3687" s="22"/>
      <c r="G3687"/>
    </row>
    <row r="3688" spans="1:7">
      <c r="A3688" s="17"/>
      <c r="B3688" s="18"/>
      <c r="C3688" s="17"/>
      <c r="D3688" s="18"/>
      <c r="E3688" s="17"/>
      <c r="F3688" s="22"/>
      <c r="G3688"/>
    </row>
    <row r="3689" spans="1:7">
      <c r="A3689" s="17"/>
      <c r="B3689" s="18"/>
      <c r="C3689" s="17"/>
      <c r="D3689" s="18"/>
      <c r="E3689" s="17"/>
      <c r="F3689" s="22"/>
      <c r="G3689"/>
    </row>
    <row r="3690" spans="1:7">
      <c r="A3690" s="17"/>
      <c r="B3690" s="18"/>
      <c r="C3690" s="17"/>
      <c r="D3690" s="18"/>
      <c r="E3690" s="17"/>
      <c r="F3690" s="22"/>
      <c r="G3690"/>
    </row>
    <row r="3691" spans="1:7">
      <c r="A3691" s="17"/>
      <c r="B3691" s="18"/>
      <c r="C3691" s="17"/>
      <c r="D3691" s="18"/>
      <c r="E3691" s="17"/>
      <c r="F3691" s="22"/>
      <c r="G3691"/>
    </row>
    <row r="3692" spans="1:7">
      <c r="A3692" s="17"/>
      <c r="B3692" s="18"/>
      <c r="C3692" s="17"/>
      <c r="D3692" s="18"/>
      <c r="E3692" s="17"/>
      <c r="F3692" s="22"/>
      <c r="G3692"/>
    </row>
    <row r="3693" spans="1:7">
      <c r="A3693" s="17"/>
      <c r="B3693" s="18"/>
      <c r="C3693" s="17"/>
      <c r="D3693" s="18"/>
      <c r="E3693" s="17"/>
      <c r="F3693" s="22"/>
      <c r="G3693"/>
    </row>
    <row r="3694" spans="1:7">
      <c r="A3694" s="17"/>
      <c r="B3694" s="18"/>
      <c r="C3694" s="17"/>
      <c r="D3694" s="18"/>
      <c r="E3694" s="17"/>
      <c r="F3694" s="22"/>
      <c r="G3694"/>
    </row>
    <row r="3695" spans="1:7">
      <c r="A3695" s="17"/>
      <c r="B3695" s="18"/>
      <c r="C3695" s="17"/>
      <c r="D3695" s="18"/>
      <c r="E3695" s="17"/>
      <c r="F3695" s="22"/>
      <c r="G3695"/>
    </row>
    <row r="3696" spans="1:7">
      <c r="A3696" s="17"/>
      <c r="B3696" s="18"/>
      <c r="C3696" s="17"/>
      <c r="D3696" s="18"/>
      <c r="E3696" s="17"/>
      <c r="F3696" s="22"/>
      <c r="G3696"/>
    </row>
    <row r="3697" spans="1:7">
      <c r="A3697" s="17"/>
      <c r="B3697" s="18"/>
      <c r="C3697" s="17"/>
      <c r="D3697" s="18"/>
      <c r="E3697" s="17"/>
      <c r="F3697" s="22"/>
      <c r="G3697"/>
    </row>
    <row r="3698" spans="1:7">
      <c r="A3698" s="17"/>
      <c r="B3698" s="18"/>
      <c r="C3698" s="17"/>
      <c r="D3698" s="18"/>
      <c r="E3698" s="17"/>
      <c r="F3698" s="22"/>
      <c r="G3698"/>
    </row>
    <row r="3699" spans="1:7">
      <c r="A3699" s="17"/>
      <c r="B3699" s="18"/>
      <c r="C3699" s="17"/>
      <c r="D3699" s="18"/>
      <c r="E3699" s="17"/>
      <c r="F3699" s="22"/>
      <c r="G3699"/>
    </row>
    <row r="3700" spans="1:7">
      <c r="A3700" s="17"/>
      <c r="B3700" s="18"/>
      <c r="C3700" s="17"/>
      <c r="D3700" s="18"/>
      <c r="E3700" s="17"/>
      <c r="F3700" s="22"/>
      <c r="G3700"/>
    </row>
    <row r="3701" spans="1:7">
      <c r="A3701" s="17"/>
      <c r="B3701" s="18"/>
      <c r="C3701" s="17"/>
      <c r="D3701" s="18"/>
      <c r="E3701" s="17"/>
      <c r="F3701" s="22"/>
      <c r="G3701"/>
    </row>
    <row r="3702" spans="1:7">
      <c r="A3702" s="17"/>
      <c r="B3702" s="18"/>
      <c r="C3702" s="17"/>
      <c r="D3702" s="18"/>
      <c r="E3702" s="17"/>
      <c r="F3702" s="22"/>
      <c r="G3702"/>
    </row>
    <row r="3703" spans="1:7">
      <c r="A3703" s="17"/>
      <c r="B3703" s="18"/>
      <c r="C3703" s="17"/>
      <c r="D3703" s="18"/>
      <c r="E3703" s="17"/>
      <c r="F3703" s="22"/>
      <c r="G3703"/>
    </row>
    <row r="3704" spans="1:7">
      <c r="A3704" s="17"/>
      <c r="B3704" s="18"/>
      <c r="C3704" s="17"/>
      <c r="D3704" s="18"/>
      <c r="E3704" s="17"/>
      <c r="F3704" s="22"/>
      <c r="G3704"/>
    </row>
    <row r="3705" spans="1:7">
      <c r="A3705" s="17"/>
      <c r="B3705" s="18"/>
      <c r="C3705" s="17"/>
      <c r="D3705" s="18"/>
      <c r="E3705" s="17"/>
      <c r="F3705" s="22"/>
      <c r="G3705"/>
    </row>
    <row r="3706" spans="1:7">
      <c r="A3706" s="17"/>
      <c r="B3706" s="18"/>
      <c r="C3706" s="17"/>
      <c r="D3706" s="18"/>
      <c r="E3706" s="17"/>
      <c r="F3706" s="22"/>
      <c r="G3706"/>
    </row>
    <row r="3707" spans="1:7">
      <c r="A3707" s="17"/>
      <c r="B3707" s="18"/>
      <c r="C3707" s="17"/>
      <c r="D3707" s="18"/>
      <c r="E3707" s="17"/>
      <c r="F3707" s="22"/>
      <c r="G3707"/>
    </row>
    <row r="3708" spans="1:7">
      <c r="A3708" s="17"/>
      <c r="B3708" s="18"/>
      <c r="C3708" s="17"/>
      <c r="D3708" s="18"/>
      <c r="E3708" s="17"/>
      <c r="F3708" s="22"/>
      <c r="G3708"/>
    </row>
    <row r="3709" spans="1:7">
      <c r="A3709" s="17"/>
      <c r="B3709" s="18"/>
      <c r="C3709" s="17"/>
      <c r="D3709" s="18"/>
      <c r="E3709" s="17"/>
      <c r="F3709" s="22"/>
      <c r="G3709"/>
    </row>
    <row r="3710" spans="1:7">
      <c r="A3710" s="17"/>
      <c r="B3710" s="18"/>
      <c r="C3710" s="17"/>
      <c r="D3710" s="18"/>
      <c r="E3710" s="17"/>
      <c r="F3710" s="22"/>
      <c r="G3710"/>
    </row>
    <row r="3711" spans="1:7">
      <c r="A3711" s="17"/>
      <c r="B3711" s="18"/>
      <c r="C3711" s="17"/>
      <c r="D3711" s="18"/>
      <c r="E3711" s="17"/>
      <c r="F3711" s="22"/>
      <c r="G3711"/>
    </row>
    <row r="3712" spans="1:7">
      <c r="A3712" s="17"/>
      <c r="B3712" s="18"/>
      <c r="C3712" s="17"/>
      <c r="D3712" s="18"/>
      <c r="E3712" s="17"/>
      <c r="F3712" s="22"/>
      <c r="G3712"/>
    </row>
    <row r="3713" spans="1:7">
      <c r="A3713" s="17"/>
      <c r="B3713" s="18"/>
      <c r="C3713" s="17"/>
      <c r="D3713" s="18"/>
      <c r="E3713" s="17"/>
      <c r="F3713" s="22"/>
      <c r="G3713"/>
    </row>
    <row r="3714" spans="1:7">
      <c r="A3714" s="17"/>
      <c r="B3714" s="18"/>
      <c r="C3714" s="17"/>
      <c r="D3714" s="18"/>
      <c r="E3714" s="17"/>
      <c r="F3714" s="22"/>
      <c r="G3714"/>
    </row>
    <row r="3715" spans="1:7">
      <c r="A3715" s="17"/>
      <c r="B3715" s="18"/>
      <c r="C3715" s="17"/>
      <c r="D3715" s="18"/>
      <c r="E3715" s="17"/>
      <c r="F3715" s="22"/>
      <c r="G3715"/>
    </row>
    <row r="3716" spans="1:7">
      <c r="A3716" s="17"/>
      <c r="B3716" s="18"/>
      <c r="C3716" s="17"/>
      <c r="D3716" s="18"/>
      <c r="E3716" s="17"/>
      <c r="F3716" s="22"/>
      <c r="G3716"/>
    </row>
    <row r="3717" spans="1:7">
      <c r="A3717" s="17"/>
      <c r="B3717" s="18"/>
      <c r="C3717" s="17"/>
      <c r="D3717" s="18"/>
      <c r="E3717" s="17"/>
      <c r="F3717" s="22"/>
      <c r="G3717"/>
    </row>
    <row r="3718" spans="1:7">
      <c r="A3718" s="17"/>
      <c r="B3718" s="18"/>
      <c r="C3718" s="17"/>
      <c r="D3718" s="18"/>
      <c r="E3718" s="17"/>
      <c r="F3718" s="22"/>
      <c r="G3718"/>
    </row>
    <row r="3719" spans="1:7">
      <c r="A3719" s="17"/>
      <c r="B3719" s="18"/>
      <c r="C3719" s="17"/>
      <c r="D3719" s="18"/>
      <c r="E3719" s="17"/>
      <c r="F3719" s="22"/>
      <c r="G3719"/>
    </row>
    <row r="3720" spans="1:7">
      <c r="A3720" s="17"/>
      <c r="B3720" s="18"/>
      <c r="C3720" s="17"/>
      <c r="D3720" s="18"/>
      <c r="E3720" s="17"/>
      <c r="F3720" s="22"/>
      <c r="G3720"/>
    </row>
    <row r="3721" spans="1:7">
      <c r="A3721" s="17"/>
      <c r="B3721" s="18"/>
      <c r="C3721" s="17"/>
      <c r="D3721" s="18"/>
      <c r="E3721" s="17"/>
      <c r="F3721" s="22"/>
      <c r="G3721"/>
    </row>
    <row r="3722" spans="1:7">
      <c r="A3722" s="17"/>
      <c r="B3722" s="18"/>
      <c r="C3722" s="17"/>
      <c r="D3722" s="18"/>
      <c r="E3722" s="17"/>
      <c r="F3722" s="22"/>
      <c r="G3722"/>
    </row>
    <row r="3723" spans="1:7">
      <c r="A3723" s="17"/>
      <c r="B3723" s="18"/>
      <c r="C3723" s="17"/>
      <c r="D3723" s="18"/>
      <c r="E3723" s="17"/>
      <c r="F3723" s="22"/>
      <c r="G3723"/>
    </row>
    <row r="3724" spans="1:7">
      <c r="A3724" s="17"/>
      <c r="B3724" s="18"/>
      <c r="C3724" s="17"/>
      <c r="D3724" s="18"/>
      <c r="E3724" s="17"/>
      <c r="F3724" s="22"/>
      <c r="G3724"/>
    </row>
    <row r="3725" spans="1:7">
      <c r="A3725" s="17"/>
      <c r="B3725" s="18"/>
      <c r="C3725" s="17"/>
      <c r="D3725" s="18"/>
      <c r="E3725" s="17"/>
      <c r="F3725" s="22"/>
      <c r="G3725"/>
    </row>
    <row r="3726" spans="1:7">
      <c r="A3726" s="17"/>
      <c r="B3726" s="18"/>
      <c r="C3726" s="17"/>
      <c r="D3726" s="18"/>
      <c r="E3726" s="17"/>
      <c r="F3726" s="22"/>
      <c r="G3726"/>
    </row>
    <row r="3727" spans="1:7">
      <c r="A3727" s="17"/>
      <c r="B3727" s="18"/>
      <c r="C3727" s="17"/>
      <c r="D3727" s="18"/>
      <c r="E3727" s="17"/>
      <c r="F3727" s="22"/>
      <c r="G3727"/>
    </row>
    <row r="3728" spans="1:7">
      <c r="A3728" s="17"/>
      <c r="B3728" s="18"/>
      <c r="C3728" s="17"/>
      <c r="D3728" s="18"/>
      <c r="E3728" s="17"/>
      <c r="F3728" s="22"/>
      <c r="G3728"/>
    </row>
    <row r="3729" spans="1:7">
      <c r="A3729" s="17"/>
      <c r="B3729" s="18"/>
      <c r="C3729" s="17"/>
      <c r="D3729" s="18"/>
      <c r="E3729" s="17"/>
      <c r="F3729" s="22"/>
      <c r="G3729"/>
    </row>
    <row r="3730" spans="1:7">
      <c r="A3730" s="17"/>
      <c r="B3730" s="18"/>
      <c r="C3730" s="17"/>
      <c r="D3730" s="18"/>
      <c r="E3730" s="17"/>
      <c r="F3730" s="22"/>
      <c r="G3730"/>
    </row>
    <row r="3731" spans="1:7">
      <c r="A3731" s="17"/>
      <c r="B3731" s="18"/>
      <c r="C3731" s="17"/>
      <c r="D3731" s="18"/>
      <c r="E3731" s="17"/>
      <c r="F3731" s="22"/>
      <c r="G3731"/>
    </row>
    <row r="3732" spans="1:7">
      <c r="A3732" s="17"/>
      <c r="B3732" s="18"/>
      <c r="C3732" s="17"/>
      <c r="D3732" s="18"/>
      <c r="E3732" s="17"/>
      <c r="F3732" s="22"/>
      <c r="G3732"/>
    </row>
    <row r="3733" spans="1:7">
      <c r="A3733" s="17"/>
      <c r="B3733" s="18"/>
      <c r="C3733" s="17"/>
      <c r="D3733" s="18"/>
      <c r="E3733" s="17"/>
      <c r="F3733" s="22"/>
      <c r="G3733"/>
    </row>
    <row r="3734" spans="1:7">
      <c r="A3734" s="17"/>
      <c r="B3734" s="18"/>
      <c r="C3734" s="17"/>
      <c r="D3734" s="18"/>
      <c r="E3734" s="17"/>
      <c r="F3734" s="22"/>
      <c r="G3734"/>
    </row>
    <row r="3735" spans="1:7">
      <c r="A3735" s="17"/>
      <c r="B3735" s="18"/>
      <c r="C3735" s="17"/>
      <c r="D3735" s="18"/>
      <c r="E3735" s="17"/>
      <c r="F3735" s="22"/>
      <c r="G3735"/>
    </row>
    <row r="3736" spans="1:7">
      <c r="A3736" s="17"/>
      <c r="B3736" s="18"/>
      <c r="C3736" s="17"/>
      <c r="D3736" s="18"/>
      <c r="E3736" s="17"/>
      <c r="F3736" s="22"/>
      <c r="G3736"/>
    </row>
    <row r="3737" spans="1:7">
      <c r="A3737" s="17"/>
      <c r="B3737" s="18"/>
      <c r="C3737" s="17"/>
      <c r="D3737" s="18"/>
      <c r="E3737" s="17"/>
      <c r="F3737" s="22"/>
      <c r="G3737"/>
    </row>
    <row r="3738" spans="1:7">
      <c r="A3738" s="17"/>
      <c r="B3738" s="18"/>
      <c r="C3738" s="17"/>
      <c r="D3738" s="18"/>
      <c r="E3738" s="17"/>
      <c r="F3738" s="22"/>
      <c r="G3738"/>
    </row>
    <row r="3739" spans="1:7">
      <c r="A3739" s="17"/>
      <c r="B3739" s="18"/>
      <c r="C3739" s="17"/>
      <c r="D3739" s="18"/>
      <c r="E3739" s="17"/>
      <c r="F3739" s="22"/>
      <c r="G3739"/>
    </row>
    <row r="3740" spans="1:7">
      <c r="A3740" s="17"/>
      <c r="B3740" s="18"/>
      <c r="C3740" s="17"/>
      <c r="D3740" s="18"/>
      <c r="E3740" s="17"/>
      <c r="F3740" s="22"/>
      <c r="G3740"/>
    </row>
    <row r="3741" spans="1:7">
      <c r="A3741" s="17"/>
      <c r="B3741" s="18"/>
      <c r="C3741" s="17"/>
      <c r="D3741" s="18"/>
      <c r="E3741" s="17"/>
      <c r="F3741" s="22"/>
      <c r="G3741"/>
    </row>
    <row r="3742" spans="1:7">
      <c r="A3742" s="17"/>
      <c r="B3742" s="18"/>
      <c r="C3742" s="17"/>
      <c r="D3742" s="18"/>
      <c r="E3742" s="17"/>
      <c r="F3742" s="22"/>
      <c r="G3742"/>
    </row>
    <row r="3743" spans="1:7">
      <c r="A3743" s="17"/>
      <c r="B3743" s="18"/>
      <c r="C3743" s="17"/>
      <c r="D3743" s="18"/>
      <c r="E3743" s="17"/>
      <c r="F3743" s="22"/>
      <c r="G3743"/>
    </row>
    <row r="3744" spans="1:7">
      <c r="A3744" s="17"/>
      <c r="B3744" s="18"/>
      <c r="C3744" s="17"/>
      <c r="D3744" s="18"/>
      <c r="E3744" s="17"/>
      <c r="F3744" s="22"/>
      <c r="G3744"/>
    </row>
    <row r="3745" spans="1:7">
      <c r="A3745" s="17"/>
      <c r="B3745" s="18"/>
      <c r="C3745" s="17"/>
      <c r="D3745" s="18"/>
      <c r="E3745" s="17"/>
      <c r="F3745" s="22"/>
      <c r="G3745"/>
    </row>
    <row r="3746" spans="1:7">
      <c r="A3746" s="17"/>
      <c r="B3746" s="18"/>
      <c r="C3746" s="17"/>
      <c r="D3746" s="18"/>
      <c r="E3746" s="17"/>
      <c r="F3746" s="22"/>
      <c r="G3746"/>
    </row>
    <row r="3747" spans="1:7">
      <c r="A3747" s="17"/>
      <c r="B3747" s="18"/>
      <c r="C3747" s="17"/>
      <c r="D3747" s="18"/>
      <c r="E3747" s="17"/>
      <c r="F3747" s="22"/>
      <c r="G3747"/>
    </row>
    <row r="3748" spans="1:7">
      <c r="A3748" s="17"/>
      <c r="B3748" s="18"/>
      <c r="C3748" s="17"/>
      <c r="D3748" s="18"/>
      <c r="E3748" s="17"/>
      <c r="F3748" s="22"/>
      <c r="G3748"/>
    </row>
    <row r="3749" spans="1:7">
      <c r="A3749" s="17"/>
      <c r="B3749" s="18"/>
      <c r="C3749" s="17"/>
      <c r="D3749" s="18"/>
      <c r="E3749" s="17"/>
      <c r="F3749" s="22"/>
      <c r="G3749"/>
    </row>
    <row r="3750" spans="1:7">
      <c r="A3750" s="17"/>
      <c r="B3750" s="18"/>
      <c r="C3750" s="17"/>
      <c r="D3750" s="18"/>
      <c r="E3750" s="17"/>
      <c r="F3750" s="22"/>
      <c r="G3750"/>
    </row>
    <row r="3751" spans="1:7">
      <c r="A3751" s="17"/>
      <c r="B3751" s="18"/>
      <c r="C3751" s="17"/>
      <c r="D3751" s="18"/>
      <c r="E3751" s="17"/>
      <c r="F3751" s="22"/>
      <c r="G3751"/>
    </row>
    <row r="3752" spans="1:7">
      <c r="A3752" s="17"/>
      <c r="B3752" s="18"/>
      <c r="C3752" s="17"/>
      <c r="D3752" s="18"/>
      <c r="E3752" s="17"/>
      <c r="F3752" s="22"/>
      <c r="G3752"/>
    </row>
    <row r="3753" spans="1:7">
      <c r="A3753" s="17"/>
      <c r="B3753" s="18"/>
      <c r="C3753" s="17"/>
      <c r="D3753" s="18"/>
      <c r="E3753" s="17"/>
      <c r="F3753" s="22"/>
      <c r="G3753"/>
    </row>
    <row r="3754" spans="1:7">
      <c r="A3754" s="17"/>
      <c r="B3754" s="18"/>
      <c r="C3754" s="17"/>
      <c r="D3754" s="18"/>
      <c r="E3754" s="17"/>
      <c r="F3754" s="22"/>
      <c r="G3754"/>
    </row>
    <row r="3755" spans="1:7">
      <c r="A3755" s="17"/>
      <c r="B3755" s="18"/>
      <c r="C3755" s="17"/>
      <c r="D3755" s="18"/>
      <c r="E3755" s="17"/>
      <c r="F3755" s="22"/>
      <c r="G3755"/>
    </row>
    <row r="3756" spans="1:7">
      <c r="A3756" s="17"/>
      <c r="B3756" s="18"/>
      <c r="C3756" s="17"/>
      <c r="D3756" s="18"/>
      <c r="E3756" s="17"/>
      <c r="F3756" s="22"/>
      <c r="G3756"/>
    </row>
    <row r="3757" spans="1:7">
      <c r="A3757" s="17"/>
      <c r="B3757" s="18"/>
      <c r="C3757" s="17"/>
      <c r="D3757" s="18"/>
      <c r="E3757" s="17"/>
      <c r="F3757" s="22"/>
      <c r="G3757"/>
    </row>
    <row r="3758" spans="1:7">
      <c r="A3758" s="17"/>
      <c r="B3758" s="18"/>
      <c r="C3758" s="17"/>
      <c r="D3758" s="18"/>
      <c r="E3758" s="17"/>
      <c r="F3758" s="22"/>
      <c r="G3758"/>
    </row>
    <row r="3759" spans="1:7">
      <c r="A3759" s="17"/>
      <c r="B3759" s="18"/>
      <c r="C3759" s="17"/>
      <c r="D3759" s="18"/>
      <c r="E3759" s="17"/>
      <c r="F3759" s="22"/>
      <c r="G3759"/>
    </row>
    <row r="3760" spans="1:7">
      <c r="A3760" s="17"/>
      <c r="B3760" s="18"/>
      <c r="C3760" s="17"/>
      <c r="D3760" s="18"/>
      <c r="E3760" s="17"/>
      <c r="F3760" s="22"/>
      <c r="G3760"/>
    </row>
    <row r="3761" spans="1:7">
      <c r="A3761" s="17"/>
      <c r="B3761" s="18"/>
      <c r="C3761" s="17"/>
      <c r="D3761" s="18"/>
      <c r="E3761" s="17"/>
      <c r="F3761" s="22"/>
      <c r="G3761"/>
    </row>
    <row r="3762" spans="1:7">
      <c r="A3762" s="17"/>
      <c r="B3762" s="18"/>
      <c r="C3762" s="17"/>
      <c r="D3762" s="18"/>
      <c r="E3762" s="17"/>
      <c r="F3762" s="22"/>
      <c r="G3762"/>
    </row>
    <row r="3763" spans="1:7">
      <c r="A3763" s="17"/>
      <c r="B3763" s="18"/>
      <c r="C3763" s="17"/>
      <c r="D3763" s="18"/>
      <c r="E3763" s="17"/>
      <c r="F3763" s="22"/>
      <c r="G3763"/>
    </row>
    <row r="3764" spans="1:7">
      <c r="A3764" s="17"/>
      <c r="B3764" s="18"/>
      <c r="C3764" s="17"/>
      <c r="D3764" s="18"/>
      <c r="E3764" s="17"/>
      <c r="F3764" s="22"/>
      <c r="G3764"/>
    </row>
    <row r="3765" spans="1:7">
      <c r="A3765" s="17"/>
      <c r="B3765" s="18"/>
      <c r="C3765" s="17"/>
      <c r="D3765" s="18"/>
      <c r="E3765" s="17"/>
      <c r="F3765" s="22"/>
      <c r="G3765"/>
    </row>
    <row r="3766" spans="1:7">
      <c r="A3766" s="17"/>
      <c r="B3766" s="18"/>
      <c r="C3766" s="17"/>
      <c r="D3766" s="18"/>
      <c r="E3766" s="17"/>
      <c r="F3766" s="22"/>
      <c r="G3766"/>
    </row>
    <row r="3767" spans="1:7">
      <c r="A3767" s="17"/>
      <c r="B3767" s="18"/>
      <c r="C3767" s="17"/>
      <c r="D3767" s="18"/>
      <c r="E3767" s="17"/>
      <c r="F3767" s="22"/>
      <c r="G3767"/>
    </row>
    <row r="3768" spans="1:7">
      <c r="A3768" s="17"/>
      <c r="B3768" s="18"/>
      <c r="C3768" s="17"/>
      <c r="D3768" s="18"/>
      <c r="E3768" s="17"/>
      <c r="F3768" s="22"/>
      <c r="G3768"/>
    </row>
    <row r="3769" spans="1:7">
      <c r="A3769" s="17"/>
      <c r="B3769" s="18"/>
      <c r="C3769" s="17"/>
      <c r="D3769" s="18"/>
      <c r="E3769" s="17"/>
      <c r="F3769" s="22"/>
      <c r="G3769"/>
    </row>
    <row r="3770" spans="1:7">
      <c r="A3770" s="17"/>
      <c r="B3770" s="18"/>
      <c r="C3770" s="17"/>
      <c r="D3770" s="18"/>
      <c r="E3770" s="17"/>
      <c r="F3770" s="22"/>
      <c r="G3770"/>
    </row>
    <row r="3771" spans="1:7">
      <c r="A3771" s="17"/>
      <c r="B3771" s="18"/>
      <c r="C3771" s="17"/>
      <c r="D3771" s="18"/>
      <c r="E3771" s="17"/>
      <c r="F3771" s="22"/>
      <c r="G3771"/>
    </row>
    <row r="3772" spans="1:7">
      <c r="A3772" s="17"/>
      <c r="B3772" s="18"/>
      <c r="C3772" s="17"/>
      <c r="D3772" s="18"/>
      <c r="E3772" s="17"/>
      <c r="F3772" s="22"/>
      <c r="G3772"/>
    </row>
    <row r="3773" spans="1:7">
      <c r="A3773" s="17"/>
      <c r="B3773" s="18"/>
      <c r="C3773" s="17"/>
      <c r="D3773" s="18"/>
      <c r="E3773" s="17"/>
      <c r="F3773" s="22"/>
      <c r="G3773"/>
    </row>
    <row r="3774" spans="1:7">
      <c r="A3774" s="17"/>
      <c r="B3774" s="18"/>
      <c r="C3774" s="17"/>
      <c r="D3774" s="18"/>
      <c r="E3774" s="17"/>
      <c r="F3774" s="22"/>
      <c r="G3774"/>
    </row>
    <row r="3775" spans="1:7">
      <c r="A3775" s="17"/>
      <c r="B3775" s="18"/>
      <c r="C3775" s="17"/>
      <c r="D3775" s="18"/>
      <c r="E3775" s="17"/>
      <c r="F3775" s="22"/>
      <c r="G3775"/>
    </row>
    <row r="3776" spans="1:7">
      <c r="A3776" s="17"/>
      <c r="B3776" s="18"/>
      <c r="C3776" s="17"/>
      <c r="D3776" s="18"/>
      <c r="E3776" s="17"/>
      <c r="F3776" s="22"/>
      <c r="G3776"/>
    </row>
    <row r="3777" spans="1:7">
      <c r="A3777" s="17"/>
      <c r="B3777" s="18"/>
      <c r="C3777" s="17"/>
      <c r="D3777" s="18"/>
      <c r="E3777" s="17"/>
      <c r="F3777" s="22"/>
      <c r="G3777"/>
    </row>
    <row r="3778" spans="1:7">
      <c r="A3778" s="17"/>
      <c r="B3778" s="18"/>
      <c r="C3778" s="17"/>
      <c r="D3778" s="18"/>
      <c r="E3778" s="17"/>
      <c r="F3778" s="22"/>
      <c r="G3778"/>
    </row>
    <row r="3779" spans="1:7">
      <c r="A3779" s="17"/>
      <c r="B3779" s="18"/>
      <c r="C3779" s="17"/>
      <c r="D3779" s="18"/>
      <c r="E3779" s="17"/>
      <c r="F3779" s="22"/>
      <c r="G3779"/>
    </row>
    <row r="3780" spans="1:7">
      <c r="A3780" s="17"/>
      <c r="B3780" s="18"/>
      <c r="C3780" s="17"/>
      <c r="D3780" s="18"/>
      <c r="E3780" s="17"/>
      <c r="F3780" s="22"/>
      <c r="G3780"/>
    </row>
    <row r="3781" spans="1:7">
      <c r="A3781" s="17"/>
      <c r="B3781" s="18"/>
      <c r="C3781" s="17"/>
      <c r="D3781" s="18"/>
      <c r="E3781" s="17"/>
      <c r="F3781" s="22"/>
      <c r="G3781"/>
    </row>
    <row r="3782" spans="1:7">
      <c r="A3782" s="17"/>
      <c r="B3782" s="18"/>
      <c r="C3782" s="17"/>
      <c r="D3782" s="18"/>
      <c r="E3782" s="17"/>
      <c r="F3782" s="22"/>
      <c r="G3782"/>
    </row>
    <row r="3783" spans="1:7">
      <c r="A3783" s="17"/>
      <c r="B3783" s="18"/>
      <c r="C3783" s="17"/>
      <c r="D3783" s="18"/>
      <c r="E3783" s="17"/>
      <c r="F3783" s="22"/>
      <c r="G3783"/>
    </row>
    <row r="3784" spans="1:7">
      <c r="A3784" s="17"/>
      <c r="B3784" s="18"/>
      <c r="C3784" s="17"/>
      <c r="D3784" s="18"/>
      <c r="E3784" s="17"/>
      <c r="F3784" s="22"/>
      <c r="G3784"/>
    </row>
    <row r="3785" spans="1:7">
      <c r="A3785" s="17"/>
      <c r="B3785" s="18"/>
      <c r="C3785" s="17"/>
      <c r="D3785" s="18"/>
      <c r="E3785" s="17"/>
      <c r="F3785" s="22"/>
      <c r="G3785"/>
    </row>
    <row r="3786" spans="1:7">
      <c r="A3786" s="17"/>
      <c r="B3786" s="18"/>
      <c r="C3786" s="17"/>
      <c r="D3786" s="18"/>
      <c r="E3786" s="17"/>
      <c r="F3786" s="22"/>
      <c r="G3786"/>
    </row>
    <row r="3787" spans="1:7">
      <c r="A3787" s="17"/>
      <c r="B3787" s="18"/>
      <c r="C3787" s="17"/>
      <c r="D3787" s="18"/>
      <c r="E3787" s="17"/>
      <c r="F3787" s="22"/>
      <c r="G3787"/>
    </row>
    <row r="3788" spans="1:7">
      <c r="A3788" s="17"/>
      <c r="B3788" s="18"/>
      <c r="C3788" s="17"/>
      <c r="D3788" s="18"/>
      <c r="E3788" s="17"/>
      <c r="F3788" s="22"/>
      <c r="G3788"/>
    </row>
    <row r="3789" spans="1:7">
      <c r="A3789" s="17"/>
      <c r="B3789" s="18"/>
      <c r="C3789" s="17"/>
      <c r="D3789" s="18"/>
      <c r="E3789" s="17"/>
      <c r="F3789" s="22"/>
      <c r="G3789"/>
    </row>
    <row r="3790" spans="1:7">
      <c r="A3790" s="17"/>
      <c r="B3790" s="18"/>
      <c r="C3790" s="17"/>
      <c r="D3790" s="18"/>
      <c r="E3790" s="17"/>
      <c r="F3790" s="22"/>
      <c r="G3790"/>
    </row>
    <row r="3791" spans="1:7">
      <c r="A3791" s="17"/>
      <c r="B3791" s="18"/>
      <c r="C3791" s="17"/>
      <c r="D3791" s="18"/>
      <c r="E3791" s="17"/>
      <c r="F3791" s="22"/>
      <c r="G3791"/>
    </row>
    <row r="3792" spans="1:7">
      <c r="A3792" s="17"/>
      <c r="B3792" s="18"/>
      <c r="C3792" s="17"/>
      <c r="D3792" s="18"/>
      <c r="E3792" s="17"/>
      <c r="F3792" s="22"/>
      <c r="G3792"/>
    </row>
    <row r="3793" spans="1:7">
      <c r="A3793" s="17"/>
      <c r="B3793" s="18"/>
      <c r="C3793" s="17"/>
      <c r="D3793" s="18"/>
      <c r="E3793" s="17"/>
      <c r="F3793" s="22"/>
      <c r="G3793"/>
    </row>
    <row r="3794" spans="1:7">
      <c r="A3794" s="17"/>
      <c r="B3794" s="18"/>
      <c r="C3794" s="17"/>
      <c r="D3794" s="18"/>
      <c r="E3794" s="17"/>
      <c r="F3794" s="22"/>
      <c r="G3794"/>
    </row>
    <row r="3795" spans="1:7">
      <c r="A3795" s="17"/>
      <c r="B3795" s="18"/>
      <c r="C3795" s="17"/>
      <c r="D3795" s="18"/>
      <c r="E3795" s="17"/>
      <c r="F3795" s="22"/>
      <c r="G3795"/>
    </row>
    <row r="3796" spans="1:7">
      <c r="A3796" s="17"/>
      <c r="B3796" s="18"/>
      <c r="C3796" s="17"/>
      <c r="D3796" s="18"/>
      <c r="E3796" s="17"/>
      <c r="F3796" s="22"/>
      <c r="G3796"/>
    </row>
    <row r="3797" spans="1:7">
      <c r="A3797" s="17"/>
      <c r="B3797" s="18"/>
      <c r="C3797" s="17"/>
      <c r="D3797" s="18"/>
      <c r="E3797" s="17"/>
      <c r="F3797" s="22"/>
      <c r="G3797"/>
    </row>
    <row r="3798" spans="1:7">
      <c r="A3798" s="17"/>
      <c r="B3798" s="18"/>
      <c r="C3798" s="17"/>
      <c r="D3798" s="18"/>
      <c r="E3798" s="17"/>
      <c r="F3798" s="22"/>
      <c r="G3798"/>
    </row>
    <row r="3799" spans="1:7">
      <c r="A3799" s="17"/>
      <c r="B3799" s="18"/>
      <c r="C3799" s="17"/>
      <c r="D3799" s="18"/>
      <c r="E3799" s="17"/>
      <c r="F3799" s="22"/>
      <c r="G3799"/>
    </row>
    <row r="3800" spans="1:7">
      <c r="A3800" s="17"/>
      <c r="B3800" s="18"/>
      <c r="C3800" s="17"/>
      <c r="D3800" s="18"/>
      <c r="E3800" s="17"/>
      <c r="F3800" s="22"/>
      <c r="G3800"/>
    </row>
    <row r="3801" spans="1:7">
      <c r="A3801" s="17"/>
      <c r="B3801" s="18"/>
      <c r="C3801" s="17"/>
      <c r="D3801" s="18"/>
      <c r="E3801" s="17"/>
      <c r="F3801" s="22"/>
      <c r="G3801"/>
    </row>
    <row r="3802" spans="1:7">
      <c r="A3802" s="17"/>
      <c r="B3802" s="18"/>
      <c r="C3802" s="17"/>
      <c r="D3802" s="18"/>
      <c r="E3802" s="17"/>
      <c r="F3802" s="22"/>
      <c r="G3802"/>
    </row>
    <row r="3803" spans="1:7">
      <c r="A3803" s="17"/>
      <c r="B3803" s="18"/>
      <c r="C3803" s="17"/>
      <c r="D3803" s="18"/>
      <c r="E3803" s="17"/>
      <c r="F3803" s="22"/>
      <c r="G3803"/>
    </row>
    <row r="3804" spans="1:7">
      <c r="A3804" s="17"/>
      <c r="B3804" s="18"/>
      <c r="C3804" s="17"/>
      <c r="D3804" s="18"/>
      <c r="E3804" s="17"/>
      <c r="F3804" s="22"/>
      <c r="G3804"/>
    </row>
    <row r="3805" spans="1:7">
      <c r="A3805" s="17"/>
      <c r="B3805" s="18"/>
      <c r="C3805" s="17"/>
      <c r="D3805" s="18"/>
      <c r="E3805" s="17"/>
      <c r="F3805" s="22"/>
      <c r="G3805"/>
    </row>
    <row r="3806" spans="1:7">
      <c r="A3806" s="17"/>
      <c r="B3806" s="18"/>
      <c r="C3806" s="17"/>
      <c r="D3806" s="18"/>
      <c r="E3806" s="17"/>
      <c r="F3806" s="22"/>
      <c r="G3806"/>
    </row>
    <row r="3807" spans="1:7">
      <c r="A3807" s="17"/>
      <c r="B3807" s="18"/>
      <c r="C3807" s="17"/>
      <c r="D3807" s="18"/>
      <c r="E3807" s="17"/>
      <c r="F3807" s="22"/>
      <c r="G3807"/>
    </row>
    <row r="3808" spans="1:7">
      <c r="A3808" s="17"/>
      <c r="B3808" s="18"/>
      <c r="C3808" s="17"/>
      <c r="D3808" s="18"/>
      <c r="E3808" s="17"/>
      <c r="F3808" s="22"/>
      <c r="G3808"/>
    </row>
    <row r="3809" spans="1:7">
      <c r="A3809" s="17"/>
      <c r="B3809" s="18"/>
      <c r="C3809" s="17"/>
      <c r="D3809" s="18"/>
      <c r="E3809" s="17"/>
      <c r="F3809" s="22"/>
      <c r="G3809"/>
    </row>
    <row r="3810" spans="1:7">
      <c r="A3810" s="17"/>
      <c r="B3810" s="18"/>
      <c r="C3810" s="17"/>
      <c r="D3810" s="18"/>
      <c r="E3810" s="17"/>
      <c r="F3810" s="22"/>
      <c r="G3810"/>
    </row>
    <row r="3811" spans="1:7">
      <c r="A3811" s="17"/>
      <c r="B3811" s="18"/>
      <c r="C3811" s="17"/>
      <c r="D3811" s="18"/>
      <c r="E3811" s="17"/>
      <c r="F3811" s="22"/>
      <c r="G3811"/>
    </row>
    <row r="3812" spans="1:7">
      <c r="A3812" s="17"/>
      <c r="B3812" s="18"/>
      <c r="C3812" s="17"/>
      <c r="D3812" s="18"/>
      <c r="E3812" s="17"/>
      <c r="F3812" s="22"/>
      <c r="G3812"/>
    </row>
    <row r="3813" spans="1:7">
      <c r="A3813" s="17"/>
      <c r="B3813" s="18"/>
      <c r="C3813" s="17"/>
      <c r="D3813" s="18"/>
      <c r="E3813" s="17"/>
      <c r="F3813" s="22"/>
      <c r="G3813"/>
    </row>
    <row r="3814" spans="1:7">
      <c r="A3814" s="17"/>
      <c r="B3814" s="18"/>
      <c r="C3814" s="17"/>
      <c r="D3814" s="18"/>
      <c r="E3814" s="17"/>
      <c r="F3814" s="22"/>
      <c r="G3814"/>
    </row>
    <row r="3815" spans="1:7">
      <c r="A3815" s="17"/>
      <c r="B3815" s="18"/>
      <c r="C3815" s="17"/>
      <c r="D3815" s="18"/>
      <c r="E3815" s="17"/>
      <c r="F3815" s="22"/>
      <c r="G3815"/>
    </row>
    <row r="3816" spans="1:7">
      <c r="A3816" s="17"/>
      <c r="B3816" s="18"/>
      <c r="C3816" s="17"/>
      <c r="D3816" s="18"/>
      <c r="E3816" s="17"/>
      <c r="F3816" s="22"/>
      <c r="G3816"/>
    </row>
    <row r="3817" spans="1:7">
      <c r="A3817" s="17"/>
      <c r="B3817" s="18"/>
      <c r="C3817" s="17"/>
      <c r="D3817" s="18"/>
      <c r="E3817" s="17"/>
      <c r="F3817" s="22"/>
      <c r="G3817"/>
    </row>
    <row r="3818" spans="1:7">
      <c r="A3818" s="17"/>
      <c r="B3818" s="18"/>
      <c r="C3818" s="17"/>
      <c r="D3818" s="18"/>
      <c r="E3818" s="17"/>
      <c r="F3818" s="22"/>
      <c r="G3818"/>
    </row>
    <row r="3819" spans="1:7">
      <c r="A3819" s="17"/>
      <c r="B3819" s="18"/>
      <c r="C3819" s="17"/>
      <c r="D3819" s="18"/>
      <c r="E3819" s="17"/>
      <c r="F3819" s="22"/>
      <c r="G3819"/>
    </row>
    <row r="3820" spans="1:7">
      <c r="A3820" s="17"/>
      <c r="B3820" s="18"/>
      <c r="C3820" s="17"/>
      <c r="D3820" s="18"/>
      <c r="E3820" s="17"/>
      <c r="F3820" s="22"/>
      <c r="G3820"/>
    </row>
    <row r="3821" spans="1:7">
      <c r="A3821" s="17"/>
      <c r="B3821" s="18"/>
      <c r="C3821" s="17"/>
      <c r="D3821" s="18"/>
      <c r="E3821" s="17"/>
      <c r="F3821" s="22"/>
      <c r="G3821"/>
    </row>
    <row r="3822" spans="1:7">
      <c r="A3822" s="17"/>
      <c r="B3822" s="18"/>
      <c r="C3822" s="17"/>
      <c r="D3822" s="18"/>
      <c r="E3822" s="17"/>
      <c r="F3822" s="22"/>
      <c r="G3822"/>
    </row>
    <row r="3823" spans="1:7">
      <c r="A3823" s="17"/>
      <c r="B3823" s="18"/>
      <c r="C3823" s="17"/>
      <c r="D3823" s="18"/>
      <c r="E3823" s="17"/>
      <c r="F3823" s="22"/>
      <c r="G3823"/>
    </row>
    <row r="3824" spans="1:7">
      <c r="A3824" s="17"/>
      <c r="B3824" s="18"/>
      <c r="C3824" s="17"/>
      <c r="D3824" s="18"/>
      <c r="E3824" s="17"/>
      <c r="F3824" s="22"/>
      <c r="G3824"/>
    </row>
    <row r="3825" spans="1:7">
      <c r="A3825" s="17"/>
      <c r="B3825" s="18"/>
      <c r="C3825" s="17"/>
      <c r="D3825" s="18"/>
      <c r="E3825" s="17"/>
      <c r="F3825" s="22"/>
      <c r="G3825"/>
    </row>
    <row r="3826" spans="1:7">
      <c r="A3826" s="17"/>
      <c r="B3826" s="18"/>
      <c r="C3826" s="17"/>
      <c r="D3826" s="18"/>
      <c r="E3826" s="17"/>
      <c r="F3826" s="22"/>
      <c r="G3826"/>
    </row>
    <row r="3827" spans="1:7">
      <c r="A3827" s="17"/>
      <c r="B3827" s="18"/>
      <c r="C3827" s="17"/>
      <c r="D3827" s="18"/>
      <c r="E3827" s="17"/>
      <c r="F3827" s="22"/>
      <c r="G3827"/>
    </row>
    <row r="3828" spans="1:7">
      <c r="A3828" s="17"/>
      <c r="B3828" s="18"/>
      <c r="C3828" s="17"/>
      <c r="D3828" s="18"/>
      <c r="E3828" s="17"/>
      <c r="F3828" s="22"/>
      <c r="G3828"/>
    </row>
    <row r="3829" spans="1:7">
      <c r="A3829" s="17"/>
      <c r="B3829" s="18"/>
      <c r="C3829" s="17"/>
      <c r="D3829" s="18"/>
      <c r="E3829" s="17"/>
      <c r="F3829" s="22"/>
      <c r="G3829"/>
    </row>
    <row r="3830" spans="1:7">
      <c r="A3830" s="17"/>
      <c r="B3830" s="18"/>
      <c r="C3830" s="17"/>
      <c r="D3830" s="18"/>
      <c r="E3830" s="17"/>
      <c r="F3830" s="22"/>
      <c r="G3830"/>
    </row>
    <row r="3831" spans="1:7">
      <c r="A3831" s="17"/>
      <c r="B3831" s="18"/>
      <c r="C3831" s="17"/>
      <c r="D3831" s="18"/>
      <c r="E3831" s="17"/>
      <c r="F3831" s="22"/>
      <c r="G3831"/>
    </row>
    <row r="3832" spans="1:7">
      <c r="A3832" s="17"/>
      <c r="B3832" s="18"/>
      <c r="C3832" s="17"/>
      <c r="D3832" s="18"/>
      <c r="E3832" s="17"/>
      <c r="F3832" s="22"/>
      <c r="G3832"/>
    </row>
    <row r="3833" spans="1:7">
      <c r="A3833" s="17"/>
      <c r="B3833" s="18"/>
      <c r="C3833" s="17"/>
      <c r="D3833" s="18"/>
      <c r="E3833" s="17"/>
      <c r="F3833" s="22"/>
      <c r="G3833"/>
    </row>
    <row r="3834" spans="1:7">
      <c r="A3834" s="17"/>
      <c r="B3834" s="18"/>
      <c r="C3834" s="17"/>
      <c r="D3834" s="18"/>
      <c r="E3834" s="17"/>
      <c r="F3834" s="22"/>
      <c r="G3834"/>
    </row>
    <row r="3835" spans="1:7">
      <c r="A3835" s="17"/>
      <c r="B3835" s="18"/>
      <c r="C3835" s="17"/>
      <c r="D3835" s="18"/>
      <c r="E3835" s="17"/>
      <c r="F3835" s="22"/>
      <c r="G3835"/>
    </row>
    <row r="3836" spans="1:7">
      <c r="A3836" s="17"/>
      <c r="B3836" s="18"/>
      <c r="C3836" s="17"/>
      <c r="D3836" s="18"/>
      <c r="E3836" s="17"/>
      <c r="F3836" s="22"/>
      <c r="G3836"/>
    </row>
    <row r="3837" spans="1:7">
      <c r="A3837" s="17"/>
      <c r="B3837" s="18"/>
      <c r="C3837" s="17"/>
      <c r="D3837" s="18"/>
      <c r="E3837" s="17"/>
      <c r="F3837" s="22"/>
      <c r="G3837"/>
    </row>
    <row r="3838" spans="1:7">
      <c r="A3838" s="17"/>
      <c r="B3838" s="18"/>
      <c r="C3838" s="17"/>
      <c r="D3838" s="18"/>
      <c r="E3838" s="17"/>
      <c r="F3838" s="22"/>
      <c r="G3838"/>
    </row>
    <row r="3839" spans="1:7">
      <c r="A3839" s="17"/>
      <c r="B3839" s="18"/>
      <c r="C3839" s="17"/>
      <c r="D3839" s="18"/>
      <c r="E3839" s="17"/>
      <c r="F3839" s="22"/>
      <c r="G3839"/>
    </row>
    <row r="3840" spans="1:7">
      <c r="A3840" s="17"/>
      <c r="B3840" s="18"/>
      <c r="C3840" s="17"/>
      <c r="D3840" s="18"/>
      <c r="E3840" s="17"/>
      <c r="F3840" s="22"/>
      <c r="G3840"/>
    </row>
    <row r="3841" spans="1:7">
      <c r="A3841" s="17"/>
      <c r="B3841" s="18"/>
      <c r="C3841" s="17"/>
      <c r="D3841" s="18"/>
      <c r="E3841" s="17"/>
      <c r="F3841" s="22"/>
      <c r="G3841"/>
    </row>
    <row r="3842" spans="1:7">
      <c r="A3842" s="17"/>
      <c r="B3842" s="18"/>
      <c r="C3842" s="17"/>
      <c r="D3842" s="18"/>
      <c r="E3842" s="17"/>
      <c r="F3842" s="22"/>
      <c r="G3842"/>
    </row>
    <row r="3843" spans="1:7">
      <c r="A3843" s="17"/>
      <c r="B3843" s="18"/>
      <c r="C3843" s="17"/>
      <c r="D3843" s="18"/>
      <c r="E3843" s="17"/>
      <c r="F3843" s="22"/>
      <c r="G3843"/>
    </row>
    <row r="3844" spans="1:7">
      <c r="A3844" s="17"/>
      <c r="B3844" s="18"/>
      <c r="C3844" s="17"/>
      <c r="D3844" s="18"/>
      <c r="E3844" s="17"/>
      <c r="F3844" s="22"/>
      <c r="G3844"/>
    </row>
    <row r="3845" spans="1:7">
      <c r="A3845" s="17"/>
      <c r="B3845" s="18"/>
      <c r="C3845" s="17"/>
      <c r="D3845" s="18"/>
      <c r="E3845" s="17"/>
      <c r="F3845" s="22"/>
      <c r="G3845"/>
    </row>
    <row r="3846" spans="1:7">
      <c r="A3846" s="17"/>
      <c r="B3846" s="18"/>
      <c r="C3846" s="17"/>
      <c r="D3846" s="18"/>
      <c r="E3846" s="17"/>
      <c r="F3846" s="22"/>
      <c r="G3846"/>
    </row>
    <row r="3847" spans="1:7">
      <c r="A3847" s="17"/>
      <c r="B3847" s="18"/>
      <c r="C3847" s="17"/>
      <c r="D3847" s="18"/>
      <c r="E3847" s="17"/>
      <c r="F3847" s="22"/>
      <c r="G3847"/>
    </row>
    <row r="3848" spans="1:7">
      <c r="A3848" s="17"/>
      <c r="B3848" s="18"/>
      <c r="C3848" s="17"/>
      <c r="D3848" s="18"/>
      <c r="E3848" s="17"/>
      <c r="F3848" s="22"/>
      <c r="G3848"/>
    </row>
    <row r="3849" spans="1:7">
      <c r="A3849" s="17"/>
      <c r="B3849" s="18"/>
      <c r="C3849" s="17"/>
      <c r="D3849" s="18"/>
      <c r="E3849" s="17"/>
      <c r="F3849" s="22"/>
      <c r="G3849"/>
    </row>
    <row r="3850" spans="1:7">
      <c r="A3850" s="17"/>
      <c r="B3850" s="18"/>
      <c r="C3850" s="17"/>
      <c r="D3850" s="18"/>
      <c r="E3850" s="17"/>
      <c r="F3850" s="22"/>
      <c r="G3850"/>
    </row>
    <row r="3851" spans="1:7">
      <c r="A3851" s="17"/>
      <c r="B3851" s="18"/>
      <c r="C3851" s="17"/>
      <c r="D3851" s="18"/>
      <c r="E3851" s="17"/>
      <c r="F3851" s="22"/>
      <c r="G3851"/>
    </row>
    <row r="3852" spans="1:7">
      <c r="A3852" s="17"/>
      <c r="B3852" s="18"/>
      <c r="C3852" s="17"/>
      <c r="D3852" s="18"/>
      <c r="E3852" s="17"/>
      <c r="F3852" s="22"/>
      <c r="G3852"/>
    </row>
    <row r="3853" spans="1:7">
      <c r="A3853" s="17"/>
      <c r="B3853" s="18"/>
      <c r="C3853" s="17"/>
      <c r="D3853" s="18"/>
      <c r="E3853" s="17"/>
      <c r="F3853" s="22"/>
      <c r="G3853"/>
    </row>
    <row r="3854" spans="1:7">
      <c r="A3854" s="17"/>
      <c r="B3854" s="18"/>
      <c r="C3854" s="17"/>
      <c r="D3854" s="18"/>
      <c r="E3854" s="17"/>
      <c r="F3854" s="22"/>
      <c r="G3854"/>
    </row>
    <row r="3855" spans="1:7">
      <c r="A3855" s="17"/>
      <c r="B3855" s="18"/>
      <c r="C3855" s="17"/>
      <c r="D3855" s="18"/>
      <c r="E3855" s="17"/>
      <c r="F3855" s="22"/>
      <c r="G3855"/>
    </row>
    <row r="3856" spans="1:7">
      <c r="A3856" s="17"/>
      <c r="B3856" s="18"/>
      <c r="C3856" s="17"/>
      <c r="D3856" s="18"/>
      <c r="E3856" s="17"/>
      <c r="F3856" s="22"/>
      <c r="G3856"/>
    </row>
    <row r="3857" spans="1:7">
      <c r="A3857" s="17"/>
      <c r="B3857" s="18"/>
      <c r="C3857" s="17"/>
      <c r="D3857" s="18"/>
      <c r="E3857" s="17"/>
      <c r="F3857" s="22"/>
      <c r="G3857"/>
    </row>
    <row r="3858" spans="1:7">
      <c r="A3858" s="17"/>
      <c r="B3858" s="18"/>
      <c r="C3858" s="17"/>
      <c r="D3858" s="18"/>
      <c r="E3858" s="17"/>
      <c r="F3858" s="22"/>
      <c r="G3858"/>
    </row>
    <row r="3859" spans="1:7">
      <c r="A3859" s="17"/>
      <c r="B3859" s="18"/>
      <c r="C3859" s="17"/>
      <c r="D3859" s="18"/>
      <c r="E3859" s="17"/>
      <c r="F3859" s="22"/>
      <c r="G3859"/>
    </row>
    <row r="3860" spans="1:7">
      <c r="A3860" s="17"/>
      <c r="B3860" s="18"/>
      <c r="C3860" s="17"/>
      <c r="D3860" s="18"/>
      <c r="E3860" s="17"/>
      <c r="F3860" s="22"/>
      <c r="G3860"/>
    </row>
    <row r="3861" spans="1:7">
      <c r="A3861" s="17"/>
      <c r="B3861" s="18"/>
      <c r="C3861" s="17"/>
      <c r="D3861" s="18"/>
      <c r="E3861" s="17"/>
      <c r="F3861" s="22"/>
      <c r="G3861"/>
    </row>
    <row r="3862" spans="1:7">
      <c r="A3862" s="17"/>
      <c r="B3862" s="18"/>
      <c r="C3862" s="17"/>
      <c r="D3862" s="18"/>
      <c r="E3862" s="17"/>
      <c r="F3862" s="22"/>
      <c r="G3862"/>
    </row>
    <row r="3863" spans="1:7">
      <c r="A3863" s="17"/>
      <c r="B3863" s="18"/>
      <c r="C3863" s="17"/>
      <c r="D3863" s="18"/>
      <c r="E3863" s="17"/>
      <c r="F3863" s="22"/>
      <c r="G3863"/>
    </row>
    <row r="3864" spans="1:7">
      <c r="A3864" s="17"/>
      <c r="B3864" s="18"/>
      <c r="C3864" s="17"/>
      <c r="D3864" s="18"/>
      <c r="E3864" s="17"/>
      <c r="F3864" s="22"/>
      <c r="G3864"/>
    </row>
    <row r="3865" spans="1:7">
      <c r="A3865" s="17"/>
      <c r="B3865" s="18"/>
      <c r="C3865" s="17"/>
      <c r="D3865" s="18"/>
      <c r="E3865" s="17"/>
      <c r="F3865" s="22"/>
      <c r="G3865"/>
    </row>
    <row r="3866" spans="1:7">
      <c r="A3866" s="17"/>
      <c r="B3866" s="18"/>
      <c r="C3866" s="17"/>
      <c r="D3866" s="18"/>
      <c r="E3866" s="17"/>
      <c r="F3866" s="22"/>
      <c r="G3866"/>
    </row>
    <row r="3867" spans="1:7">
      <c r="A3867" s="17"/>
      <c r="B3867" s="18"/>
      <c r="C3867" s="17"/>
      <c r="D3867" s="18"/>
      <c r="E3867" s="17"/>
      <c r="F3867" s="22"/>
      <c r="G3867"/>
    </row>
    <row r="3868" spans="1:7">
      <c r="A3868" s="17"/>
      <c r="B3868" s="18"/>
      <c r="C3868" s="17"/>
      <c r="D3868" s="18"/>
      <c r="E3868" s="17"/>
      <c r="F3868" s="22"/>
      <c r="G3868"/>
    </row>
    <row r="3869" spans="1:7">
      <c r="A3869" s="17"/>
      <c r="B3869" s="18"/>
      <c r="C3869" s="17"/>
      <c r="D3869" s="18"/>
      <c r="E3869" s="17"/>
      <c r="F3869" s="22"/>
      <c r="G3869"/>
    </row>
    <row r="3870" spans="1:7">
      <c r="A3870" s="17"/>
      <c r="B3870" s="18"/>
      <c r="C3870" s="17"/>
      <c r="D3870" s="18"/>
      <c r="E3870" s="17"/>
      <c r="F3870" s="22"/>
      <c r="G3870"/>
    </row>
    <row r="3871" spans="1:7">
      <c r="A3871" s="17"/>
      <c r="B3871" s="18"/>
      <c r="C3871" s="17"/>
      <c r="D3871" s="18"/>
      <c r="E3871" s="17"/>
      <c r="F3871" s="22"/>
      <c r="G3871"/>
    </row>
    <row r="3872" spans="1:7">
      <c r="A3872" s="17"/>
      <c r="B3872" s="18"/>
      <c r="C3872" s="17"/>
      <c r="D3872" s="18"/>
      <c r="E3872" s="17"/>
      <c r="F3872" s="22"/>
      <c r="G3872"/>
    </row>
    <row r="3873" spans="1:7">
      <c r="A3873" s="17"/>
      <c r="B3873" s="18"/>
      <c r="C3873" s="17"/>
      <c r="D3873" s="18"/>
      <c r="E3873" s="17"/>
      <c r="F3873" s="22"/>
      <c r="G3873"/>
    </row>
    <row r="3874" spans="1:7">
      <c r="A3874" s="17"/>
      <c r="B3874" s="18"/>
      <c r="C3874" s="17"/>
      <c r="D3874" s="18"/>
      <c r="E3874" s="17"/>
      <c r="F3874" s="22"/>
      <c r="G3874"/>
    </row>
    <row r="3875" spans="1:7">
      <c r="A3875" s="17"/>
      <c r="B3875" s="18"/>
      <c r="C3875" s="17"/>
      <c r="D3875" s="18"/>
      <c r="E3875" s="17"/>
      <c r="F3875" s="22"/>
      <c r="G3875"/>
    </row>
    <row r="3876" spans="1:7">
      <c r="A3876" s="17"/>
      <c r="B3876" s="18"/>
      <c r="C3876" s="17"/>
      <c r="D3876" s="18"/>
      <c r="E3876" s="17"/>
      <c r="F3876" s="22"/>
      <c r="G3876"/>
    </row>
    <row r="3877" spans="1:7">
      <c r="A3877" s="17"/>
      <c r="B3877" s="18"/>
      <c r="C3877" s="17"/>
      <c r="D3877" s="18"/>
      <c r="E3877" s="17"/>
      <c r="F3877" s="22"/>
      <c r="G3877"/>
    </row>
    <row r="3878" spans="1:7">
      <c r="A3878" s="17"/>
      <c r="B3878" s="18"/>
      <c r="C3878" s="17"/>
      <c r="D3878" s="18"/>
      <c r="E3878" s="17"/>
      <c r="F3878" s="22"/>
      <c r="G3878"/>
    </row>
    <row r="3879" spans="1:7">
      <c r="A3879" s="17"/>
      <c r="B3879" s="18"/>
      <c r="C3879" s="17"/>
      <c r="D3879" s="18"/>
      <c r="E3879" s="17"/>
      <c r="F3879" s="22"/>
      <c r="G3879"/>
    </row>
    <row r="3880" spans="1:7">
      <c r="A3880" s="17"/>
      <c r="B3880" s="18"/>
      <c r="C3880" s="17"/>
      <c r="D3880" s="18"/>
      <c r="E3880" s="17"/>
      <c r="F3880" s="22"/>
      <c r="G3880"/>
    </row>
    <row r="3881" spans="1:7">
      <c r="A3881" s="17"/>
      <c r="B3881" s="18"/>
      <c r="C3881" s="17"/>
      <c r="D3881" s="18"/>
      <c r="E3881" s="17"/>
      <c r="F3881" s="22"/>
      <c r="G3881"/>
    </row>
    <row r="3882" spans="1:7">
      <c r="A3882" s="17"/>
      <c r="B3882" s="18"/>
      <c r="C3882" s="17"/>
      <c r="D3882" s="18"/>
      <c r="E3882" s="17"/>
      <c r="F3882" s="22"/>
      <c r="G3882"/>
    </row>
    <row r="3883" spans="1:7">
      <c r="A3883" s="17"/>
      <c r="B3883" s="18"/>
      <c r="C3883" s="17"/>
      <c r="D3883" s="18"/>
      <c r="E3883" s="17"/>
      <c r="F3883" s="22"/>
      <c r="G3883"/>
    </row>
    <row r="3884" spans="1:7">
      <c r="A3884" s="17"/>
      <c r="B3884" s="18"/>
      <c r="C3884" s="17"/>
      <c r="D3884" s="18"/>
      <c r="E3884" s="17"/>
      <c r="F3884" s="22"/>
      <c r="G3884"/>
    </row>
    <row r="3885" spans="1:7">
      <c r="A3885" s="17"/>
      <c r="B3885" s="18"/>
      <c r="C3885" s="17"/>
      <c r="D3885" s="18"/>
      <c r="E3885" s="17"/>
      <c r="F3885" s="22"/>
      <c r="G3885"/>
    </row>
    <row r="3886" spans="1:7">
      <c r="A3886" s="17"/>
      <c r="B3886" s="18"/>
      <c r="C3886" s="17"/>
      <c r="D3886" s="18"/>
      <c r="E3886" s="17"/>
      <c r="F3886" s="22"/>
      <c r="G3886"/>
    </row>
    <row r="3887" spans="1:7">
      <c r="A3887" s="17"/>
      <c r="B3887" s="18"/>
      <c r="C3887" s="17"/>
      <c r="D3887" s="18"/>
      <c r="E3887" s="17"/>
      <c r="F3887" s="22"/>
      <c r="G3887"/>
    </row>
    <row r="3888" spans="1:7">
      <c r="A3888" s="17"/>
      <c r="B3888" s="18"/>
      <c r="C3888" s="17"/>
      <c r="D3888" s="18"/>
      <c r="E3888" s="17"/>
      <c r="F3888" s="22"/>
      <c r="G3888"/>
    </row>
    <row r="3889" spans="1:7">
      <c r="A3889" s="17"/>
      <c r="B3889" s="18"/>
      <c r="C3889" s="17"/>
      <c r="D3889" s="18"/>
      <c r="E3889" s="17"/>
      <c r="F3889" s="22"/>
      <c r="G3889"/>
    </row>
    <row r="3890" spans="1:7">
      <c r="A3890" s="17"/>
      <c r="B3890" s="18"/>
      <c r="C3890" s="17"/>
      <c r="D3890" s="18"/>
      <c r="E3890" s="17"/>
      <c r="F3890" s="22"/>
      <c r="G3890"/>
    </row>
    <row r="3891" spans="1:7">
      <c r="A3891" s="17"/>
      <c r="B3891" s="18"/>
      <c r="C3891" s="17"/>
      <c r="D3891" s="18"/>
      <c r="E3891" s="17"/>
      <c r="F3891" s="22"/>
      <c r="G3891"/>
    </row>
    <row r="3892" spans="1:7">
      <c r="A3892" s="17"/>
      <c r="B3892" s="18"/>
      <c r="C3892" s="17"/>
      <c r="D3892" s="18"/>
      <c r="E3892" s="17"/>
      <c r="F3892" s="22"/>
      <c r="G3892"/>
    </row>
    <row r="3893" spans="1:7">
      <c r="A3893" s="17"/>
      <c r="B3893" s="18"/>
      <c r="C3893" s="17"/>
      <c r="D3893" s="18"/>
      <c r="E3893" s="17"/>
      <c r="F3893" s="22"/>
      <c r="G3893"/>
    </row>
    <row r="3894" spans="1:7">
      <c r="A3894" s="17"/>
      <c r="B3894" s="18"/>
      <c r="C3894" s="17"/>
      <c r="D3894" s="18"/>
      <c r="E3894" s="17"/>
      <c r="F3894" s="22"/>
      <c r="G3894"/>
    </row>
    <row r="3895" spans="1:7">
      <c r="A3895" s="17"/>
      <c r="B3895" s="18"/>
      <c r="C3895" s="17"/>
      <c r="D3895" s="18"/>
      <c r="E3895" s="17"/>
      <c r="F3895" s="22"/>
      <c r="G3895"/>
    </row>
    <row r="3896" spans="1:7">
      <c r="A3896" s="17"/>
      <c r="B3896" s="18"/>
      <c r="C3896" s="17"/>
      <c r="D3896" s="18"/>
      <c r="E3896" s="17"/>
      <c r="F3896" s="22"/>
      <c r="G3896"/>
    </row>
    <row r="3897" spans="1:7">
      <c r="A3897" s="17"/>
      <c r="B3897" s="18"/>
      <c r="C3897" s="17"/>
      <c r="D3897" s="18"/>
      <c r="E3897" s="17"/>
      <c r="F3897" s="22"/>
      <c r="G3897"/>
    </row>
    <row r="3898" spans="1:7">
      <c r="A3898" s="17"/>
      <c r="B3898" s="18"/>
      <c r="C3898" s="17"/>
      <c r="D3898" s="18"/>
      <c r="E3898" s="17"/>
      <c r="F3898" s="22"/>
      <c r="G3898"/>
    </row>
    <row r="3899" spans="1:7">
      <c r="A3899" s="17"/>
      <c r="B3899" s="18"/>
      <c r="C3899" s="17"/>
      <c r="D3899" s="18"/>
      <c r="E3899" s="17"/>
      <c r="F3899" s="22"/>
      <c r="G3899"/>
    </row>
    <row r="3900" spans="1:7">
      <c r="A3900" s="17"/>
      <c r="B3900" s="18"/>
      <c r="C3900" s="17"/>
      <c r="D3900" s="18"/>
      <c r="E3900" s="17"/>
      <c r="F3900" s="22"/>
      <c r="G3900"/>
    </row>
    <row r="3901" spans="1:7">
      <c r="A3901" s="17"/>
      <c r="B3901" s="18"/>
      <c r="C3901" s="17"/>
      <c r="D3901" s="18"/>
      <c r="E3901" s="17"/>
      <c r="F3901" s="22"/>
      <c r="G3901"/>
    </row>
    <row r="3902" spans="1:7">
      <c r="A3902" s="17"/>
      <c r="B3902" s="18"/>
      <c r="C3902" s="17"/>
      <c r="D3902" s="18"/>
      <c r="E3902" s="17"/>
      <c r="F3902" s="22"/>
      <c r="G3902"/>
    </row>
    <row r="3903" spans="1:7">
      <c r="A3903" s="17"/>
      <c r="B3903" s="18"/>
      <c r="C3903" s="17"/>
      <c r="D3903" s="18"/>
      <c r="E3903" s="17"/>
      <c r="F3903" s="22"/>
      <c r="G3903"/>
    </row>
    <row r="3904" spans="1:7">
      <c r="A3904" s="17"/>
      <c r="B3904" s="18"/>
      <c r="C3904" s="17"/>
      <c r="D3904" s="18"/>
      <c r="E3904" s="17"/>
      <c r="F3904" s="22"/>
      <c r="G3904"/>
    </row>
    <row r="3905" spans="1:7">
      <c r="A3905" s="17"/>
      <c r="B3905" s="18"/>
      <c r="C3905" s="17"/>
      <c r="D3905" s="18"/>
      <c r="E3905" s="17"/>
      <c r="F3905" s="22"/>
      <c r="G3905"/>
    </row>
    <row r="3906" spans="1:7">
      <c r="A3906" s="17"/>
      <c r="B3906" s="18"/>
      <c r="C3906" s="17"/>
      <c r="D3906" s="18"/>
      <c r="E3906" s="17"/>
      <c r="F3906" s="22"/>
      <c r="G3906"/>
    </row>
    <row r="3907" spans="1:7">
      <c r="A3907" s="17"/>
      <c r="B3907" s="18"/>
      <c r="C3907" s="17"/>
      <c r="D3907" s="18"/>
      <c r="E3907" s="17"/>
      <c r="F3907" s="22"/>
      <c r="G3907"/>
    </row>
    <row r="3908" spans="1:7">
      <c r="A3908" s="17"/>
      <c r="B3908" s="18"/>
      <c r="C3908" s="17"/>
      <c r="D3908" s="18"/>
      <c r="E3908" s="17"/>
      <c r="F3908" s="22"/>
      <c r="G3908"/>
    </row>
    <row r="3909" spans="1:7">
      <c r="A3909" s="17"/>
      <c r="B3909" s="18"/>
      <c r="C3909" s="17"/>
      <c r="D3909" s="18"/>
      <c r="E3909" s="17"/>
      <c r="F3909" s="22"/>
      <c r="G3909"/>
    </row>
    <row r="3910" spans="1:7">
      <c r="A3910" s="17"/>
      <c r="B3910" s="18"/>
      <c r="C3910" s="17"/>
      <c r="D3910" s="18"/>
      <c r="E3910" s="17"/>
      <c r="F3910" s="22"/>
      <c r="G3910"/>
    </row>
    <row r="3911" spans="1:7">
      <c r="A3911" s="17"/>
      <c r="B3911" s="18"/>
      <c r="C3911" s="17"/>
      <c r="D3911" s="18"/>
      <c r="E3911" s="17"/>
      <c r="F3911" s="22"/>
      <c r="G3911"/>
    </row>
    <row r="3912" spans="1:7">
      <c r="A3912" s="17"/>
      <c r="B3912" s="18"/>
      <c r="C3912" s="17"/>
      <c r="D3912" s="18"/>
      <c r="E3912" s="17"/>
      <c r="F3912" s="22"/>
      <c r="G3912"/>
    </row>
    <row r="3913" spans="1:7">
      <c r="A3913" s="17"/>
      <c r="B3913" s="18"/>
      <c r="C3913" s="17"/>
      <c r="D3913" s="18"/>
      <c r="E3913" s="17"/>
      <c r="F3913" s="22"/>
      <c r="G3913"/>
    </row>
    <row r="3914" spans="1:7">
      <c r="A3914" s="17"/>
      <c r="B3914" s="18"/>
      <c r="C3914" s="17"/>
      <c r="D3914" s="18"/>
      <c r="E3914" s="17"/>
      <c r="F3914" s="22"/>
      <c r="G3914"/>
    </row>
    <row r="3915" spans="1:7">
      <c r="A3915" s="17"/>
      <c r="B3915" s="18"/>
      <c r="C3915" s="17"/>
      <c r="D3915" s="18"/>
      <c r="E3915" s="17"/>
      <c r="F3915" s="22"/>
      <c r="G3915"/>
    </row>
    <row r="3916" spans="1:7">
      <c r="A3916" s="17"/>
      <c r="B3916" s="18"/>
      <c r="C3916" s="17"/>
      <c r="D3916" s="18"/>
      <c r="E3916" s="17"/>
      <c r="F3916" s="22"/>
      <c r="G3916"/>
    </row>
    <row r="3917" spans="1:7">
      <c r="A3917" s="17"/>
      <c r="B3917" s="18"/>
      <c r="C3917" s="17"/>
      <c r="D3917" s="18"/>
      <c r="E3917" s="17"/>
      <c r="F3917" s="22"/>
      <c r="G3917"/>
    </row>
    <row r="3918" spans="1:7">
      <c r="A3918" s="17"/>
      <c r="B3918" s="18"/>
      <c r="C3918" s="17"/>
      <c r="D3918" s="18"/>
      <c r="E3918" s="17"/>
      <c r="F3918" s="22"/>
      <c r="G3918"/>
    </row>
    <row r="3919" spans="1:7">
      <c r="A3919" s="17"/>
      <c r="B3919" s="18"/>
      <c r="C3919" s="17"/>
      <c r="D3919" s="18"/>
      <c r="E3919" s="17"/>
      <c r="F3919" s="22"/>
      <c r="G3919"/>
    </row>
    <row r="3920" spans="1:7">
      <c r="A3920" s="17"/>
      <c r="B3920" s="18"/>
      <c r="C3920" s="17"/>
      <c r="D3920" s="18"/>
      <c r="E3920" s="17"/>
      <c r="F3920" s="22"/>
      <c r="G3920"/>
    </row>
    <row r="3921" spans="1:7">
      <c r="A3921" s="17"/>
      <c r="B3921" s="18"/>
      <c r="C3921" s="17"/>
      <c r="D3921" s="18"/>
      <c r="E3921" s="17"/>
      <c r="F3921" s="22"/>
      <c r="G3921"/>
    </row>
    <row r="3922" spans="1:7">
      <c r="A3922" s="17"/>
      <c r="B3922" s="18"/>
      <c r="C3922" s="17"/>
      <c r="D3922" s="18"/>
      <c r="E3922" s="17"/>
      <c r="F3922" s="22"/>
      <c r="G3922"/>
    </row>
    <row r="3923" spans="1:7">
      <c r="A3923" s="17"/>
      <c r="B3923" s="18"/>
      <c r="C3923" s="17"/>
      <c r="D3923" s="18"/>
      <c r="E3923" s="17"/>
      <c r="F3923" s="22"/>
      <c r="G3923"/>
    </row>
    <row r="3924" spans="1:7">
      <c r="A3924" s="17"/>
      <c r="B3924" s="18"/>
      <c r="C3924" s="17"/>
      <c r="D3924" s="18"/>
      <c r="E3924" s="17"/>
      <c r="F3924" s="22"/>
      <c r="G3924"/>
    </row>
    <row r="3925" spans="1:7">
      <c r="A3925" s="17"/>
      <c r="B3925" s="18"/>
      <c r="C3925" s="17"/>
      <c r="D3925" s="18"/>
      <c r="E3925" s="17"/>
      <c r="F3925" s="22"/>
      <c r="G3925"/>
    </row>
    <row r="3926" spans="1:7">
      <c r="A3926" s="17"/>
      <c r="B3926" s="18"/>
      <c r="C3926" s="17"/>
      <c r="D3926" s="18"/>
      <c r="E3926" s="17"/>
      <c r="F3926" s="22"/>
      <c r="G3926"/>
    </row>
    <row r="3927" spans="1:7">
      <c r="A3927" s="17"/>
      <c r="B3927" s="18"/>
      <c r="C3927" s="17"/>
      <c r="D3927" s="18"/>
      <c r="E3927" s="17"/>
      <c r="F3927" s="22"/>
      <c r="G3927"/>
    </row>
    <row r="3928" spans="1:7">
      <c r="A3928" s="17"/>
      <c r="B3928" s="18"/>
      <c r="C3928" s="17"/>
      <c r="D3928" s="18"/>
      <c r="E3928" s="17"/>
      <c r="F3928" s="22"/>
      <c r="G3928"/>
    </row>
    <row r="3929" spans="1:7">
      <c r="A3929" s="17"/>
      <c r="B3929" s="18"/>
      <c r="C3929" s="17"/>
      <c r="D3929" s="18"/>
      <c r="E3929" s="17"/>
      <c r="F3929" s="22"/>
      <c r="G3929"/>
    </row>
    <row r="3930" spans="1:7">
      <c r="A3930" s="17"/>
      <c r="B3930" s="18"/>
      <c r="C3930" s="17"/>
      <c r="D3930" s="18"/>
      <c r="E3930" s="17"/>
      <c r="F3930" s="22"/>
      <c r="G3930"/>
    </row>
    <row r="3931" spans="1:7">
      <c r="A3931" s="17"/>
      <c r="B3931" s="18"/>
      <c r="C3931" s="17"/>
      <c r="D3931" s="18"/>
      <c r="E3931" s="17"/>
      <c r="F3931" s="22"/>
      <c r="G3931"/>
    </row>
    <row r="3932" spans="1:7">
      <c r="A3932" s="17"/>
      <c r="B3932" s="18"/>
      <c r="C3932" s="17"/>
      <c r="D3932" s="18"/>
      <c r="E3932" s="17"/>
      <c r="F3932" s="22"/>
      <c r="G3932"/>
    </row>
    <row r="3933" spans="1:7">
      <c r="A3933" s="17"/>
      <c r="B3933" s="18"/>
      <c r="C3933" s="17"/>
      <c r="D3933" s="18"/>
      <c r="E3933" s="17"/>
      <c r="F3933" s="22"/>
      <c r="G3933"/>
    </row>
    <row r="3934" spans="1:7">
      <c r="A3934" s="17"/>
      <c r="B3934" s="18"/>
      <c r="C3934" s="17"/>
      <c r="D3934" s="18"/>
      <c r="E3934" s="17"/>
      <c r="F3934" s="22"/>
      <c r="G3934"/>
    </row>
    <row r="3935" spans="1:7">
      <c r="A3935" s="17"/>
      <c r="B3935" s="18"/>
      <c r="C3935" s="17"/>
      <c r="D3935" s="18"/>
      <c r="E3935" s="17"/>
      <c r="F3935" s="22"/>
      <c r="G3935"/>
    </row>
    <row r="3936" spans="1:7">
      <c r="A3936" s="17"/>
      <c r="B3936" s="18"/>
      <c r="C3936" s="17"/>
      <c r="D3936" s="18"/>
      <c r="E3936" s="17"/>
      <c r="F3936" s="22"/>
      <c r="G3936"/>
    </row>
    <row r="3937" spans="1:7">
      <c r="A3937" s="17"/>
      <c r="B3937" s="18"/>
      <c r="C3937" s="17"/>
      <c r="D3937" s="18"/>
      <c r="E3937" s="17"/>
      <c r="F3937" s="22"/>
      <c r="G3937"/>
    </row>
    <row r="3938" spans="1:7">
      <c r="A3938" s="17"/>
      <c r="B3938" s="18"/>
      <c r="C3938" s="17"/>
      <c r="D3938" s="18"/>
      <c r="E3938" s="17"/>
      <c r="F3938" s="22"/>
      <c r="G3938"/>
    </row>
    <row r="3939" spans="1:7">
      <c r="A3939" s="17"/>
      <c r="B3939" s="18"/>
      <c r="C3939" s="17"/>
      <c r="D3939" s="18"/>
      <c r="E3939" s="17"/>
      <c r="F3939" s="22"/>
      <c r="G3939"/>
    </row>
    <row r="3940" spans="1:7">
      <c r="A3940" s="17"/>
      <c r="B3940" s="18"/>
      <c r="C3940" s="17"/>
      <c r="D3940" s="18"/>
      <c r="E3940" s="17"/>
      <c r="F3940" s="22"/>
      <c r="G3940"/>
    </row>
    <row r="3941" spans="1:7">
      <c r="A3941" s="17"/>
      <c r="B3941" s="18"/>
      <c r="C3941" s="17"/>
      <c r="D3941" s="18"/>
      <c r="E3941" s="17"/>
      <c r="F3941" s="22"/>
      <c r="G3941"/>
    </row>
    <row r="3942" spans="1:7">
      <c r="A3942" s="17"/>
      <c r="B3942" s="18"/>
      <c r="C3942" s="17"/>
      <c r="D3942" s="18"/>
      <c r="E3942" s="17"/>
      <c r="F3942" s="22"/>
      <c r="G3942"/>
    </row>
    <row r="3943" spans="1:7">
      <c r="A3943" s="17"/>
      <c r="B3943" s="18"/>
      <c r="C3943" s="17"/>
      <c r="D3943" s="18"/>
      <c r="E3943" s="17"/>
      <c r="F3943" s="22"/>
      <c r="G3943"/>
    </row>
    <row r="3944" spans="1:7">
      <c r="A3944" s="17"/>
      <c r="B3944" s="18"/>
      <c r="C3944" s="17"/>
      <c r="D3944" s="18"/>
      <c r="E3944" s="17"/>
      <c r="F3944" s="22"/>
      <c r="G3944"/>
    </row>
    <row r="3945" spans="1:7">
      <c r="A3945" s="17"/>
      <c r="B3945" s="18"/>
      <c r="C3945" s="17"/>
      <c r="D3945" s="18"/>
      <c r="E3945" s="17"/>
      <c r="F3945" s="22"/>
      <c r="G3945"/>
    </row>
    <row r="3946" spans="1:7">
      <c r="A3946" s="17"/>
      <c r="B3946" s="18"/>
      <c r="C3946" s="17"/>
      <c r="D3946" s="18"/>
      <c r="E3946" s="17"/>
      <c r="F3946" s="22"/>
      <c r="G3946"/>
    </row>
    <row r="3947" spans="1:7">
      <c r="A3947" s="17"/>
      <c r="B3947" s="18"/>
      <c r="C3947" s="17"/>
      <c r="D3947" s="18"/>
      <c r="E3947" s="17"/>
      <c r="F3947" s="22"/>
      <c r="G3947"/>
    </row>
    <row r="3948" spans="1:7">
      <c r="A3948" s="17"/>
      <c r="B3948" s="18"/>
      <c r="C3948" s="17"/>
      <c r="D3948" s="18"/>
      <c r="E3948" s="17"/>
      <c r="F3948" s="22"/>
      <c r="G3948"/>
    </row>
    <row r="3949" spans="1:7">
      <c r="A3949" s="17"/>
      <c r="B3949" s="18"/>
      <c r="C3949" s="17"/>
      <c r="D3949" s="18"/>
      <c r="E3949" s="17"/>
      <c r="F3949" s="22"/>
      <c r="G3949"/>
    </row>
    <row r="3950" spans="1:7">
      <c r="A3950" s="17"/>
      <c r="B3950" s="18"/>
      <c r="C3950" s="17"/>
      <c r="D3950" s="18"/>
      <c r="E3950" s="17"/>
      <c r="F3950" s="22"/>
      <c r="G3950"/>
    </row>
    <row r="3951" spans="1:7">
      <c r="A3951" s="17"/>
      <c r="B3951" s="18"/>
      <c r="C3951" s="17"/>
      <c r="D3951" s="18"/>
      <c r="E3951" s="17"/>
      <c r="F3951" s="22"/>
      <c r="G3951"/>
    </row>
    <row r="3952" spans="1:7">
      <c r="A3952" s="17"/>
      <c r="B3952" s="18"/>
      <c r="C3952" s="17"/>
      <c r="D3952" s="18"/>
      <c r="E3952" s="17"/>
      <c r="F3952" s="22"/>
      <c r="G3952"/>
    </row>
    <row r="3953" spans="1:7">
      <c r="A3953" s="17"/>
      <c r="B3953" s="18"/>
      <c r="C3953" s="17"/>
      <c r="D3953" s="18"/>
      <c r="E3953" s="17"/>
      <c r="F3953" s="22"/>
      <c r="G3953"/>
    </row>
    <row r="3954" spans="1:7">
      <c r="A3954" s="17"/>
      <c r="B3954" s="18"/>
      <c r="C3954" s="17"/>
      <c r="D3954" s="18"/>
      <c r="E3954" s="17"/>
      <c r="F3954" s="22"/>
      <c r="G3954"/>
    </row>
    <row r="3955" spans="1:7">
      <c r="A3955" s="17"/>
      <c r="B3955" s="18"/>
      <c r="C3955" s="17"/>
      <c r="D3955" s="18"/>
      <c r="E3955" s="17"/>
      <c r="F3955" s="22"/>
      <c r="G3955"/>
    </row>
    <row r="3956" spans="1:7">
      <c r="A3956" s="17"/>
      <c r="B3956" s="18"/>
      <c r="C3956" s="17"/>
      <c r="D3956" s="18"/>
      <c r="E3956" s="17"/>
      <c r="F3956" s="22"/>
      <c r="G3956"/>
    </row>
    <row r="3957" spans="1:7">
      <c r="A3957" s="17"/>
      <c r="B3957" s="18"/>
      <c r="C3957" s="17"/>
      <c r="D3957" s="18"/>
      <c r="E3957" s="17"/>
      <c r="F3957" s="22"/>
      <c r="G3957"/>
    </row>
    <row r="3958" spans="1:7">
      <c r="A3958" s="17"/>
      <c r="B3958" s="18"/>
      <c r="C3958" s="17"/>
      <c r="D3958" s="18"/>
      <c r="E3958" s="17"/>
      <c r="F3958" s="22"/>
      <c r="G3958"/>
    </row>
    <row r="3959" spans="1:7">
      <c r="A3959" s="17"/>
      <c r="B3959" s="18"/>
      <c r="C3959" s="17"/>
      <c r="D3959" s="18"/>
      <c r="E3959" s="17"/>
      <c r="F3959" s="22"/>
      <c r="G3959"/>
    </row>
    <row r="3960" spans="1:7">
      <c r="A3960" s="17"/>
      <c r="B3960" s="18"/>
      <c r="C3960" s="17"/>
      <c r="D3960" s="18"/>
      <c r="E3960" s="17"/>
      <c r="F3960" s="22"/>
      <c r="G3960"/>
    </row>
    <row r="3961" spans="1:7">
      <c r="A3961" s="17"/>
      <c r="B3961" s="18"/>
      <c r="C3961" s="17"/>
      <c r="D3961" s="18"/>
      <c r="E3961" s="17"/>
      <c r="F3961" s="22"/>
      <c r="G3961"/>
    </row>
    <row r="3962" spans="1:7">
      <c r="A3962" s="17"/>
      <c r="B3962" s="18"/>
      <c r="C3962" s="17"/>
      <c r="D3962" s="18"/>
      <c r="E3962" s="17"/>
      <c r="F3962" s="22"/>
      <c r="G3962"/>
    </row>
    <row r="3963" spans="1:7">
      <c r="A3963" s="17"/>
      <c r="B3963" s="18"/>
      <c r="C3963" s="17"/>
      <c r="D3963" s="18"/>
      <c r="E3963" s="17"/>
      <c r="F3963" s="22"/>
      <c r="G3963"/>
    </row>
    <row r="3964" spans="1:7">
      <c r="A3964" s="17"/>
      <c r="B3964" s="18"/>
      <c r="C3964" s="17"/>
      <c r="D3964" s="18"/>
      <c r="E3964" s="17"/>
      <c r="F3964" s="22"/>
      <c r="G3964"/>
    </row>
    <row r="3965" spans="1:7">
      <c r="A3965" s="17"/>
      <c r="B3965" s="18"/>
      <c r="C3965" s="17"/>
      <c r="D3965" s="18"/>
      <c r="E3965" s="17"/>
      <c r="F3965" s="22"/>
      <c r="G3965"/>
    </row>
    <row r="3966" spans="1:7">
      <c r="A3966" s="17"/>
      <c r="B3966" s="18"/>
      <c r="C3966" s="17"/>
      <c r="D3966" s="18"/>
      <c r="E3966" s="17"/>
      <c r="F3966" s="22"/>
      <c r="G3966"/>
    </row>
    <row r="3967" spans="1:7">
      <c r="A3967" s="17"/>
      <c r="B3967" s="18"/>
      <c r="C3967" s="17"/>
      <c r="D3967" s="18"/>
      <c r="E3967" s="17"/>
      <c r="F3967" s="22"/>
      <c r="G3967"/>
    </row>
    <row r="3968" spans="1:7">
      <c r="A3968" s="17"/>
      <c r="B3968" s="18"/>
      <c r="C3968" s="17"/>
      <c r="D3968" s="18"/>
      <c r="E3968" s="17"/>
      <c r="F3968" s="22"/>
      <c r="G3968"/>
    </row>
    <row r="3969" spans="1:7">
      <c r="A3969" s="17"/>
      <c r="B3969" s="18"/>
      <c r="C3969" s="17"/>
      <c r="D3969" s="18"/>
      <c r="E3969" s="17"/>
      <c r="F3969" s="22"/>
      <c r="G3969"/>
    </row>
    <row r="3970" spans="1:7">
      <c r="A3970" s="17"/>
      <c r="B3970" s="18"/>
      <c r="C3970" s="17"/>
      <c r="D3970" s="18"/>
      <c r="E3970" s="17"/>
      <c r="F3970" s="22"/>
      <c r="G3970"/>
    </row>
    <row r="3971" spans="1:7">
      <c r="A3971" s="17"/>
      <c r="B3971" s="18"/>
      <c r="C3971" s="17"/>
      <c r="D3971" s="18"/>
      <c r="E3971" s="17"/>
      <c r="F3971" s="22"/>
      <c r="G3971"/>
    </row>
    <row r="3972" spans="1:7">
      <c r="A3972" s="17"/>
      <c r="B3972" s="18"/>
      <c r="C3972" s="17"/>
      <c r="D3972" s="18"/>
      <c r="E3972" s="17"/>
      <c r="F3972" s="22"/>
      <c r="G3972"/>
    </row>
    <row r="3973" spans="1:7">
      <c r="A3973" s="17"/>
      <c r="B3973" s="18"/>
      <c r="C3973" s="17"/>
      <c r="D3973" s="18"/>
      <c r="E3973" s="17"/>
      <c r="F3973" s="22"/>
      <c r="G3973"/>
    </row>
    <row r="3974" spans="1:7">
      <c r="A3974" s="17"/>
      <c r="B3974" s="18"/>
      <c r="C3974" s="17"/>
      <c r="D3974" s="18"/>
      <c r="E3974" s="17"/>
      <c r="F3974" s="22"/>
      <c r="G3974"/>
    </row>
    <row r="3975" spans="1:7">
      <c r="A3975" s="17"/>
      <c r="B3975" s="18"/>
      <c r="C3975" s="17"/>
      <c r="D3975" s="18"/>
      <c r="E3975" s="17"/>
      <c r="F3975" s="22"/>
      <c r="G3975"/>
    </row>
    <row r="3976" spans="1:7">
      <c r="A3976" s="17"/>
      <c r="B3976" s="18"/>
      <c r="C3976" s="17"/>
      <c r="D3976" s="18"/>
      <c r="E3976" s="17"/>
      <c r="F3976" s="22"/>
      <c r="G3976"/>
    </row>
    <row r="3977" spans="1:7">
      <c r="A3977" s="17"/>
      <c r="B3977" s="18"/>
      <c r="C3977" s="17"/>
      <c r="D3977" s="18"/>
      <c r="E3977" s="17"/>
      <c r="F3977" s="22"/>
      <c r="G3977"/>
    </row>
    <row r="3978" spans="1:7">
      <c r="A3978" s="17"/>
      <c r="B3978" s="18"/>
      <c r="C3978" s="17"/>
      <c r="D3978" s="18"/>
      <c r="E3978" s="17"/>
      <c r="F3978" s="22"/>
      <c r="G3978"/>
    </row>
    <row r="3979" spans="1:7">
      <c r="A3979" s="17"/>
      <c r="B3979" s="18"/>
      <c r="C3979" s="17"/>
      <c r="D3979" s="18"/>
      <c r="E3979" s="17"/>
      <c r="F3979" s="22"/>
      <c r="G3979"/>
    </row>
    <row r="3980" spans="1:7">
      <c r="A3980" s="17"/>
      <c r="B3980" s="18"/>
      <c r="C3980" s="17"/>
      <c r="D3980" s="18"/>
      <c r="E3980" s="17"/>
      <c r="F3980" s="22"/>
      <c r="G3980"/>
    </row>
    <row r="3981" spans="1:7">
      <c r="A3981" s="17"/>
      <c r="B3981" s="18"/>
      <c r="C3981" s="17"/>
      <c r="D3981" s="18"/>
      <c r="E3981" s="17"/>
      <c r="F3981" s="22"/>
      <c r="G3981"/>
    </row>
    <row r="3982" spans="1:7">
      <c r="A3982" s="17"/>
      <c r="B3982" s="18"/>
      <c r="C3982" s="17"/>
      <c r="D3982" s="18"/>
      <c r="E3982" s="17"/>
      <c r="F3982" s="22"/>
      <c r="G3982"/>
    </row>
    <row r="3983" spans="1:7">
      <c r="A3983" s="17"/>
      <c r="B3983" s="18"/>
      <c r="C3983" s="17"/>
      <c r="D3983" s="18"/>
      <c r="E3983" s="17"/>
      <c r="F3983" s="22"/>
      <c r="G3983"/>
    </row>
    <row r="3984" spans="1:7">
      <c r="A3984" s="17"/>
      <c r="B3984" s="18"/>
      <c r="C3984" s="17"/>
      <c r="D3984" s="18"/>
      <c r="E3984" s="17"/>
      <c r="F3984" s="22"/>
      <c r="G3984"/>
    </row>
    <row r="3985" spans="1:7">
      <c r="A3985" s="17"/>
      <c r="B3985" s="18"/>
      <c r="C3985" s="17"/>
      <c r="D3985" s="18"/>
      <c r="E3985" s="17"/>
      <c r="F3985" s="22"/>
      <c r="G3985"/>
    </row>
    <row r="3986" spans="1:7">
      <c r="A3986" s="17"/>
      <c r="B3986" s="18"/>
      <c r="C3986" s="17"/>
      <c r="D3986" s="18"/>
      <c r="E3986" s="17"/>
      <c r="F3986" s="22"/>
      <c r="G3986"/>
    </row>
    <row r="3987" spans="1:7">
      <c r="A3987" s="17"/>
      <c r="B3987" s="18"/>
      <c r="C3987" s="17"/>
      <c r="D3987" s="18"/>
      <c r="E3987" s="17"/>
      <c r="F3987" s="22"/>
      <c r="G3987"/>
    </row>
    <row r="3988" spans="1:7">
      <c r="A3988" s="17"/>
      <c r="B3988" s="18"/>
      <c r="C3988" s="17"/>
      <c r="D3988" s="18"/>
      <c r="E3988" s="17"/>
      <c r="F3988" s="22"/>
      <c r="G3988"/>
    </row>
    <row r="3989" spans="1:7">
      <c r="A3989" s="17"/>
      <c r="B3989" s="18"/>
      <c r="C3989" s="17"/>
      <c r="D3989" s="18"/>
      <c r="E3989" s="17"/>
      <c r="F3989" s="22"/>
      <c r="G3989"/>
    </row>
    <row r="3990" spans="1:7">
      <c r="A3990" s="17"/>
      <c r="B3990" s="18"/>
      <c r="C3990" s="17"/>
      <c r="D3990" s="18"/>
      <c r="E3990" s="17"/>
      <c r="F3990" s="22"/>
      <c r="G3990"/>
    </row>
    <row r="3991" spans="1:7">
      <c r="A3991" s="17"/>
      <c r="B3991" s="18"/>
      <c r="C3991" s="17"/>
      <c r="D3991" s="18"/>
      <c r="E3991" s="17"/>
      <c r="F3991" s="22"/>
      <c r="G3991"/>
    </row>
    <row r="3992" spans="1:7">
      <c r="A3992" s="17"/>
      <c r="B3992" s="18"/>
      <c r="C3992" s="17"/>
      <c r="D3992" s="18"/>
      <c r="E3992" s="17"/>
      <c r="F3992" s="22"/>
      <c r="G3992"/>
    </row>
    <row r="3993" spans="1:7">
      <c r="A3993" s="17"/>
      <c r="B3993" s="18"/>
      <c r="C3993" s="17"/>
      <c r="D3993" s="18"/>
      <c r="E3993" s="17"/>
      <c r="F3993" s="22"/>
      <c r="G3993"/>
    </row>
    <row r="3994" spans="1:7">
      <c r="A3994" s="17"/>
      <c r="B3994" s="18"/>
      <c r="C3994" s="17"/>
      <c r="D3994" s="18"/>
      <c r="E3994" s="17"/>
      <c r="F3994" s="22"/>
      <c r="G3994"/>
    </row>
    <row r="3995" spans="1:7">
      <c r="A3995" s="17"/>
      <c r="B3995" s="18"/>
      <c r="C3995" s="17"/>
      <c r="D3995" s="18"/>
      <c r="E3995" s="17"/>
      <c r="F3995" s="22"/>
      <c r="G3995"/>
    </row>
    <row r="3996" spans="1:7">
      <c r="A3996" s="17"/>
      <c r="B3996" s="18"/>
      <c r="C3996" s="17"/>
      <c r="D3996" s="18"/>
      <c r="E3996" s="17"/>
      <c r="F3996" s="22"/>
      <c r="G3996"/>
    </row>
    <row r="3997" spans="1:7">
      <c r="A3997" s="17"/>
      <c r="B3997" s="18"/>
      <c r="C3997" s="17"/>
      <c r="D3997" s="18"/>
      <c r="E3997" s="17"/>
      <c r="F3997" s="22"/>
      <c r="G3997"/>
    </row>
    <row r="3998" spans="1:7">
      <c r="A3998" s="17"/>
      <c r="B3998" s="18"/>
      <c r="C3998" s="17"/>
      <c r="D3998" s="18"/>
      <c r="E3998" s="17"/>
      <c r="F3998" s="22"/>
      <c r="G3998"/>
    </row>
    <row r="3999" spans="1:7">
      <c r="A3999" s="17"/>
      <c r="B3999" s="18"/>
      <c r="C3999" s="17"/>
      <c r="D3999" s="18"/>
      <c r="E3999" s="17"/>
      <c r="F3999" s="22"/>
      <c r="G3999"/>
    </row>
    <row r="4000" spans="1:7">
      <c r="A4000" s="17"/>
      <c r="B4000" s="18"/>
      <c r="C4000" s="17"/>
      <c r="D4000" s="18"/>
      <c r="E4000" s="17"/>
      <c r="F4000" s="22"/>
      <c r="G4000"/>
    </row>
    <row r="4001" spans="1:7">
      <c r="A4001" s="17"/>
      <c r="B4001" s="18"/>
      <c r="C4001" s="17"/>
      <c r="D4001" s="18"/>
      <c r="E4001" s="17"/>
      <c r="F4001" s="22"/>
      <c r="G4001"/>
    </row>
    <row r="4002" spans="1:7">
      <c r="A4002" s="17"/>
      <c r="B4002" s="18"/>
      <c r="C4002" s="17"/>
      <c r="D4002" s="18"/>
      <c r="E4002" s="17"/>
      <c r="F4002" s="22"/>
      <c r="G4002"/>
    </row>
    <row r="4003" spans="1:7">
      <c r="A4003" s="17"/>
      <c r="B4003" s="18"/>
      <c r="C4003" s="17"/>
      <c r="D4003" s="18"/>
      <c r="E4003" s="17"/>
      <c r="F4003" s="22"/>
      <c r="G4003"/>
    </row>
    <row r="4004" spans="1:7">
      <c r="A4004" s="17"/>
      <c r="B4004" s="18"/>
      <c r="C4004" s="17"/>
      <c r="D4004" s="18"/>
      <c r="E4004" s="17"/>
      <c r="F4004" s="22"/>
      <c r="G4004"/>
    </row>
    <row r="4005" spans="1:7">
      <c r="A4005" s="17"/>
      <c r="B4005" s="18"/>
      <c r="C4005" s="17"/>
      <c r="D4005" s="18"/>
      <c r="E4005" s="17"/>
      <c r="F4005" s="22"/>
      <c r="G4005"/>
    </row>
    <row r="4006" spans="1:7">
      <c r="A4006" s="17"/>
      <c r="B4006" s="18"/>
      <c r="C4006" s="17"/>
      <c r="D4006" s="18"/>
      <c r="E4006" s="17"/>
      <c r="F4006" s="22"/>
      <c r="G4006"/>
    </row>
    <row r="4007" spans="1:7">
      <c r="A4007" s="17"/>
      <c r="B4007" s="18"/>
      <c r="C4007" s="17"/>
      <c r="D4007" s="18"/>
      <c r="E4007" s="17"/>
      <c r="F4007" s="22"/>
      <c r="G4007"/>
    </row>
    <row r="4008" spans="1:7">
      <c r="A4008" s="17"/>
      <c r="B4008" s="18"/>
      <c r="C4008" s="17"/>
      <c r="D4008" s="18"/>
      <c r="E4008" s="17"/>
      <c r="F4008" s="22"/>
      <c r="G4008"/>
    </row>
    <row r="4009" spans="1:7">
      <c r="A4009" s="17"/>
      <c r="B4009" s="18"/>
      <c r="C4009" s="17"/>
      <c r="D4009" s="18"/>
      <c r="E4009" s="17"/>
      <c r="F4009" s="22"/>
      <c r="G4009"/>
    </row>
    <row r="4010" spans="1:7">
      <c r="A4010" s="17"/>
      <c r="B4010" s="18"/>
      <c r="C4010" s="17"/>
      <c r="D4010" s="18"/>
      <c r="E4010" s="17"/>
      <c r="F4010" s="22"/>
      <c r="G4010"/>
    </row>
    <row r="4011" spans="1:7">
      <c r="A4011" s="17"/>
      <c r="B4011" s="18"/>
      <c r="C4011" s="17"/>
      <c r="D4011" s="18"/>
      <c r="E4011" s="17"/>
      <c r="F4011" s="22"/>
      <c r="G4011"/>
    </row>
    <row r="4012" spans="1:7">
      <c r="A4012" s="17"/>
      <c r="B4012" s="18"/>
      <c r="C4012" s="17"/>
      <c r="D4012" s="18"/>
      <c r="E4012" s="17"/>
      <c r="F4012" s="22"/>
      <c r="G4012"/>
    </row>
    <row r="4013" spans="1:7">
      <c r="A4013" s="17"/>
      <c r="B4013" s="18"/>
      <c r="C4013" s="17"/>
      <c r="D4013" s="18"/>
      <c r="E4013" s="17"/>
      <c r="F4013" s="22"/>
      <c r="G4013"/>
    </row>
    <row r="4014" spans="1:7">
      <c r="A4014" s="17"/>
      <c r="B4014" s="18"/>
      <c r="C4014" s="17"/>
      <c r="D4014" s="18"/>
      <c r="E4014" s="17"/>
      <c r="F4014" s="22"/>
      <c r="G4014"/>
    </row>
    <row r="4015" spans="1:7">
      <c r="A4015" s="17"/>
      <c r="B4015" s="18"/>
      <c r="C4015" s="17"/>
      <c r="D4015" s="18"/>
      <c r="E4015" s="17"/>
      <c r="F4015" s="22"/>
      <c r="G4015"/>
    </row>
    <row r="4016" spans="1:7">
      <c r="A4016" s="17"/>
      <c r="B4016" s="18"/>
      <c r="C4016" s="17"/>
      <c r="D4016" s="18"/>
      <c r="E4016" s="17"/>
      <c r="F4016" s="22"/>
      <c r="G4016"/>
    </row>
    <row r="4017" spans="1:7">
      <c r="A4017" s="17"/>
      <c r="B4017" s="18"/>
      <c r="C4017" s="17"/>
      <c r="D4017" s="18"/>
      <c r="E4017" s="17"/>
      <c r="F4017" s="22"/>
      <c r="G4017"/>
    </row>
    <row r="4018" spans="1:7">
      <c r="A4018" s="17"/>
      <c r="B4018" s="18"/>
      <c r="C4018" s="17"/>
      <c r="D4018" s="18"/>
      <c r="E4018" s="17"/>
      <c r="F4018" s="22"/>
      <c r="G4018"/>
    </row>
    <row r="4019" spans="1:7">
      <c r="A4019" s="17"/>
      <c r="B4019" s="18"/>
      <c r="C4019" s="17"/>
      <c r="D4019" s="18"/>
      <c r="E4019" s="17"/>
      <c r="F4019" s="22"/>
      <c r="G4019"/>
    </row>
    <row r="4020" spans="1:7">
      <c r="A4020" s="17"/>
      <c r="B4020" s="18"/>
      <c r="C4020" s="17"/>
      <c r="D4020" s="18"/>
      <c r="E4020" s="17"/>
      <c r="F4020" s="22"/>
      <c r="G4020"/>
    </row>
    <row r="4021" spans="1:7">
      <c r="A4021" s="17"/>
      <c r="B4021" s="18"/>
      <c r="C4021" s="17"/>
      <c r="D4021" s="18"/>
      <c r="E4021" s="17"/>
      <c r="F4021" s="22"/>
      <c r="G4021"/>
    </row>
    <row r="4022" spans="1:7">
      <c r="A4022" s="17"/>
      <c r="B4022" s="18"/>
      <c r="C4022" s="17"/>
      <c r="D4022" s="18"/>
      <c r="E4022" s="17"/>
      <c r="F4022" s="22"/>
      <c r="G4022"/>
    </row>
    <row r="4023" spans="1:7">
      <c r="A4023" s="17"/>
      <c r="B4023" s="18"/>
      <c r="C4023" s="17"/>
      <c r="D4023" s="18"/>
      <c r="E4023" s="17"/>
      <c r="F4023" s="22"/>
      <c r="G4023"/>
    </row>
    <row r="4024" spans="1:7">
      <c r="A4024" s="17"/>
      <c r="B4024" s="18"/>
      <c r="C4024" s="17"/>
      <c r="D4024" s="18"/>
      <c r="E4024" s="17"/>
      <c r="F4024" s="22"/>
      <c r="G4024"/>
    </row>
    <row r="4025" spans="1:7">
      <c r="A4025" s="17"/>
      <c r="B4025" s="18"/>
      <c r="C4025" s="17"/>
      <c r="D4025" s="18"/>
      <c r="E4025" s="17"/>
      <c r="F4025" s="22"/>
      <c r="G4025"/>
    </row>
    <row r="4026" spans="1:7">
      <c r="A4026" s="17"/>
      <c r="B4026" s="18"/>
      <c r="C4026" s="17"/>
      <c r="D4026" s="18"/>
      <c r="E4026" s="17"/>
      <c r="F4026" s="22"/>
      <c r="G4026"/>
    </row>
    <row r="4027" spans="1:7">
      <c r="A4027" s="17"/>
      <c r="B4027" s="18"/>
      <c r="C4027" s="17"/>
      <c r="D4027" s="18"/>
      <c r="E4027" s="17"/>
      <c r="F4027" s="22"/>
      <c r="G4027"/>
    </row>
    <row r="4028" spans="1:7">
      <c r="A4028" s="17"/>
      <c r="B4028" s="18"/>
      <c r="C4028" s="17"/>
      <c r="D4028" s="18"/>
      <c r="E4028" s="17"/>
      <c r="F4028" s="22"/>
      <c r="G4028"/>
    </row>
    <row r="4029" spans="1:7">
      <c r="A4029" s="17"/>
      <c r="B4029" s="18"/>
      <c r="C4029" s="17"/>
      <c r="D4029" s="18"/>
      <c r="E4029" s="17"/>
      <c r="F4029" s="22"/>
      <c r="G4029"/>
    </row>
    <row r="4030" spans="1:7">
      <c r="A4030" s="17"/>
      <c r="B4030" s="18"/>
      <c r="C4030" s="17"/>
      <c r="D4030" s="18"/>
      <c r="E4030" s="17"/>
      <c r="F4030" s="22"/>
      <c r="G4030"/>
    </row>
    <row r="4031" spans="1:7">
      <c r="A4031" s="17"/>
      <c r="B4031" s="18"/>
      <c r="C4031" s="17"/>
      <c r="D4031" s="18"/>
      <c r="E4031" s="17"/>
      <c r="F4031" s="22"/>
      <c r="G4031"/>
    </row>
    <row r="4032" spans="1:7">
      <c r="A4032" s="17"/>
      <c r="B4032" s="18"/>
      <c r="C4032" s="17"/>
      <c r="D4032" s="18"/>
      <c r="E4032" s="17"/>
      <c r="F4032" s="22"/>
      <c r="G4032"/>
    </row>
    <row r="4033" spans="1:7">
      <c r="A4033" s="17"/>
      <c r="B4033" s="18"/>
      <c r="C4033" s="17"/>
      <c r="D4033" s="18"/>
      <c r="E4033" s="17"/>
      <c r="F4033" s="22"/>
      <c r="G4033"/>
    </row>
    <row r="4034" spans="1:7">
      <c r="A4034" s="17"/>
      <c r="B4034" s="18"/>
      <c r="C4034" s="17"/>
      <c r="D4034" s="18"/>
      <c r="E4034" s="17"/>
      <c r="F4034" s="22"/>
      <c r="G4034"/>
    </row>
    <row r="4035" spans="1:7">
      <c r="A4035" s="17"/>
      <c r="B4035" s="18"/>
      <c r="C4035" s="17"/>
      <c r="D4035" s="18"/>
      <c r="E4035" s="17"/>
      <c r="F4035" s="22"/>
      <c r="G4035"/>
    </row>
    <row r="4036" spans="1:7">
      <c r="A4036" s="17"/>
      <c r="B4036" s="18"/>
      <c r="C4036" s="17"/>
      <c r="D4036" s="18"/>
      <c r="E4036" s="17"/>
      <c r="F4036" s="22"/>
      <c r="G4036"/>
    </row>
    <row r="4037" spans="1:7">
      <c r="A4037" s="17"/>
      <c r="B4037" s="18"/>
      <c r="C4037" s="17"/>
      <c r="D4037" s="18"/>
      <c r="E4037" s="17"/>
      <c r="F4037" s="22"/>
      <c r="G4037"/>
    </row>
    <row r="4038" spans="1:7">
      <c r="A4038" s="17"/>
      <c r="B4038" s="18"/>
      <c r="C4038" s="17"/>
      <c r="D4038" s="18"/>
      <c r="E4038" s="17"/>
      <c r="F4038" s="22"/>
      <c r="G4038"/>
    </row>
    <row r="4039" spans="1:7">
      <c r="A4039" s="17"/>
      <c r="B4039" s="18"/>
      <c r="C4039" s="17"/>
      <c r="D4039" s="18"/>
      <c r="E4039" s="17"/>
      <c r="F4039" s="22"/>
      <c r="G4039"/>
    </row>
    <row r="4040" spans="1:7">
      <c r="A4040" s="17"/>
      <c r="B4040" s="18"/>
      <c r="C4040" s="17"/>
      <c r="D4040" s="18"/>
      <c r="E4040" s="17"/>
      <c r="F4040" s="22"/>
      <c r="G4040"/>
    </row>
    <row r="4041" spans="1:7">
      <c r="A4041" s="17"/>
      <c r="B4041" s="18"/>
      <c r="C4041" s="17"/>
      <c r="D4041" s="18"/>
      <c r="E4041" s="17"/>
      <c r="F4041" s="22"/>
      <c r="G4041"/>
    </row>
    <row r="4042" spans="1:7">
      <c r="A4042" s="17"/>
      <c r="B4042" s="18"/>
      <c r="C4042" s="17"/>
      <c r="D4042" s="18"/>
      <c r="E4042" s="17"/>
      <c r="F4042" s="22"/>
      <c r="G4042"/>
    </row>
    <row r="4043" spans="1:7">
      <c r="A4043" s="17"/>
      <c r="B4043" s="18"/>
      <c r="C4043" s="17"/>
      <c r="D4043" s="18"/>
      <c r="E4043" s="17"/>
      <c r="F4043" s="22"/>
      <c r="G4043"/>
    </row>
    <row r="4044" spans="1:7">
      <c r="A4044" s="17"/>
      <c r="B4044" s="18"/>
      <c r="C4044" s="17"/>
      <c r="D4044" s="18"/>
      <c r="E4044" s="17"/>
      <c r="F4044" s="22"/>
      <c r="G4044"/>
    </row>
    <row r="4045" spans="1:7">
      <c r="A4045" s="17"/>
      <c r="B4045" s="18"/>
      <c r="C4045" s="17"/>
      <c r="D4045" s="18"/>
      <c r="E4045" s="17"/>
      <c r="F4045" s="22"/>
      <c r="G4045"/>
    </row>
    <row r="4046" spans="1:7">
      <c r="A4046" s="17"/>
      <c r="B4046" s="18"/>
      <c r="C4046" s="17"/>
      <c r="D4046" s="18"/>
      <c r="E4046" s="17"/>
      <c r="F4046" s="22"/>
      <c r="G4046"/>
    </row>
    <row r="4047" spans="1:7">
      <c r="A4047" s="17"/>
      <c r="B4047" s="18"/>
      <c r="C4047" s="17"/>
      <c r="D4047" s="18"/>
      <c r="E4047" s="17"/>
      <c r="F4047" s="22"/>
      <c r="G4047"/>
    </row>
    <row r="4048" spans="1:7">
      <c r="A4048" s="17"/>
      <c r="B4048" s="18"/>
      <c r="C4048" s="17"/>
      <c r="D4048" s="18"/>
      <c r="E4048" s="17"/>
      <c r="F4048" s="22"/>
      <c r="G4048"/>
    </row>
    <row r="4049" spans="1:7">
      <c r="A4049" s="17"/>
      <c r="B4049" s="18"/>
      <c r="C4049" s="17"/>
      <c r="D4049" s="18"/>
      <c r="E4049" s="17"/>
      <c r="F4049" s="22"/>
      <c r="G4049"/>
    </row>
    <row r="4050" spans="1:7">
      <c r="A4050" s="17"/>
      <c r="B4050" s="18"/>
      <c r="C4050" s="17"/>
      <c r="D4050" s="18"/>
      <c r="E4050" s="17"/>
      <c r="F4050" s="22"/>
      <c r="G4050"/>
    </row>
    <row r="4051" spans="1:7">
      <c r="A4051" s="17"/>
      <c r="B4051" s="18"/>
      <c r="C4051" s="17"/>
      <c r="D4051" s="18"/>
      <c r="E4051" s="17"/>
      <c r="F4051" s="22"/>
      <c r="G4051"/>
    </row>
    <row r="4052" spans="1:7">
      <c r="A4052" s="17"/>
      <c r="B4052" s="18"/>
      <c r="C4052" s="17"/>
      <c r="D4052" s="18"/>
      <c r="E4052" s="17"/>
      <c r="F4052" s="22"/>
      <c r="G4052"/>
    </row>
    <row r="4053" spans="1:7">
      <c r="A4053" s="17"/>
      <c r="B4053" s="18"/>
      <c r="C4053" s="17"/>
      <c r="D4053" s="18"/>
      <c r="E4053" s="17"/>
      <c r="F4053" s="22"/>
      <c r="G4053"/>
    </row>
    <row r="4054" spans="1:7">
      <c r="A4054" s="17"/>
      <c r="B4054" s="18"/>
      <c r="C4054" s="17"/>
      <c r="D4054" s="18"/>
      <c r="E4054" s="17"/>
      <c r="F4054" s="22"/>
      <c r="G4054"/>
    </row>
    <row r="4055" spans="1:7">
      <c r="A4055" s="17"/>
      <c r="B4055" s="18"/>
      <c r="C4055" s="17"/>
      <c r="D4055" s="18"/>
      <c r="E4055" s="17"/>
      <c r="F4055" s="22"/>
      <c r="G4055"/>
    </row>
    <row r="4056" spans="1:7">
      <c r="A4056" s="17"/>
      <c r="B4056" s="18"/>
      <c r="C4056" s="17"/>
      <c r="D4056" s="18"/>
      <c r="E4056" s="17"/>
      <c r="F4056" s="22"/>
      <c r="G4056"/>
    </row>
    <row r="4057" spans="1:7">
      <c r="A4057" s="17"/>
      <c r="B4057" s="18"/>
      <c r="C4057" s="17"/>
      <c r="D4057" s="18"/>
      <c r="E4057" s="17"/>
      <c r="F4057" s="22"/>
      <c r="G4057"/>
    </row>
    <row r="4058" spans="1:7">
      <c r="A4058" s="17"/>
      <c r="B4058" s="18"/>
      <c r="C4058" s="17"/>
      <c r="D4058" s="18"/>
      <c r="E4058" s="17"/>
      <c r="F4058" s="22"/>
      <c r="G4058"/>
    </row>
    <row r="4059" spans="1:7">
      <c r="A4059" s="17"/>
      <c r="B4059" s="18"/>
      <c r="C4059" s="17"/>
      <c r="D4059" s="18"/>
      <c r="E4059" s="17"/>
      <c r="F4059" s="22"/>
      <c r="G4059"/>
    </row>
    <row r="4060" spans="1:7">
      <c r="A4060" s="17"/>
      <c r="B4060" s="18"/>
      <c r="C4060" s="17"/>
      <c r="D4060" s="18"/>
      <c r="E4060" s="17"/>
      <c r="F4060" s="22"/>
      <c r="G4060"/>
    </row>
    <row r="4061" spans="1:7">
      <c r="A4061" s="17"/>
      <c r="B4061" s="18"/>
      <c r="C4061" s="17"/>
      <c r="D4061" s="18"/>
      <c r="E4061" s="17"/>
      <c r="F4061" s="22"/>
      <c r="G4061"/>
    </row>
    <row r="4062" spans="1:7">
      <c r="A4062" s="17"/>
      <c r="B4062" s="18"/>
      <c r="C4062" s="17"/>
      <c r="D4062" s="18"/>
      <c r="E4062" s="17"/>
      <c r="F4062" s="22"/>
      <c r="G4062"/>
    </row>
    <row r="4063" spans="1:7">
      <c r="A4063" s="17"/>
      <c r="B4063" s="18"/>
      <c r="C4063" s="17"/>
      <c r="D4063" s="18"/>
      <c r="E4063" s="17"/>
      <c r="F4063" s="22"/>
      <c r="G4063"/>
    </row>
    <row r="4064" spans="1:7">
      <c r="A4064" s="17"/>
      <c r="B4064" s="18"/>
      <c r="C4064" s="17"/>
      <c r="D4064" s="18"/>
      <c r="E4064" s="17"/>
      <c r="F4064" s="22"/>
      <c r="G4064"/>
    </row>
    <row r="4065" spans="1:7">
      <c r="A4065" s="17"/>
      <c r="B4065" s="18"/>
      <c r="C4065" s="17"/>
      <c r="D4065" s="18"/>
      <c r="E4065" s="17"/>
      <c r="F4065" s="22"/>
      <c r="G4065"/>
    </row>
    <row r="4066" spans="1:7">
      <c r="A4066" s="17"/>
      <c r="B4066" s="18"/>
      <c r="C4066" s="17"/>
      <c r="D4066" s="18"/>
      <c r="E4066" s="17"/>
      <c r="F4066" s="22"/>
      <c r="G4066"/>
    </row>
    <row r="4067" spans="1:7">
      <c r="A4067" s="17"/>
      <c r="B4067" s="18"/>
      <c r="C4067" s="17"/>
      <c r="D4067" s="18"/>
      <c r="E4067" s="17"/>
      <c r="F4067" s="22"/>
      <c r="G4067"/>
    </row>
    <row r="4068" spans="1:7">
      <c r="A4068" s="17"/>
      <c r="B4068" s="18"/>
      <c r="C4068" s="17"/>
      <c r="D4068" s="18"/>
      <c r="E4068" s="17"/>
      <c r="F4068" s="22"/>
      <c r="G4068"/>
    </row>
    <row r="4069" spans="1:7">
      <c r="A4069" s="17"/>
      <c r="B4069" s="18"/>
      <c r="C4069" s="17"/>
      <c r="D4069" s="18"/>
      <c r="E4069" s="17"/>
      <c r="F4069" s="22"/>
      <c r="G4069"/>
    </row>
    <row r="4070" spans="1:7">
      <c r="A4070" s="17"/>
      <c r="B4070" s="18"/>
      <c r="C4070" s="17"/>
      <c r="D4070" s="18"/>
      <c r="E4070" s="17"/>
      <c r="F4070" s="22"/>
      <c r="G4070"/>
    </row>
    <row r="4071" spans="1:7">
      <c r="A4071" s="17"/>
      <c r="B4071" s="18"/>
      <c r="C4071" s="17"/>
      <c r="D4071" s="18"/>
      <c r="E4071" s="17"/>
      <c r="F4071" s="22"/>
      <c r="G4071"/>
    </row>
    <row r="4072" spans="1:7">
      <c r="A4072" s="17"/>
      <c r="B4072" s="18"/>
      <c r="C4072" s="17"/>
      <c r="D4072" s="18"/>
      <c r="E4072" s="17"/>
      <c r="F4072" s="22"/>
      <c r="G4072"/>
    </row>
    <row r="4073" spans="1:7">
      <c r="A4073" s="17"/>
      <c r="B4073" s="18"/>
      <c r="C4073" s="17"/>
      <c r="D4073" s="18"/>
      <c r="E4073" s="17"/>
      <c r="F4073" s="22"/>
      <c r="G4073"/>
    </row>
    <row r="4074" spans="1:7">
      <c r="A4074" s="17"/>
      <c r="B4074" s="18"/>
      <c r="C4074" s="17"/>
      <c r="D4074" s="18"/>
      <c r="E4074" s="17"/>
      <c r="F4074" s="22"/>
      <c r="G4074"/>
    </row>
    <row r="4075" spans="1:7">
      <c r="A4075" s="17"/>
      <c r="B4075" s="18"/>
      <c r="C4075" s="17"/>
      <c r="D4075" s="18"/>
      <c r="E4075" s="17"/>
      <c r="F4075" s="22"/>
      <c r="G4075"/>
    </row>
    <row r="4076" spans="1:7">
      <c r="A4076" s="17"/>
      <c r="B4076" s="18"/>
      <c r="C4076" s="17"/>
      <c r="D4076" s="18"/>
      <c r="E4076" s="17"/>
      <c r="F4076" s="22"/>
      <c r="G4076"/>
    </row>
    <row r="4077" spans="1:7">
      <c r="A4077" s="17"/>
      <c r="B4077" s="18"/>
      <c r="C4077" s="17"/>
      <c r="D4077" s="18"/>
      <c r="E4077" s="17"/>
      <c r="F4077" s="22"/>
      <c r="G4077"/>
    </row>
    <row r="4078" spans="1:7">
      <c r="A4078" s="17"/>
      <c r="B4078" s="18"/>
      <c r="C4078" s="17"/>
      <c r="D4078" s="18"/>
      <c r="E4078" s="17"/>
      <c r="F4078" s="22"/>
      <c r="G4078"/>
    </row>
    <row r="4079" spans="1:7">
      <c r="A4079" s="17"/>
      <c r="B4079" s="18"/>
      <c r="C4079" s="17"/>
      <c r="D4079" s="18"/>
      <c r="E4079" s="17"/>
      <c r="F4079" s="22"/>
      <c r="G4079"/>
    </row>
    <row r="4080" spans="1:7">
      <c r="A4080" s="17"/>
      <c r="B4080" s="18"/>
      <c r="C4080" s="17"/>
      <c r="D4080" s="18"/>
      <c r="E4080" s="17"/>
      <c r="F4080" s="22"/>
      <c r="G4080"/>
    </row>
    <row r="4081" spans="1:7">
      <c r="A4081" s="17"/>
      <c r="B4081" s="18"/>
      <c r="C4081" s="17"/>
      <c r="D4081" s="18"/>
      <c r="E4081" s="17"/>
      <c r="F4081" s="22"/>
      <c r="G4081"/>
    </row>
    <row r="4082" spans="1:7">
      <c r="A4082" s="17"/>
      <c r="B4082" s="18"/>
      <c r="C4082" s="17"/>
      <c r="D4082" s="18"/>
      <c r="E4082" s="17"/>
      <c r="F4082" s="22"/>
      <c r="G4082"/>
    </row>
    <row r="4083" spans="1:7">
      <c r="A4083" s="17"/>
      <c r="B4083" s="18"/>
      <c r="C4083" s="17"/>
      <c r="D4083" s="18"/>
      <c r="E4083" s="17"/>
      <c r="F4083" s="22"/>
      <c r="G4083"/>
    </row>
    <row r="4084" spans="1:7">
      <c r="A4084" s="17"/>
      <c r="B4084" s="18"/>
      <c r="C4084" s="17"/>
      <c r="D4084" s="18"/>
      <c r="E4084" s="17"/>
      <c r="F4084" s="22"/>
      <c r="G4084"/>
    </row>
    <row r="4085" spans="1:7">
      <c r="A4085" s="17"/>
      <c r="B4085" s="18"/>
      <c r="C4085" s="17"/>
      <c r="D4085" s="18"/>
      <c r="E4085" s="17"/>
      <c r="F4085" s="22"/>
      <c r="G4085"/>
    </row>
    <row r="4086" spans="1:7">
      <c r="A4086" s="17"/>
      <c r="B4086" s="18"/>
      <c r="C4086" s="17"/>
      <c r="D4086" s="18"/>
      <c r="E4086" s="17"/>
      <c r="F4086" s="22"/>
      <c r="G4086"/>
    </row>
    <row r="4087" spans="1:7">
      <c r="A4087" s="17"/>
      <c r="B4087" s="18"/>
      <c r="C4087" s="17"/>
      <c r="D4087" s="18"/>
      <c r="E4087" s="17"/>
      <c r="F4087" s="22"/>
      <c r="G4087"/>
    </row>
    <row r="4088" spans="1:7">
      <c r="A4088" s="17"/>
      <c r="B4088" s="18"/>
      <c r="C4088" s="17"/>
      <c r="D4088" s="18"/>
      <c r="E4088" s="17"/>
      <c r="F4088" s="22"/>
      <c r="G4088"/>
    </row>
    <row r="4089" spans="1:7">
      <c r="A4089" s="17"/>
      <c r="B4089" s="18"/>
      <c r="C4089" s="17"/>
      <c r="D4089" s="18"/>
      <c r="E4089" s="17"/>
      <c r="F4089" s="22"/>
      <c r="G4089"/>
    </row>
    <row r="4090" spans="1:7">
      <c r="A4090" s="17"/>
      <c r="B4090" s="18"/>
      <c r="C4090" s="17"/>
      <c r="D4090" s="18"/>
      <c r="E4090" s="17"/>
      <c r="F4090" s="22"/>
      <c r="G4090"/>
    </row>
    <row r="4091" spans="1:7">
      <c r="A4091" s="17"/>
      <c r="B4091" s="18"/>
      <c r="C4091" s="17"/>
      <c r="D4091" s="18"/>
      <c r="E4091" s="17"/>
      <c r="F4091" s="22"/>
      <c r="G4091"/>
    </row>
    <row r="4092" spans="1:7">
      <c r="A4092" s="17"/>
      <c r="B4092" s="18"/>
      <c r="C4092" s="17"/>
      <c r="D4092" s="18"/>
      <c r="E4092" s="17"/>
      <c r="F4092" s="22"/>
      <c r="G4092"/>
    </row>
    <row r="4093" spans="1:7">
      <c r="A4093" s="17"/>
      <c r="B4093" s="18"/>
      <c r="C4093" s="17"/>
      <c r="D4093" s="18"/>
      <c r="E4093" s="17"/>
      <c r="F4093" s="22"/>
      <c r="G4093"/>
    </row>
    <row r="4094" spans="1:7">
      <c r="A4094" s="17"/>
      <c r="B4094" s="18"/>
      <c r="C4094" s="17"/>
      <c r="D4094" s="18"/>
      <c r="E4094" s="17"/>
      <c r="F4094" s="22"/>
      <c r="G4094"/>
    </row>
    <row r="4095" spans="1:7">
      <c r="A4095" s="17"/>
      <c r="B4095" s="18"/>
      <c r="C4095" s="17"/>
      <c r="D4095" s="18"/>
      <c r="E4095" s="17"/>
      <c r="F4095" s="22"/>
      <c r="G4095"/>
    </row>
    <row r="4096" spans="1:7">
      <c r="A4096" s="17"/>
      <c r="B4096" s="18"/>
      <c r="C4096" s="17"/>
      <c r="D4096" s="18"/>
      <c r="E4096" s="17"/>
      <c r="F4096" s="22"/>
      <c r="G4096"/>
    </row>
    <row r="4097" spans="1:7">
      <c r="A4097" s="17"/>
      <c r="B4097" s="18"/>
      <c r="C4097" s="17"/>
      <c r="D4097" s="18"/>
      <c r="E4097" s="17"/>
      <c r="F4097" s="22"/>
      <c r="G4097"/>
    </row>
    <row r="4098" spans="1:7">
      <c r="A4098" s="17"/>
      <c r="B4098" s="18"/>
      <c r="C4098" s="17"/>
      <c r="D4098" s="18"/>
      <c r="E4098" s="17"/>
      <c r="F4098" s="22"/>
      <c r="G4098"/>
    </row>
    <row r="4099" spans="1:7">
      <c r="A4099" s="17"/>
      <c r="B4099" s="18"/>
      <c r="C4099" s="17"/>
      <c r="D4099" s="18"/>
      <c r="E4099" s="17"/>
      <c r="F4099" s="22"/>
      <c r="G4099"/>
    </row>
    <row r="4100" spans="1:7">
      <c r="A4100" s="17"/>
      <c r="B4100" s="18"/>
      <c r="C4100" s="17"/>
      <c r="D4100" s="18"/>
      <c r="E4100" s="17"/>
      <c r="F4100" s="22"/>
      <c r="G4100"/>
    </row>
    <row r="4101" spans="1:7">
      <c r="A4101" s="17"/>
      <c r="B4101" s="18"/>
      <c r="C4101" s="17"/>
      <c r="D4101" s="18"/>
      <c r="E4101" s="17"/>
      <c r="F4101" s="22"/>
      <c r="G4101"/>
    </row>
    <row r="4102" spans="1:7">
      <c r="A4102" s="17"/>
      <c r="B4102" s="18"/>
      <c r="C4102" s="17"/>
      <c r="D4102" s="18"/>
      <c r="E4102" s="17"/>
      <c r="F4102" s="22"/>
      <c r="G4102"/>
    </row>
    <row r="4103" spans="1:7">
      <c r="A4103" s="17"/>
      <c r="B4103" s="18"/>
      <c r="C4103" s="17"/>
      <c r="D4103" s="18"/>
      <c r="E4103" s="17"/>
      <c r="F4103" s="22"/>
      <c r="G4103"/>
    </row>
    <row r="4104" spans="1:7">
      <c r="A4104" s="17"/>
      <c r="B4104" s="18"/>
      <c r="C4104" s="17"/>
      <c r="D4104" s="18"/>
      <c r="E4104" s="17"/>
      <c r="F4104" s="22"/>
      <c r="G4104"/>
    </row>
    <row r="4105" spans="1:7">
      <c r="A4105" s="17"/>
      <c r="B4105" s="18"/>
      <c r="C4105" s="17"/>
      <c r="D4105" s="18"/>
      <c r="E4105" s="17"/>
      <c r="F4105" s="22"/>
      <c r="G4105"/>
    </row>
    <row r="4106" spans="1:7">
      <c r="A4106" s="17"/>
      <c r="B4106" s="18"/>
      <c r="C4106" s="17"/>
      <c r="D4106" s="18"/>
      <c r="E4106" s="17"/>
      <c r="F4106" s="22"/>
      <c r="G4106"/>
    </row>
    <row r="4107" spans="1:7">
      <c r="A4107" s="17"/>
      <c r="B4107" s="18"/>
      <c r="C4107" s="17"/>
      <c r="D4107" s="18"/>
      <c r="E4107" s="17"/>
      <c r="F4107" s="22"/>
      <c r="G4107"/>
    </row>
    <row r="4108" spans="1:7">
      <c r="A4108" s="17"/>
      <c r="B4108" s="18"/>
      <c r="C4108" s="17"/>
      <c r="D4108" s="18"/>
      <c r="E4108" s="17"/>
      <c r="F4108" s="22"/>
      <c r="G4108"/>
    </row>
    <row r="4109" spans="1:7">
      <c r="A4109" s="17"/>
      <c r="B4109" s="18"/>
      <c r="C4109" s="17"/>
      <c r="D4109" s="18"/>
      <c r="E4109" s="17"/>
      <c r="F4109" s="22"/>
      <c r="G4109"/>
    </row>
    <row r="4110" spans="1:7">
      <c r="A4110" s="17"/>
      <c r="B4110" s="18"/>
      <c r="C4110" s="17"/>
      <c r="D4110" s="18"/>
      <c r="E4110" s="17"/>
      <c r="F4110" s="22"/>
      <c r="G4110"/>
    </row>
    <row r="4111" spans="1:7">
      <c r="A4111" s="17"/>
      <c r="B4111" s="18"/>
      <c r="C4111" s="17"/>
      <c r="D4111" s="18"/>
      <c r="E4111" s="17"/>
      <c r="F4111" s="22"/>
      <c r="G4111"/>
    </row>
    <row r="4112" spans="1:7">
      <c r="A4112" s="17"/>
      <c r="B4112" s="18"/>
      <c r="C4112" s="17"/>
      <c r="D4112" s="18"/>
      <c r="E4112" s="17"/>
      <c r="F4112" s="22"/>
      <c r="G4112"/>
    </row>
    <row r="4113" spans="1:7">
      <c r="A4113" s="17"/>
      <c r="B4113" s="18"/>
      <c r="C4113" s="17"/>
      <c r="D4113" s="18"/>
      <c r="E4113" s="17"/>
      <c r="F4113" s="22"/>
      <c r="G4113"/>
    </row>
    <row r="4114" spans="1:7">
      <c r="A4114" s="17"/>
      <c r="B4114" s="18"/>
      <c r="C4114" s="17"/>
      <c r="D4114" s="18"/>
      <c r="E4114" s="17"/>
      <c r="F4114" s="22"/>
      <c r="G4114"/>
    </row>
    <row r="4115" spans="1:7">
      <c r="A4115" s="17"/>
      <c r="B4115" s="18"/>
      <c r="C4115" s="17"/>
      <c r="D4115" s="18"/>
      <c r="E4115" s="17"/>
      <c r="F4115" s="22"/>
      <c r="G4115"/>
    </row>
    <row r="4116" spans="1:7">
      <c r="A4116" s="17"/>
      <c r="B4116" s="18"/>
      <c r="C4116" s="17"/>
      <c r="D4116" s="18"/>
      <c r="E4116" s="17"/>
      <c r="F4116" s="22"/>
      <c r="G4116"/>
    </row>
    <row r="4117" spans="1:7">
      <c r="A4117" s="17"/>
      <c r="B4117" s="18"/>
      <c r="C4117" s="17"/>
      <c r="D4117" s="18"/>
      <c r="E4117" s="17"/>
      <c r="F4117" s="22"/>
      <c r="G4117"/>
    </row>
    <row r="4118" spans="1:7">
      <c r="A4118" s="17"/>
      <c r="B4118" s="18"/>
      <c r="C4118" s="17"/>
      <c r="D4118" s="18"/>
      <c r="E4118" s="17"/>
      <c r="F4118" s="22"/>
      <c r="G4118"/>
    </row>
    <row r="4119" spans="1:7">
      <c r="A4119" s="17"/>
      <c r="B4119" s="18"/>
      <c r="C4119" s="17"/>
      <c r="D4119" s="18"/>
      <c r="E4119" s="17"/>
      <c r="F4119" s="22"/>
      <c r="G4119"/>
    </row>
    <row r="4120" spans="1:7">
      <c r="A4120" s="17"/>
      <c r="B4120" s="18"/>
      <c r="C4120" s="17"/>
      <c r="D4120" s="18"/>
      <c r="E4120" s="17"/>
      <c r="F4120" s="22"/>
      <c r="G4120"/>
    </row>
    <row r="4121" spans="1:7">
      <c r="A4121" s="17"/>
      <c r="B4121" s="18"/>
      <c r="C4121" s="17"/>
      <c r="D4121" s="18"/>
      <c r="E4121" s="17"/>
      <c r="F4121" s="22"/>
      <c r="G4121"/>
    </row>
    <row r="4122" spans="1:7">
      <c r="A4122" s="17"/>
      <c r="B4122" s="18"/>
      <c r="C4122" s="17"/>
      <c r="D4122" s="18"/>
      <c r="E4122" s="17"/>
      <c r="F4122" s="22"/>
      <c r="G4122"/>
    </row>
    <row r="4123" spans="1:7">
      <c r="A4123" s="17"/>
      <c r="B4123" s="18"/>
      <c r="C4123" s="17"/>
      <c r="D4123" s="18"/>
      <c r="E4123" s="17"/>
      <c r="F4123" s="22"/>
      <c r="G4123"/>
    </row>
    <row r="4124" spans="1:7">
      <c r="A4124" s="17"/>
      <c r="B4124" s="18"/>
      <c r="C4124" s="17"/>
      <c r="D4124" s="18"/>
      <c r="E4124" s="17"/>
      <c r="F4124" s="22"/>
      <c r="G4124"/>
    </row>
    <row r="4125" spans="1:7">
      <c r="A4125" s="17"/>
      <c r="B4125" s="18"/>
      <c r="C4125" s="17"/>
      <c r="D4125" s="18"/>
      <c r="E4125" s="17"/>
      <c r="F4125" s="22"/>
      <c r="G4125"/>
    </row>
    <row r="4126" spans="1:7">
      <c r="A4126" s="17"/>
      <c r="B4126" s="18"/>
      <c r="C4126" s="17"/>
      <c r="D4126" s="18"/>
      <c r="E4126" s="17"/>
      <c r="F4126" s="22"/>
      <c r="G4126"/>
    </row>
    <row r="4127" spans="1:7">
      <c r="A4127" s="17"/>
      <c r="B4127" s="18"/>
      <c r="C4127" s="17"/>
      <c r="D4127" s="18"/>
      <c r="E4127" s="17"/>
      <c r="F4127" s="22"/>
      <c r="G4127"/>
    </row>
    <row r="4128" spans="1:7">
      <c r="A4128" s="17"/>
      <c r="B4128" s="18"/>
      <c r="C4128" s="17"/>
      <c r="D4128" s="18"/>
      <c r="E4128" s="17"/>
      <c r="F4128" s="22"/>
      <c r="G4128"/>
    </row>
    <row r="4129" spans="1:7">
      <c r="A4129" s="17"/>
      <c r="B4129" s="18"/>
      <c r="C4129" s="17"/>
      <c r="D4129" s="18"/>
      <c r="E4129" s="17"/>
      <c r="F4129" s="22"/>
      <c r="G4129"/>
    </row>
    <row r="4130" spans="1:7">
      <c r="A4130" s="17"/>
      <c r="B4130" s="18"/>
      <c r="C4130" s="17"/>
      <c r="D4130" s="18"/>
      <c r="E4130" s="17"/>
      <c r="F4130" s="22"/>
      <c r="G4130"/>
    </row>
    <row r="4131" spans="1:7">
      <c r="A4131" s="17"/>
      <c r="B4131" s="18"/>
      <c r="C4131" s="17"/>
      <c r="D4131" s="18"/>
      <c r="E4131" s="17"/>
      <c r="F4131" s="22"/>
      <c r="G4131"/>
    </row>
    <row r="4132" spans="1:7">
      <c r="A4132" s="17"/>
      <c r="B4132" s="18"/>
      <c r="C4132" s="17"/>
      <c r="D4132" s="18"/>
      <c r="E4132" s="17"/>
      <c r="F4132" s="22"/>
      <c r="G4132"/>
    </row>
    <row r="4133" spans="1:7">
      <c r="A4133" s="17"/>
      <c r="B4133" s="18"/>
      <c r="C4133" s="17"/>
      <c r="D4133" s="18"/>
      <c r="E4133" s="17"/>
      <c r="F4133" s="22"/>
      <c r="G4133"/>
    </row>
    <row r="4134" spans="1:7">
      <c r="A4134" s="17"/>
      <c r="B4134" s="18"/>
      <c r="C4134" s="17"/>
      <c r="D4134" s="18"/>
      <c r="E4134" s="17"/>
      <c r="F4134" s="22"/>
      <c r="G4134"/>
    </row>
    <row r="4135" spans="1:7">
      <c r="A4135" s="17"/>
      <c r="B4135" s="18"/>
      <c r="C4135" s="17"/>
      <c r="D4135" s="18"/>
      <c r="E4135" s="17"/>
      <c r="F4135" s="22"/>
      <c r="G4135"/>
    </row>
    <row r="4136" spans="1:7">
      <c r="A4136" s="17"/>
      <c r="B4136" s="18"/>
      <c r="C4136" s="17"/>
      <c r="D4136" s="18"/>
      <c r="E4136" s="17"/>
      <c r="F4136" s="22"/>
      <c r="G4136"/>
    </row>
    <row r="4137" spans="1:7">
      <c r="A4137" s="17"/>
      <c r="B4137" s="18"/>
      <c r="C4137" s="17"/>
      <c r="D4137" s="18"/>
      <c r="E4137" s="17"/>
      <c r="F4137" s="22"/>
      <c r="G4137"/>
    </row>
    <row r="4138" spans="1:7">
      <c r="A4138" s="17"/>
      <c r="B4138" s="18"/>
      <c r="C4138" s="17"/>
      <c r="D4138" s="18"/>
      <c r="E4138" s="17"/>
      <c r="F4138" s="22"/>
      <c r="G4138"/>
    </row>
    <row r="4139" spans="1:7">
      <c r="A4139" s="17"/>
      <c r="B4139" s="18"/>
      <c r="C4139" s="17"/>
      <c r="D4139" s="18"/>
      <c r="E4139" s="17"/>
      <c r="F4139" s="22"/>
      <c r="G4139"/>
    </row>
    <row r="4140" spans="1:7">
      <c r="A4140" s="17"/>
      <c r="B4140" s="18"/>
      <c r="C4140" s="17"/>
      <c r="D4140" s="18"/>
      <c r="E4140" s="17"/>
      <c r="F4140" s="22"/>
      <c r="G4140"/>
    </row>
    <row r="4141" spans="1:7">
      <c r="A4141" s="17"/>
      <c r="B4141" s="18"/>
      <c r="C4141" s="17"/>
      <c r="D4141" s="18"/>
      <c r="E4141" s="17"/>
      <c r="F4141" s="22"/>
      <c r="G4141"/>
    </row>
    <row r="4142" spans="1:7">
      <c r="A4142" s="17"/>
      <c r="B4142" s="18"/>
      <c r="C4142" s="17"/>
      <c r="D4142" s="18"/>
      <c r="E4142" s="17"/>
      <c r="F4142" s="22"/>
      <c r="G4142"/>
    </row>
    <row r="4143" spans="1:7">
      <c r="A4143" s="17"/>
      <c r="B4143" s="18"/>
      <c r="C4143" s="17"/>
      <c r="D4143" s="18"/>
      <c r="E4143" s="17"/>
      <c r="F4143" s="22"/>
      <c r="G4143"/>
    </row>
    <row r="4144" spans="1:7">
      <c r="A4144" s="17"/>
      <c r="B4144" s="18"/>
      <c r="C4144" s="17"/>
      <c r="D4144" s="18"/>
      <c r="E4144" s="17"/>
      <c r="F4144" s="22"/>
      <c r="G4144"/>
    </row>
    <row r="4145" spans="1:7">
      <c r="A4145" s="17"/>
      <c r="B4145" s="18"/>
      <c r="C4145" s="17"/>
      <c r="D4145" s="18"/>
      <c r="E4145" s="17"/>
      <c r="F4145" s="22"/>
      <c r="G4145"/>
    </row>
    <row r="4146" spans="1:7">
      <c r="A4146" s="17"/>
      <c r="B4146" s="18"/>
      <c r="C4146" s="17"/>
      <c r="D4146" s="18"/>
      <c r="E4146" s="17"/>
      <c r="F4146" s="22"/>
      <c r="G4146"/>
    </row>
    <row r="4147" spans="1:7">
      <c r="A4147" s="17"/>
      <c r="B4147" s="18"/>
      <c r="C4147" s="17"/>
      <c r="D4147" s="18"/>
      <c r="E4147" s="17"/>
      <c r="F4147" s="22"/>
      <c r="G4147"/>
    </row>
    <row r="4148" spans="1:7">
      <c r="A4148" s="17"/>
      <c r="B4148" s="18"/>
      <c r="C4148" s="17"/>
      <c r="D4148" s="18"/>
      <c r="E4148" s="17"/>
      <c r="F4148" s="22"/>
      <c r="G4148"/>
    </row>
    <row r="4149" spans="1:7">
      <c r="A4149" s="17"/>
      <c r="B4149" s="18"/>
      <c r="C4149" s="17"/>
      <c r="D4149" s="18"/>
      <c r="E4149" s="17"/>
      <c r="F4149" s="22"/>
      <c r="G4149"/>
    </row>
    <row r="4150" spans="1:7">
      <c r="A4150" s="17"/>
      <c r="B4150" s="18"/>
      <c r="C4150" s="17"/>
      <c r="D4150" s="18"/>
      <c r="E4150" s="17"/>
      <c r="F4150" s="22"/>
      <c r="G4150"/>
    </row>
    <row r="4151" spans="1:7">
      <c r="A4151" s="17"/>
      <c r="B4151" s="18"/>
      <c r="C4151" s="17"/>
      <c r="D4151" s="18"/>
      <c r="E4151" s="17"/>
      <c r="F4151" s="22"/>
      <c r="G4151"/>
    </row>
    <row r="4152" spans="1:7">
      <c r="A4152" s="17"/>
      <c r="B4152" s="18"/>
      <c r="C4152" s="17"/>
      <c r="D4152" s="18"/>
      <c r="E4152" s="17"/>
      <c r="F4152" s="22"/>
      <c r="G4152"/>
    </row>
    <row r="4153" spans="1:7">
      <c r="A4153" s="17"/>
      <c r="B4153" s="18"/>
      <c r="C4153" s="17"/>
      <c r="D4153" s="18"/>
      <c r="E4153" s="17"/>
      <c r="F4153" s="22"/>
      <c r="G4153"/>
    </row>
    <row r="4154" spans="1:7">
      <c r="A4154" s="17"/>
      <c r="B4154" s="18"/>
      <c r="C4154" s="17"/>
      <c r="D4154" s="18"/>
      <c r="E4154" s="17"/>
      <c r="F4154" s="22"/>
      <c r="G4154"/>
    </row>
    <row r="4155" spans="1:7">
      <c r="A4155" s="17"/>
      <c r="B4155" s="18"/>
      <c r="C4155" s="17"/>
      <c r="D4155" s="18"/>
      <c r="E4155" s="17"/>
      <c r="F4155" s="22"/>
      <c r="G4155"/>
    </row>
    <row r="4156" spans="1:7">
      <c r="A4156" s="17"/>
      <c r="B4156" s="18"/>
      <c r="C4156" s="17"/>
      <c r="D4156" s="18"/>
      <c r="E4156" s="17"/>
      <c r="F4156" s="22"/>
      <c r="G4156"/>
    </row>
    <row r="4157" spans="1:7">
      <c r="A4157" s="17"/>
      <c r="B4157" s="18"/>
      <c r="C4157" s="17"/>
      <c r="D4157" s="18"/>
      <c r="E4157" s="17"/>
      <c r="F4157" s="22"/>
      <c r="G4157"/>
    </row>
    <row r="4158" spans="1:7">
      <c r="A4158" s="17"/>
      <c r="B4158" s="18"/>
      <c r="C4158" s="17"/>
      <c r="D4158" s="18"/>
      <c r="E4158" s="17"/>
      <c r="F4158" s="22"/>
      <c r="G4158"/>
    </row>
    <row r="4159" spans="1:7">
      <c r="A4159" s="17"/>
      <c r="B4159" s="18"/>
      <c r="C4159" s="17"/>
      <c r="D4159" s="18"/>
      <c r="E4159" s="17"/>
      <c r="F4159" s="22"/>
      <c r="G4159"/>
    </row>
    <row r="4160" spans="1:7">
      <c r="A4160" s="17"/>
      <c r="B4160" s="18"/>
      <c r="C4160" s="17"/>
      <c r="D4160" s="18"/>
      <c r="E4160" s="17"/>
      <c r="F4160" s="22"/>
      <c r="G4160"/>
    </row>
    <row r="4161" spans="1:7">
      <c r="A4161" s="17"/>
      <c r="B4161" s="18"/>
      <c r="C4161" s="17"/>
      <c r="D4161" s="18"/>
      <c r="E4161" s="17"/>
      <c r="F4161" s="22"/>
      <c r="G4161"/>
    </row>
    <row r="4162" spans="1:7">
      <c r="A4162" s="17"/>
      <c r="B4162" s="18"/>
      <c r="C4162" s="17"/>
      <c r="D4162" s="18"/>
      <c r="E4162" s="17"/>
      <c r="F4162" s="22"/>
      <c r="G4162"/>
    </row>
    <row r="4163" spans="1:7">
      <c r="A4163" s="17"/>
      <c r="B4163" s="18"/>
      <c r="C4163" s="17"/>
      <c r="D4163" s="18"/>
      <c r="E4163" s="17"/>
      <c r="F4163" s="22"/>
      <c r="G4163"/>
    </row>
    <row r="4164" spans="1:7">
      <c r="A4164" s="17"/>
      <c r="B4164" s="18"/>
      <c r="C4164" s="17"/>
      <c r="D4164" s="18"/>
      <c r="E4164" s="17"/>
      <c r="F4164" s="22"/>
      <c r="G4164"/>
    </row>
    <row r="4165" spans="1:7">
      <c r="A4165" s="17"/>
      <c r="B4165" s="18"/>
      <c r="C4165" s="17"/>
      <c r="D4165" s="18"/>
      <c r="E4165" s="17"/>
      <c r="F4165" s="22"/>
      <c r="G4165"/>
    </row>
    <row r="4166" spans="1:7">
      <c r="A4166" s="17"/>
      <c r="B4166" s="18"/>
      <c r="C4166" s="17"/>
      <c r="D4166" s="18"/>
      <c r="E4166" s="17"/>
      <c r="F4166" s="22"/>
      <c r="G4166"/>
    </row>
    <row r="4167" spans="1:7">
      <c r="A4167" s="17"/>
      <c r="B4167" s="18"/>
      <c r="C4167" s="17"/>
      <c r="D4167" s="18"/>
      <c r="E4167" s="17"/>
      <c r="F4167" s="22"/>
      <c r="G4167"/>
    </row>
    <row r="4168" spans="1:7">
      <c r="A4168" s="17"/>
      <c r="B4168" s="18"/>
      <c r="C4168" s="17"/>
      <c r="D4168" s="18"/>
      <c r="E4168" s="17"/>
      <c r="F4168" s="22"/>
      <c r="G4168"/>
    </row>
    <row r="4169" spans="1:7">
      <c r="A4169" s="17"/>
      <c r="B4169" s="18"/>
      <c r="C4169" s="17"/>
      <c r="D4169" s="18"/>
      <c r="E4169" s="17"/>
      <c r="F4169" s="22"/>
      <c r="G4169"/>
    </row>
    <row r="4170" spans="1:7">
      <c r="A4170" s="17"/>
      <c r="B4170" s="18"/>
      <c r="C4170" s="17"/>
      <c r="D4170" s="18"/>
      <c r="E4170" s="17"/>
      <c r="F4170" s="22"/>
      <c r="G4170"/>
    </row>
    <row r="4171" spans="1:7">
      <c r="A4171" s="17"/>
      <c r="B4171" s="18"/>
      <c r="C4171" s="17"/>
      <c r="D4171" s="18"/>
      <c r="E4171" s="17"/>
      <c r="F4171" s="22"/>
      <c r="G4171"/>
    </row>
    <row r="4172" spans="1:7">
      <c r="A4172" s="17"/>
      <c r="B4172" s="18"/>
      <c r="C4172" s="17"/>
      <c r="D4172" s="18"/>
      <c r="E4172" s="17"/>
      <c r="F4172" s="22"/>
      <c r="G4172"/>
    </row>
    <row r="4173" spans="1:7">
      <c r="A4173" s="17"/>
      <c r="B4173" s="18"/>
      <c r="C4173" s="17"/>
      <c r="D4173" s="18"/>
      <c r="E4173" s="17"/>
      <c r="F4173" s="22"/>
      <c r="G4173"/>
    </row>
    <row r="4174" spans="1:7">
      <c r="A4174" s="17"/>
      <c r="B4174" s="18"/>
      <c r="C4174" s="17"/>
      <c r="D4174" s="18"/>
      <c r="E4174" s="17"/>
      <c r="F4174" s="22"/>
      <c r="G4174"/>
    </row>
    <row r="4175" spans="1:7">
      <c r="A4175" s="17"/>
      <c r="B4175" s="18"/>
      <c r="C4175" s="17"/>
      <c r="D4175" s="18"/>
      <c r="E4175" s="17"/>
      <c r="F4175" s="22"/>
      <c r="G4175"/>
    </row>
    <row r="4176" spans="1:7">
      <c r="A4176" s="17"/>
      <c r="B4176" s="18"/>
      <c r="C4176" s="17"/>
      <c r="D4176" s="18"/>
      <c r="E4176" s="17"/>
      <c r="F4176" s="22"/>
      <c r="G4176"/>
    </row>
    <row r="4177" spans="1:7">
      <c r="A4177" s="17"/>
      <c r="B4177" s="18"/>
      <c r="C4177" s="17"/>
      <c r="D4177" s="18"/>
      <c r="E4177" s="17"/>
      <c r="F4177" s="22"/>
      <c r="G4177"/>
    </row>
    <row r="4178" spans="1:7">
      <c r="A4178" s="17"/>
      <c r="B4178" s="18"/>
      <c r="C4178" s="17"/>
      <c r="D4178" s="18"/>
      <c r="E4178" s="17"/>
      <c r="F4178" s="22"/>
      <c r="G4178"/>
    </row>
    <row r="4179" spans="1:7">
      <c r="A4179" s="17"/>
      <c r="B4179" s="18"/>
      <c r="C4179" s="17"/>
      <c r="D4179" s="18"/>
      <c r="E4179" s="17"/>
      <c r="F4179" s="22"/>
      <c r="G4179"/>
    </row>
    <row r="4180" spans="1:7">
      <c r="A4180" s="17"/>
      <c r="B4180" s="18"/>
      <c r="C4180" s="17"/>
      <c r="D4180" s="18"/>
      <c r="E4180" s="17"/>
      <c r="F4180" s="22"/>
      <c r="G4180"/>
    </row>
    <row r="4181" spans="1:7">
      <c r="A4181" s="17"/>
      <c r="B4181" s="18"/>
      <c r="C4181" s="17"/>
      <c r="D4181" s="18"/>
      <c r="E4181" s="17"/>
      <c r="F4181" s="22"/>
      <c r="G4181"/>
    </row>
    <row r="4182" spans="1:7">
      <c r="A4182" s="17"/>
      <c r="B4182" s="18"/>
      <c r="C4182" s="17"/>
      <c r="D4182" s="18"/>
      <c r="E4182" s="17"/>
      <c r="F4182" s="22"/>
      <c r="G4182"/>
    </row>
    <row r="4183" spans="1:7">
      <c r="A4183" s="17"/>
      <c r="B4183" s="18"/>
      <c r="C4183" s="17"/>
      <c r="D4183" s="18"/>
      <c r="E4183" s="17"/>
      <c r="F4183" s="22"/>
      <c r="G4183"/>
    </row>
    <row r="4184" spans="1:7">
      <c r="A4184" s="17"/>
      <c r="B4184" s="18"/>
      <c r="C4184" s="17"/>
      <c r="D4184" s="18"/>
      <c r="E4184" s="17"/>
      <c r="F4184" s="22"/>
      <c r="G4184"/>
    </row>
    <row r="4185" spans="1:7">
      <c r="A4185" s="17"/>
      <c r="B4185" s="18"/>
      <c r="C4185" s="17"/>
      <c r="D4185" s="18"/>
      <c r="E4185" s="17"/>
      <c r="F4185" s="22"/>
      <c r="G4185"/>
    </row>
    <row r="4186" spans="1:7">
      <c r="A4186" s="17"/>
      <c r="B4186" s="18"/>
      <c r="C4186" s="17"/>
      <c r="D4186" s="18"/>
      <c r="E4186" s="17"/>
      <c r="F4186" s="22"/>
      <c r="G4186"/>
    </row>
    <row r="4187" spans="1:7">
      <c r="A4187" s="17"/>
      <c r="B4187" s="18"/>
      <c r="C4187" s="17"/>
      <c r="D4187" s="18"/>
      <c r="E4187" s="17"/>
      <c r="F4187" s="22"/>
      <c r="G4187"/>
    </row>
    <row r="4188" spans="1:7">
      <c r="A4188" s="17"/>
      <c r="B4188" s="18"/>
      <c r="C4188" s="17"/>
      <c r="D4188" s="18"/>
      <c r="E4188" s="17"/>
      <c r="F4188" s="22"/>
      <c r="G4188"/>
    </row>
    <row r="4189" spans="1:7">
      <c r="A4189" s="17"/>
      <c r="B4189" s="18"/>
      <c r="C4189" s="17"/>
      <c r="D4189" s="18"/>
      <c r="E4189" s="17"/>
      <c r="F4189" s="22"/>
      <c r="G4189"/>
    </row>
    <row r="4190" spans="1:7">
      <c r="A4190" s="17"/>
      <c r="B4190" s="18"/>
      <c r="C4190" s="17"/>
      <c r="D4190" s="18"/>
      <c r="E4190" s="17"/>
      <c r="F4190" s="22"/>
      <c r="G4190"/>
    </row>
    <row r="4191" spans="1:7">
      <c r="A4191" s="17"/>
      <c r="B4191" s="18"/>
      <c r="C4191" s="17"/>
      <c r="D4191" s="18"/>
      <c r="E4191" s="17"/>
      <c r="F4191" s="22"/>
      <c r="G4191"/>
    </row>
    <row r="4192" spans="1:7">
      <c r="A4192" s="17"/>
      <c r="B4192" s="18"/>
      <c r="C4192" s="17"/>
      <c r="D4192" s="18"/>
      <c r="E4192" s="17"/>
      <c r="F4192" s="22"/>
      <c r="G4192"/>
    </row>
    <row r="4193" spans="1:7">
      <c r="A4193" s="17"/>
      <c r="B4193" s="18"/>
      <c r="C4193" s="17"/>
      <c r="D4193" s="18"/>
      <c r="E4193" s="17"/>
      <c r="F4193" s="22"/>
      <c r="G4193"/>
    </row>
    <row r="4194" spans="1:7">
      <c r="A4194" s="17"/>
      <c r="B4194" s="18"/>
      <c r="C4194" s="17"/>
      <c r="D4194" s="18"/>
      <c r="E4194" s="17"/>
      <c r="F4194" s="22"/>
      <c r="G4194"/>
    </row>
    <row r="4195" spans="1:7">
      <c r="A4195" s="17"/>
      <c r="B4195" s="18"/>
      <c r="C4195" s="17"/>
      <c r="D4195" s="18"/>
      <c r="E4195" s="17"/>
      <c r="F4195" s="22"/>
      <c r="G4195"/>
    </row>
    <row r="4196" spans="1:7">
      <c r="A4196" s="17"/>
      <c r="B4196" s="18"/>
      <c r="C4196" s="17"/>
      <c r="D4196" s="18"/>
      <c r="E4196" s="17"/>
      <c r="F4196" s="22"/>
      <c r="G4196"/>
    </row>
    <row r="4197" spans="1:7">
      <c r="A4197" s="17"/>
      <c r="B4197" s="18"/>
      <c r="C4197" s="17"/>
      <c r="D4197" s="18"/>
      <c r="E4197" s="17"/>
      <c r="F4197" s="22"/>
      <c r="G4197"/>
    </row>
    <row r="4198" spans="1:7">
      <c r="A4198" s="17"/>
      <c r="B4198" s="18"/>
      <c r="C4198" s="17"/>
      <c r="D4198" s="18"/>
      <c r="E4198" s="17"/>
      <c r="F4198" s="22"/>
      <c r="G4198"/>
    </row>
    <row r="4199" spans="1:7">
      <c r="A4199" s="17"/>
      <c r="B4199" s="18"/>
      <c r="C4199" s="17"/>
      <c r="D4199" s="18"/>
      <c r="E4199" s="17"/>
      <c r="F4199" s="22"/>
      <c r="G4199"/>
    </row>
    <row r="4200" spans="1:7">
      <c r="A4200" s="17"/>
      <c r="B4200" s="18"/>
      <c r="C4200" s="17"/>
      <c r="D4200" s="18"/>
      <c r="E4200" s="17"/>
      <c r="F4200" s="22"/>
      <c r="G4200"/>
    </row>
    <row r="4201" spans="1:7">
      <c r="A4201" s="17"/>
      <c r="B4201" s="18"/>
      <c r="C4201" s="17"/>
      <c r="D4201" s="18"/>
      <c r="E4201" s="17"/>
      <c r="F4201" s="22"/>
      <c r="G4201"/>
    </row>
    <row r="4202" spans="1:7">
      <c r="A4202" s="17"/>
      <c r="B4202" s="18"/>
      <c r="C4202" s="17"/>
      <c r="D4202" s="18"/>
      <c r="E4202" s="17"/>
      <c r="F4202" s="22"/>
      <c r="G4202"/>
    </row>
    <row r="4203" spans="1:7">
      <c r="A4203" s="17"/>
      <c r="B4203" s="18"/>
      <c r="C4203" s="17"/>
      <c r="D4203" s="18"/>
      <c r="E4203" s="17"/>
      <c r="F4203" s="22"/>
      <c r="G4203"/>
    </row>
    <row r="4204" spans="1:7">
      <c r="A4204" s="17"/>
      <c r="B4204" s="18"/>
      <c r="C4204" s="17"/>
      <c r="D4204" s="18"/>
      <c r="E4204" s="17"/>
      <c r="F4204" s="22"/>
      <c r="G4204"/>
    </row>
    <row r="4205" spans="1:7">
      <c r="A4205" s="17"/>
      <c r="B4205" s="18"/>
      <c r="C4205" s="17"/>
      <c r="D4205" s="18"/>
      <c r="E4205" s="17"/>
      <c r="F4205" s="22"/>
      <c r="G4205"/>
    </row>
    <row r="4206" spans="1:7">
      <c r="A4206" s="17"/>
      <c r="B4206" s="18"/>
      <c r="C4206" s="17"/>
      <c r="D4206" s="18"/>
      <c r="E4206" s="17"/>
      <c r="F4206" s="22"/>
      <c r="G4206"/>
    </row>
    <row r="4207" spans="1:7">
      <c r="A4207" s="17"/>
      <c r="B4207" s="18"/>
      <c r="C4207" s="17"/>
      <c r="D4207" s="18"/>
      <c r="E4207" s="17"/>
      <c r="F4207" s="22"/>
      <c r="G4207"/>
    </row>
    <row r="4208" spans="1:7">
      <c r="A4208" s="17"/>
      <c r="B4208" s="18"/>
      <c r="C4208" s="17"/>
      <c r="D4208" s="18"/>
      <c r="E4208" s="17"/>
      <c r="F4208" s="22"/>
      <c r="G4208"/>
    </row>
    <row r="4209" spans="1:7">
      <c r="A4209" s="17"/>
      <c r="B4209" s="18"/>
      <c r="C4209" s="17"/>
      <c r="D4209" s="18"/>
      <c r="E4209" s="17"/>
      <c r="F4209" s="22"/>
      <c r="G4209"/>
    </row>
    <row r="4210" spans="1:7">
      <c r="A4210" s="17"/>
      <c r="B4210" s="18"/>
      <c r="C4210" s="17"/>
      <c r="D4210" s="18"/>
      <c r="E4210" s="17"/>
      <c r="F4210" s="22"/>
      <c r="G4210"/>
    </row>
    <row r="4211" spans="1:7">
      <c r="A4211" s="17"/>
      <c r="B4211" s="18"/>
      <c r="C4211" s="17"/>
      <c r="D4211" s="18"/>
      <c r="E4211" s="17"/>
      <c r="F4211" s="22"/>
      <c r="G4211"/>
    </row>
    <row r="4212" spans="1:7">
      <c r="A4212" s="17"/>
      <c r="B4212" s="18"/>
      <c r="C4212" s="17"/>
      <c r="D4212" s="18"/>
      <c r="E4212" s="17"/>
      <c r="F4212" s="22"/>
      <c r="G4212"/>
    </row>
    <row r="4213" spans="1:7">
      <c r="A4213" s="17"/>
      <c r="B4213" s="18"/>
      <c r="C4213" s="17"/>
      <c r="D4213" s="18"/>
      <c r="E4213" s="17"/>
      <c r="F4213" s="22"/>
      <c r="G4213"/>
    </row>
    <row r="4214" spans="1:7">
      <c r="A4214" s="17"/>
      <c r="B4214" s="18"/>
      <c r="C4214" s="17"/>
      <c r="D4214" s="18"/>
      <c r="E4214" s="17"/>
      <c r="F4214" s="22"/>
      <c r="G4214"/>
    </row>
    <row r="4215" spans="1:7">
      <c r="A4215" s="17"/>
      <c r="B4215" s="18"/>
      <c r="C4215" s="17"/>
      <c r="D4215" s="18"/>
      <c r="E4215" s="17"/>
      <c r="F4215" s="22"/>
      <c r="G4215"/>
    </row>
    <row r="4216" spans="1:7">
      <c r="A4216" s="17"/>
      <c r="B4216" s="18"/>
      <c r="C4216" s="17"/>
      <c r="D4216" s="18"/>
      <c r="E4216" s="17"/>
      <c r="F4216" s="22"/>
      <c r="G4216"/>
    </row>
    <row r="4217" spans="1:7">
      <c r="A4217" s="17"/>
      <c r="B4217" s="18"/>
      <c r="C4217" s="17"/>
      <c r="D4217" s="18"/>
      <c r="E4217" s="17"/>
      <c r="F4217" s="22"/>
      <c r="G4217"/>
    </row>
    <row r="4218" spans="1:7">
      <c r="A4218" s="17"/>
      <c r="B4218" s="18"/>
      <c r="C4218" s="17"/>
      <c r="D4218" s="18"/>
      <c r="E4218" s="17"/>
      <c r="F4218" s="22"/>
      <c r="G4218"/>
    </row>
    <row r="4219" spans="1:7">
      <c r="A4219" s="17"/>
      <c r="B4219" s="18"/>
      <c r="C4219" s="17"/>
      <c r="D4219" s="18"/>
      <c r="E4219" s="17"/>
      <c r="F4219" s="22"/>
      <c r="G4219"/>
    </row>
    <row r="4220" spans="1:7">
      <c r="A4220" s="17"/>
      <c r="B4220" s="18"/>
      <c r="C4220" s="17"/>
      <c r="D4220" s="18"/>
      <c r="E4220" s="17"/>
      <c r="F4220" s="22"/>
      <c r="G4220"/>
    </row>
    <row r="4221" spans="1:7">
      <c r="A4221" s="17"/>
      <c r="B4221" s="18"/>
      <c r="C4221" s="17"/>
      <c r="D4221" s="18"/>
      <c r="E4221" s="17"/>
      <c r="F4221" s="22"/>
      <c r="G4221"/>
    </row>
    <row r="4222" spans="1:7">
      <c r="A4222" s="17"/>
      <c r="B4222" s="18"/>
      <c r="C4222" s="17"/>
      <c r="D4222" s="18"/>
      <c r="E4222" s="17"/>
      <c r="F4222" s="22"/>
      <c r="G4222"/>
    </row>
    <row r="4223" spans="1:7">
      <c r="A4223" s="17"/>
      <c r="B4223" s="18"/>
      <c r="C4223" s="17"/>
      <c r="D4223" s="18"/>
      <c r="E4223" s="17"/>
      <c r="F4223" s="22"/>
      <c r="G4223"/>
    </row>
    <row r="4224" spans="1:7">
      <c r="A4224" s="17"/>
      <c r="B4224" s="18"/>
      <c r="C4224" s="17"/>
      <c r="D4224" s="18"/>
      <c r="E4224" s="17"/>
      <c r="F4224" s="22"/>
      <c r="G4224"/>
    </row>
    <row r="4225" spans="1:7">
      <c r="A4225" s="17"/>
      <c r="B4225" s="18"/>
      <c r="C4225" s="17"/>
      <c r="D4225" s="18"/>
      <c r="E4225" s="17"/>
      <c r="F4225" s="22"/>
      <c r="G4225"/>
    </row>
    <row r="4226" spans="1:7">
      <c r="A4226" s="17"/>
      <c r="B4226" s="18"/>
      <c r="C4226" s="17"/>
      <c r="D4226" s="18"/>
      <c r="E4226" s="17"/>
      <c r="F4226" s="22"/>
      <c r="G4226"/>
    </row>
    <row r="4227" spans="1:7">
      <c r="A4227" s="17"/>
      <c r="B4227" s="18"/>
      <c r="C4227" s="17"/>
      <c r="D4227" s="18"/>
      <c r="E4227" s="17"/>
      <c r="F4227" s="22"/>
      <c r="G4227"/>
    </row>
    <row r="4228" spans="1:7">
      <c r="A4228" s="17"/>
      <c r="B4228" s="18"/>
      <c r="C4228" s="17"/>
      <c r="D4228" s="18"/>
      <c r="E4228" s="17"/>
      <c r="F4228" s="22"/>
      <c r="G4228"/>
    </row>
    <row r="4229" spans="1:7">
      <c r="A4229" s="17"/>
      <c r="B4229" s="18"/>
      <c r="C4229" s="17"/>
      <c r="D4229" s="18"/>
      <c r="E4229" s="17"/>
      <c r="F4229" s="22"/>
      <c r="G4229"/>
    </row>
    <row r="4230" spans="1:7">
      <c r="A4230" s="17"/>
      <c r="B4230" s="18"/>
      <c r="C4230" s="17"/>
      <c r="D4230" s="18"/>
      <c r="E4230" s="17"/>
      <c r="F4230" s="22"/>
      <c r="G4230"/>
    </row>
    <row r="4231" spans="1:7">
      <c r="A4231" s="17"/>
      <c r="B4231" s="18"/>
      <c r="C4231" s="17"/>
      <c r="D4231" s="18"/>
      <c r="E4231" s="17"/>
      <c r="F4231" s="22"/>
      <c r="G4231"/>
    </row>
    <row r="4232" spans="1:7">
      <c r="A4232" s="17"/>
      <c r="B4232" s="18"/>
      <c r="C4232" s="17"/>
      <c r="D4232" s="18"/>
      <c r="E4232" s="17"/>
      <c r="F4232" s="22"/>
      <c r="G4232"/>
    </row>
    <row r="4233" spans="1:7">
      <c r="A4233" s="17"/>
      <c r="B4233" s="18"/>
      <c r="C4233" s="17"/>
      <c r="D4233" s="18"/>
      <c r="E4233" s="17"/>
      <c r="F4233" s="22"/>
      <c r="G4233"/>
    </row>
    <row r="4234" spans="1:7">
      <c r="A4234" s="17"/>
      <c r="B4234" s="18"/>
      <c r="C4234" s="17"/>
      <c r="D4234" s="18"/>
      <c r="E4234" s="17"/>
      <c r="F4234" s="22"/>
      <c r="G4234"/>
    </row>
    <row r="4235" spans="1:7">
      <c r="A4235" s="17"/>
      <c r="B4235" s="18"/>
      <c r="C4235" s="17"/>
      <c r="D4235" s="18"/>
      <c r="E4235" s="17"/>
      <c r="F4235" s="22"/>
      <c r="G4235"/>
    </row>
    <row r="4236" spans="1:7">
      <c r="A4236" s="17"/>
      <c r="B4236" s="18"/>
      <c r="C4236" s="17"/>
      <c r="D4236" s="18"/>
      <c r="E4236" s="17"/>
      <c r="F4236" s="22"/>
      <c r="G4236"/>
    </row>
    <row r="4237" spans="1:7">
      <c r="A4237" s="17"/>
      <c r="B4237" s="18"/>
      <c r="C4237" s="17"/>
      <c r="D4237" s="18"/>
      <c r="E4237" s="17"/>
      <c r="F4237" s="22"/>
      <c r="G4237"/>
    </row>
    <row r="4238" spans="1:7">
      <c r="A4238" s="17"/>
      <c r="B4238" s="18"/>
      <c r="C4238" s="17"/>
      <c r="D4238" s="18"/>
      <c r="E4238" s="17"/>
      <c r="F4238" s="22"/>
      <c r="G4238"/>
    </row>
    <row r="4239" spans="1:7">
      <c r="A4239" s="17"/>
      <c r="B4239" s="18"/>
      <c r="C4239" s="17"/>
      <c r="D4239" s="18"/>
      <c r="E4239" s="17"/>
      <c r="F4239" s="22"/>
      <c r="G4239"/>
    </row>
    <row r="4240" spans="1:7">
      <c r="A4240" s="17"/>
      <c r="B4240" s="18"/>
      <c r="C4240" s="17"/>
      <c r="D4240" s="18"/>
      <c r="E4240" s="17"/>
      <c r="F4240" s="22"/>
      <c r="G4240"/>
    </row>
    <row r="4241" spans="1:7">
      <c r="A4241" s="17"/>
      <c r="B4241" s="18"/>
      <c r="C4241" s="17"/>
      <c r="D4241" s="18"/>
      <c r="E4241" s="17"/>
      <c r="F4241" s="22"/>
      <c r="G4241"/>
    </row>
    <row r="4242" spans="1:7">
      <c r="A4242" s="17"/>
      <c r="B4242" s="18"/>
      <c r="C4242" s="17"/>
      <c r="D4242" s="18"/>
      <c r="E4242" s="17"/>
      <c r="F4242" s="22"/>
      <c r="G4242"/>
    </row>
    <row r="4243" spans="1:7">
      <c r="A4243" s="17"/>
      <c r="B4243" s="18"/>
      <c r="C4243" s="17"/>
      <c r="D4243" s="18"/>
      <c r="E4243" s="17"/>
      <c r="F4243" s="22"/>
      <c r="G4243"/>
    </row>
    <row r="4244" spans="1:7">
      <c r="A4244" s="17"/>
      <c r="B4244" s="18"/>
      <c r="C4244" s="17"/>
      <c r="D4244" s="18"/>
      <c r="E4244" s="17"/>
      <c r="F4244" s="22"/>
      <c r="G4244"/>
    </row>
    <row r="4245" spans="1:7">
      <c r="A4245" s="17"/>
      <c r="B4245" s="18"/>
      <c r="C4245" s="17"/>
      <c r="D4245" s="18"/>
      <c r="E4245" s="17"/>
      <c r="F4245" s="22"/>
      <c r="G4245"/>
    </row>
    <row r="4246" spans="1:7">
      <c r="A4246" s="17"/>
      <c r="B4246" s="18"/>
      <c r="C4246" s="17"/>
      <c r="D4246" s="18"/>
      <c r="E4246" s="17"/>
      <c r="F4246" s="22"/>
      <c r="G4246"/>
    </row>
    <row r="4247" spans="1:7">
      <c r="A4247" s="17"/>
      <c r="B4247" s="18"/>
      <c r="C4247" s="17"/>
      <c r="D4247" s="18"/>
      <c r="E4247" s="17"/>
      <c r="F4247" s="22"/>
      <c r="G4247"/>
    </row>
    <row r="4248" spans="1:7">
      <c r="A4248" s="17"/>
      <c r="B4248" s="18"/>
      <c r="C4248" s="17"/>
      <c r="D4248" s="18"/>
      <c r="E4248" s="17"/>
      <c r="F4248" s="22"/>
      <c r="G4248"/>
    </row>
    <row r="4249" spans="1:7">
      <c r="A4249" s="17"/>
      <c r="B4249" s="18"/>
      <c r="C4249" s="17"/>
      <c r="D4249" s="18"/>
      <c r="E4249" s="17"/>
      <c r="F4249" s="22"/>
      <c r="G4249"/>
    </row>
    <row r="4250" spans="1:7">
      <c r="A4250" s="17"/>
      <c r="B4250" s="18"/>
      <c r="C4250" s="17"/>
      <c r="D4250" s="18"/>
      <c r="E4250" s="17"/>
      <c r="F4250" s="22"/>
      <c r="G4250"/>
    </row>
    <row r="4251" spans="1:7">
      <c r="A4251" s="17"/>
      <c r="B4251" s="18"/>
      <c r="C4251" s="17"/>
      <c r="D4251" s="18"/>
      <c r="E4251" s="17"/>
      <c r="F4251" s="22"/>
      <c r="G4251"/>
    </row>
    <row r="4252" spans="1:7">
      <c r="A4252" s="17"/>
      <c r="B4252" s="18"/>
      <c r="C4252" s="17"/>
      <c r="D4252" s="18"/>
      <c r="E4252" s="17"/>
      <c r="F4252" s="22"/>
      <c r="G4252"/>
    </row>
    <row r="4253" spans="1:7">
      <c r="A4253" s="17"/>
      <c r="B4253" s="18"/>
      <c r="C4253" s="17"/>
      <c r="D4253" s="18"/>
      <c r="E4253" s="17"/>
      <c r="F4253" s="22"/>
      <c r="G4253"/>
    </row>
    <row r="4254" spans="1:7">
      <c r="A4254" s="17"/>
      <c r="B4254" s="18"/>
      <c r="C4254" s="17"/>
      <c r="D4254" s="18"/>
      <c r="E4254" s="17"/>
      <c r="F4254" s="22"/>
      <c r="G4254"/>
    </row>
    <row r="4255" spans="1:7">
      <c r="A4255" s="17"/>
      <c r="B4255" s="18"/>
      <c r="C4255" s="17"/>
      <c r="D4255" s="18"/>
      <c r="E4255" s="17"/>
      <c r="F4255" s="22"/>
      <c r="G4255"/>
    </row>
    <row r="4256" spans="1:7">
      <c r="A4256" s="17"/>
      <c r="B4256" s="18"/>
      <c r="C4256" s="17"/>
      <c r="D4256" s="18"/>
      <c r="E4256" s="17"/>
      <c r="F4256" s="22"/>
      <c r="G4256"/>
    </row>
    <row r="4257" spans="1:7">
      <c r="A4257" s="17"/>
      <c r="B4257" s="18"/>
      <c r="C4257" s="17"/>
      <c r="D4257" s="18"/>
      <c r="E4257" s="17"/>
      <c r="F4257" s="22"/>
      <c r="G4257"/>
    </row>
    <row r="4258" spans="1:7">
      <c r="A4258" s="17"/>
      <c r="B4258" s="18"/>
      <c r="C4258" s="17"/>
      <c r="D4258" s="18"/>
      <c r="E4258" s="17"/>
      <c r="F4258" s="22"/>
      <c r="G4258"/>
    </row>
    <row r="4259" spans="1:7">
      <c r="A4259" s="17"/>
      <c r="B4259" s="18"/>
      <c r="C4259" s="17"/>
      <c r="D4259" s="18"/>
      <c r="E4259" s="17"/>
      <c r="F4259" s="22"/>
      <c r="G4259"/>
    </row>
    <row r="4260" spans="1:7">
      <c r="A4260" s="17"/>
      <c r="B4260" s="18"/>
      <c r="C4260" s="17"/>
      <c r="D4260" s="18"/>
      <c r="E4260" s="17"/>
      <c r="F4260" s="22"/>
      <c r="G4260"/>
    </row>
    <row r="4261" spans="1:7">
      <c r="A4261" s="17"/>
      <c r="B4261" s="18"/>
      <c r="C4261" s="17"/>
      <c r="D4261" s="18"/>
      <c r="E4261" s="17"/>
      <c r="F4261" s="22"/>
      <c r="G4261"/>
    </row>
    <row r="4262" spans="1:7">
      <c r="A4262" s="17"/>
      <c r="B4262" s="18"/>
      <c r="C4262" s="17"/>
      <c r="D4262" s="18"/>
      <c r="E4262" s="17"/>
      <c r="F4262" s="22"/>
      <c r="G4262"/>
    </row>
    <row r="4263" spans="1:7">
      <c r="A4263" s="17"/>
      <c r="B4263" s="18"/>
      <c r="C4263" s="17"/>
      <c r="D4263" s="18"/>
      <c r="E4263" s="17"/>
      <c r="F4263" s="22"/>
      <c r="G4263"/>
    </row>
    <row r="4264" spans="1:7">
      <c r="A4264" s="17"/>
      <c r="B4264" s="18"/>
      <c r="C4264" s="17"/>
      <c r="D4264" s="18"/>
      <c r="E4264" s="17"/>
      <c r="F4264" s="22"/>
      <c r="G4264"/>
    </row>
    <row r="4265" spans="1:7">
      <c r="A4265" s="17"/>
      <c r="B4265" s="18"/>
      <c r="C4265" s="17"/>
      <c r="D4265" s="18"/>
      <c r="E4265" s="17"/>
      <c r="F4265" s="22"/>
      <c r="G4265"/>
    </row>
    <row r="4266" spans="1:7">
      <c r="A4266" s="17"/>
      <c r="B4266" s="18"/>
      <c r="C4266" s="17"/>
      <c r="D4266" s="18"/>
      <c r="E4266" s="17"/>
      <c r="F4266" s="22"/>
      <c r="G4266"/>
    </row>
    <row r="4267" spans="1:7">
      <c r="A4267" s="17"/>
      <c r="B4267" s="18"/>
      <c r="C4267" s="17"/>
      <c r="D4267" s="18"/>
      <c r="E4267" s="17"/>
      <c r="F4267" s="22"/>
      <c r="G4267"/>
    </row>
    <row r="4268" spans="1:7">
      <c r="A4268" s="17"/>
      <c r="B4268" s="18"/>
      <c r="C4268" s="17"/>
      <c r="D4268" s="18"/>
      <c r="E4268" s="17"/>
      <c r="F4268" s="22"/>
      <c r="G4268"/>
    </row>
    <row r="4269" spans="1:7">
      <c r="A4269" s="17"/>
      <c r="B4269" s="18"/>
      <c r="C4269" s="17"/>
      <c r="D4269" s="18"/>
      <c r="E4269" s="17"/>
      <c r="F4269" s="22"/>
      <c r="G4269"/>
    </row>
    <row r="4270" spans="1:7">
      <c r="A4270" s="17"/>
      <c r="B4270" s="18"/>
      <c r="C4270" s="17"/>
      <c r="D4270" s="18"/>
      <c r="E4270" s="17"/>
      <c r="F4270" s="22"/>
      <c r="G4270"/>
    </row>
    <row r="4271" spans="1:7">
      <c r="A4271" s="17"/>
      <c r="B4271" s="18"/>
      <c r="C4271" s="17"/>
      <c r="D4271" s="18"/>
      <c r="E4271" s="17"/>
      <c r="F4271" s="22"/>
      <c r="G4271"/>
    </row>
    <row r="4272" spans="1:7">
      <c r="A4272" s="17"/>
      <c r="B4272" s="18"/>
      <c r="C4272" s="17"/>
      <c r="D4272" s="18"/>
      <c r="E4272" s="17"/>
      <c r="F4272" s="22"/>
      <c r="G4272"/>
    </row>
    <row r="4273" spans="1:7">
      <c r="A4273" s="17"/>
      <c r="B4273" s="18"/>
      <c r="C4273" s="17"/>
      <c r="D4273" s="18"/>
      <c r="E4273" s="17"/>
      <c r="F4273" s="22"/>
      <c r="G4273"/>
    </row>
    <row r="4274" spans="1:7">
      <c r="A4274" s="17"/>
      <c r="B4274" s="18"/>
      <c r="C4274" s="17"/>
      <c r="D4274" s="18"/>
      <c r="E4274" s="17"/>
      <c r="F4274" s="22"/>
      <c r="G4274"/>
    </row>
    <row r="4275" spans="1:7">
      <c r="A4275" s="17"/>
      <c r="B4275" s="18"/>
      <c r="C4275" s="17"/>
      <c r="D4275" s="18"/>
      <c r="E4275" s="17"/>
      <c r="F4275" s="22"/>
      <c r="G4275"/>
    </row>
    <row r="4276" spans="1:7">
      <c r="A4276" s="17"/>
      <c r="B4276" s="18"/>
      <c r="C4276" s="17"/>
      <c r="D4276" s="18"/>
      <c r="E4276" s="17"/>
      <c r="F4276" s="22"/>
      <c r="G4276"/>
    </row>
    <row r="4277" spans="1:7">
      <c r="A4277" s="17"/>
      <c r="B4277" s="18"/>
      <c r="C4277" s="17"/>
      <c r="D4277" s="18"/>
      <c r="E4277" s="17"/>
      <c r="F4277" s="22"/>
      <c r="G4277"/>
    </row>
    <row r="4278" spans="1:7">
      <c r="A4278" s="17"/>
      <c r="B4278" s="18"/>
      <c r="C4278" s="17"/>
      <c r="D4278" s="18"/>
      <c r="E4278" s="17"/>
      <c r="F4278" s="22"/>
      <c r="G4278"/>
    </row>
    <row r="4279" spans="1:7">
      <c r="A4279" s="17"/>
      <c r="B4279" s="18"/>
      <c r="C4279" s="17"/>
      <c r="D4279" s="18"/>
      <c r="E4279" s="17"/>
      <c r="F4279" s="22"/>
      <c r="G4279"/>
    </row>
    <row r="4280" spans="1:7">
      <c r="A4280" s="17"/>
      <c r="B4280" s="18"/>
      <c r="C4280" s="17"/>
      <c r="D4280" s="18"/>
      <c r="E4280" s="17"/>
      <c r="F4280" s="22"/>
      <c r="G4280"/>
    </row>
    <row r="4281" spans="1:7">
      <c r="A4281" s="17"/>
      <c r="B4281" s="18"/>
      <c r="C4281" s="17"/>
      <c r="D4281" s="18"/>
      <c r="E4281" s="17"/>
      <c r="F4281" s="22"/>
      <c r="G4281"/>
    </row>
    <row r="4282" spans="1:7">
      <c r="A4282" s="17"/>
      <c r="B4282" s="18"/>
      <c r="C4282" s="17"/>
      <c r="D4282" s="18"/>
      <c r="E4282" s="17"/>
      <c r="F4282" s="22"/>
      <c r="G4282"/>
    </row>
    <row r="4283" spans="1:7">
      <c r="A4283" s="17"/>
      <c r="B4283" s="18"/>
      <c r="C4283" s="17"/>
      <c r="D4283" s="18"/>
      <c r="E4283" s="17"/>
      <c r="F4283" s="22"/>
      <c r="G4283"/>
    </row>
    <row r="4284" spans="1:7">
      <c r="A4284" s="17"/>
      <c r="B4284" s="18"/>
      <c r="C4284" s="17"/>
      <c r="D4284" s="18"/>
      <c r="E4284" s="17"/>
      <c r="F4284" s="22"/>
      <c r="G4284"/>
    </row>
    <row r="4285" spans="1:7">
      <c r="A4285" s="17"/>
      <c r="B4285" s="18"/>
      <c r="C4285" s="17"/>
      <c r="D4285" s="18"/>
      <c r="E4285" s="17"/>
      <c r="F4285" s="22"/>
      <c r="G4285"/>
    </row>
    <row r="4286" spans="1:7">
      <c r="A4286" s="17"/>
      <c r="B4286" s="18"/>
      <c r="C4286" s="17"/>
      <c r="D4286" s="18"/>
      <c r="E4286" s="17"/>
      <c r="F4286" s="22"/>
      <c r="G4286"/>
    </row>
    <row r="4287" spans="1:7">
      <c r="A4287" s="17"/>
      <c r="B4287" s="18"/>
      <c r="C4287" s="17"/>
      <c r="D4287" s="18"/>
      <c r="E4287" s="17"/>
      <c r="F4287" s="22"/>
      <c r="G4287"/>
    </row>
    <row r="4288" spans="1:7">
      <c r="A4288" s="17"/>
      <c r="B4288" s="18"/>
      <c r="C4288" s="17"/>
      <c r="D4288" s="18"/>
      <c r="E4288" s="17"/>
      <c r="F4288" s="22"/>
      <c r="G4288"/>
    </row>
    <row r="4289" spans="1:7">
      <c r="A4289" s="17"/>
      <c r="B4289" s="18"/>
      <c r="C4289" s="17"/>
      <c r="D4289" s="18"/>
      <c r="E4289" s="17"/>
      <c r="F4289" s="22"/>
      <c r="G4289"/>
    </row>
    <row r="4290" spans="1:7">
      <c r="A4290" s="17"/>
      <c r="B4290" s="18"/>
      <c r="C4290" s="17"/>
      <c r="D4290" s="18"/>
      <c r="E4290" s="17"/>
      <c r="F4290" s="22"/>
      <c r="G4290"/>
    </row>
    <row r="4291" spans="1:7">
      <c r="A4291" s="17"/>
      <c r="B4291" s="18"/>
      <c r="C4291" s="17"/>
      <c r="D4291" s="18"/>
      <c r="E4291" s="17"/>
      <c r="F4291" s="22"/>
      <c r="G4291"/>
    </row>
    <row r="4292" spans="1:7">
      <c r="A4292" s="17"/>
      <c r="B4292" s="18"/>
      <c r="C4292" s="17"/>
      <c r="D4292" s="18"/>
      <c r="E4292" s="17"/>
      <c r="F4292" s="22"/>
      <c r="G4292"/>
    </row>
    <row r="4293" spans="1:7">
      <c r="A4293" s="17"/>
      <c r="B4293" s="18"/>
      <c r="C4293" s="17"/>
      <c r="D4293" s="18"/>
      <c r="E4293" s="17"/>
      <c r="F4293" s="22"/>
      <c r="G4293"/>
    </row>
    <row r="4294" spans="1:7">
      <c r="A4294" s="17"/>
      <c r="B4294" s="18"/>
      <c r="C4294" s="17"/>
      <c r="D4294" s="18"/>
      <c r="E4294" s="17"/>
      <c r="F4294" s="22"/>
      <c r="G4294"/>
    </row>
    <row r="4295" spans="1:7">
      <c r="A4295" s="17"/>
      <c r="B4295" s="18"/>
      <c r="C4295" s="17"/>
      <c r="D4295" s="18"/>
      <c r="E4295" s="17"/>
      <c r="F4295" s="22"/>
      <c r="G4295"/>
    </row>
    <row r="4296" spans="1:7">
      <c r="A4296" s="17"/>
      <c r="B4296" s="18"/>
      <c r="C4296" s="17"/>
      <c r="D4296" s="18"/>
      <c r="E4296" s="17"/>
      <c r="F4296" s="22"/>
      <c r="G4296"/>
    </row>
    <row r="4297" spans="1:7">
      <c r="A4297" s="17"/>
      <c r="B4297" s="18"/>
      <c r="C4297" s="17"/>
      <c r="D4297" s="18"/>
      <c r="E4297" s="17"/>
      <c r="F4297" s="22"/>
      <c r="G4297"/>
    </row>
    <row r="4298" spans="1:7">
      <c r="A4298" s="17"/>
      <c r="B4298" s="18"/>
      <c r="C4298" s="17"/>
      <c r="D4298" s="18"/>
      <c r="E4298" s="17"/>
      <c r="F4298" s="22"/>
      <c r="G4298"/>
    </row>
    <row r="4299" spans="1:7">
      <c r="A4299" s="17"/>
      <c r="B4299" s="18"/>
      <c r="C4299" s="17"/>
      <c r="D4299" s="18"/>
      <c r="E4299" s="17"/>
      <c r="F4299" s="22"/>
      <c r="G4299"/>
    </row>
    <row r="4300" spans="1:7">
      <c r="A4300" s="17"/>
      <c r="B4300" s="18"/>
      <c r="C4300" s="17"/>
      <c r="D4300" s="18"/>
      <c r="E4300" s="17"/>
      <c r="F4300" s="22"/>
      <c r="G4300"/>
    </row>
    <row r="4301" spans="1:7">
      <c r="A4301" s="17"/>
      <c r="B4301" s="18"/>
      <c r="C4301" s="17"/>
      <c r="D4301" s="18"/>
      <c r="E4301" s="17"/>
      <c r="F4301" s="22"/>
      <c r="G4301"/>
    </row>
    <row r="4302" spans="1:7">
      <c r="A4302" s="17"/>
      <c r="B4302" s="18"/>
      <c r="C4302" s="17"/>
      <c r="D4302" s="18"/>
      <c r="E4302" s="17"/>
      <c r="F4302" s="22"/>
      <c r="G4302"/>
    </row>
    <row r="4303" spans="1:7">
      <c r="A4303" s="17"/>
      <c r="B4303" s="18"/>
      <c r="C4303" s="17"/>
      <c r="D4303" s="18"/>
      <c r="E4303" s="17"/>
      <c r="F4303" s="22"/>
      <c r="G4303"/>
    </row>
    <row r="4304" spans="1:7">
      <c r="A4304" s="17"/>
      <c r="B4304" s="18"/>
      <c r="C4304" s="17"/>
      <c r="D4304" s="18"/>
      <c r="E4304" s="17"/>
      <c r="F4304" s="22"/>
      <c r="G4304"/>
    </row>
    <row r="4305" spans="1:7">
      <c r="A4305" s="17"/>
      <c r="B4305" s="18"/>
      <c r="C4305" s="17"/>
      <c r="D4305" s="18"/>
      <c r="E4305" s="17"/>
      <c r="F4305" s="22"/>
      <c r="G4305"/>
    </row>
    <row r="4306" spans="1:7">
      <c r="A4306" s="17"/>
      <c r="B4306" s="18"/>
      <c r="C4306" s="17"/>
      <c r="D4306" s="18"/>
      <c r="E4306" s="17"/>
      <c r="F4306" s="22"/>
      <c r="G4306"/>
    </row>
    <row r="4307" spans="1:7">
      <c r="A4307" s="17"/>
      <c r="B4307" s="18"/>
      <c r="C4307" s="17"/>
      <c r="D4307" s="18"/>
      <c r="E4307" s="17"/>
      <c r="F4307" s="22"/>
      <c r="G4307"/>
    </row>
    <row r="4308" spans="1:7">
      <c r="A4308" s="17"/>
      <c r="B4308" s="18"/>
      <c r="C4308" s="17"/>
      <c r="D4308" s="18"/>
      <c r="E4308" s="17"/>
      <c r="F4308" s="22"/>
      <c r="G4308"/>
    </row>
    <row r="4309" spans="1:7">
      <c r="A4309" s="17"/>
      <c r="B4309" s="18"/>
      <c r="C4309" s="17"/>
      <c r="D4309" s="18"/>
      <c r="E4309" s="17"/>
      <c r="F4309" s="22"/>
      <c r="G4309"/>
    </row>
    <row r="4310" spans="1:7">
      <c r="A4310" s="17"/>
      <c r="B4310" s="18"/>
      <c r="C4310" s="17"/>
      <c r="D4310" s="18"/>
      <c r="E4310" s="17"/>
      <c r="F4310" s="22"/>
      <c r="G4310"/>
    </row>
    <row r="4311" spans="1:7">
      <c r="A4311" s="17"/>
      <c r="B4311" s="18"/>
      <c r="C4311" s="17"/>
      <c r="D4311" s="18"/>
      <c r="E4311" s="17"/>
      <c r="F4311" s="22"/>
      <c r="G4311"/>
    </row>
    <row r="4312" spans="1:7">
      <c r="A4312" s="17"/>
      <c r="B4312" s="18"/>
      <c r="C4312" s="17"/>
      <c r="D4312" s="18"/>
      <c r="E4312" s="17"/>
      <c r="F4312" s="22"/>
      <c r="G4312"/>
    </row>
    <row r="4313" spans="1:7">
      <c r="A4313" s="17"/>
      <c r="B4313" s="18"/>
      <c r="C4313" s="17"/>
      <c r="D4313" s="18"/>
      <c r="E4313" s="17"/>
      <c r="F4313" s="22"/>
      <c r="G4313"/>
    </row>
    <row r="4314" spans="1:7">
      <c r="A4314" s="17"/>
      <c r="B4314" s="18"/>
      <c r="C4314" s="17"/>
      <c r="D4314" s="18"/>
      <c r="E4314" s="17"/>
      <c r="F4314" s="22"/>
      <c r="G4314"/>
    </row>
    <row r="4315" spans="1:7">
      <c r="A4315" s="17"/>
      <c r="B4315" s="18"/>
      <c r="C4315" s="17"/>
      <c r="D4315" s="18"/>
      <c r="E4315" s="17"/>
      <c r="F4315" s="22"/>
      <c r="G4315"/>
    </row>
    <row r="4316" spans="1:7">
      <c r="A4316" s="17"/>
      <c r="B4316" s="18"/>
      <c r="C4316" s="17"/>
      <c r="D4316" s="18"/>
      <c r="E4316" s="17"/>
      <c r="F4316" s="22"/>
      <c r="G4316"/>
    </row>
    <row r="4317" spans="1:7">
      <c r="A4317" s="17"/>
      <c r="B4317" s="18"/>
      <c r="C4317" s="17"/>
      <c r="D4317" s="18"/>
      <c r="E4317" s="17"/>
      <c r="F4317" s="22"/>
      <c r="G4317"/>
    </row>
    <row r="4318" spans="1:7">
      <c r="A4318" s="17"/>
      <c r="B4318" s="18"/>
      <c r="C4318" s="17"/>
      <c r="D4318" s="18"/>
      <c r="E4318" s="17"/>
      <c r="F4318" s="22"/>
      <c r="G4318"/>
    </row>
    <row r="4319" spans="1:7">
      <c r="A4319" s="17"/>
      <c r="B4319" s="18"/>
      <c r="C4319" s="17"/>
      <c r="D4319" s="18"/>
      <c r="E4319" s="17"/>
      <c r="F4319" s="22"/>
      <c r="G4319"/>
    </row>
    <row r="4320" spans="1:7">
      <c r="A4320" s="17"/>
      <c r="B4320" s="18"/>
      <c r="C4320" s="17"/>
      <c r="D4320" s="18"/>
      <c r="E4320" s="17"/>
      <c r="F4320" s="22"/>
      <c r="G4320"/>
    </row>
    <row r="4321" spans="1:7">
      <c r="A4321" s="17"/>
      <c r="B4321" s="18"/>
      <c r="C4321" s="17"/>
      <c r="D4321" s="18"/>
      <c r="E4321" s="17"/>
      <c r="F4321" s="22"/>
      <c r="G4321"/>
    </row>
    <row r="4322" spans="1:7">
      <c r="A4322" s="17"/>
      <c r="B4322" s="18"/>
      <c r="C4322" s="17"/>
      <c r="D4322" s="18"/>
      <c r="E4322" s="17"/>
      <c r="F4322" s="22"/>
      <c r="G4322"/>
    </row>
    <row r="4323" spans="1:7">
      <c r="A4323" s="17"/>
      <c r="B4323" s="18"/>
      <c r="C4323" s="17"/>
      <c r="D4323" s="18"/>
      <c r="E4323" s="17"/>
      <c r="F4323" s="22"/>
      <c r="G4323"/>
    </row>
    <row r="4324" spans="1:7">
      <c r="A4324" s="17"/>
      <c r="B4324" s="18"/>
      <c r="C4324" s="17"/>
      <c r="D4324" s="18"/>
      <c r="E4324" s="17"/>
      <c r="F4324" s="22"/>
      <c r="G4324"/>
    </row>
    <row r="4325" spans="1:7">
      <c r="A4325" s="17"/>
      <c r="B4325" s="18"/>
      <c r="C4325" s="17"/>
      <c r="D4325" s="18"/>
      <c r="E4325" s="17"/>
      <c r="F4325" s="22"/>
      <c r="G4325"/>
    </row>
    <row r="4326" spans="1:7">
      <c r="A4326" s="17"/>
      <c r="B4326" s="18"/>
      <c r="C4326" s="17"/>
      <c r="D4326" s="18"/>
      <c r="E4326" s="17"/>
      <c r="F4326" s="22"/>
      <c r="G4326"/>
    </row>
    <row r="4327" spans="1:7">
      <c r="A4327" s="17"/>
      <c r="B4327" s="18"/>
      <c r="C4327" s="17"/>
      <c r="D4327" s="18"/>
      <c r="E4327" s="17"/>
      <c r="F4327" s="22"/>
      <c r="G4327"/>
    </row>
    <row r="4328" spans="1:7">
      <c r="A4328" s="17"/>
      <c r="B4328" s="18"/>
      <c r="C4328" s="17"/>
      <c r="D4328" s="18"/>
      <c r="E4328" s="17"/>
      <c r="F4328" s="22"/>
      <c r="G4328"/>
    </row>
    <row r="4329" spans="1:7">
      <c r="A4329" s="17"/>
      <c r="B4329" s="18"/>
      <c r="C4329" s="17"/>
      <c r="D4329" s="18"/>
      <c r="E4329" s="17"/>
      <c r="F4329" s="22"/>
      <c r="G4329"/>
    </row>
    <row r="4330" spans="1:7">
      <c r="A4330" s="17"/>
      <c r="B4330" s="18"/>
      <c r="C4330" s="17"/>
      <c r="D4330" s="18"/>
      <c r="E4330" s="17"/>
      <c r="F4330" s="22"/>
      <c r="G4330"/>
    </row>
    <row r="4331" spans="1:7">
      <c r="A4331" s="17"/>
      <c r="B4331" s="18"/>
      <c r="C4331" s="17"/>
      <c r="D4331" s="18"/>
      <c r="E4331" s="17"/>
      <c r="F4331" s="22"/>
      <c r="G4331"/>
    </row>
    <row r="4332" spans="1:7">
      <c r="A4332" s="17"/>
      <c r="B4332" s="18"/>
      <c r="C4332" s="17"/>
      <c r="D4332" s="18"/>
      <c r="E4332" s="17"/>
      <c r="F4332" s="22"/>
      <c r="G4332"/>
    </row>
    <row r="4333" spans="1:7">
      <c r="A4333" s="17"/>
      <c r="B4333" s="18"/>
      <c r="C4333" s="17"/>
      <c r="D4333" s="18"/>
      <c r="E4333" s="17"/>
      <c r="F4333" s="22"/>
      <c r="G4333"/>
    </row>
    <row r="4334" spans="1:7">
      <c r="A4334" s="17"/>
      <c r="B4334" s="18"/>
      <c r="C4334" s="17"/>
      <c r="D4334" s="18"/>
      <c r="E4334" s="17"/>
      <c r="F4334" s="22"/>
      <c r="G4334"/>
    </row>
    <row r="4335" spans="1:7">
      <c r="A4335" s="17"/>
      <c r="B4335" s="18"/>
      <c r="C4335" s="17"/>
      <c r="D4335" s="18"/>
      <c r="E4335" s="17"/>
      <c r="F4335" s="22"/>
      <c r="G4335"/>
    </row>
    <row r="4336" spans="1:7">
      <c r="A4336" s="17"/>
      <c r="B4336" s="18"/>
      <c r="C4336" s="17"/>
      <c r="D4336" s="18"/>
      <c r="E4336" s="17"/>
      <c r="F4336" s="22"/>
      <c r="G4336"/>
    </row>
    <row r="4337" spans="1:7">
      <c r="A4337" s="17"/>
      <c r="B4337" s="18"/>
      <c r="C4337" s="17"/>
      <c r="D4337" s="18"/>
      <c r="E4337" s="17"/>
      <c r="F4337" s="22"/>
      <c r="G4337"/>
    </row>
    <row r="4338" spans="1:7">
      <c r="A4338" s="17"/>
      <c r="B4338" s="18"/>
      <c r="C4338" s="17"/>
      <c r="D4338" s="18"/>
      <c r="E4338" s="17"/>
      <c r="F4338" s="22"/>
      <c r="G4338"/>
    </row>
    <row r="4339" spans="1:7">
      <c r="A4339" s="17"/>
      <c r="B4339" s="18"/>
      <c r="C4339" s="17"/>
      <c r="D4339" s="18"/>
      <c r="E4339" s="17"/>
      <c r="F4339" s="22"/>
      <c r="G4339"/>
    </row>
    <row r="4340" spans="1:7">
      <c r="A4340" s="17"/>
      <c r="B4340" s="18"/>
      <c r="C4340" s="17"/>
      <c r="D4340" s="18"/>
      <c r="E4340" s="17"/>
      <c r="F4340" s="22"/>
      <c r="G4340"/>
    </row>
    <row r="4341" spans="1:7">
      <c r="A4341" s="17"/>
      <c r="B4341" s="18"/>
      <c r="C4341" s="17"/>
      <c r="D4341" s="18"/>
      <c r="E4341" s="17"/>
      <c r="F4341" s="22"/>
      <c r="G4341"/>
    </row>
    <row r="4342" spans="1:7">
      <c r="A4342" s="17"/>
      <c r="B4342" s="18"/>
      <c r="C4342" s="17"/>
      <c r="D4342" s="18"/>
      <c r="E4342" s="17"/>
      <c r="F4342" s="22"/>
      <c r="G4342"/>
    </row>
    <row r="4343" spans="1:7">
      <c r="A4343" s="17"/>
      <c r="B4343" s="18"/>
      <c r="C4343" s="17"/>
      <c r="D4343" s="18"/>
      <c r="E4343" s="17"/>
      <c r="F4343" s="22"/>
      <c r="G4343"/>
    </row>
    <row r="4344" spans="1:7">
      <c r="A4344" s="17"/>
      <c r="B4344" s="18"/>
      <c r="C4344" s="17"/>
      <c r="D4344" s="18"/>
      <c r="E4344" s="17"/>
      <c r="F4344" s="22"/>
      <c r="G4344"/>
    </row>
    <row r="4345" spans="1:7">
      <c r="A4345" s="17"/>
      <c r="B4345" s="18"/>
      <c r="C4345" s="17"/>
      <c r="D4345" s="18"/>
      <c r="E4345" s="17"/>
      <c r="F4345" s="22"/>
      <c r="G4345"/>
    </row>
    <row r="4346" spans="1:7">
      <c r="A4346" s="17"/>
      <c r="B4346" s="18"/>
      <c r="C4346" s="17"/>
      <c r="D4346" s="18"/>
      <c r="E4346" s="17"/>
      <c r="F4346" s="22"/>
      <c r="G4346"/>
    </row>
    <row r="4347" spans="1:7">
      <c r="A4347" s="17"/>
      <c r="B4347" s="18"/>
      <c r="C4347" s="17"/>
      <c r="D4347" s="18"/>
      <c r="E4347" s="17"/>
      <c r="F4347" s="22"/>
      <c r="G4347"/>
    </row>
    <row r="4348" spans="1:7">
      <c r="A4348" s="17"/>
      <c r="B4348" s="18"/>
      <c r="C4348" s="17"/>
      <c r="D4348" s="18"/>
      <c r="E4348" s="17"/>
      <c r="F4348" s="22"/>
      <c r="G4348"/>
    </row>
    <row r="4349" spans="1:7">
      <c r="A4349" s="17"/>
      <c r="B4349" s="18"/>
      <c r="C4349" s="17"/>
      <c r="D4349" s="18"/>
      <c r="E4349" s="17"/>
      <c r="F4349" s="22"/>
      <c r="G4349"/>
    </row>
    <row r="4350" spans="1:7">
      <c r="A4350" s="17"/>
      <c r="B4350" s="18"/>
      <c r="C4350" s="17"/>
      <c r="D4350" s="18"/>
      <c r="E4350" s="17"/>
      <c r="F4350" s="22"/>
      <c r="G4350"/>
    </row>
    <row r="4351" spans="1:7">
      <c r="A4351" s="17"/>
      <c r="B4351" s="18"/>
      <c r="C4351" s="17"/>
      <c r="D4351" s="18"/>
      <c r="E4351" s="17"/>
      <c r="F4351" s="22"/>
      <c r="G4351"/>
    </row>
    <row r="4352" spans="1:7">
      <c r="A4352" s="17"/>
      <c r="B4352" s="18"/>
      <c r="C4352" s="17"/>
      <c r="D4352" s="18"/>
      <c r="E4352" s="17"/>
      <c r="F4352" s="22"/>
      <c r="G4352"/>
    </row>
    <row r="4353" spans="1:7">
      <c r="A4353" s="17"/>
      <c r="B4353" s="18"/>
      <c r="C4353" s="17"/>
      <c r="D4353" s="18"/>
      <c r="E4353" s="17"/>
      <c r="F4353" s="22"/>
      <c r="G4353"/>
    </row>
    <row r="4354" spans="1:7">
      <c r="A4354" s="17"/>
      <c r="B4354" s="18"/>
      <c r="C4354" s="17"/>
      <c r="D4354" s="18"/>
      <c r="E4354" s="17"/>
      <c r="F4354" s="22"/>
      <c r="G4354"/>
    </row>
    <row r="4355" spans="1:7">
      <c r="A4355" s="17"/>
      <c r="B4355" s="18"/>
      <c r="C4355" s="17"/>
      <c r="D4355" s="18"/>
      <c r="E4355" s="17"/>
      <c r="F4355" s="22"/>
      <c r="G4355"/>
    </row>
    <row r="4356" spans="1:7">
      <c r="A4356" s="17"/>
      <c r="B4356" s="18"/>
      <c r="C4356" s="17"/>
      <c r="D4356" s="18"/>
      <c r="E4356" s="17"/>
      <c r="F4356" s="22"/>
      <c r="G4356"/>
    </row>
    <row r="4357" spans="1:7">
      <c r="A4357" s="17"/>
      <c r="B4357" s="18"/>
      <c r="C4357" s="17"/>
      <c r="D4357" s="18"/>
      <c r="E4357" s="17"/>
      <c r="F4357" s="22"/>
      <c r="G4357"/>
    </row>
    <row r="4358" spans="1:7">
      <c r="A4358" s="17"/>
      <c r="B4358" s="18"/>
      <c r="C4358" s="17"/>
      <c r="D4358" s="18"/>
      <c r="E4358" s="17"/>
      <c r="F4358" s="22"/>
      <c r="G4358"/>
    </row>
    <row r="4359" spans="1:7">
      <c r="A4359" s="17"/>
      <c r="B4359" s="18"/>
      <c r="C4359" s="17"/>
      <c r="D4359" s="18"/>
      <c r="E4359" s="17"/>
      <c r="F4359" s="22"/>
      <c r="G4359"/>
    </row>
    <row r="4360" spans="1:7">
      <c r="A4360" s="17"/>
      <c r="B4360" s="18"/>
      <c r="C4360" s="17"/>
      <c r="D4360" s="18"/>
      <c r="E4360" s="17"/>
      <c r="F4360" s="22"/>
      <c r="G4360"/>
    </row>
    <row r="4361" spans="1:7">
      <c r="A4361" s="17"/>
      <c r="B4361" s="18"/>
      <c r="C4361" s="17"/>
      <c r="D4361" s="18"/>
      <c r="E4361" s="17"/>
      <c r="F4361" s="22"/>
      <c r="G4361"/>
    </row>
    <row r="4362" spans="1:7">
      <c r="A4362" s="17"/>
      <c r="B4362" s="18"/>
      <c r="C4362" s="17"/>
      <c r="D4362" s="18"/>
      <c r="E4362" s="17"/>
      <c r="F4362" s="22"/>
      <c r="G4362"/>
    </row>
    <row r="4363" spans="1:7">
      <c r="A4363" s="17"/>
      <c r="B4363" s="18"/>
      <c r="C4363" s="17"/>
      <c r="D4363" s="18"/>
      <c r="E4363" s="17"/>
      <c r="F4363" s="22"/>
      <c r="G4363"/>
    </row>
    <row r="4364" spans="1:7">
      <c r="A4364" s="17"/>
      <c r="B4364" s="18"/>
      <c r="C4364" s="17"/>
      <c r="D4364" s="18"/>
      <c r="E4364" s="17"/>
      <c r="F4364" s="22"/>
      <c r="G4364"/>
    </row>
    <row r="4365" spans="1:7">
      <c r="A4365" s="17"/>
      <c r="B4365" s="18"/>
      <c r="C4365" s="17"/>
      <c r="D4365" s="18"/>
      <c r="E4365" s="17"/>
      <c r="F4365" s="22"/>
      <c r="G4365"/>
    </row>
    <row r="4366" spans="1:7">
      <c r="A4366" s="17"/>
      <c r="B4366" s="18"/>
      <c r="C4366" s="17"/>
      <c r="D4366" s="18"/>
      <c r="E4366" s="17"/>
      <c r="F4366" s="22"/>
      <c r="G4366"/>
    </row>
    <row r="4367" spans="1:7">
      <c r="A4367" s="17"/>
      <c r="B4367" s="18"/>
      <c r="C4367" s="17"/>
      <c r="D4367" s="18"/>
      <c r="E4367" s="17"/>
      <c r="F4367" s="22"/>
      <c r="G4367"/>
    </row>
    <row r="4368" spans="1:7">
      <c r="A4368" s="17"/>
      <c r="B4368" s="18"/>
      <c r="C4368" s="17"/>
      <c r="D4368" s="18"/>
      <c r="E4368" s="17"/>
      <c r="F4368" s="22"/>
      <c r="G4368"/>
    </row>
    <row r="4369" spans="1:7">
      <c r="A4369" s="17"/>
      <c r="B4369" s="18"/>
      <c r="C4369" s="17"/>
      <c r="D4369" s="18"/>
      <c r="E4369" s="17"/>
      <c r="F4369" s="22"/>
      <c r="G4369"/>
    </row>
    <row r="4370" spans="1:7">
      <c r="A4370" s="17"/>
      <c r="B4370" s="18"/>
      <c r="C4370" s="17"/>
      <c r="D4370" s="18"/>
      <c r="E4370" s="17"/>
      <c r="F4370" s="22"/>
      <c r="G4370"/>
    </row>
    <row r="4371" spans="1:7">
      <c r="A4371" s="17"/>
      <c r="B4371" s="18"/>
      <c r="C4371" s="17"/>
      <c r="D4371" s="18"/>
      <c r="E4371" s="17"/>
      <c r="F4371" s="22"/>
      <c r="G4371"/>
    </row>
    <row r="4372" spans="1:7">
      <c r="A4372" s="17"/>
      <c r="B4372" s="18"/>
      <c r="C4372" s="17"/>
      <c r="D4372" s="18"/>
      <c r="E4372" s="17"/>
      <c r="F4372" s="22"/>
      <c r="G4372"/>
    </row>
    <row r="4373" spans="1:7">
      <c r="A4373" s="17"/>
      <c r="B4373" s="18"/>
      <c r="C4373" s="17"/>
      <c r="D4373" s="18"/>
      <c r="E4373" s="17"/>
      <c r="F4373" s="22"/>
      <c r="G4373"/>
    </row>
    <row r="4374" spans="1:7">
      <c r="A4374" s="17"/>
      <c r="B4374" s="18"/>
      <c r="C4374" s="17"/>
      <c r="D4374" s="18"/>
      <c r="E4374" s="17"/>
      <c r="F4374" s="22"/>
      <c r="G4374"/>
    </row>
    <row r="4375" spans="1:7">
      <c r="A4375" s="17"/>
      <c r="B4375" s="18"/>
      <c r="C4375" s="17"/>
      <c r="D4375" s="18"/>
      <c r="E4375" s="17"/>
      <c r="F4375" s="22"/>
      <c r="G4375"/>
    </row>
    <row r="4376" spans="1:7">
      <c r="A4376" s="17"/>
      <c r="B4376" s="18"/>
      <c r="C4376" s="17"/>
      <c r="D4376" s="18"/>
      <c r="E4376" s="17"/>
      <c r="F4376" s="22"/>
      <c r="G4376"/>
    </row>
    <row r="4377" spans="1:7">
      <c r="A4377" s="17"/>
      <c r="B4377" s="18"/>
      <c r="C4377" s="17"/>
      <c r="D4377" s="18"/>
      <c r="E4377" s="17"/>
      <c r="F4377" s="22"/>
      <c r="G4377"/>
    </row>
    <row r="4378" spans="1:7">
      <c r="A4378" s="17"/>
      <c r="B4378" s="18"/>
      <c r="C4378" s="17"/>
      <c r="D4378" s="18"/>
      <c r="E4378" s="17"/>
      <c r="F4378" s="22"/>
      <c r="G4378"/>
    </row>
    <row r="4379" spans="1:7">
      <c r="A4379" s="17"/>
      <c r="B4379" s="18"/>
      <c r="C4379" s="17"/>
      <c r="D4379" s="18"/>
      <c r="E4379" s="17"/>
      <c r="F4379" s="22"/>
      <c r="G4379"/>
    </row>
    <row r="4380" spans="1:7">
      <c r="A4380" s="17"/>
      <c r="B4380" s="18"/>
      <c r="C4380" s="17"/>
      <c r="D4380" s="18"/>
      <c r="E4380" s="17"/>
      <c r="F4380" s="22"/>
      <c r="G4380"/>
    </row>
    <row r="4381" spans="1:7">
      <c r="A4381" s="17"/>
      <c r="B4381" s="18"/>
      <c r="C4381" s="17"/>
      <c r="D4381" s="18"/>
      <c r="E4381" s="17"/>
      <c r="F4381" s="22"/>
      <c r="G4381"/>
    </row>
    <row r="4382" spans="1:7">
      <c r="A4382" s="17"/>
      <c r="B4382" s="18"/>
      <c r="C4382" s="17"/>
      <c r="D4382" s="18"/>
      <c r="E4382" s="17"/>
      <c r="F4382" s="22"/>
      <c r="G4382"/>
    </row>
    <row r="4383" spans="1:7">
      <c r="A4383" s="17"/>
      <c r="B4383" s="18"/>
      <c r="C4383" s="17"/>
      <c r="D4383" s="18"/>
      <c r="E4383" s="17"/>
      <c r="F4383" s="22"/>
      <c r="G4383"/>
    </row>
    <row r="4384" spans="1:7">
      <c r="A4384" s="17"/>
      <c r="B4384" s="18"/>
      <c r="C4384" s="17"/>
      <c r="D4384" s="18"/>
      <c r="E4384" s="17"/>
      <c r="F4384" s="22"/>
      <c r="G4384"/>
    </row>
    <row r="4385" spans="1:7">
      <c r="A4385" s="17"/>
      <c r="B4385" s="18"/>
      <c r="C4385" s="17"/>
      <c r="D4385" s="18"/>
      <c r="E4385" s="17"/>
      <c r="F4385" s="22"/>
      <c r="G4385"/>
    </row>
    <row r="4386" spans="1:7">
      <c r="A4386" s="17"/>
      <c r="B4386" s="18"/>
      <c r="C4386" s="17"/>
      <c r="D4386" s="18"/>
      <c r="E4386" s="17"/>
      <c r="F4386" s="22"/>
      <c r="G4386"/>
    </row>
    <row r="4387" spans="1:7">
      <c r="A4387" s="17"/>
      <c r="B4387" s="18"/>
      <c r="C4387" s="17"/>
      <c r="D4387" s="18"/>
      <c r="E4387" s="17"/>
      <c r="F4387" s="22"/>
      <c r="G4387"/>
    </row>
    <row r="4388" spans="1:7">
      <c r="A4388" s="17"/>
      <c r="B4388" s="18"/>
      <c r="C4388" s="17"/>
      <c r="D4388" s="18"/>
      <c r="E4388" s="17"/>
      <c r="F4388" s="22"/>
      <c r="G4388"/>
    </row>
    <row r="4389" spans="1:7">
      <c r="A4389" s="17"/>
      <c r="B4389" s="18"/>
      <c r="C4389" s="17"/>
      <c r="D4389" s="18"/>
      <c r="E4389" s="17"/>
      <c r="F4389" s="22"/>
      <c r="G4389"/>
    </row>
    <row r="4390" spans="1:7">
      <c r="A4390" s="17"/>
      <c r="B4390" s="18"/>
      <c r="C4390" s="17"/>
      <c r="D4390" s="18"/>
      <c r="E4390" s="17"/>
      <c r="F4390" s="22"/>
      <c r="G4390"/>
    </row>
    <row r="4391" spans="1:7">
      <c r="A4391" s="17"/>
      <c r="B4391" s="18"/>
      <c r="C4391" s="17"/>
      <c r="D4391" s="18"/>
      <c r="E4391" s="17"/>
      <c r="F4391" s="22"/>
      <c r="G4391"/>
    </row>
    <row r="4392" spans="1:7">
      <c r="A4392" s="17"/>
      <c r="B4392" s="18"/>
      <c r="C4392" s="17"/>
      <c r="D4392" s="18"/>
      <c r="E4392" s="17"/>
      <c r="F4392" s="22"/>
      <c r="G4392"/>
    </row>
    <row r="4393" spans="1:7">
      <c r="A4393" s="17"/>
      <c r="B4393" s="18"/>
      <c r="C4393" s="17"/>
      <c r="D4393" s="18"/>
      <c r="E4393" s="17"/>
      <c r="F4393" s="22"/>
      <c r="G4393"/>
    </row>
    <row r="4394" spans="1:7">
      <c r="A4394" s="17"/>
      <c r="B4394" s="18"/>
      <c r="C4394" s="17"/>
      <c r="D4394" s="18"/>
      <c r="E4394" s="17"/>
      <c r="F4394" s="22"/>
      <c r="G4394"/>
    </row>
    <row r="4395" spans="1:7">
      <c r="A4395" s="17"/>
      <c r="B4395" s="18"/>
      <c r="C4395" s="17"/>
      <c r="D4395" s="18"/>
      <c r="E4395" s="17"/>
      <c r="F4395" s="22"/>
      <c r="G4395"/>
    </row>
    <row r="4396" spans="1:7">
      <c r="A4396" s="17"/>
      <c r="B4396" s="18"/>
      <c r="C4396" s="17"/>
      <c r="D4396" s="18"/>
      <c r="E4396" s="17"/>
      <c r="F4396" s="22"/>
      <c r="G4396"/>
    </row>
    <row r="4397" spans="1:7">
      <c r="A4397" s="17"/>
      <c r="B4397" s="18"/>
      <c r="C4397" s="17"/>
      <c r="D4397" s="18"/>
      <c r="E4397" s="17"/>
      <c r="F4397" s="22"/>
      <c r="G4397"/>
    </row>
    <row r="4398" spans="1:7">
      <c r="A4398" s="17"/>
      <c r="B4398" s="18"/>
      <c r="C4398" s="17"/>
      <c r="D4398" s="18"/>
      <c r="E4398" s="17"/>
      <c r="F4398" s="22"/>
      <c r="G4398"/>
    </row>
    <row r="4399" spans="1:7">
      <c r="A4399" s="17"/>
      <c r="B4399" s="18"/>
      <c r="C4399" s="17"/>
      <c r="D4399" s="18"/>
      <c r="E4399" s="17"/>
      <c r="F4399" s="22"/>
      <c r="G4399"/>
    </row>
    <row r="4400" spans="1:7">
      <c r="A4400" s="17"/>
      <c r="B4400" s="18"/>
      <c r="C4400" s="17"/>
      <c r="D4400" s="18"/>
      <c r="E4400" s="17"/>
      <c r="F4400" s="22"/>
      <c r="G4400"/>
    </row>
    <row r="4401" spans="1:7">
      <c r="A4401" s="17"/>
      <c r="B4401" s="18"/>
      <c r="C4401" s="17"/>
      <c r="D4401" s="18"/>
      <c r="E4401" s="17"/>
      <c r="F4401" s="22"/>
      <c r="G4401"/>
    </row>
    <row r="4402" spans="1:7">
      <c r="A4402" s="17"/>
      <c r="B4402" s="18"/>
      <c r="C4402" s="17"/>
      <c r="D4402" s="18"/>
      <c r="E4402" s="17"/>
      <c r="F4402" s="22"/>
      <c r="G4402"/>
    </row>
    <row r="4403" spans="1:7">
      <c r="A4403" s="17"/>
      <c r="B4403" s="18"/>
      <c r="C4403" s="17"/>
      <c r="D4403" s="18"/>
      <c r="E4403" s="17"/>
      <c r="F4403" s="22"/>
      <c r="G4403"/>
    </row>
    <row r="4404" spans="1:7">
      <c r="A4404" s="17"/>
      <c r="B4404" s="18"/>
      <c r="C4404" s="17"/>
      <c r="D4404" s="18"/>
      <c r="E4404" s="17"/>
      <c r="F4404" s="22"/>
      <c r="G4404"/>
    </row>
    <row r="4405" spans="1:7">
      <c r="A4405" s="17"/>
      <c r="B4405" s="18"/>
      <c r="C4405" s="17"/>
      <c r="D4405" s="18"/>
      <c r="E4405" s="17"/>
      <c r="F4405" s="22"/>
      <c r="G4405"/>
    </row>
    <row r="4406" spans="1:7">
      <c r="A4406" s="17"/>
      <c r="B4406" s="18"/>
      <c r="C4406" s="17"/>
      <c r="D4406" s="18"/>
      <c r="E4406" s="17"/>
      <c r="F4406" s="22"/>
      <c r="G4406"/>
    </row>
    <row r="4407" spans="1:7">
      <c r="A4407" s="17"/>
      <c r="B4407" s="18"/>
      <c r="C4407" s="17"/>
      <c r="D4407" s="18"/>
      <c r="E4407" s="17"/>
      <c r="F4407" s="22"/>
      <c r="G4407"/>
    </row>
    <row r="4408" spans="1:7">
      <c r="A4408" s="17"/>
      <c r="B4408" s="18"/>
      <c r="C4408" s="17"/>
      <c r="D4408" s="18"/>
      <c r="E4408" s="17"/>
      <c r="F4408" s="22"/>
      <c r="G4408"/>
    </row>
    <row r="4409" spans="1:7">
      <c r="A4409" s="17"/>
      <c r="B4409" s="18"/>
      <c r="C4409" s="17"/>
      <c r="D4409" s="18"/>
      <c r="E4409" s="17"/>
      <c r="F4409" s="22"/>
      <c r="G4409"/>
    </row>
    <row r="4410" spans="1:7">
      <c r="A4410" s="17"/>
      <c r="B4410" s="18"/>
      <c r="C4410" s="17"/>
      <c r="D4410" s="18"/>
      <c r="E4410" s="17"/>
      <c r="F4410" s="22"/>
      <c r="G4410"/>
    </row>
    <row r="4411" spans="1:7">
      <c r="A4411" s="17"/>
      <c r="B4411" s="18"/>
      <c r="C4411" s="17"/>
      <c r="D4411" s="18"/>
      <c r="E4411" s="17"/>
      <c r="F4411" s="22"/>
      <c r="G4411"/>
    </row>
    <row r="4412" spans="1:7">
      <c r="A4412" s="17"/>
      <c r="B4412" s="18"/>
      <c r="C4412" s="17"/>
      <c r="D4412" s="18"/>
      <c r="E4412" s="17"/>
      <c r="F4412" s="22"/>
      <c r="G4412"/>
    </row>
    <row r="4413" spans="1:7">
      <c r="A4413" s="17"/>
      <c r="B4413" s="18"/>
      <c r="C4413" s="17"/>
      <c r="D4413" s="18"/>
      <c r="E4413" s="17"/>
      <c r="F4413" s="22"/>
      <c r="G4413"/>
    </row>
    <row r="4414" spans="1:7">
      <c r="A4414" s="17"/>
      <c r="B4414" s="18"/>
      <c r="C4414" s="17"/>
      <c r="D4414" s="18"/>
      <c r="E4414" s="17"/>
      <c r="F4414" s="22"/>
      <c r="G4414"/>
    </row>
    <row r="4415" spans="1:7">
      <c r="A4415" s="17"/>
      <c r="B4415" s="18"/>
      <c r="C4415" s="17"/>
      <c r="D4415" s="18"/>
      <c r="E4415" s="17"/>
      <c r="F4415" s="22"/>
      <c r="G4415"/>
    </row>
    <row r="4416" spans="1:7">
      <c r="A4416" s="17"/>
      <c r="B4416" s="18"/>
      <c r="C4416" s="17"/>
      <c r="D4416" s="18"/>
      <c r="E4416" s="17"/>
      <c r="F4416" s="22"/>
      <c r="G4416"/>
    </row>
    <row r="4417" spans="1:7">
      <c r="A4417" s="17"/>
      <c r="B4417" s="18"/>
      <c r="C4417" s="17"/>
      <c r="D4417" s="18"/>
      <c r="E4417" s="17"/>
      <c r="F4417" s="22"/>
      <c r="G4417"/>
    </row>
    <row r="4418" spans="1:7">
      <c r="A4418" s="17"/>
      <c r="B4418" s="18"/>
      <c r="C4418" s="17"/>
      <c r="D4418" s="18"/>
      <c r="E4418" s="17"/>
      <c r="F4418" s="22"/>
      <c r="G4418"/>
    </row>
    <row r="4419" spans="1:7">
      <c r="A4419" s="17"/>
      <c r="B4419" s="18"/>
      <c r="C4419" s="17"/>
      <c r="D4419" s="18"/>
      <c r="E4419" s="17"/>
      <c r="F4419" s="22"/>
      <c r="G4419"/>
    </row>
    <row r="4420" spans="1:7">
      <c r="A4420" s="17"/>
      <c r="B4420" s="18"/>
      <c r="C4420" s="17"/>
      <c r="D4420" s="18"/>
      <c r="E4420" s="17"/>
      <c r="F4420" s="22"/>
      <c r="G4420"/>
    </row>
    <row r="4421" spans="1:7">
      <c r="A4421" s="17"/>
      <c r="B4421" s="18"/>
      <c r="C4421" s="17"/>
      <c r="D4421" s="18"/>
      <c r="E4421" s="17"/>
      <c r="F4421" s="22"/>
      <c r="G4421"/>
    </row>
    <row r="4422" spans="1:7">
      <c r="A4422" s="17"/>
      <c r="B4422" s="18"/>
      <c r="C4422" s="17"/>
      <c r="D4422" s="18"/>
      <c r="E4422" s="17"/>
      <c r="F4422" s="22"/>
      <c r="G4422"/>
    </row>
    <row r="4423" spans="1:7">
      <c r="A4423" s="17"/>
      <c r="B4423" s="18"/>
      <c r="C4423" s="17"/>
      <c r="D4423" s="18"/>
      <c r="E4423" s="17"/>
      <c r="F4423" s="22"/>
      <c r="G4423"/>
    </row>
    <row r="4424" spans="1:7">
      <c r="A4424" s="17"/>
      <c r="B4424" s="18"/>
      <c r="C4424" s="17"/>
      <c r="D4424" s="18"/>
      <c r="E4424" s="17"/>
      <c r="F4424" s="22"/>
      <c r="G4424"/>
    </row>
    <row r="4425" spans="1:7">
      <c r="A4425" s="17"/>
      <c r="B4425" s="18"/>
      <c r="C4425" s="17"/>
      <c r="D4425" s="18"/>
      <c r="E4425" s="17"/>
      <c r="F4425" s="22"/>
      <c r="G4425"/>
    </row>
    <row r="4426" spans="1:7">
      <c r="A4426" s="17"/>
      <c r="B4426" s="18"/>
      <c r="C4426" s="17"/>
      <c r="D4426" s="18"/>
      <c r="E4426" s="17"/>
      <c r="F4426" s="22"/>
      <c r="G4426"/>
    </row>
    <row r="4427" spans="1:7">
      <c r="A4427" s="17"/>
      <c r="B4427" s="18"/>
      <c r="C4427" s="17"/>
      <c r="D4427" s="18"/>
      <c r="E4427" s="17"/>
      <c r="F4427" s="22"/>
      <c r="G4427"/>
    </row>
    <row r="4428" spans="1:7">
      <c r="A4428" s="17"/>
      <c r="B4428" s="18"/>
      <c r="C4428" s="17"/>
      <c r="D4428" s="18"/>
      <c r="E4428" s="17"/>
      <c r="F4428" s="22"/>
      <c r="G4428"/>
    </row>
    <row r="4429" spans="1:7">
      <c r="A4429" s="17"/>
      <c r="B4429" s="18"/>
      <c r="C4429" s="17"/>
      <c r="D4429" s="18"/>
      <c r="E4429" s="17"/>
      <c r="F4429" s="22"/>
      <c r="G4429"/>
    </row>
    <row r="4430" spans="1:7">
      <c r="A4430" s="17"/>
      <c r="B4430" s="18"/>
      <c r="C4430" s="17"/>
      <c r="D4430" s="18"/>
      <c r="E4430" s="17"/>
      <c r="F4430" s="22"/>
      <c r="G4430"/>
    </row>
    <row r="4431" spans="1:7">
      <c r="A4431" s="17"/>
      <c r="B4431" s="18"/>
      <c r="C4431" s="17"/>
      <c r="D4431" s="18"/>
      <c r="E4431" s="17"/>
      <c r="F4431" s="22"/>
      <c r="G4431"/>
    </row>
    <row r="4432" spans="1:7">
      <c r="A4432" s="17"/>
      <c r="B4432" s="18"/>
      <c r="C4432" s="17"/>
      <c r="D4432" s="18"/>
      <c r="E4432" s="17"/>
      <c r="F4432" s="22"/>
      <c r="G4432"/>
    </row>
    <row r="4433" spans="1:7">
      <c r="A4433" s="17"/>
      <c r="B4433" s="18"/>
      <c r="C4433" s="17"/>
      <c r="D4433" s="18"/>
      <c r="E4433" s="17"/>
      <c r="F4433" s="22"/>
      <c r="G4433"/>
    </row>
    <row r="4434" spans="1:7">
      <c r="A4434" s="17"/>
      <c r="B4434" s="18"/>
      <c r="C4434" s="17"/>
      <c r="D4434" s="18"/>
      <c r="E4434" s="17"/>
      <c r="F4434" s="22"/>
      <c r="G4434"/>
    </row>
    <row r="4435" spans="1:7">
      <c r="A4435" s="17"/>
      <c r="B4435" s="18"/>
      <c r="C4435" s="17"/>
      <c r="D4435" s="18"/>
      <c r="E4435" s="17"/>
      <c r="F4435" s="22"/>
      <c r="G4435"/>
    </row>
    <row r="4436" spans="1:7">
      <c r="A4436" s="17"/>
      <c r="B4436" s="18"/>
      <c r="C4436" s="17"/>
      <c r="D4436" s="18"/>
      <c r="E4436" s="17"/>
      <c r="F4436" s="22"/>
      <c r="G4436"/>
    </row>
    <row r="4437" spans="1:7">
      <c r="A4437" s="17"/>
      <c r="B4437" s="18"/>
      <c r="C4437" s="17"/>
      <c r="D4437" s="18"/>
      <c r="E4437" s="17"/>
      <c r="F4437" s="22"/>
      <c r="G4437"/>
    </row>
    <row r="4438" spans="1:7">
      <c r="A4438" s="17"/>
      <c r="B4438" s="18"/>
      <c r="C4438" s="17"/>
      <c r="D4438" s="18"/>
      <c r="E4438" s="17"/>
      <c r="F4438" s="22"/>
      <c r="G4438"/>
    </row>
    <row r="4439" spans="1:7">
      <c r="A4439" s="17"/>
      <c r="B4439" s="18"/>
      <c r="C4439" s="17"/>
      <c r="D4439" s="18"/>
      <c r="E4439" s="17"/>
      <c r="F4439" s="22"/>
      <c r="G4439"/>
    </row>
    <row r="4440" spans="1:7">
      <c r="A4440" s="17"/>
      <c r="B4440" s="18"/>
      <c r="C4440" s="17"/>
      <c r="D4440" s="18"/>
      <c r="E4440" s="17"/>
      <c r="F4440" s="22"/>
      <c r="G4440"/>
    </row>
    <row r="4441" spans="1:7">
      <c r="A4441" s="17"/>
      <c r="B4441" s="18"/>
      <c r="C4441" s="17"/>
      <c r="D4441" s="18"/>
      <c r="E4441" s="17"/>
      <c r="F4441" s="22"/>
      <c r="G4441"/>
    </row>
    <row r="4442" spans="1:7">
      <c r="A4442" s="17"/>
      <c r="B4442" s="18"/>
      <c r="C4442" s="17"/>
      <c r="D4442" s="18"/>
      <c r="E4442" s="17"/>
      <c r="F4442" s="22"/>
      <c r="G4442"/>
    </row>
    <row r="4443" spans="1:7">
      <c r="A4443" s="17"/>
      <c r="B4443" s="18"/>
      <c r="C4443" s="17"/>
      <c r="D4443" s="18"/>
      <c r="E4443" s="17"/>
      <c r="F4443" s="22"/>
      <c r="G4443"/>
    </row>
    <row r="4444" spans="1:7">
      <c r="A4444" s="17"/>
      <c r="B4444" s="18"/>
      <c r="C4444" s="17"/>
      <c r="D4444" s="18"/>
      <c r="E4444" s="17"/>
      <c r="F4444" s="22"/>
      <c r="G4444"/>
    </row>
    <row r="4445" spans="1:7">
      <c r="A4445" s="17"/>
      <c r="B4445" s="18"/>
      <c r="C4445" s="17"/>
      <c r="D4445" s="18"/>
      <c r="E4445" s="17"/>
      <c r="F4445" s="22"/>
      <c r="G4445"/>
    </row>
    <row r="4446" spans="1:7">
      <c r="A4446" s="17"/>
      <c r="B4446" s="18"/>
      <c r="C4446" s="17"/>
      <c r="D4446" s="18"/>
      <c r="E4446" s="17"/>
      <c r="F4446" s="22"/>
      <c r="G4446"/>
    </row>
    <row r="4447" spans="1:7">
      <c r="A4447" s="17"/>
      <c r="B4447" s="18"/>
      <c r="C4447" s="17"/>
      <c r="D4447" s="18"/>
      <c r="E4447" s="17"/>
      <c r="F4447" s="22"/>
      <c r="G4447"/>
    </row>
    <row r="4448" spans="1:7">
      <c r="A4448" s="17"/>
      <c r="B4448" s="18"/>
      <c r="C4448" s="17"/>
      <c r="D4448" s="18"/>
      <c r="E4448" s="17"/>
      <c r="F4448" s="22"/>
      <c r="G4448"/>
    </row>
    <row r="4449" spans="1:7">
      <c r="A4449" s="17"/>
      <c r="B4449" s="18"/>
      <c r="C4449" s="17"/>
      <c r="D4449" s="18"/>
      <c r="E4449" s="17"/>
      <c r="F4449" s="22"/>
      <c r="G4449"/>
    </row>
    <row r="4450" spans="1:7">
      <c r="A4450" s="17"/>
      <c r="B4450" s="18"/>
      <c r="C4450" s="17"/>
      <c r="D4450" s="18"/>
      <c r="E4450" s="17"/>
      <c r="F4450" s="22"/>
      <c r="G4450"/>
    </row>
    <row r="4451" spans="1:7">
      <c r="A4451" s="17"/>
      <c r="B4451" s="18"/>
      <c r="C4451" s="17"/>
      <c r="D4451" s="18"/>
      <c r="E4451" s="17"/>
      <c r="F4451" s="22"/>
      <c r="G4451"/>
    </row>
    <row r="4452" spans="1:7">
      <c r="A4452" s="17"/>
      <c r="B4452" s="18"/>
      <c r="C4452" s="17"/>
      <c r="D4452" s="18"/>
      <c r="E4452" s="17"/>
      <c r="F4452" s="22"/>
      <c r="G4452"/>
    </row>
    <row r="4453" spans="1:7">
      <c r="A4453" s="17"/>
      <c r="B4453" s="18"/>
      <c r="C4453" s="17"/>
      <c r="D4453" s="18"/>
      <c r="E4453" s="17"/>
      <c r="F4453" s="22"/>
      <c r="G4453"/>
    </row>
    <row r="4454" spans="1:7">
      <c r="A4454" s="17"/>
      <c r="B4454" s="18"/>
      <c r="C4454" s="17"/>
      <c r="D4454" s="18"/>
      <c r="E4454" s="17"/>
      <c r="F4454" s="22"/>
      <c r="G4454"/>
    </row>
    <row r="4455" spans="1:7">
      <c r="A4455" s="17"/>
      <c r="B4455" s="18"/>
      <c r="C4455" s="17"/>
      <c r="D4455" s="18"/>
      <c r="E4455" s="17"/>
      <c r="F4455" s="22"/>
      <c r="G4455"/>
    </row>
    <row r="4456" spans="1:7">
      <c r="A4456" s="17"/>
      <c r="B4456" s="18"/>
      <c r="C4456" s="17"/>
      <c r="D4456" s="18"/>
      <c r="E4456" s="17"/>
      <c r="F4456" s="22"/>
      <c r="G4456"/>
    </row>
    <row r="4457" spans="1:7">
      <c r="A4457" s="17"/>
      <c r="B4457" s="18"/>
      <c r="C4457" s="17"/>
      <c r="D4457" s="18"/>
      <c r="E4457" s="17"/>
      <c r="F4457" s="22"/>
      <c r="G4457"/>
    </row>
    <row r="4458" spans="1:7">
      <c r="A4458" s="17"/>
      <c r="B4458" s="18"/>
      <c r="C4458" s="17"/>
      <c r="D4458" s="18"/>
      <c r="E4458" s="17"/>
      <c r="F4458" s="22"/>
      <c r="G4458"/>
    </row>
    <row r="4459" spans="1:7">
      <c r="A4459" s="17"/>
      <c r="B4459" s="18"/>
      <c r="C4459" s="17"/>
      <c r="D4459" s="18"/>
      <c r="E4459" s="17"/>
      <c r="F4459" s="22"/>
      <c r="G4459"/>
    </row>
    <row r="4460" spans="1:7">
      <c r="A4460" s="17"/>
      <c r="B4460" s="18"/>
      <c r="C4460" s="17"/>
      <c r="D4460" s="18"/>
      <c r="E4460" s="17"/>
      <c r="F4460" s="22"/>
      <c r="G4460"/>
    </row>
    <row r="4461" spans="1:7">
      <c r="A4461" s="17"/>
      <c r="B4461" s="18"/>
      <c r="C4461" s="17"/>
      <c r="D4461" s="18"/>
      <c r="E4461" s="17"/>
      <c r="F4461" s="22"/>
      <c r="G4461"/>
    </row>
    <row r="4462" spans="1:7">
      <c r="A4462" s="17"/>
      <c r="B4462" s="18"/>
      <c r="C4462" s="17"/>
      <c r="D4462" s="18"/>
      <c r="E4462" s="17"/>
      <c r="F4462" s="22"/>
      <c r="G4462"/>
    </row>
    <row r="4463" spans="1:7">
      <c r="A4463" s="17"/>
      <c r="B4463" s="18"/>
      <c r="C4463" s="17"/>
      <c r="D4463" s="18"/>
      <c r="E4463" s="17"/>
      <c r="F4463" s="22"/>
      <c r="G4463"/>
    </row>
    <row r="4464" spans="1:7">
      <c r="A4464" s="17"/>
      <c r="B4464" s="18"/>
      <c r="C4464" s="17"/>
      <c r="D4464" s="18"/>
      <c r="E4464" s="17"/>
      <c r="F4464" s="22"/>
      <c r="G4464"/>
    </row>
    <row r="4465" spans="1:7">
      <c r="A4465" s="17"/>
      <c r="B4465" s="18"/>
      <c r="C4465" s="17"/>
      <c r="D4465" s="18"/>
      <c r="E4465" s="17"/>
      <c r="F4465" s="22"/>
      <c r="G4465"/>
    </row>
    <row r="4466" spans="1:7">
      <c r="A4466" s="17"/>
      <c r="B4466" s="18"/>
      <c r="C4466" s="17"/>
      <c r="D4466" s="18"/>
      <c r="E4466" s="17"/>
      <c r="F4466" s="22"/>
      <c r="G4466"/>
    </row>
    <row r="4467" spans="1:7">
      <c r="A4467" s="17"/>
      <c r="B4467" s="18"/>
      <c r="C4467" s="17"/>
      <c r="D4467" s="18"/>
      <c r="E4467" s="17"/>
      <c r="F4467" s="22"/>
      <c r="G4467"/>
    </row>
    <row r="4468" spans="1:7">
      <c r="A4468" s="17"/>
      <c r="B4468" s="18"/>
      <c r="C4468" s="17"/>
      <c r="D4468" s="18"/>
      <c r="E4468" s="17"/>
      <c r="F4468" s="22"/>
      <c r="G4468"/>
    </row>
    <row r="4469" spans="1:7">
      <c r="A4469" s="17"/>
      <c r="B4469" s="18"/>
      <c r="C4469" s="17"/>
      <c r="D4469" s="18"/>
      <c r="E4469" s="17"/>
      <c r="F4469" s="22"/>
      <c r="G4469"/>
    </row>
    <row r="4470" spans="1:7">
      <c r="A4470" s="17"/>
      <c r="B4470" s="18"/>
      <c r="C4470" s="17"/>
      <c r="D4470" s="18"/>
      <c r="E4470" s="17"/>
      <c r="F4470" s="22"/>
      <c r="G4470"/>
    </row>
    <row r="4471" spans="1:7">
      <c r="A4471" s="17"/>
      <c r="B4471" s="18"/>
      <c r="C4471" s="17"/>
      <c r="D4471" s="18"/>
      <c r="E4471" s="17"/>
      <c r="F4471" s="22"/>
      <c r="G4471"/>
    </row>
    <row r="4472" spans="1:7">
      <c r="A4472" s="17"/>
      <c r="B4472" s="18"/>
      <c r="C4472" s="17"/>
      <c r="D4472" s="18"/>
      <c r="E4472" s="17"/>
      <c r="F4472" s="22"/>
      <c r="G4472"/>
    </row>
    <row r="4473" spans="1:7">
      <c r="A4473" s="17"/>
      <c r="B4473" s="18"/>
      <c r="C4473" s="17"/>
      <c r="D4473" s="18"/>
      <c r="E4473" s="17"/>
      <c r="F4473" s="22"/>
      <c r="G4473"/>
    </row>
    <row r="4474" spans="1:7">
      <c r="A4474" s="17"/>
      <c r="B4474" s="18"/>
      <c r="C4474" s="17"/>
      <c r="D4474" s="18"/>
      <c r="E4474" s="17"/>
      <c r="F4474" s="22"/>
      <c r="G4474"/>
    </row>
    <row r="4475" spans="1:7">
      <c r="A4475" s="17"/>
      <c r="B4475" s="18"/>
      <c r="C4475" s="17"/>
      <c r="D4475" s="18"/>
      <c r="E4475" s="17"/>
      <c r="F4475" s="22"/>
      <c r="G4475"/>
    </row>
    <row r="4476" spans="1:7">
      <c r="A4476" s="17"/>
      <c r="B4476" s="18"/>
      <c r="C4476" s="17"/>
      <c r="D4476" s="18"/>
      <c r="E4476" s="17"/>
      <c r="F4476" s="22"/>
      <c r="G4476"/>
    </row>
    <row r="4477" spans="1:7">
      <c r="A4477" s="17"/>
      <c r="B4477" s="18"/>
      <c r="C4477" s="17"/>
      <c r="D4477" s="18"/>
      <c r="E4477" s="17"/>
      <c r="F4477" s="22"/>
      <c r="G4477"/>
    </row>
    <row r="4478" spans="1:7">
      <c r="A4478" s="17"/>
      <c r="B4478" s="18"/>
      <c r="C4478" s="17"/>
      <c r="D4478" s="18"/>
      <c r="E4478" s="17"/>
      <c r="F4478" s="22"/>
      <c r="G4478"/>
    </row>
    <row r="4479" spans="1:7">
      <c r="A4479" s="17"/>
      <c r="B4479" s="18"/>
      <c r="C4479" s="17"/>
      <c r="D4479" s="18"/>
      <c r="E4479" s="17"/>
      <c r="F4479" s="22"/>
      <c r="G4479"/>
    </row>
    <row r="4480" spans="1:7">
      <c r="A4480" s="17"/>
      <c r="B4480" s="18"/>
      <c r="C4480" s="17"/>
      <c r="D4480" s="18"/>
      <c r="E4480" s="17"/>
      <c r="F4480" s="22"/>
      <c r="G4480"/>
    </row>
    <row r="4481" spans="1:7">
      <c r="A4481" s="17"/>
      <c r="B4481" s="18"/>
      <c r="C4481" s="17"/>
      <c r="D4481" s="18"/>
      <c r="E4481" s="17"/>
      <c r="F4481" s="22"/>
      <c r="G4481"/>
    </row>
    <row r="4482" spans="1:7">
      <c r="A4482" s="17"/>
      <c r="B4482" s="18"/>
      <c r="C4482" s="17"/>
      <c r="D4482" s="18"/>
      <c r="E4482" s="17"/>
      <c r="F4482" s="22"/>
      <c r="G4482"/>
    </row>
    <row r="4483" spans="1:7">
      <c r="A4483" s="17"/>
      <c r="B4483" s="18"/>
      <c r="C4483" s="17"/>
      <c r="D4483" s="18"/>
      <c r="E4483" s="17"/>
      <c r="F4483" s="22"/>
      <c r="G4483"/>
    </row>
    <row r="4484" spans="1:7">
      <c r="A4484" s="17"/>
      <c r="B4484" s="18"/>
      <c r="C4484" s="17"/>
      <c r="D4484" s="18"/>
      <c r="E4484" s="17"/>
      <c r="F4484" s="22"/>
      <c r="G4484"/>
    </row>
    <row r="4485" spans="1:7">
      <c r="A4485" s="17"/>
      <c r="B4485" s="18"/>
      <c r="C4485" s="17"/>
      <c r="D4485" s="18"/>
      <c r="E4485" s="17"/>
      <c r="F4485" s="22"/>
      <c r="G4485"/>
    </row>
    <row r="4486" spans="1:7">
      <c r="A4486" s="17"/>
      <c r="B4486" s="18"/>
      <c r="C4486" s="17"/>
      <c r="D4486" s="18"/>
      <c r="E4486" s="17"/>
      <c r="F4486" s="22"/>
      <c r="G4486"/>
    </row>
    <row r="4487" spans="1:7">
      <c r="A4487" s="17"/>
      <c r="B4487" s="18"/>
      <c r="C4487" s="17"/>
      <c r="D4487" s="18"/>
      <c r="E4487" s="17"/>
      <c r="F4487" s="22"/>
      <c r="G4487"/>
    </row>
    <row r="4488" spans="1:7">
      <c r="A4488" s="17"/>
      <c r="B4488" s="18"/>
      <c r="C4488" s="17"/>
      <c r="D4488" s="18"/>
      <c r="E4488" s="17"/>
      <c r="F4488" s="22"/>
      <c r="G4488"/>
    </row>
    <row r="4489" spans="1:7">
      <c r="A4489" s="17"/>
      <c r="B4489" s="18"/>
      <c r="C4489" s="17"/>
      <c r="D4489" s="18"/>
      <c r="E4489" s="17"/>
      <c r="F4489" s="22"/>
      <c r="G4489"/>
    </row>
    <row r="4490" spans="1:7">
      <c r="A4490" s="17"/>
      <c r="B4490" s="18"/>
      <c r="C4490" s="17"/>
      <c r="D4490" s="18"/>
      <c r="E4490" s="17"/>
      <c r="F4490" s="22"/>
      <c r="G4490"/>
    </row>
    <row r="4491" spans="1:7">
      <c r="A4491" s="17"/>
      <c r="B4491" s="18"/>
      <c r="C4491" s="17"/>
      <c r="D4491" s="18"/>
      <c r="E4491" s="17"/>
      <c r="F4491" s="22"/>
      <c r="G4491"/>
    </row>
    <row r="4492" spans="1:7">
      <c r="A4492" s="17"/>
      <c r="B4492" s="18"/>
      <c r="C4492" s="17"/>
      <c r="D4492" s="18"/>
      <c r="E4492" s="17"/>
      <c r="F4492" s="22"/>
      <c r="G4492"/>
    </row>
    <row r="4493" spans="1:7">
      <c r="A4493" s="17"/>
      <c r="B4493" s="18"/>
      <c r="C4493" s="17"/>
      <c r="D4493" s="18"/>
      <c r="E4493" s="17"/>
      <c r="F4493" s="22"/>
      <c r="G4493"/>
    </row>
    <row r="4494" spans="1:7">
      <c r="A4494" s="17"/>
      <c r="B4494" s="18"/>
      <c r="C4494" s="17"/>
      <c r="D4494" s="18"/>
      <c r="E4494" s="17"/>
      <c r="F4494" s="22"/>
      <c r="G4494"/>
    </row>
    <row r="4495" spans="1:7">
      <c r="A4495" s="17"/>
      <c r="B4495" s="18"/>
      <c r="C4495" s="17"/>
      <c r="D4495" s="18"/>
      <c r="E4495" s="17"/>
      <c r="F4495" s="22"/>
      <c r="G4495"/>
    </row>
    <row r="4496" spans="1:7">
      <c r="A4496" s="17"/>
      <c r="B4496" s="18"/>
      <c r="C4496" s="17"/>
      <c r="D4496" s="18"/>
      <c r="E4496" s="17"/>
      <c r="F4496" s="22"/>
      <c r="G4496"/>
    </row>
    <row r="4497" spans="1:7">
      <c r="A4497" s="17"/>
      <c r="B4497" s="18"/>
      <c r="C4497" s="17"/>
      <c r="D4497" s="18"/>
      <c r="E4497" s="17"/>
      <c r="F4497" s="22"/>
      <c r="G4497"/>
    </row>
    <row r="4498" spans="1:7">
      <c r="A4498" s="17"/>
      <c r="B4498" s="18"/>
      <c r="C4498" s="17"/>
      <c r="D4498" s="18"/>
      <c r="E4498" s="17"/>
      <c r="F4498" s="22"/>
      <c r="G4498"/>
    </row>
    <row r="4499" spans="1:7">
      <c r="A4499" s="17"/>
      <c r="B4499" s="18"/>
      <c r="C4499" s="17"/>
      <c r="D4499" s="18"/>
      <c r="E4499" s="17"/>
      <c r="F4499" s="22"/>
      <c r="G4499"/>
    </row>
    <row r="4500" spans="1:7">
      <c r="A4500" s="17"/>
      <c r="B4500" s="18"/>
      <c r="C4500" s="17"/>
      <c r="D4500" s="18"/>
      <c r="E4500" s="17"/>
      <c r="F4500" s="22"/>
      <c r="G4500"/>
    </row>
    <row r="4501" spans="1:7">
      <c r="A4501" s="17"/>
      <c r="B4501" s="18"/>
      <c r="C4501" s="17"/>
      <c r="D4501" s="18"/>
      <c r="E4501" s="17"/>
      <c r="F4501" s="22"/>
      <c r="G4501"/>
    </row>
    <row r="4502" spans="1:7">
      <c r="A4502" s="17"/>
      <c r="B4502" s="18"/>
      <c r="C4502" s="17"/>
      <c r="D4502" s="18"/>
      <c r="E4502" s="17"/>
      <c r="F4502" s="22"/>
      <c r="G4502"/>
    </row>
    <row r="4503" spans="1:7">
      <c r="A4503" s="17"/>
      <c r="B4503" s="18"/>
      <c r="C4503" s="17"/>
      <c r="D4503" s="18"/>
      <c r="E4503" s="17"/>
      <c r="F4503" s="22"/>
      <c r="G4503"/>
    </row>
    <row r="4504" spans="1:7">
      <c r="A4504" s="17"/>
      <c r="B4504" s="18"/>
      <c r="C4504" s="17"/>
      <c r="D4504" s="18"/>
      <c r="E4504" s="17"/>
      <c r="F4504" s="22"/>
      <c r="G4504"/>
    </row>
    <row r="4505" spans="1:7">
      <c r="A4505" s="17"/>
      <c r="B4505" s="18"/>
      <c r="C4505" s="17"/>
      <c r="D4505" s="18"/>
      <c r="E4505" s="17"/>
      <c r="F4505" s="22"/>
      <c r="G4505"/>
    </row>
    <row r="4506" spans="1:7">
      <c r="A4506" s="17"/>
      <c r="B4506" s="18"/>
      <c r="C4506" s="17"/>
      <c r="D4506" s="18"/>
      <c r="E4506" s="17"/>
      <c r="F4506" s="22"/>
      <c r="G4506"/>
    </row>
    <row r="4507" spans="1:7">
      <c r="A4507" s="17"/>
      <c r="B4507" s="18"/>
      <c r="C4507" s="17"/>
      <c r="D4507" s="18"/>
      <c r="E4507" s="17"/>
      <c r="F4507" s="22"/>
      <c r="G4507"/>
    </row>
    <row r="4508" spans="1:7">
      <c r="A4508" s="17"/>
      <c r="B4508" s="18"/>
      <c r="C4508" s="17"/>
      <c r="D4508" s="18"/>
      <c r="E4508" s="17"/>
      <c r="F4508" s="22"/>
      <c r="G4508"/>
    </row>
    <row r="4509" spans="1:7">
      <c r="A4509" s="17"/>
      <c r="B4509" s="18"/>
      <c r="C4509" s="17"/>
      <c r="D4509" s="18"/>
      <c r="E4509" s="17"/>
      <c r="F4509" s="22"/>
      <c r="G4509"/>
    </row>
    <row r="4510" spans="1:7">
      <c r="A4510" s="17"/>
      <c r="B4510" s="18"/>
      <c r="C4510" s="17"/>
      <c r="D4510" s="18"/>
      <c r="E4510" s="17"/>
      <c r="F4510" s="22"/>
      <c r="G4510"/>
    </row>
    <row r="4511" spans="1:7">
      <c r="A4511" s="17"/>
      <c r="B4511" s="18"/>
      <c r="C4511" s="17"/>
      <c r="D4511" s="18"/>
      <c r="E4511" s="17"/>
      <c r="F4511" s="22"/>
      <c r="G4511"/>
    </row>
    <row r="4512" spans="1:7">
      <c r="A4512" s="17"/>
      <c r="B4512" s="18"/>
      <c r="C4512" s="17"/>
      <c r="D4512" s="18"/>
      <c r="E4512" s="17"/>
      <c r="F4512" s="22"/>
      <c r="G4512"/>
    </row>
    <row r="4513" spans="1:7">
      <c r="A4513" s="17"/>
      <c r="B4513" s="18"/>
      <c r="C4513" s="17"/>
      <c r="D4513" s="18"/>
      <c r="E4513" s="17"/>
      <c r="F4513" s="22"/>
      <c r="G4513"/>
    </row>
    <row r="4514" spans="1:7">
      <c r="A4514" s="17"/>
      <c r="B4514" s="18"/>
      <c r="C4514" s="17"/>
      <c r="D4514" s="18"/>
      <c r="E4514" s="17"/>
      <c r="F4514" s="22"/>
      <c r="G4514"/>
    </row>
    <row r="4515" spans="1:7">
      <c r="A4515" s="17"/>
      <c r="B4515" s="18"/>
      <c r="C4515" s="17"/>
      <c r="D4515" s="18"/>
      <c r="E4515" s="17"/>
      <c r="F4515" s="22"/>
      <c r="G4515"/>
    </row>
    <row r="4516" spans="1:7">
      <c r="A4516" s="17"/>
      <c r="B4516" s="18"/>
      <c r="C4516" s="17"/>
      <c r="D4516" s="18"/>
      <c r="E4516" s="17"/>
      <c r="F4516" s="22"/>
      <c r="G4516"/>
    </row>
    <row r="4517" spans="1:7">
      <c r="A4517" s="17"/>
      <c r="B4517" s="18"/>
      <c r="C4517" s="17"/>
      <c r="D4517" s="18"/>
      <c r="E4517" s="17"/>
      <c r="F4517" s="22"/>
      <c r="G4517"/>
    </row>
    <row r="4518" spans="1:7">
      <c r="A4518" s="17"/>
      <c r="B4518" s="18"/>
      <c r="C4518" s="17"/>
      <c r="D4518" s="18"/>
      <c r="E4518" s="17"/>
      <c r="F4518" s="22"/>
      <c r="G4518"/>
    </row>
    <row r="4519" spans="1:7">
      <c r="A4519" s="17"/>
      <c r="B4519" s="18"/>
      <c r="C4519" s="17"/>
      <c r="D4519" s="18"/>
      <c r="E4519" s="17"/>
      <c r="F4519" s="22"/>
      <c r="G4519"/>
    </row>
    <row r="4520" spans="1:7">
      <c r="A4520" s="17"/>
      <c r="B4520" s="18"/>
      <c r="C4520" s="17"/>
      <c r="D4520" s="18"/>
      <c r="E4520" s="17"/>
      <c r="F4520" s="22"/>
      <c r="G4520"/>
    </row>
    <row r="4521" spans="1:7">
      <c r="A4521" s="17"/>
      <c r="B4521" s="18"/>
      <c r="C4521" s="17"/>
      <c r="D4521" s="18"/>
      <c r="E4521" s="17"/>
      <c r="F4521" s="22"/>
      <c r="G4521"/>
    </row>
    <row r="4522" spans="1:7">
      <c r="A4522" s="17"/>
      <c r="B4522" s="18"/>
      <c r="C4522" s="17"/>
      <c r="D4522" s="18"/>
      <c r="E4522" s="17"/>
      <c r="F4522" s="22"/>
      <c r="G4522"/>
    </row>
    <row r="4523" spans="1:7">
      <c r="A4523" s="17"/>
      <c r="B4523" s="18"/>
      <c r="C4523" s="17"/>
      <c r="D4523" s="18"/>
      <c r="E4523" s="17"/>
      <c r="F4523" s="22"/>
      <c r="G4523"/>
    </row>
    <row r="4524" spans="1:7">
      <c r="A4524" s="17"/>
      <c r="B4524" s="18"/>
      <c r="C4524" s="17"/>
      <c r="D4524" s="18"/>
      <c r="E4524" s="17"/>
      <c r="F4524" s="22"/>
      <c r="G4524"/>
    </row>
    <row r="4525" spans="1:7">
      <c r="A4525" s="17"/>
      <c r="B4525" s="18"/>
      <c r="C4525" s="17"/>
      <c r="D4525" s="18"/>
      <c r="E4525" s="17"/>
      <c r="F4525" s="22"/>
      <c r="G4525"/>
    </row>
    <row r="4526" spans="1:7">
      <c r="A4526" s="17"/>
      <c r="B4526" s="18"/>
      <c r="C4526" s="17"/>
      <c r="D4526" s="18"/>
      <c r="E4526" s="17"/>
      <c r="F4526" s="22"/>
      <c r="G4526"/>
    </row>
    <row r="4527" spans="1:7">
      <c r="A4527" s="17"/>
      <c r="B4527" s="18"/>
      <c r="C4527" s="17"/>
      <c r="D4527" s="18"/>
      <c r="E4527" s="17"/>
      <c r="F4527" s="22"/>
      <c r="G4527"/>
    </row>
    <row r="4528" spans="1:7">
      <c r="A4528" s="17"/>
      <c r="B4528" s="18"/>
      <c r="C4528" s="17"/>
      <c r="D4528" s="18"/>
      <c r="E4528" s="17"/>
      <c r="F4528" s="22"/>
      <c r="G4528"/>
    </row>
    <row r="4529" spans="1:7">
      <c r="A4529" s="17"/>
      <c r="B4529" s="18"/>
      <c r="C4529" s="17"/>
      <c r="D4529" s="18"/>
      <c r="E4529" s="17"/>
      <c r="F4529" s="22"/>
      <c r="G4529"/>
    </row>
    <row r="4530" spans="1:7">
      <c r="A4530" s="17"/>
      <c r="B4530" s="18"/>
      <c r="C4530" s="17"/>
      <c r="D4530" s="18"/>
      <c r="E4530" s="17"/>
      <c r="F4530" s="22"/>
      <c r="G4530"/>
    </row>
    <row r="4531" spans="1:7">
      <c r="A4531" s="17"/>
      <c r="B4531" s="18"/>
      <c r="C4531" s="17"/>
      <c r="D4531" s="18"/>
      <c r="E4531" s="17"/>
      <c r="F4531" s="22"/>
      <c r="G4531"/>
    </row>
    <row r="4532" spans="1:7">
      <c r="A4532" s="17"/>
      <c r="B4532" s="18"/>
      <c r="C4532" s="17"/>
      <c r="D4532" s="18"/>
      <c r="E4532" s="17"/>
      <c r="F4532" s="22"/>
      <c r="G4532"/>
    </row>
    <row r="4533" spans="1:7">
      <c r="A4533" s="17"/>
      <c r="B4533" s="18"/>
      <c r="C4533" s="17"/>
      <c r="D4533" s="18"/>
      <c r="E4533" s="17"/>
      <c r="F4533" s="22"/>
      <c r="G4533"/>
    </row>
    <row r="4534" spans="1:7">
      <c r="A4534" s="17"/>
      <c r="B4534" s="18"/>
      <c r="C4534" s="17"/>
      <c r="D4534" s="18"/>
      <c r="E4534" s="17"/>
      <c r="F4534" s="22"/>
      <c r="G4534"/>
    </row>
    <row r="4535" spans="1:7">
      <c r="A4535" s="17"/>
      <c r="B4535" s="18"/>
      <c r="C4535" s="17"/>
      <c r="D4535" s="18"/>
      <c r="E4535" s="17"/>
      <c r="F4535" s="22"/>
      <c r="G4535"/>
    </row>
    <row r="4536" spans="1:7">
      <c r="A4536" s="17"/>
      <c r="B4536" s="18"/>
      <c r="C4536" s="17"/>
      <c r="D4536" s="18"/>
      <c r="E4536" s="17"/>
      <c r="F4536" s="22"/>
      <c r="G4536"/>
    </row>
    <row r="4537" spans="1:7">
      <c r="A4537" s="17"/>
      <c r="B4537" s="18"/>
      <c r="C4537" s="17"/>
      <c r="D4537" s="18"/>
      <c r="E4537" s="17"/>
      <c r="F4537" s="22"/>
      <c r="G4537"/>
    </row>
    <row r="4538" spans="1:7">
      <c r="A4538" s="17"/>
      <c r="B4538" s="18"/>
      <c r="C4538" s="17"/>
      <c r="D4538" s="18"/>
      <c r="E4538" s="17"/>
      <c r="F4538" s="22"/>
      <c r="G4538"/>
    </row>
    <row r="4539" spans="1:7">
      <c r="A4539" s="17"/>
      <c r="B4539" s="18"/>
      <c r="C4539" s="17"/>
      <c r="D4539" s="18"/>
      <c r="E4539" s="17"/>
      <c r="F4539" s="22"/>
      <c r="G4539"/>
    </row>
    <row r="4540" spans="1:7">
      <c r="A4540" s="17"/>
      <c r="B4540" s="18"/>
      <c r="C4540" s="17"/>
      <c r="D4540" s="18"/>
      <c r="E4540" s="17"/>
      <c r="F4540" s="22"/>
      <c r="G4540"/>
    </row>
    <row r="4541" spans="1:7">
      <c r="A4541" s="17"/>
      <c r="B4541" s="18"/>
      <c r="C4541" s="17"/>
      <c r="D4541" s="18"/>
      <c r="E4541" s="17"/>
      <c r="F4541" s="22"/>
      <c r="G4541"/>
    </row>
    <row r="4542" spans="1:7">
      <c r="A4542" s="17"/>
      <c r="B4542" s="18"/>
      <c r="C4542" s="17"/>
      <c r="D4542" s="18"/>
      <c r="E4542" s="17"/>
      <c r="F4542" s="22"/>
      <c r="G4542"/>
    </row>
    <row r="4543" spans="1:7">
      <c r="A4543" s="17"/>
      <c r="B4543" s="18"/>
      <c r="C4543" s="17"/>
      <c r="D4543" s="18"/>
      <c r="E4543" s="17"/>
      <c r="F4543" s="22"/>
      <c r="G4543"/>
    </row>
    <row r="4544" spans="1:7">
      <c r="A4544" s="17"/>
      <c r="B4544" s="18"/>
      <c r="C4544" s="17"/>
      <c r="D4544" s="18"/>
      <c r="E4544" s="17"/>
      <c r="F4544" s="22"/>
      <c r="G4544"/>
    </row>
    <row r="4545" spans="1:7">
      <c r="A4545" s="17"/>
      <c r="B4545" s="18"/>
      <c r="C4545" s="17"/>
      <c r="D4545" s="18"/>
      <c r="E4545" s="17"/>
      <c r="F4545" s="22"/>
      <c r="G4545"/>
    </row>
    <row r="4546" spans="1:7">
      <c r="A4546" s="17"/>
      <c r="B4546" s="18"/>
      <c r="C4546" s="17"/>
      <c r="D4546" s="18"/>
      <c r="E4546" s="17"/>
      <c r="F4546" s="22"/>
      <c r="G4546"/>
    </row>
    <row r="4547" spans="1:7">
      <c r="A4547" s="17"/>
      <c r="B4547" s="18"/>
      <c r="C4547" s="17"/>
      <c r="D4547" s="18"/>
      <c r="E4547" s="17"/>
      <c r="F4547" s="22"/>
      <c r="G4547"/>
    </row>
    <row r="4548" spans="1:7">
      <c r="A4548" s="17"/>
      <c r="B4548" s="18"/>
      <c r="C4548" s="17"/>
      <c r="D4548" s="18"/>
      <c r="E4548" s="17"/>
      <c r="F4548" s="22"/>
      <c r="G4548"/>
    </row>
    <row r="4549" spans="1:7">
      <c r="A4549" s="17"/>
      <c r="B4549" s="18"/>
      <c r="C4549" s="17"/>
      <c r="D4549" s="18"/>
      <c r="E4549" s="17"/>
      <c r="F4549" s="22"/>
      <c r="G4549"/>
    </row>
    <row r="4550" spans="1:7">
      <c r="A4550" s="17"/>
      <c r="B4550" s="18"/>
      <c r="C4550" s="17"/>
      <c r="D4550" s="18"/>
      <c r="E4550" s="17"/>
      <c r="F4550" s="22"/>
      <c r="G4550"/>
    </row>
    <row r="4551" spans="1:7">
      <c r="A4551" s="17"/>
      <c r="B4551" s="18"/>
      <c r="C4551" s="17"/>
      <c r="D4551" s="18"/>
      <c r="E4551" s="17"/>
      <c r="F4551" s="22"/>
      <c r="G4551"/>
    </row>
    <row r="4552" spans="1:7">
      <c r="A4552" s="17"/>
      <c r="B4552" s="18"/>
      <c r="C4552" s="17"/>
      <c r="D4552" s="18"/>
      <c r="E4552" s="17"/>
      <c r="F4552" s="22"/>
      <c r="G4552"/>
    </row>
    <row r="4553" spans="1:7">
      <c r="A4553" s="17"/>
      <c r="B4553" s="18"/>
      <c r="C4553" s="17"/>
      <c r="D4553" s="18"/>
      <c r="E4553" s="17"/>
      <c r="F4553" s="22"/>
      <c r="G4553"/>
    </row>
    <row r="4554" spans="1:7">
      <c r="A4554" s="17"/>
      <c r="B4554" s="18"/>
      <c r="C4554" s="17"/>
      <c r="D4554" s="18"/>
      <c r="E4554" s="17"/>
      <c r="F4554" s="22"/>
      <c r="G4554"/>
    </row>
    <row r="4555" spans="1:7">
      <c r="A4555" s="17"/>
      <c r="B4555" s="18"/>
      <c r="C4555" s="17"/>
      <c r="D4555" s="18"/>
      <c r="E4555" s="17"/>
      <c r="F4555" s="22"/>
      <c r="G4555"/>
    </row>
    <row r="4556" spans="1:7">
      <c r="A4556" s="17"/>
      <c r="B4556" s="18"/>
      <c r="C4556" s="17"/>
      <c r="D4556" s="18"/>
      <c r="E4556" s="17"/>
      <c r="F4556" s="22"/>
      <c r="G4556"/>
    </row>
    <row r="4557" spans="1:7">
      <c r="A4557" s="17"/>
      <c r="B4557" s="18"/>
      <c r="C4557" s="17"/>
      <c r="D4557" s="18"/>
      <c r="E4557" s="17"/>
      <c r="F4557" s="22"/>
      <c r="G4557"/>
    </row>
    <row r="4558" spans="1:7">
      <c r="A4558" s="17"/>
      <c r="B4558" s="18"/>
      <c r="C4558" s="17"/>
      <c r="D4558" s="18"/>
      <c r="E4558" s="17"/>
      <c r="F4558" s="22"/>
      <c r="G4558"/>
    </row>
    <row r="4559" spans="1:7">
      <c r="A4559" s="17"/>
      <c r="B4559" s="18"/>
      <c r="C4559" s="17"/>
      <c r="D4559" s="18"/>
      <c r="E4559" s="17"/>
      <c r="F4559" s="22"/>
      <c r="G4559"/>
    </row>
    <row r="4560" spans="1:7">
      <c r="A4560" s="17"/>
      <c r="B4560" s="18"/>
      <c r="C4560" s="17"/>
      <c r="D4560" s="18"/>
      <c r="E4560" s="17"/>
      <c r="F4560" s="22"/>
      <c r="G4560"/>
    </row>
    <row r="4561" spans="1:7">
      <c r="A4561" s="17"/>
      <c r="B4561" s="18"/>
      <c r="C4561" s="17"/>
      <c r="D4561" s="18"/>
      <c r="E4561" s="17"/>
      <c r="F4561" s="22"/>
      <c r="G4561"/>
    </row>
    <row r="4562" spans="1:7">
      <c r="A4562" s="17"/>
      <c r="B4562" s="18"/>
      <c r="C4562" s="17"/>
      <c r="D4562" s="18"/>
      <c r="E4562" s="17"/>
      <c r="F4562" s="22"/>
      <c r="G4562"/>
    </row>
    <row r="4563" spans="1:7">
      <c r="A4563" s="17"/>
      <c r="B4563" s="18"/>
      <c r="C4563" s="17"/>
      <c r="D4563" s="18"/>
      <c r="E4563" s="17"/>
      <c r="F4563" s="22"/>
      <c r="G4563"/>
    </row>
    <row r="4564" spans="1:7">
      <c r="A4564" s="17"/>
      <c r="B4564" s="18"/>
      <c r="C4564" s="17"/>
      <c r="D4564" s="18"/>
      <c r="E4564" s="17"/>
      <c r="F4564" s="22"/>
      <c r="G4564"/>
    </row>
    <row r="4565" spans="1:7">
      <c r="A4565" s="17"/>
      <c r="B4565" s="18"/>
      <c r="C4565" s="17"/>
      <c r="D4565" s="18"/>
      <c r="E4565" s="17"/>
      <c r="F4565" s="22"/>
      <c r="G4565"/>
    </row>
    <row r="4566" spans="1:7">
      <c r="A4566" s="17"/>
      <c r="B4566" s="18"/>
      <c r="C4566" s="17"/>
      <c r="D4566" s="18"/>
      <c r="E4566" s="17"/>
      <c r="F4566" s="22"/>
      <c r="G4566"/>
    </row>
    <row r="4567" spans="1:7">
      <c r="A4567" s="17"/>
      <c r="B4567" s="18"/>
      <c r="C4567" s="17"/>
      <c r="D4567" s="18"/>
      <c r="E4567" s="17"/>
      <c r="F4567" s="22"/>
      <c r="G4567"/>
    </row>
    <row r="4568" spans="1:7">
      <c r="A4568" s="17"/>
      <c r="B4568" s="18"/>
      <c r="C4568" s="17"/>
      <c r="D4568" s="18"/>
      <c r="E4568" s="17"/>
      <c r="F4568" s="22"/>
      <c r="G4568"/>
    </row>
    <row r="4569" spans="1:7">
      <c r="A4569" s="17"/>
      <c r="B4569" s="18"/>
      <c r="C4569" s="17"/>
      <c r="D4569" s="18"/>
      <c r="E4569" s="17"/>
      <c r="F4569" s="22"/>
      <c r="G4569"/>
    </row>
    <row r="4570" spans="1:7">
      <c r="A4570" s="17"/>
      <c r="B4570" s="18"/>
      <c r="C4570" s="17"/>
      <c r="D4570" s="18"/>
      <c r="E4570" s="17"/>
      <c r="F4570" s="22"/>
      <c r="G4570"/>
    </row>
    <row r="4571" spans="1:7">
      <c r="A4571" s="17"/>
      <c r="B4571" s="18"/>
      <c r="C4571" s="17"/>
      <c r="D4571" s="18"/>
      <c r="E4571" s="17"/>
      <c r="F4571" s="22"/>
      <c r="G4571"/>
    </row>
    <row r="4572" spans="1:7">
      <c r="A4572" s="17"/>
      <c r="B4572" s="18"/>
      <c r="C4572" s="17"/>
      <c r="D4572" s="18"/>
      <c r="E4572" s="17"/>
      <c r="F4572" s="22"/>
      <c r="G4572"/>
    </row>
    <row r="4573" spans="1:7">
      <c r="A4573" s="17"/>
      <c r="B4573" s="18"/>
      <c r="C4573" s="17"/>
      <c r="D4573" s="18"/>
      <c r="E4573" s="17"/>
      <c r="F4573" s="22"/>
      <c r="G4573"/>
    </row>
    <row r="4574" spans="1:7">
      <c r="A4574" s="17"/>
      <c r="B4574" s="18"/>
      <c r="C4574" s="17"/>
      <c r="D4574" s="18"/>
      <c r="E4574" s="17"/>
      <c r="F4574" s="22"/>
      <c r="G4574"/>
    </row>
    <row r="4575" spans="1:7">
      <c r="A4575" s="17"/>
      <c r="B4575" s="18"/>
      <c r="C4575" s="17"/>
      <c r="D4575" s="18"/>
      <c r="E4575" s="17"/>
      <c r="F4575" s="22"/>
      <c r="G4575"/>
    </row>
    <row r="4576" spans="1:7">
      <c r="A4576" s="17"/>
      <c r="B4576" s="18"/>
      <c r="C4576" s="17"/>
      <c r="D4576" s="18"/>
      <c r="E4576" s="17"/>
      <c r="F4576" s="22"/>
      <c r="G4576"/>
    </row>
    <row r="4577" spans="1:7">
      <c r="A4577" s="17"/>
      <c r="B4577" s="18"/>
      <c r="C4577" s="17"/>
      <c r="D4577" s="18"/>
      <c r="E4577" s="17"/>
      <c r="F4577" s="22"/>
      <c r="G4577"/>
    </row>
    <row r="4578" spans="1:7">
      <c r="A4578" s="17"/>
      <c r="B4578" s="18"/>
      <c r="C4578" s="17"/>
      <c r="D4578" s="18"/>
      <c r="E4578" s="17"/>
      <c r="F4578" s="22"/>
      <c r="G4578"/>
    </row>
    <row r="4579" spans="1:7">
      <c r="A4579" s="17"/>
      <c r="B4579" s="18"/>
      <c r="C4579" s="17"/>
      <c r="D4579" s="18"/>
      <c r="E4579" s="17"/>
      <c r="F4579" s="22"/>
      <c r="G4579"/>
    </row>
    <row r="4580" spans="1:7">
      <c r="A4580" s="17"/>
      <c r="B4580" s="18"/>
      <c r="C4580" s="17"/>
      <c r="D4580" s="18"/>
      <c r="E4580" s="17"/>
      <c r="F4580" s="22"/>
      <c r="G4580"/>
    </row>
    <row r="4581" spans="1:7">
      <c r="A4581" s="17"/>
      <c r="B4581" s="18"/>
      <c r="C4581" s="17"/>
      <c r="D4581" s="18"/>
      <c r="E4581" s="17"/>
      <c r="F4581" s="22"/>
      <c r="G4581"/>
    </row>
    <row r="4582" spans="1:7">
      <c r="A4582" s="17"/>
      <c r="B4582" s="18"/>
      <c r="C4582" s="17"/>
      <c r="D4582" s="18"/>
      <c r="E4582" s="17"/>
      <c r="F4582" s="22"/>
      <c r="G4582"/>
    </row>
    <row r="4583" spans="1:7">
      <c r="A4583" s="17"/>
      <c r="B4583" s="18"/>
      <c r="C4583" s="17"/>
      <c r="D4583" s="18"/>
      <c r="E4583" s="17"/>
      <c r="F4583" s="22"/>
      <c r="G4583"/>
    </row>
    <row r="4584" spans="1:7">
      <c r="A4584" s="17"/>
      <c r="B4584" s="18"/>
      <c r="C4584" s="17"/>
      <c r="D4584" s="18"/>
      <c r="E4584" s="17"/>
      <c r="F4584" s="22"/>
      <c r="G4584"/>
    </row>
    <row r="4585" spans="1:7">
      <c r="A4585" s="17"/>
      <c r="B4585" s="18"/>
      <c r="C4585" s="17"/>
      <c r="D4585" s="18"/>
      <c r="E4585" s="17"/>
      <c r="F4585" s="22"/>
      <c r="G4585"/>
    </row>
    <row r="4586" spans="1:7">
      <c r="A4586" s="17"/>
      <c r="B4586" s="18"/>
      <c r="C4586" s="17"/>
      <c r="D4586" s="18"/>
      <c r="E4586" s="17"/>
      <c r="F4586" s="22"/>
      <c r="G4586"/>
    </row>
    <row r="4587" spans="1:7">
      <c r="A4587" s="17"/>
      <c r="B4587" s="18"/>
      <c r="C4587" s="17"/>
      <c r="D4587" s="18"/>
      <c r="E4587" s="17"/>
      <c r="F4587" s="22"/>
      <c r="G4587"/>
    </row>
    <row r="4588" spans="1:7">
      <c r="A4588" s="17"/>
      <c r="B4588" s="18"/>
      <c r="C4588" s="17"/>
      <c r="D4588" s="18"/>
      <c r="E4588" s="17"/>
      <c r="F4588" s="22"/>
      <c r="G4588"/>
    </row>
    <row r="4589" spans="1:7">
      <c r="A4589" s="17"/>
      <c r="B4589" s="18"/>
      <c r="C4589" s="17"/>
      <c r="D4589" s="18"/>
      <c r="E4589" s="17"/>
      <c r="F4589" s="22"/>
      <c r="G4589"/>
    </row>
    <row r="4590" spans="1:7">
      <c r="A4590" s="17"/>
      <c r="B4590" s="18"/>
      <c r="C4590" s="17"/>
      <c r="D4590" s="18"/>
      <c r="E4590" s="17"/>
      <c r="F4590" s="22"/>
      <c r="G4590"/>
    </row>
    <row r="4591" spans="1:7">
      <c r="A4591" s="17"/>
      <c r="B4591" s="18"/>
      <c r="C4591" s="17"/>
      <c r="D4591" s="18"/>
      <c r="E4591" s="17"/>
      <c r="F4591" s="22"/>
      <c r="G4591"/>
    </row>
    <row r="4592" spans="1:7">
      <c r="A4592" s="17"/>
      <c r="B4592" s="18"/>
      <c r="C4592" s="17"/>
      <c r="D4592" s="18"/>
      <c r="E4592" s="17"/>
      <c r="F4592" s="22"/>
      <c r="G4592"/>
    </row>
    <row r="4593" spans="1:7">
      <c r="A4593" s="17"/>
      <c r="B4593" s="18"/>
      <c r="C4593" s="17"/>
      <c r="D4593" s="18"/>
      <c r="E4593" s="17"/>
      <c r="F4593" s="22"/>
      <c r="G4593"/>
    </row>
    <row r="4594" spans="1:7">
      <c r="A4594" s="17"/>
      <c r="B4594" s="18"/>
      <c r="C4594" s="17"/>
      <c r="D4594" s="18"/>
      <c r="E4594" s="17"/>
      <c r="F4594" s="22"/>
      <c r="G4594"/>
    </row>
    <row r="4595" spans="1:7">
      <c r="A4595" s="17"/>
      <c r="B4595" s="18"/>
      <c r="C4595" s="17"/>
      <c r="D4595" s="18"/>
      <c r="E4595" s="17"/>
      <c r="F4595" s="22"/>
      <c r="G4595"/>
    </row>
    <row r="4596" spans="1:7">
      <c r="A4596" s="17"/>
      <c r="B4596" s="18"/>
      <c r="C4596" s="17"/>
      <c r="D4596" s="18"/>
      <c r="E4596" s="17"/>
      <c r="F4596" s="22"/>
      <c r="G4596"/>
    </row>
    <row r="4597" spans="1:7">
      <c r="A4597" s="17"/>
      <c r="B4597" s="18"/>
      <c r="C4597" s="17"/>
      <c r="D4597" s="18"/>
      <c r="E4597" s="17"/>
      <c r="F4597" s="22"/>
      <c r="G4597"/>
    </row>
    <row r="4598" spans="1:7">
      <c r="A4598" s="17"/>
      <c r="B4598" s="18"/>
      <c r="C4598" s="17"/>
      <c r="D4598" s="18"/>
      <c r="E4598" s="17"/>
      <c r="F4598" s="22"/>
      <c r="G4598"/>
    </row>
    <row r="4599" spans="1:7">
      <c r="A4599" s="17"/>
      <c r="B4599" s="18"/>
      <c r="C4599" s="17"/>
      <c r="D4599" s="18"/>
      <c r="E4599" s="17"/>
      <c r="F4599" s="22"/>
      <c r="G4599"/>
    </row>
    <row r="4600" spans="1:7">
      <c r="A4600" s="17"/>
      <c r="B4600" s="18"/>
      <c r="C4600" s="17"/>
      <c r="D4600" s="18"/>
      <c r="E4600" s="17"/>
      <c r="F4600" s="22"/>
      <c r="G4600"/>
    </row>
    <row r="4601" spans="1:7">
      <c r="A4601" s="17"/>
      <c r="B4601" s="18"/>
      <c r="C4601" s="17"/>
      <c r="D4601" s="18"/>
      <c r="E4601" s="17"/>
      <c r="F4601" s="22"/>
      <c r="G4601"/>
    </row>
    <row r="4602" spans="1:7">
      <c r="A4602" s="17"/>
      <c r="B4602" s="18"/>
      <c r="C4602" s="17"/>
      <c r="D4602" s="18"/>
      <c r="E4602" s="17"/>
      <c r="F4602" s="22"/>
      <c r="G4602"/>
    </row>
    <row r="4603" spans="1:7">
      <c r="A4603" s="17"/>
      <c r="B4603" s="18"/>
      <c r="C4603" s="17"/>
      <c r="D4603" s="18"/>
      <c r="E4603" s="17"/>
      <c r="F4603" s="22"/>
      <c r="G4603"/>
    </row>
    <row r="4604" spans="1:7">
      <c r="A4604" s="17"/>
      <c r="B4604" s="18"/>
      <c r="C4604" s="17"/>
      <c r="D4604" s="18"/>
      <c r="E4604" s="17"/>
      <c r="F4604" s="22"/>
      <c r="G4604"/>
    </row>
    <row r="4605" spans="1:7">
      <c r="A4605" s="17"/>
      <c r="B4605" s="18"/>
      <c r="C4605" s="17"/>
      <c r="D4605" s="18"/>
      <c r="E4605" s="17"/>
      <c r="F4605" s="22"/>
      <c r="G4605"/>
    </row>
    <row r="4606" spans="1:7">
      <c r="A4606" s="17"/>
      <c r="B4606" s="18"/>
      <c r="C4606" s="17"/>
      <c r="D4606" s="18"/>
      <c r="E4606" s="17"/>
      <c r="F4606" s="22"/>
      <c r="G4606"/>
    </row>
    <row r="4607" spans="1:7">
      <c r="A4607" s="17"/>
      <c r="B4607" s="18"/>
      <c r="C4607" s="17"/>
      <c r="D4607" s="18"/>
      <c r="E4607" s="17"/>
      <c r="F4607" s="22"/>
      <c r="G4607"/>
    </row>
    <row r="4608" spans="1:7">
      <c r="A4608" s="17"/>
      <c r="B4608" s="18"/>
      <c r="C4608" s="17"/>
      <c r="D4608" s="18"/>
      <c r="E4608" s="17"/>
      <c r="F4608" s="22"/>
      <c r="G4608"/>
    </row>
    <row r="4609" spans="1:7">
      <c r="A4609" s="17"/>
      <c r="B4609" s="18"/>
      <c r="C4609" s="17"/>
      <c r="D4609" s="18"/>
      <c r="E4609" s="17"/>
      <c r="F4609" s="22"/>
      <c r="G4609"/>
    </row>
    <row r="4610" spans="1:7">
      <c r="A4610" s="17"/>
      <c r="B4610" s="18"/>
      <c r="C4610" s="17"/>
      <c r="D4610" s="18"/>
      <c r="E4610" s="17"/>
      <c r="F4610" s="22"/>
      <c r="G4610"/>
    </row>
    <row r="4611" spans="1:7">
      <c r="A4611" s="17"/>
      <c r="B4611" s="18"/>
      <c r="C4611" s="17"/>
      <c r="D4611" s="18"/>
      <c r="E4611" s="17"/>
      <c r="F4611" s="22"/>
      <c r="G4611"/>
    </row>
    <row r="4612" spans="1:7">
      <c r="A4612" s="17"/>
      <c r="B4612" s="18"/>
      <c r="C4612" s="17"/>
      <c r="D4612" s="18"/>
      <c r="E4612" s="17"/>
      <c r="F4612" s="22"/>
      <c r="G4612"/>
    </row>
    <row r="4613" spans="1:7">
      <c r="A4613" s="17"/>
      <c r="B4613" s="18"/>
      <c r="C4613" s="17"/>
      <c r="D4613" s="18"/>
      <c r="E4613" s="17"/>
      <c r="F4613" s="22"/>
      <c r="G4613"/>
    </row>
    <row r="4614" spans="1:7">
      <c r="A4614" s="17"/>
      <c r="B4614" s="18"/>
      <c r="C4614" s="17"/>
      <c r="D4614" s="18"/>
      <c r="E4614" s="17"/>
      <c r="F4614" s="22"/>
      <c r="G4614"/>
    </row>
    <row r="4615" spans="1:7">
      <c r="A4615" s="17"/>
      <c r="B4615" s="18"/>
      <c r="C4615" s="17"/>
      <c r="D4615" s="18"/>
      <c r="E4615" s="17"/>
      <c r="F4615" s="22"/>
      <c r="G4615"/>
    </row>
    <row r="4616" spans="1:7">
      <c r="A4616" s="17"/>
      <c r="B4616" s="18"/>
      <c r="C4616" s="17"/>
      <c r="D4616" s="18"/>
      <c r="E4616" s="17"/>
      <c r="F4616" s="22"/>
      <c r="G4616"/>
    </row>
    <row r="4617" spans="1:7">
      <c r="A4617" s="17"/>
      <c r="B4617" s="18"/>
      <c r="C4617" s="17"/>
      <c r="D4617" s="18"/>
      <c r="E4617" s="17"/>
      <c r="F4617" s="22"/>
      <c r="G4617"/>
    </row>
    <row r="4618" spans="1:7">
      <c r="A4618" s="17"/>
      <c r="B4618" s="18"/>
      <c r="C4618" s="17"/>
      <c r="D4618" s="18"/>
      <c r="E4618" s="17"/>
      <c r="F4618" s="22"/>
      <c r="G4618"/>
    </row>
    <row r="4619" spans="1:7">
      <c r="A4619" s="17"/>
      <c r="B4619" s="18"/>
      <c r="C4619" s="17"/>
      <c r="D4619" s="18"/>
      <c r="E4619" s="17"/>
      <c r="F4619" s="22"/>
      <c r="G4619"/>
    </row>
    <row r="4620" spans="1:7">
      <c r="A4620" s="17"/>
      <c r="B4620" s="18"/>
      <c r="C4620" s="17"/>
      <c r="D4620" s="18"/>
      <c r="E4620" s="17"/>
      <c r="F4620" s="22"/>
      <c r="G4620"/>
    </row>
    <row r="4621" spans="1:7">
      <c r="A4621" s="17"/>
      <c r="B4621" s="18"/>
      <c r="C4621" s="17"/>
      <c r="D4621" s="18"/>
      <c r="E4621" s="17"/>
      <c r="F4621" s="22"/>
      <c r="G4621"/>
    </row>
    <row r="4622" spans="1:7">
      <c r="A4622" s="17"/>
      <c r="B4622" s="18"/>
      <c r="C4622" s="17"/>
      <c r="D4622" s="18"/>
      <c r="E4622" s="17"/>
      <c r="F4622" s="22"/>
      <c r="G4622"/>
    </row>
    <row r="4623" spans="1:7">
      <c r="A4623" s="17"/>
      <c r="B4623" s="18"/>
      <c r="C4623" s="17"/>
      <c r="D4623" s="18"/>
      <c r="E4623" s="17"/>
      <c r="F4623" s="22"/>
      <c r="G4623"/>
    </row>
    <row r="4624" spans="1:7">
      <c r="A4624" s="17"/>
      <c r="B4624" s="18"/>
      <c r="C4624" s="17"/>
      <c r="D4624" s="18"/>
      <c r="E4624" s="17"/>
      <c r="F4624" s="22"/>
      <c r="G4624"/>
    </row>
    <row r="4625" spans="1:7">
      <c r="A4625" s="17"/>
      <c r="B4625" s="18"/>
      <c r="C4625" s="17"/>
      <c r="D4625" s="18"/>
      <c r="E4625" s="17"/>
      <c r="F4625" s="22"/>
      <c r="G4625"/>
    </row>
    <row r="4626" spans="1:7">
      <c r="A4626" s="17"/>
      <c r="B4626" s="18"/>
      <c r="C4626" s="17"/>
      <c r="D4626" s="18"/>
      <c r="E4626" s="17"/>
      <c r="F4626" s="22"/>
      <c r="G4626"/>
    </row>
    <row r="4627" spans="1:7">
      <c r="A4627" s="17"/>
      <c r="B4627" s="18"/>
      <c r="C4627" s="17"/>
      <c r="D4627" s="18"/>
      <c r="E4627" s="17"/>
      <c r="F4627" s="22"/>
      <c r="G4627"/>
    </row>
    <row r="4628" spans="1:7">
      <c r="A4628" s="17"/>
      <c r="B4628" s="18"/>
      <c r="C4628" s="17"/>
      <c r="D4628" s="18"/>
      <c r="E4628" s="17"/>
      <c r="F4628" s="22"/>
      <c r="G4628"/>
    </row>
    <row r="4629" spans="1:7">
      <c r="A4629" s="17"/>
      <c r="B4629" s="18"/>
      <c r="C4629" s="17"/>
      <c r="D4629" s="18"/>
      <c r="E4629" s="17"/>
      <c r="F4629" s="22"/>
      <c r="G4629"/>
    </row>
    <row r="4630" spans="1:7">
      <c r="A4630" s="17"/>
      <c r="B4630" s="18"/>
      <c r="C4630" s="17"/>
      <c r="D4630" s="18"/>
      <c r="E4630" s="17"/>
      <c r="F4630" s="22"/>
      <c r="G4630"/>
    </row>
    <row r="4631" spans="1:7">
      <c r="A4631" s="17"/>
      <c r="B4631" s="18"/>
      <c r="C4631" s="17"/>
      <c r="D4631" s="18"/>
      <c r="E4631" s="17"/>
      <c r="F4631" s="22"/>
      <c r="G4631"/>
    </row>
    <row r="4632" spans="1:7">
      <c r="A4632" s="17"/>
      <c r="B4632" s="18"/>
      <c r="C4632" s="17"/>
      <c r="D4632" s="18"/>
      <c r="E4632" s="17"/>
      <c r="F4632" s="22"/>
      <c r="G4632"/>
    </row>
    <row r="4633" spans="1:7">
      <c r="A4633" s="17"/>
      <c r="B4633" s="18"/>
      <c r="C4633" s="17"/>
      <c r="D4633" s="18"/>
      <c r="E4633" s="17"/>
      <c r="F4633" s="22"/>
      <c r="G4633"/>
    </row>
    <row r="4634" spans="1:7">
      <c r="A4634" s="17"/>
      <c r="B4634" s="18"/>
      <c r="C4634" s="17"/>
      <c r="D4634" s="18"/>
      <c r="E4634" s="17"/>
      <c r="F4634" s="22"/>
      <c r="G4634"/>
    </row>
    <row r="4635" spans="1:7">
      <c r="A4635" s="17"/>
      <c r="B4635" s="18"/>
      <c r="C4635" s="17"/>
      <c r="D4635" s="18"/>
      <c r="E4635" s="17"/>
      <c r="F4635" s="22"/>
      <c r="G4635"/>
    </row>
    <row r="4636" spans="1:7">
      <c r="A4636" s="17"/>
      <c r="B4636" s="18"/>
      <c r="C4636" s="17"/>
      <c r="D4636" s="18"/>
      <c r="E4636" s="17"/>
      <c r="F4636" s="22"/>
      <c r="G4636"/>
    </row>
    <row r="4637" spans="1:7">
      <c r="A4637" s="17"/>
      <c r="B4637" s="18"/>
      <c r="C4637" s="17"/>
      <c r="D4637" s="18"/>
      <c r="E4637" s="17"/>
      <c r="F4637" s="22"/>
      <c r="G4637"/>
    </row>
    <row r="4638" spans="1:7">
      <c r="A4638" s="17"/>
      <c r="B4638" s="18"/>
      <c r="C4638" s="17"/>
      <c r="D4638" s="18"/>
      <c r="E4638" s="17"/>
      <c r="F4638" s="22"/>
      <c r="G4638"/>
    </row>
    <row r="4639" spans="1:7">
      <c r="A4639" s="17"/>
      <c r="B4639" s="18"/>
      <c r="C4639" s="17"/>
      <c r="D4639" s="18"/>
      <c r="E4639" s="17"/>
      <c r="F4639" s="22"/>
      <c r="G4639"/>
    </row>
    <row r="4640" spans="1:7">
      <c r="A4640" s="17"/>
      <c r="B4640" s="18"/>
      <c r="C4640" s="17"/>
      <c r="D4640" s="18"/>
      <c r="E4640" s="17"/>
      <c r="F4640" s="22"/>
      <c r="G4640"/>
    </row>
    <row r="4641" spans="1:7">
      <c r="A4641" s="17"/>
      <c r="B4641" s="18"/>
      <c r="C4641" s="17"/>
      <c r="D4641" s="18"/>
      <c r="E4641" s="17"/>
      <c r="F4641" s="22"/>
      <c r="G4641"/>
    </row>
    <row r="4642" spans="1:7">
      <c r="A4642" s="17"/>
      <c r="B4642" s="18"/>
      <c r="C4642" s="17"/>
      <c r="D4642" s="18"/>
      <c r="E4642" s="17"/>
      <c r="F4642" s="22"/>
      <c r="G4642"/>
    </row>
    <row r="4643" spans="1:7">
      <c r="A4643" s="17"/>
      <c r="B4643" s="18"/>
      <c r="C4643" s="17"/>
      <c r="D4643" s="18"/>
      <c r="E4643" s="17"/>
      <c r="F4643" s="22"/>
      <c r="G4643"/>
    </row>
    <row r="4644" spans="1:7">
      <c r="A4644" s="17"/>
      <c r="B4644" s="18"/>
      <c r="C4644" s="17"/>
      <c r="D4644" s="18"/>
      <c r="E4644" s="17"/>
      <c r="F4644" s="22"/>
      <c r="G4644"/>
    </row>
    <row r="4645" spans="1:7">
      <c r="A4645" s="17"/>
      <c r="B4645" s="18"/>
      <c r="C4645" s="17"/>
      <c r="D4645" s="18"/>
      <c r="E4645" s="17"/>
      <c r="F4645" s="22"/>
      <c r="G4645"/>
    </row>
    <row r="4646" spans="1:7">
      <c r="A4646" s="17"/>
      <c r="B4646" s="18"/>
      <c r="C4646" s="17"/>
      <c r="D4646" s="18"/>
      <c r="E4646" s="17"/>
      <c r="F4646" s="22"/>
      <c r="G4646"/>
    </row>
    <row r="4647" spans="1:7">
      <c r="A4647" s="17"/>
      <c r="B4647" s="18"/>
      <c r="C4647" s="17"/>
      <c r="D4647" s="18"/>
      <c r="E4647" s="17"/>
      <c r="F4647" s="22"/>
      <c r="G4647"/>
    </row>
    <row r="4648" spans="1:7">
      <c r="A4648" s="17"/>
      <c r="B4648" s="18"/>
      <c r="C4648" s="17"/>
      <c r="D4648" s="18"/>
      <c r="E4648" s="17"/>
      <c r="F4648" s="22"/>
      <c r="G4648"/>
    </row>
    <row r="4649" spans="1:7">
      <c r="A4649" s="17"/>
      <c r="B4649" s="18"/>
      <c r="C4649" s="17"/>
      <c r="D4649" s="18"/>
      <c r="E4649" s="17"/>
      <c r="F4649" s="22"/>
      <c r="G4649"/>
    </row>
    <row r="4650" spans="1:7">
      <c r="A4650" s="17"/>
      <c r="B4650" s="18"/>
      <c r="C4650" s="17"/>
      <c r="D4650" s="18"/>
      <c r="E4650" s="17"/>
      <c r="F4650" s="22"/>
      <c r="G4650"/>
    </row>
    <row r="4651" spans="1:7">
      <c r="A4651" s="17"/>
      <c r="B4651" s="18"/>
      <c r="C4651" s="17"/>
      <c r="D4651" s="18"/>
      <c r="E4651" s="17"/>
      <c r="F4651" s="22"/>
      <c r="G4651"/>
    </row>
    <row r="4652" spans="1:7">
      <c r="A4652" s="17"/>
      <c r="B4652" s="18"/>
      <c r="C4652" s="17"/>
      <c r="D4652" s="18"/>
      <c r="E4652" s="17"/>
      <c r="F4652" s="22"/>
      <c r="G4652"/>
    </row>
    <row r="4653" spans="1:7">
      <c r="A4653" s="17"/>
      <c r="B4653" s="18"/>
      <c r="C4653" s="17"/>
      <c r="D4653" s="18"/>
      <c r="E4653" s="17"/>
      <c r="F4653" s="22"/>
      <c r="G4653"/>
    </row>
    <row r="4654" spans="1:7">
      <c r="A4654" s="17"/>
      <c r="B4654" s="18"/>
      <c r="C4654" s="17"/>
      <c r="D4654" s="18"/>
      <c r="E4654" s="17"/>
      <c r="F4654" s="22"/>
      <c r="G4654"/>
    </row>
    <row r="4655" spans="1:7">
      <c r="A4655" s="17"/>
      <c r="B4655" s="18"/>
      <c r="C4655" s="17"/>
      <c r="D4655" s="18"/>
      <c r="E4655" s="17"/>
      <c r="F4655" s="22"/>
      <c r="G4655"/>
    </row>
    <row r="4656" spans="1:7">
      <c r="A4656" s="17"/>
      <c r="B4656" s="18"/>
      <c r="C4656" s="17"/>
      <c r="D4656" s="18"/>
      <c r="E4656" s="17"/>
      <c r="F4656" s="22"/>
      <c r="G4656"/>
    </row>
    <row r="4657" spans="1:7">
      <c r="A4657" s="17"/>
      <c r="B4657" s="18"/>
      <c r="C4657" s="17"/>
      <c r="D4657" s="18"/>
      <c r="E4657" s="17"/>
      <c r="F4657" s="22"/>
      <c r="G4657"/>
    </row>
    <row r="4658" spans="1:7">
      <c r="A4658" s="17"/>
      <c r="B4658" s="18"/>
      <c r="C4658" s="17"/>
      <c r="D4658" s="18"/>
      <c r="E4658" s="17"/>
      <c r="F4658" s="22"/>
      <c r="G4658"/>
    </row>
    <row r="4659" spans="1:7">
      <c r="A4659" s="17"/>
      <c r="B4659" s="18"/>
      <c r="C4659" s="17"/>
      <c r="D4659" s="18"/>
      <c r="E4659" s="17"/>
      <c r="F4659" s="22"/>
      <c r="G4659"/>
    </row>
    <row r="4660" spans="1:7">
      <c r="A4660" s="17"/>
      <c r="B4660" s="18"/>
      <c r="C4660" s="17"/>
      <c r="D4660" s="18"/>
      <c r="E4660" s="17"/>
      <c r="F4660" s="22"/>
      <c r="G4660"/>
    </row>
    <row r="4661" spans="1:7">
      <c r="A4661" s="17"/>
      <c r="B4661" s="18"/>
      <c r="C4661" s="17"/>
      <c r="D4661" s="18"/>
      <c r="E4661" s="17"/>
      <c r="F4661" s="22"/>
      <c r="G4661"/>
    </row>
    <row r="4662" spans="1:7">
      <c r="A4662" s="17"/>
      <c r="B4662" s="18"/>
      <c r="C4662" s="17"/>
      <c r="D4662" s="18"/>
      <c r="E4662" s="17"/>
      <c r="F4662" s="22"/>
      <c r="G4662"/>
    </row>
    <row r="4663" spans="1:7">
      <c r="A4663" s="17"/>
      <c r="B4663" s="18"/>
      <c r="C4663" s="17"/>
      <c r="D4663" s="18"/>
      <c r="E4663" s="17"/>
      <c r="F4663" s="22"/>
      <c r="G4663"/>
    </row>
    <row r="4664" spans="1:7">
      <c r="A4664" s="17"/>
      <c r="B4664" s="18"/>
      <c r="C4664" s="17"/>
      <c r="D4664" s="18"/>
      <c r="E4664" s="17"/>
      <c r="F4664" s="22"/>
      <c r="G4664"/>
    </row>
    <row r="4665" spans="1:7">
      <c r="A4665" s="17"/>
      <c r="B4665" s="18"/>
      <c r="C4665" s="17"/>
      <c r="D4665" s="18"/>
      <c r="E4665" s="17"/>
      <c r="F4665" s="22"/>
      <c r="G4665"/>
    </row>
    <row r="4666" spans="1:7">
      <c r="A4666" s="17"/>
      <c r="B4666" s="18"/>
      <c r="C4666" s="17"/>
      <c r="D4666" s="18"/>
      <c r="E4666" s="17"/>
      <c r="F4666" s="22"/>
      <c r="G4666"/>
    </row>
    <row r="4667" spans="1:7">
      <c r="A4667" s="17"/>
      <c r="B4667" s="18"/>
      <c r="C4667" s="17"/>
      <c r="D4667" s="18"/>
      <c r="E4667" s="17"/>
      <c r="F4667" s="22"/>
      <c r="G4667"/>
    </row>
    <row r="4668" spans="1:7">
      <c r="B4668" s="1"/>
      <c r="F4668" s="23"/>
      <c r="G4668"/>
    </row>
    <row r="4669" spans="1:7">
      <c r="B4669" s="1"/>
      <c r="F4669" s="23"/>
      <c r="G4669"/>
    </row>
    <row r="4670" spans="1:7">
      <c r="B4670" s="1"/>
      <c r="F4670" s="23"/>
      <c r="G4670"/>
    </row>
    <row r="4671" spans="1:7">
      <c r="B4671" s="1"/>
      <c r="F4671" s="23"/>
      <c r="G4671"/>
    </row>
    <row r="4672" spans="1:7">
      <c r="B4672" s="1"/>
      <c r="F4672" s="23"/>
      <c r="G4672"/>
    </row>
    <row r="4673" spans="2:7">
      <c r="B4673" s="1"/>
      <c r="F4673" s="23"/>
      <c r="G4673"/>
    </row>
    <row r="4674" spans="2:7">
      <c r="B4674" s="1"/>
      <c r="F4674" s="23"/>
      <c r="G4674"/>
    </row>
    <row r="4675" spans="2:7">
      <c r="B4675" s="1"/>
      <c r="F4675" s="23"/>
      <c r="G4675"/>
    </row>
    <row r="4676" spans="2:7">
      <c r="B4676" s="1"/>
      <c r="F4676" s="23"/>
      <c r="G4676"/>
    </row>
    <row r="4677" spans="2:7">
      <c r="B4677" s="1"/>
      <c r="F4677" s="23"/>
      <c r="G4677"/>
    </row>
    <row r="4678" spans="2:7">
      <c r="B4678" s="1"/>
      <c r="F4678" s="23"/>
      <c r="G4678"/>
    </row>
    <row r="4679" spans="2:7">
      <c r="B4679" s="1"/>
      <c r="F4679" s="23"/>
      <c r="G4679"/>
    </row>
    <row r="4680" spans="2:7">
      <c r="B4680" s="1"/>
      <c r="F4680" s="23"/>
      <c r="G4680"/>
    </row>
    <row r="4681" spans="2:7">
      <c r="B4681" s="1"/>
      <c r="F4681" s="23"/>
      <c r="G4681"/>
    </row>
    <row r="4682" spans="2:7">
      <c r="B4682" s="1"/>
      <c r="F4682" s="23"/>
      <c r="G4682"/>
    </row>
    <row r="4683" spans="2:7">
      <c r="B4683" s="1"/>
      <c r="F4683" s="23"/>
      <c r="G4683"/>
    </row>
    <row r="4684" spans="2:7">
      <c r="B4684" s="1"/>
      <c r="F4684" s="23"/>
      <c r="G4684"/>
    </row>
    <row r="4685" spans="2:7">
      <c r="B4685" s="1"/>
      <c r="F4685" s="23"/>
      <c r="G4685"/>
    </row>
    <row r="4686" spans="2:7">
      <c r="B4686" s="1"/>
      <c r="F4686" s="23"/>
      <c r="G4686"/>
    </row>
    <row r="4687" spans="2:7">
      <c r="B4687" s="1"/>
      <c r="F4687" s="23"/>
      <c r="G4687"/>
    </row>
    <row r="4688" spans="2:7">
      <c r="B4688" s="1"/>
      <c r="F4688" s="23"/>
      <c r="G4688"/>
    </row>
    <row r="4689" spans="2:7">
      <c r="B4689" s="1"/>
      <c r="F4689" s="23"/>
      <c r="G4689"/>
    </row>
    <row r="4690" spans="2:7">
      <c r="B4690" s="1"/>
      <c r="F4690" s="23"/>
      <c r="G4690"/>
    </row>
    <row r="4691" spans="2:7">
      <c r="B4691" s="1"/>
      <c r="F4691" s="23"/>
      <c r="G4691"/>
    </row>
    <row r="4692" spans="2:7">
      <c r="B4692" s="1"/>
      <c r="F4692" s="23"/>
      <c r="G4692"/>
    </row>
    <row r="4693" spans="2:7">
      <c r="B4693" s="1"/>
      <c r="F4693" s="23"/>
      <c r="G4693"/>
    </row>
    <row r="4694" spans="2:7">
      <c r="B4694" s="1"/>
      <c r="F4694" s="23"/>
      <c r="G4694"/>
    </row>
    <row r="4695" spans="2:7">
      <c r="B4695" s="1"/>
      <c r="F4695" s="23"/>
      <c r="G4695"/>
    </row>
    <row r="4696" spans="2:7">
      <c r="B4696" s="1"/>
      <c r="F4696" s="23"/>
      <c r="G4696"/>
    </row>
    <row r="4697" spans="2:7">
      <c r="B4697" s="1"/>
      <c r="F4697" s="23"/>
      <c r="G4697"/>
    </row>
    <row r="4698" spans="2:7">
      <c r="B4698" s="1"/>
      <c r="F4698" s="23"/>
      <c r="G4698"/>
    </row>
    <row r="4699" spans="2:7">
      <c r="B4699" s="1"/>
      <c r="F4699" s="23"/>
      <c r="G4699"/>
    </row>
    <row r="4700" spans="2:7">
      <c r="B4700" s="1"/>
      <c r="F4700" s="23"/>
      <c r="G4700"/>
    </row>
    <row r="4701" spans="2:7">
      <c r="B4701" s="1"/>
      <c r="F4701" s="23"/>
      <c r="G4701"/>
    </row>
    <row r="4702" spans="2:7">
      <c r="B4702" s="1"/>
      <c r="F4702" s="23"/>
      <c r="G4702"/>
    </row>
    <row r="4703" spans="2:7">
      <c r="B4703" s="1"/>
      <c r="F4703" s="23"/>
      <c r="G4703"/>
    </row>
    <row r="4704" spans="2:7">
      <c r="B4704" s="1"/>
      <c r="F4704" s="23"/>
      <c r="G4704"/>
    </row>
    <row r="4705" spans="2:7">
      <c r="B4705" s="1"/>
      <c r="F4705" s="23"/>
      <c r="G4705"/>
    </row>
    <row r="4706" spans="2:7">
      <c r="B4706" s="1"/>
      <c r="F4706" s="23"/>
      <c r="G4706"/>
    </row>
    <row r="4707" spans="2:7">
      <c r="B4707" s="1"/>
      <c r="F4707" s="23"/>
      <c r="G4707"/>
    </row>
    <row r="4708" spans="2:7">
      <c r="B4708" s="1"/>
      <c r="F4708" s="23"/>
      <c r="G4708"/>
    </row>
    <row r="4709" spans="2:7">
      <c r="B4709" s="1"/>
      <c r="F4709" s="23"/>
      <c r="G4709"/>
    </row>
    <row r="4710" spans="2:7">
      <c r="B4710" s="1"/>
      <c r="F4710" s="23"/>
      <c r="G4710"/>
    </row>
    <row r="4711" spans="2:7">
      <c r="B4711" s="1"/>
      <c r="F4711" s="23"/>
      <c r="G4711"/>
    </row>
    <row r="4712" spans="2:7">
      <c r="B4712" s="1"/>
      <c r="F4712" s="23"/>
      <c r="G4712"/>
    </row>
    <row r="4713" spans="2:7">
      <c r="B4713" s="1"/>
      <c r="F4713" s="23"/>
      <c r="G4713"/>
    </row>
    <row r="4714" spans="2:7">
      <c r="B4714" s="1"/>
      <c r="F4714" s="23"/>
      <c r="G4714"/>
    </row>
    <row r="4715" spans="2:7">
      <c r="B4715" s="1"/>
      <c r="F4715" s="23"/>
      <c r="G4715"/>
    </row>
    <row r="4716" spans="2:7">
      <c r="B4716" s="1"/>
      <c r="F4716" s="23"/>
      <c r="G4716"/>
    </row>
    <row r="4717" spans="2:7">
      <c r="B4717" s="1"/>
      <c r="F4717" s="23"/>
      <c r="G4717"/>
    </row>
    <row r="4718" spans="2:7">
      <c r="B4718" s="1"/>
      <c r="F4718" s="23"/>
      <c r="G4718"/>
    </row>
    <row r="4719" spans="2:7">
      <c r="B4719" s="1"/>
      <c r="F4719" s="23"/>
      <c r="G4719"/>
    </row>
    <row r="4720" spans="2:7">
      <c r="B4720" s="1"/>
      <c r="F4720" s="23"/>
      <c r="G4720"/>
    </row>
    <row r="4721" spans="2:7">
      <c r="B4721" s="1"/>
      <c r="F4721" s="23"/>
      <c r="G4721"/>
    </row>
    <row r="4722" spans="2:7">
      <c r="B4722" s="1"/>
      <c r="F4722" s="23"/>
      <c r="G4722"/>
    </row>
    <row r="4723" spans="2:7">
      <c r="B4723" s="1"/>
      <c r="F4723" s="23"/>
      <c r="G4723"/>
    </row>
    <row r="4724" spans="2:7">
      <c r="B4724" s="1"/>
      <c r="F4724" s="23"/>
      <c r="G4724"/>
    </row>
    <row r="4725" spans="2:7">
      <c r="B4725" s="1"/>
      <c r="F4725" s="23"/>
      <c r="G4725"/>
    </row>
    <row r="4726" spans="2:7">
      <c r="B4726" s="1"/>
      <c r="F4726" s="23"/>
      <c r="G4726"/>
    </row>
    <row r="4727" spans="2:7">
      <c r="B4727" s="1"/>
      <c r="F4727" s="23"/>
      <c r="G4727"/>
    </row>
    <row r="4728" spans="2:7">
      <c r="B4728" s="1"/>
      <c r="F4728" s="23"/>
      <c r="G4728"/>
    </row>
    <row r="4729" spans="2:7">
      <c r="B4729" s="1"/>
      <c r="F4729" s="23"/>
      <c r="G4729"/>
    </row>
    <row r="4730" spans="2:7">
      <c r="B4730" s="1"/>
      <c r="F4730" s="23"/>
      <c r="G4730"/>
    </row>
    <row r="4731" spans="2:7">
      <c r="B4731" s="1"/>
      <c r="F4731" s="23"/>
      <c r="G4731"/>
    </row>
    <row r="4732" spans="2:7">
      <c r="B4732" s="1"/>
      <c r="F4732" s="23"/>
      <c r="G4732"/>
    </row>
    <row r="4733" spans="2:7">
      <c r="B4733" s="1"/>
      <c r="F4733" s="23"/>
      <c r="G4733"/>
    </row>
    <row r="4734" spans="2:7">
      <c r="B4734" s="1"/>
      <c r="F4734" s="23"/>
      <c r="G4734"/>
    </row>
    <row r="4735" spans="2:7">
      <c r="B4735" s="1"/>
      <c r="F4735" s="23"/>
      <c r="G4735"/>
    </row>
    <row r="4736" spans="2:7">
      <c r="B4736" s="1"/>
      <c r="F4736" s="23"/>
      <c r="G4736"/>
    </row>
    <row r="4737" spans="2:7">
      <c r="B4737" s="1"/>
      <c r="F4737" s="23"/>
      <c r="G4737"/>
    </row>
    <row r="4738" spans="2:7">
      <c r="B4738" s="1"/>
      <c r="F4738" s="23"/>
      <c r="G4738"/>
    </row>
    <row r="4739" spans="2:7">
      <c r="B4739" s="1"/>
      <c r="F4739" s="23"/>
      <c r="G4739"/>
    </row>
    <row r="4740" spans="2:7">
      <c r="B4740" s="1"/>
      <c r="F4740" s="23"/>
      <c r="G4740"/>
    </row>
    <row r="4741" spans="2:7">
      <c r="B4741" s="1"/>
      <c r="F4741" s="23"/>
      <c r="G4741"/>
    </row>
    <row r="4742" spans="2:7">
      <c r="B4742" s="1"/>
      <c r="F4742" s="23"/>
      <c r="G4742"/>
    </row>
    <row r="4743" spans="2:7">
      <c r="B4743" s="1"/>
      <c r="F4743" s="23"/>
      <c r="G4743"/>
    </row>
    <row r="4744" spans="2:7">
      <c r="B4744" s="1"/>
      <c r="F4744" s="23"/>
      <c r="G4744"/>
    </row>
    <row r="4745" spans="2:7">
      <c r="B4745" s="1"/>
      <c r="F4745" s="23"/>
      <c r="G4745"/>
    </row>
    <row r="4746" spans="2:7">
      <c r="B4746" s="1"/>
      <c r="F4746" s="23"/>
      <c r="G4746"/>
    </row>
    <row r="4747" spans="2:7">
      <c r="B4747" s="1"/>
      <c r="F4747" s="23"/>
      <c r="G4747"/>
    </row>
    <row r="4748" spans="2:7">
      <c r="B4748" s="1"/>
      <c r="F4748" s="23"/>
      <c r="G4748"/>
    </row>
    <row r="4749" spans="2:7">
      <c r="B4749" s="1"/>
      <c r="F4749" s="23"/>
      <c r="G4749"/>
    </row>
    <row r="4750" spans="2:7">
      <c r="B4750" s="1"/>
      <c r="F4750" s="23"/>
      <c r="G4750"/>
    </row>
    <row r="4751" spans="2:7">
      <c r="B4751" s="1"/>
      <c r="F4751" s="23"/>
      <c r="G4751"/>
    </row>
    <row r="4752" spans="2:7">
      <c r="B4752" s="1"/>
      <c r="F4752" s="23"/>
      <c r="G4752"/>
    </row>
    <row r="4753" spans="2:7">
      <c r="B4753" s="1"/>
      <c r="F4753" s="23"/>
      <c r="G4753"/>
    </row>
    <row r="4754" spans="2:7">
      <c r="B4754" s="1"/>
      <c r="F4754" s="23"/>
      <c r="G4754"/>
    </row>
    <row r="4755" spans="2:7">
      <c r="B4755" s="1"/>
      <c r="F4755" s="23"/>
      <c r="G4755"/>
    </row>
    <row r="4756" spans="2:7">
      <c r="B4756" s="1"/>
      <c r="F4756" s="23"/>
      <c r="G4756"/>
    </row>
    <row r="4757" spans="2:7">
      <c r="B4757" s="1"/>
      <c r="F4757" s="23"/>
      <c r="G4757"/>
    </row>
    <row r="4758" spans="2:7">
      <c r="B4758" s="1"/>
      <c r="F4758" s="23"/>
      <c r="G4758"/>
    </row>
    <row r="4759" spans="2:7">
      <c r="B4759" s="1"/>
      <c r="F4759" s="23"/>
      <c r="G4759"/>
    </row>
    <row r="4760" spans="2:7">
      <c r="B4760" s="1"/>
      <c r="F4760" s="23"/>
      <c r="G4760"/>
    </row>
    <row r="4761" spans="2:7">
      <c r="B4761" s="1"/>
      <c r="F4761" s="23"/>
      <c r="G4761"/>
    </row>
    <row r="4762" spans="2:7">
      <c r="B4762" s="1"/>
      <c r="F4762" s="23"/>
      <c r="G4762"/>
    </row>
    <row r="4763" spans="2:7">
      <c r="B4763" s="1"/>
      <c r="F4763" s="23"/>
      <c r="G4763"/>
    </row>
    <row r="4764" spans="2:7">
      <c r="B4764" s="1"/>
      <c r="F4764" s="23"/>
      <c r="G4764"/>
    </row>
    <row r="4765" spans="2:7">
      <c r="B4765" s="1"/>
      <c r="F4765" s="23"/>
      <c r="G4765"/>
    </row>
    <row r="4766" spans="2:7">
      <c r="B4766" s="1"/>
      <c r="F4766" s="23"/>
      <c r="G4766"/>
    </row>
    <row r="4767" spans="2:7">
      <c r="B4767" s="1"/>
      <c r="F4767" s="23"/>
      <c r="G4767"/>
    </row>
    <row r="4768" spans="2:7">
      <c r="B4768" s="1"/>
      <c r="F4768" s="23"/>
      <c r="G4768"/>
    </row>
    <row r="4769" spans="2:7">
      <c r="B4769" s="1"/>
      <c r="F4769" s="23"/>
      <c r="G4769"/>
    </row>
    <row r="4770" spans="2:7">
      <c r="B4770" s="1"/>
      <c r="F4770" s="23"/>
      <c r="G4770"/>
    </row>
    <row r="4771" spans="2:7">
      <c r="B4771" s="1"/>
      <c r="F4771" s="23"/>
      <c r="G4771"/>
    </row>
    <row r="4772" spans="2:7">
      <c r="B4772" s="1"/>
      <c r="F4772" s="23"/>
      <c r="G4772"/>
    </row>
    <row r="4773" spans="2:7">
      <c r="B4773" s="1"/>
      <c r="F4773" s="23"/>
      <c r="G4773"/>
    </row>
    <row r="4774" spans="2:7">
      <c r="B4774" s="1"/>
      <c r="F4774" s="23"/>
      <c r="G4774"/>
    </row>
    <row r="4775" spans="2:7">
      <c r="B4775" s="1"/>
      <c r="F4775" s="23"/>
      <c r="G4775"/>
    </row>
    <row r="4776" spans="2:7">
      <c r="B4776" s="1"/>
      <c r="F4776" s="23"/>
      <c r="G4776"/>
    </row>
    <row r="4777" spans="2:7">
      <c r="B4777" s="1"/>
      <c r="F4777" s="23"/>
      <c r="G4777"/>
    </row>
    <row r="4778" spans="2:7">
      <c r="B4778" s="1"/>
      <c r="F4778" s="23"/>
      <c r="G4778"/>
    </row>
    <row r="4779" spans="2:7">
      <c r="B4779" s="1"/>
      <c r="F4779" s="23"/>
      <c r="G4779"/>
    </row>
    <row r="4780" spans="2:7">
      <c r="B4780" s="1"/>
      <c r="F4780" s="23"/>
      <c r="G4780"/>
    </row>
    <row r="4781" spans="2:7">
      <c r="B4781" s="1"/>
      <c r="F4781" s="23"/>
      <c r="G4781"/>
    </row>
    <row r="4782" spans="2:7">
      <c r="B4782" s="1"/>
      <c r="F4782" s="23"/>
      <c r="G4782"/>
    </row>
    <row r="4783" spans="2:7">
      <c r="B4783" s="1"/>
      <c r="F4783" s="23"/>
      <c r="G4783"/>
    </row>
    <row r="4784" spans="2:7">
      <c r="B4784" s="1"/>
      <c r="F4784" s="23"/>
      <c r="G4784"/>
    </row>
    <row r="4785" spans="2:7">
      <c r="B4785" s="1"/>
      <c r="F4785" s="23"/>
      <c r="G4785"/>
    </row>
    <row r="4786" spans="2:7">
      <c r="B4786" s="1"/>
      <c r="F4786" s="23"/>
      <c r="G4786"/>
    </row>
    <row r="4787" spans="2:7">
      <c r="B4787" s="1"/>
      <c r="F4787" s="23"/>
      <c r="G4787"/>
    </row>
    <row r="4788" spans="2:7">
      <c r="B4788" s="1"/>
      <c r="F4788" s="23"/>
      <c r="G4788"/>
    </row>
    <row r="4789" spans="2:7">
      <c r="B4789" s="1"/>
      <c r="F4789" s="23"/>
      <c r="G4789"/>
    </row>
    <row r="4790" spans="2:7">
      <c r="B4790" s="1"/>
      <c r="F4790" s="23"/>
      <c r="G4790"/>
    </row>
    <row r="4791" spans="2:7">
      <c r="B4791" s="1"/>
      <c r="F4791" s="23"/>
      <c r="G4791"/>
    </row>
    <row r="4792" spans="2:7">
      <c r="B4792" s="1"/>
      <c r="F4792" s="23"/>
      <c r="G4792"/>
    </row>
    <row r="4793" spans="2:7">
      <c r="B4793" s="1"/>
      <c r="F4793" s="23"/>
      <c r="G4793"/>
    </row>
    <row r="4794" spans="2:7">
      <c r="B4794" s="1"/>
      <c r="F4794" s="23"/>
      <c r="G4794"/>
    </row>
    <row r="4795" spans="2:7">
      <c r="B4795" s="1"/>
      <c r="F4795" s="23"/>
      <c r="G4795"/>
    </row>
    <row r="4796" spans="2:7">
      <c r="B4796" s="1"/>
      <c r="F4796" s="23"/>
      <c r="G4796"/>
    </row>
    <row r="4797" spans="2:7">
      <c r="B4797" s="1"/>
      <c r="F4797" s="23"/>
      <c r="G4797"/>
    </row>
    <row r="4798" spans="2:7">
      <c r="B4798" s="1"/>
      <c r="F4798" s="23"/>
      <c r="G4798"/>
    </row>
    <row r="4799" spans="2:7">
      <c r="B4799" s="1"/>
      <c r="F4799" s="23"/>
      <c r="G4799"/>
    </row>
    <row r="4800" spans="2:7">
      <c r="B4800" s="1"/>
      <c r="F4800" s="23"/>
      <c r="G4800"/>
    </row>
    <row r="4801" spans="2:7">
      <c r="B4801" s="1"/>
      <c r="F4801" s="23"/>
      <c r="G4801"/>
    </row>
    <row r="4802" spans="2:7">
      <c r="B4802" s="1"/>
      <c r="F4802" s="23"/>
      <c r="G4802"/>
    </row>
    <row r="4803" spans="2:7">
      <c r="B4803" s="1"/>
      <c r="F4803" s="23"/>
      <c r="G4803"/>
    </row>
    <row r="4804" spans="2:7">
      <c r="B4804" s="1"/>
      <c r="F4804" s="23"/>
      <c r="G4804"/>
    </row>
    <row r="4805" spans="2:7">
      <c r="B4805" s="1"/>
      <c r="F4805" s="23"/>
      <c r="G4805"/>
    </row>
    <row r="4806" spans="2:7">
      <c r="B4806" s="1"/>
      <c r="F4806" s="23"/>
      <c r="G4806"/>
    </row>
    <row r="4807" spans="2:7">
      <c r="B4807" s="1"/>
      <c r="C4807" s="1"/>
    </row>
    <row r="4808" spans="2:7">
      <c r="B4808" s="1"/>
      <c r="C4808" s="1"/>
    </row>
    <row r="4809" spans="2:7">
      <c r="B4809" s="1"/>
      <c r="C4809" s="1"/>
    </row>
    <row r="4810" spans="2:7">
      <c r="B4810" s="1"/>
      <c r="C4810" s="1"/>
    </row>
    <row r="4811" spans="2:7">
      <c r="B4811" s="1"/>
      <c r="C4811" s="1"/>
    </row>
    <row r="4812" spans="2:7">
      <c r="B4812" s="1"/>
      <c r="C4812" s="1"/>
    </row>
    <row r="4813" spans="2:7">
      <c r="B4813" s="1"/>
      <c r="C4813" s="1"/>
    </row>
    <row r="4814" spans="2:7">
      <c r="B4814" s="1"/>
      <c r="C4814" s="1"/>
    </row>
    <row r="4815" spans="2:7">
      <c r="B4815" s="1"/>
      <c r="C4815" s="1"/>
    </row>
    <row r="4816" spans="2:7">
      <c r="B4816" s="1"/>
      <c r="C4816" s="1"/>
    </row>
    <row r="4817" spans="2:3">
      <c r="B4817" s="1"/>
      <c r="C4817" s="1"/>
    </row>
    <row r="4818" spans="2:3">
      <c r="B4818" s="1"/>
      <c r="C4818" s="1"/>
    </row>
    <row r="4819" spans="2:3">
      <c r="B4819" s="1"/>
      <c r="C4819" s="1"/>
    </row>
    <row r="4820" spans="2:3">
      <c r="B4820" s="1"/>
      <c r="C4820" s="1"/>
    </row>
    <row r="4821" spans="2:3">
      <c r="B4821" s="1"/>
      <c r="C4821" s="1"/>
    </row>
    <row r="4822" spans="2:3">
      <c r="B4822" s="1"/>
      <c r="C4822" s="1"/>
    </row>
    <row r="4823" spans="2:3">
      <c r="B4823" s="1"/>
      <c r="C4823" s="1"/>
    </row>
    <row r="4824" spans="2:3">
      <c r="B4824" s="1"/>
      <c r="C4824" s="1"/>
    </row>
    <row r="4825" spans="2:3">
      <c r="B4825" s="1"/>
      <c r="C4825" s="1"/>
    </row>
    <row r="4826" spans="2:3">
      <c r="B4826" s="1"/>
      <c r="C4826" s="1"/>
    </row>
    <row r="4827" spans="2:3">
      <c r="B4827" s="1"/>
      <c r="C4827" s="1"/>
    </row>
    <row r="4828" spans="2:3">
      <c r="B4828" s="1"/>
    </row>
    <row r="4829" spans="2:3">
      <c r="B4829" s="1"/>
    </row>
    <row r="4830" spans="2:3">
      <c r="B4830" s="1"/>
    </row>
    <row r="4831" spans="2:3">
      <c r="B4831" s="1"/>
    </row>
    <row r="4832" spans="2:3">
      <c r="B4832" s="1"/>
    </row>
    <row r="4833" spans="2:2">
      <c r="B4833" s="1"/>
    </row>
    <row r="4834" spans="2:2">
      <c r="B4834" s="1"/>
    </row>
    <row r="4835" spans="2:2">
      <c r="B4835" s="1"/>
    </row>
    <row r="4836" spans="2:2">
      <c r="B4836" s="1"/>
    </row>
    <row r="4837" spans="2:2">
      <c r="B4837" s="1"/>
    </row>
    <row r="4838" spans="2:2">
      <c r="B4838" s="1"/>
    </row>
    <row r="4839" spans="2:2">
      <c r="B4839" s="1"/>
    </row>
    <row r="4840" spans="2:2">
      <c r="B4840" s="1"/>
    </row>
    <row r="4841" spans="2:2">
      <c r="B4841" s="1"/>
    </row>
    <row r="4842" spans="2:2">
      <c r="B4842" s="1"/>
    </row>
    <row r="4843" spans="2:2">
      <c r="B4843" s="1"/>
    </row>
    <row r="4844" spans="2:2">
      <c r="B4844" s="1"/>
    </row>
    <row r="4845" spans="2:2">
      <c r="B4845" s="1"/>
    </row>
    <row r="4846" spans="2:2">
      <c r="B4846" s="1"/>
    </row>
    <row r="4847" spans="2:2">
      <c r="B4847" s="1"/>
    </row>
    <row r="4848" spans="2:2">
      <c r="B4848" s="1"/>
    </row>
    <row r="4849" spans="2:2">
      <c r="B4849" s="1"/>
    </row>
    <row r="4850" spans="2:2">
      <c r="B4850" s="1"/>
    </row>
    <row r="4851" spans="2:2">
      <c r="B4851" s="1"/>
    </row>
    <row r="4852" spans="2:2">
      <c r="B4852" s="1"/>
    </row>
    <row r="4853" spans="2:2">
      <c r="B4853" s="1"/>
    </row>
    <row r="4854" spans="2:2">
      <c r="B4854" s="1"/>
    </row>
    <row r="4855" spans="2:2">
      <c r="B4855" s="1"/>
    </row>
    <row r="4856" spans="2:2">
      <c r="B4856" s="1"/>
    </row>
    <row r="4857" spans="2:2">
      <c r="B4857" s="1"/>
    </row>
    <row r="4858" spans="2:2">
      <c r="B4858" s="1"/>
    </row>
    <row r="4859" spans="2:2">
      <c r="B4859" s="1"/>
    </row>
    <row r="4860" spans="2:2">
      <c r="B4860" s="1"/>
    </row>
    <row r="4861" spans="2:2">
      <c r="B4861" s="1"/>
    </row>
    <row r="4862" spans="2:2">
      <c r="B4862" s="1"/>
    </row>
    <row r="4863" spans="2:2">
      <c r="B4863" s="1"/>
    </row>
    <row r="4864" spans="2:2">
      <c r="B4864" s="1"/>
    </row>
    <row r="4865" spans="2:2">
      <c r="B4865" s="1"/>
    </row>
    <row r="4866" spans="2:2">
      <c r="B4866" s="1"/>
    </row>
    <row r="4867" spans="2:2">
      <c r="B4867" s="1"/>
    </row>
    <row r="4868" spans="2:2">
      <c r="B4868" s="1"/>
    </row>
    <row r="4869" spans="2:2">
      <c r="B4869" s="1"/>
    </row>
    <row r="4870" spans="2:2">
      <c r="B4870" s="1"/>
    </row>
    <row r="4871" spans="2:2">
      <c r="B4871" s="1"/>
    </row>
    <row r="4872" spans="2:2">
      <c r="B4872" s="1"/>
    </row>
    <row r="4873" spans="2:2">
      <c r="B4873" s="1"/>
    </row>
    <row r="4874" spans="2:2">
      <c r="B4874" s="1"/>
    </row>
    <row r="4875" spans="2:2">
      <c r="B4875" s="1"/>
    </row>
    <row r="4876" spans="2:2">
      <c r="B4876" s="1"/>
    </row>
    <row r="4877" spans="2:2">
      <c r="B4877" s="1"/>
    </row>
    <row r="4878" spans="2:2">
      <c r="B4878" s="1"/>
    </row>
    <row r="4879" spans="2:2">
      <c r="B4879" s="1"/>
    </row>
    <row r="4880" spans="2:2">
      <c r="B4880" s="1"/>
    </row>
    <row r="4881" spans="2:2">
      <c r="B4881" s="1"/>
    </row>
    <row r="4882" spans="2:2">
      <c r="B4882" s="1"/>
    </row>
    <row r="4883" spans="2:2">
      <c r="B4883" s="1"/>
    </row>
    <row r="4884" spans="2:2">
      <c r="B4884" s="1"/>
    </row>
    <row r="4885" spans="2:2">
      <c r="B4885" s="1"/>
    </row>
    <row r="4886" spans="2:2">
      <c r="B4886" s="1"/>
    </row>
    <row r="4887" spans="2:2">
      <c r="B4887" s="1"/>
    </row>
    <row r="4888" spans="2:2">
      <c r="B4888" s="1"/>
    </row>
    <row r="4889" spans="2:2">
      <c r="B4889" s="1"/>
    </row>
    <row r="4890" spans="2:2">
      <c r="B4890" s="1"/>
    </row>
    <row r="4891" spans="2:2">
      <c r="B4891" s="1"/>
    </row>
    <row r="4892" spans="2:2">
      <c r="B4892" s="1"/>
    </row>
    <row r="4893" spans="2:2">
      <c r="B4893" s="1"/>
    </row>
    <row r="4894" spans="2:2">
      <c r="B4894" s="1"/>
    </row>
    <row r="4895" spans="2:2">
      <c r="B4895" s="1"/>
    </row>
    <row r="4896" spans="2:2">
      <c r="B4896" s="1"/>
    </row>
    <row r="4897" spans="2:2">
      <c r="B4897" s="1"/>
    </row>
    <row r="4898" spans="2:2">
      <c r="B4898" s="1"/>
    </row>
    <row r="4899" spans="2:2">
      <c r="B4899" s="1"/>
    </row>
    <row r="4900" spans="2:2">
      <c r="B4900" s="1"/>
    </row>
    <row r="4901" spans="2:2">
      <c r="B4901" s="1"/>
    </row>
    <row r="4902" spans="2:2">
      <c r="B4902" s="1"/>
    </row>
    <row r="4903" spans="2:2">
      <c r="B4903" s="1"/>
    </row>
    <row r="4904" spans="2:2">
      <c r="B4904" s="1"/>
    </row>
    <row r="4905" spans="2:2">
      <c r="B4905" s="1"/>
    </row>
    <row r="4906" spans="2:2">
      <c r="B4906" s="1"/>
    </row>
    <row r="4907" spans="2:2">
      <c r="B4907" s="1"/>
    </row>
    <row r="4908" spans="2:2">
      <c r="B4908" s="1"/>
    </row>
    <row r="4909" spans="2:2">
      <c r="B4909" s="1"/>
    </row>
    <row r="4910" spans="2:2">
      <c r="B4910" s="1"/>
    </row>
    <row r="4911" spans="2:2">
      <c r="B4911" s="1"/>
    </row>
    <row r="4912" spans="2:2">
      <c r="B4912" s="1"/>
    </row>
    <row r="4913" spans="2:2">
      <c r="B4913" s="1"/>
    </row>
    <row r="4914" spans="2:2">
      <c r="B4914" s="1"/>
    </row>
    <row r="4915" spans="2:2">
      <c r="B4915" s="1"/>
    </row>
    <row r="4916" spans="2:2">
      <c r="B4916" s="1"/>
    </row>
    <row r="4917" spans="2:2">
      <c r="B4917" s="1"/>
    </row>
    <row r="4918" spans="2:2">
      <c r="B4918" s="1"/>
    </row>
    <row r="4919" spans="2:2">
      <c r="B4919" s="1"/>
    </row>
    <row r="4920" spans="2:2">
      <c r="B4920" s="1"/>
    </row>
    <row r="4921" spans="2:2">
      <c r="B4921" s="1"/>
    </row>
    <row r="4922" spans="2:2">
      <c r="B4922" s="1"/>
    </row>
    <row r="4923" spans="2:2">
      <c r="B4923" s="1"/>
    </row>
    <row r="4924" spans="2:2">
      <c r="B4924" s="1"/>
    </row>
    <row r="4925" spans="2:2">
      <c r="B4925" s="1"/>
    </row>
    <row r="4926" spans="2:2">
      <c r="B4926" s="1"/>
    </row>
    <row r="4927" spans="2:2">
      <c r="B4927" s="1"/>
    </row>
    <row r="4928" spans="2:2">
      <c r="B4928" s="1"/>
    </row>
    <row r="4929" spans="2:2">
      <c r="B4929" s="1"/>
    </row>
    <row r="4930" spans="2:2">
      <c r="B4930" s="1"/>
    </row>
    <row r="4931" spans="2:2">
      <c r="B4931" s="1"/>
    </row>
    <row r="4932" spans="2:2">
      <c r="B4932" s="1"/>
    </row>
    <row r="4933" spans="2:2">
      <c r="B4933" s="1"/>
    </row>
    <row r="4934" spans="2:2">
      <c r="B4934" s="1"/>
    </row>
    <row r="4935" spans="2:2">
      <c r="B4935" s="1"/>
    </row>
    <row r="4936" spans="2:2">
      <c r="B4936" s="1"/>
    </row>
    <row r="4937" spans="2:2">
      <c r="B4937" s="1"/>
    </row>
    <row r="4938" spans="2:2">
      <c r="B4938" s="1"/>
    </row>
    <row r="4939" spans="2:2">
      <c r="B4939" s="1"/>
    </row>
    <row r="4940" spans="2:2">
      <c r="B4940" s="1"/>
    </row>
    <row r="4941" spans="2:2">
      <c r="B4941" s="1"/>
    </row>
    <row r="4942" spans="2:2">
      <c r="B4942" s="1"/>
    </row>
    <row r="4943" spans="2:2">
      <c r="B4943" s="1"/>
    </row>
    <row r="4944" spans="2:2">
      <c r="B4944" s="1"/>
    </row>
    <row r="4945" spans="2:2">
      <c r="B4945" s="1"/>
    </row>
    <row r="4946" spans="2:2">
      <c r="B4946" s="1"/>
    </row>
    <row r="4947" spans="2:2">
      <c r="B4947" s="1"/>
    </row>
    <row r="4948" spans="2:2">
      <c r="B4948" s="1"/>
    </row>
    <row r="4949" spans="2:2">
      <c r="B4949" s="1"/>
    </row>
    <row r="4950" spans="2:2">
      <c r="B4950" s="1"/>
    </row>
    <row r="4951" spans="2:2">
      <c r="B4951" s="1"/>
    </row>
    <row r="4952" spans="2:2">
      <c r="B4952" s="1"/>
    </row>
    <row r="4953" spans="2:2">
      <c r="B4953" s="1"/>
    </row>
    <row r="4954" spans="2:2">
      <c r="B4954" s="1"/>
    </row>
    <row r="4955" spans="2:2">
      <c r="B4955" s="1"/>
    </row>
    <row r="4956" spans="2:2">
      <c r="B4956" s="1"/>
    </row>
    <row r="4957" spans="2:2">
      <c r="B4957" s="1"/>
    </row>
    <row r="4958" spans="2:2">
      <c r="B4958" s="1"/>
    </row>
    <row r="4959" spans="2:2">
      <c r="B4959" s="1"/>
    </row>
    <row r="4960" spans="2:2">
      <c r="B4960" s="1"/>
    </row>
    <row r="4961" spans="2:2">
      <c r="B4961" s="1"/>
    </row>
    <row r="4962" spans="2:2">
      <c r="B4962" s="1"/>
    </row>
    <row r="4963" spans="2:2">
      <c r="B4963" s="1"/>
    </row>
    <row r="4964" spans="2:2">
      <c r="B4964" s="1"/>
    </row>
    <row r="4965" spans="2:2">
      <c r="B4965" s="1"/>
    </row>
    <row r="4966" spans="2:2">
      <c r="B4966" s="1"/>
    </row>
    <row r="4967" spans="2:2">
      <c r="B4967" s="1"/>
    </row>
    <row r="4968" spans="2:2">
      <c r="B4968" s="1"/>
    </row>
    <row r="4969" spans="2:2">
      <c r="B4969" s="1"/>
    </row>
    <row r="4970" spans="2:2">
      <c r="B4970" s="1"/>
    </row>
    <row r="4971" spans="2:2">
      <c r="B4971" s="1"/>
    </row>
    <row r="4972" spans="2:2">
      <c r="B4972" s="1"/>
    </row>
    <row r="4973" spans="2:2">
      <c r="B4973" s="1"/>
    </row>
    <row r="4974" spans="2:2">
      <c r="B4974" s="1"/>
    </row>
    <row r="4975" spans="2:2">
      <c r="B4975" s="1"/>
    </row>
    <row r="4976" spans="2:2">
      <c r="B4976" s="1"/>
    </row>
    <row r="4977" spans="2:2">
      <c r="B4977" s="1"/>
    </row>
    <row r="4978" spans="2:2">
      <c r="B4978" s="1"/>
    </row>
    <row r="4979" spans="2:2">
      <c r="B4979" s="1"/>
    </row>
    <row r="4980" spans="2:2">
      <c r="B4980" s="1"/>
    </row>
    <row r="4981" spans="2:2">
      <c r="B4981" s="1"/>
    </row>
    <row r="4982" spans="2:2">
      <c r="B4982" s="1"/>
    </row>
    <row r="4983" spans="2:2">
      <c r="B4983" s="1"/>
    </row>
    <row r="4984" spans="2:2">
      <c r="B4984" s="1"/>
    </row>
    <row r="4985" spans="2:2">
      <c r="B4985" s="1"/>
    </row>
    <row r="4986" spans="2:2">
      <c r="B4986" s="1"/>
    </row>
    <row r="4987" spans="2:2">
      <c r="B4987" s="1"/>
    </row>
    <row r="4988" spans="2:2">
      <c r="B4988" s="1"/>
    </row>
    <row r="4989" spans="2:2">
      <c r="B4989" s="1"/>
    </row>
    <row r="4990" spans="2:2">
      <c r="B4990" s="1"/>
    </row>
    <row r="4991" spans="2:2">
      <c r="B4991" s="1"/>
    </row>
    <row r="4992" spans="2:2">
      <c r="B4992" s="1"/>
    </row>
    <row r="4993" spans="2:2">
      <c r="B4993" s="1"/>
    </row>
    <row r="4994" spans="2:2">
      <c r="B4994" s="1"/>
    </row>
    <row r="4995" spans="2:2">
      <c r="B4995" s="1"/>
    </row>
    <row r="4996" spans="2:2">
      <c r="B4996" s="1"/>
    </row>
    <row r="4997" spans="2:2">
      <c r="B4997" s="1"/>
    </row>
    <row r="4998" spans="2:2">
      <c r="B4998" s="1"/>
    </row>
    <row r="4999" spans="2:2">
      <c r="B4999" s="1"/>
    </row>
    <row r="5000" spans="2:2">
      <c r="B5000" s="1"/>
    </row>
    <row r="5001" spans="2:2">
      <c r="B5001" s="1"/>
    </row>
    <row r="5002" spans="2:2">
      <c r="B5002" s="1"/>
    </row>
    <row r="5003" spans="2:2">
      <c r="B5003" s="1"/>
    </row>
    <row r="5004" spans="2:2">
      <c r="B5004" s="1"/>
    </row>
    <row r="5005" spans="2:2">
      <c r="B5005" s="1"/>
    </row>
    <row r="5006" spans="2:2">
      <c r="B5006" s="1"/>
    </row>
    <row r="5007" spans="2:2">
      <c r="B5007" s="1"/>
    </row>
    <row r="5008" spans="2:2">
      <c r="B5008" s="1"/>
    </row>
    <row r="5009" spans="2:2">
      <c r="B5009" s="1"/>
    </row>
    <row r="5010" spans="2:2">
      <c r="B5010" s="1"/>
    </row>
    <row r="5011" spans="2:2">
      <c r="B5011" s="1"/>
    </row>
    <row r="5012" spans="2:2">
      <c r="B5012" s="1"/>
    </row>
    <row r="5013" spans="2:2">
      <c r="B5013" s="1"/>
    </row>
    <row r="5014" spans="2:2">
      <c r="B5014" s="1"/>
    </row>
    <row r="5015" spans="2:2">
      <c r="B5015" s="1"/>
    </row>
    <row r="5016" spans="2:2">
      <c r="B5016" s="1"/>
    </row>
    <row r="5017" spans="2:2">
      <c r="B5017" s="1"/>
    </row>
    <row r="5018" spans="2:2">
      <c r="B5018" s="1"/>
    </row>
    <row r="5019" spans="2:2">
      <c r="B5019" s="1"/>
    </row>
    <row r="5020" spans="2:2">
      <c r="B5020" s="1"/>
    </row>
    <row r="5021" spans="2:2">
      <c r="B5021" s="1"/>
    </row>
    <row r="5022" spans="2:2">
      <c r="B5022" s="1"/>
    </row>
    <row r="5023" spans="2:2">
      <c r="B5023" s="1"/>
    </row>
    <row r="5024" spans="2:2">
      <c r="B5024" s="1"/>
    </row>
    <row r="5025" spans="2:2">
      <c r="B5025" s="1"/>
    </row>
    <row r="5026" spans="2:2">
      <c r="B5026" s="1"/>
    </row>
    <row r="5027" spans="2:2">
      <c r="B5027" s="1"/>
    </row>
    <row r="5028" spans="2:2">
      <c r="B5028" s="1"/>
    </row>
    <row r="5029" spans="2:2">
      <c r="B5029" s="1"/>
    </row>
    <row r="5030" spans="2:2">
      <c r="B5030" s="1"/>
    </row>
    <row r="5031" spans="2:2">
      <c r="B5031" s="1"/>
    </row>
    <row r="5032" spans="2:2">
      <c r="B5032" s="1"/>
    </row>
    <row r="5033" spans="2:2">
      <c r="B5033" s="1"/>
    </row>
    <row r="5034" spans="2:2">
      <c r="B5034" s="1"/>
    </row>
    <row r="5035" spans="2:2">
      <c r="B5035" s="1"/>
    </row>
    <row r="5036" spans="2:2">
      <c r="B5036" s="1"/>
    </row>
    <row r="5037" spans="2:2">
      <c r="B5037" s="1"/>
    </row>
    <row r="5038" spans="2:2">
      <c r="B5038" s="1"/>
    </row>
    <row r="5039" spans="2:2">
      <c r="B5039" s="1"/>
    </row>
    <row r="5040" spans="2:2">
      <c r="B5040" s="1"/>
    </row>
    <row r="5041" spans="2:2">
      <c r="B5041" s="1"/>
    </row>
    <row r="5042" spans="2:2">
      <c r="B5042" s="1"/>
    </row>
    <row r="5043" spans="2:2">
      <c r="B5043" s="1"/>
    </row>
    <row r="5044" spans="2:2">
      <c r="B5044" s="1"/>
    </row>
    <row r="5045" spans="2:2">
      <c r="B5045" s="1"/>
    </row>
    <row r="5046" spans="2:2">
      <c r="B5046" s="1"/>
    </row>
    <row r="5047" spans="2:2">
      <c r="B5047" s="1"/>
    </row>
    <row r="5048" spans="2:2">
      <c r="B5048" s="1"/>
    </row>
    <row r="5049" spans="2:2">
      <c r="B5049" s="1"/>
    </row>
    <row r="5050" spans="2:2">
      <c r="B5050" s="1"/>
    </row>
    <row r="5051" spans="2:2">
      <c r="B5051" s="1"/>
    </row>
    <row r="5052" spans="2:2">
      <c r="B5052" s="1"/>
    </row>
    <row r="5053" spans="2:2">
      <c r="B5053" s="1"/>
    </row>
    <row r="5054" spans="2:2">
      <c r="B5054" s="1"/>
    </row>
    <row r="5055" spans="2:2">
      <c r="B5055" s="1"/>
    </row>
    <row r="5056" spans="2:2">
      <c r="B5056" s="1"/>
    </row>
    <row r="5057" spans="2:2">
      <c r="B5057" s="1"/>
    </row>
    <row r="5058" spans="2:2">
      <c r="B5058" s="1"/>
    </row>
    <row r="5059" spans="2:2">
      <c r="B5059" s="1"/>
    </row>
    <row r="5060" spans="2:2">
      <c r="B5060" s="1"/>
    </row>
    <row r="5061" spans="2:2">
      <c r="B5061" s="1"/>
    </row>
    <row r="5062" spans="2:2">
      <c r="B5062" s="1"/>
    </row>
    <row r="5063" spans="2:2">
      <c r="B5063" s="1"/>
    </row>
    <row r="5064" spans="2:2">
      <c r="B5064" s="1"/>
    </row>
    <row r="5065" spans="2:2">
      <c r="B5065" s="1"/>
    </row>
    <row r="5066" spans="2:2">
      <c r="B5066" s="1"/>
    </row>
    <row r="5067" spans="2:2">
      <c r="B5067" s="1"/>
    </row>
    <row r="5068" spans="2:2">
      <c r="B5068" s="1"/>
    </row>
    <row r="5069" spans="2:2">
      <c r="B5069" s="1"/>
    </row>
    <row r="5070" spans="2:2">
      <c r="B5070" s="1"/>
    </row>
    <row r="5071" spans="2:2">
      <c r="B5071" s="1"/>
    </row>
    <row r="5072" spans="2:2">
      <c r="B5072" s="1"/>
    </row>
    <row r="5073" spans="2:2">
      <c r="B5073" s="1"/>
    </row>
    <row r="5074" spans="2:2">
      <c r="B5074" s="1"/>
    </row>
    <row r="5075" spans="2:2">
      <c r="B5075" s="1"/>
    </row>
    <row r="5076" spans="2:2">
      <c r="B5076" s="1"/>
    </row>
    <row r="5077" spans="2:2">
      <c r="B5077" s="1"/>
    </row>
    <row r="5078" spans="2:2">
      <c r="B5078" s="1"/>
    </row>
    <row r="5079" spans="2:2">
      <c r="B5079" s="1"/>
    </row>
    <row r="5080" spans="2:2">
      <c r="B5080" s="1"/>
    </row>
    <row r="5081" spans="2:2">
      <c r="B5081" s="1"/>
    </row>
    <row r="5082" spans="2:2">
      <c r="B5082" s="1"/>
    </row>
    <row r="5083" spans="2:2">
      <c r="B5083" s="1"/>
    </row>
    <row r="5084" spans="2:2">
      <c r="B5084" s="1"/>
    </row>
    <row r="5085" spans="2:2">
      <c r="B5085" s="1"/>
    </row>
    <row r="5086" spans="2:2">
      <c r="B5086" s="1"/>
    </row>
    <row r="5087" spans="2:2">
      <c r="B5087" s="1"/>
    </row>
    <row r="5088" spans="2:2">
      <c r="B5088" s="1"/>
    </row>
    <row r="5089" spans="2:2">
      <c r="B5089" s="1"/>
    </row>
    <row r="5090" spans="2:2">
      <c r="B5090" s="1"/>
    </row>
    <row r="5091" spans="2:2">
      <c r="B5091" s="1"/>
    </row>
    <row r="5092" spans="2:2">
      <c r="B5092" s="1"/>
    </row>
    <row r="5093" spans="2:2">
      <c r="B5093" s="1"/>
    </row>
    <row r="5094" spans="2:2">
      <c r="B5094" s="1"/>
    </row>
    <row r="5095" spans="2:2">
      <c r="B5095" s="1"/>
    </row>
    <row r="5096" spans="2:2">
      <c r="B5096" s="1"/>
    </row>
    <row r="5097" spans="2:2">
      <c r="B5097" s="1"/>
    </row>
    <row r="5098" spans="2:2">
      <c r="B5098" s="1"/>
    </row>
    <row r="5099" spans="2:2">
      <c r="B5099" s="1"/>
    </row>
    <row r="5100" spans="2:2">
      <c r="B5100" s="1"/>
    </row>
    <row r="5101" spans="2:2">
      <c r="B5101" s="1"/>
    </row>
    <row r="5102" spans="2:2">
      <c r="B5102" s="1"/>
    </row>
    <row r="5103" spans="2:2">
      <c r="B5103" s="1"/>
    </row>
    <row r="5104" spans="2:2">
      <c r="B5104" s="1"/>
    </row>
    <row r="5105" spans="2:2">
      <c r="B5105" s="1"/>
    </row>
    <row r="5106" spans="2:2">
      <c r="B5106" s="1"/>
    </row>
    <row r="5107" spans="2:2">
      <c r="B5107" s="1"/>
    </row>
    <row r="5108" spans="2:2">
      <c r="B5108" s="1"/>
    </row>
    <row r="5109" spans="2:2">
      <c r="B5109" s="1"/>
    </row>
    <row r="5110" spans="2:2">
      <c r="B5110" s="1"/>
    </row>
    <row r="5111" spans="2:2">
      <c r="B5111" s="1"/>
    </row>
    <row r="5112" spans="2:2">
      <c r="B5112" s="1"/>
    </row>
    <row r="5113" spans="2:2">
      <c r="B5113" s="1"/>
    </row>
    <row r="5114" spans="2:2">
      <c r="B5114" s="1"/>
    </row>
    <row r="5115" spans="2:2">
      <c r="B5115" s="1"/>
    </row>
    <row r="5116" spans="2:2">
      <c r="B5116" s="1"/>
    </row>
    <row r="5117" spans="2:2">
      <c r="B5117" s="1"/>
    </row>
    <row r="5118" spans="2:2">
      <c r="B5118" s="1"/>
    </row>
    <row r="5119" spans="2:2">
      <c r="B5119" s="1"/>
    </row>
    <row r="5120" spans="2:2">
      <c r="B5120" s="1"/>
    </row>
    <row r="5121" spans="2:2">
      <c r="B5121" s="1"/>
    </row>
    <row r="5122" spans="2:2">
      <c r="B5122" s="1"/>
    </row>
    <row r="5123" spans="2:2">
      <c r="B5123" s="1"/>
    </row>
    <row r="5124" spans="2:2">
      <c r="B5124" s="1"/>
    </row>
    <row r="5125" spans="2:2">
      <c r="B5125" s="1"/>
    </row>
    <row r="5126" spans="2:2">
      <c r="B5126" s="1"/>
    </row>
    <row r="5127" spans="2:2">
      <c r="B5127" s="1"/>
    </row>
    <row r="5128" spans="2:2">
      <c r="B5128" s="1"/>
    </row>
    <row r="5129" spans="2:2">
      <c r="B5129" s="1"/>
    </row>
    <row r="5130" spans="2:2">
      <c r="B5130" s="1"/>
    </row>
    <row r="5131" spans="2:2">
      <c r="B5131" s="1"/>
    </row>
    <row r="5132" spans="2:2">
      <c r="B5132" s="1"/>
    </row>
    <row r="5133" spans="2:2">
      <c r="B5133" s="1"/>
    </row>
    <row r="5134" spans="2:2">
      <c r="B5134" s="1"/>
    </row>
    <row r="5135" spans="2:2">
      <c r="B5135" s="1"/>
    </row>
    <row r="5136" spans="2:2">
      <c r="B5136" s="1"/>
    </row>
    <row r="5137" spans="2:2">
      <c r="B5137" s="1"/>
    </row>
    <row r="5138" spans="2:2">
      <c r="B5138" s="1"/>
    </row>
    <row r="5139" spans="2:2">
      <c r="B5139" s="1"/>
    </row>
    <row r="5140" spans="2:2">
      <c r="B5140" s="1"/>
    </row>
    <row r="5141" spans="2:2">
      <c r="B5141" s="1"/>
    </row>
    <row r="5142" spans="2:2">
      <c r="B5142" s="1"/>
    </row>
    <row r="5143" spans="2:2">
      <c r="B5143" s="1"/>
    </row>
    <row r="5144" spans="2:2">
      <c r="B5144" s="1"/>
    </row>
    <row r="5145" spans="2:2">
      <c r="B5145" s="1"/>
    </row>
    <row r="5146" spans="2:2">
      <c r="B5146" s="1"/>
    </row>
    <row r="5147" spans="2:2">
      <c r="B5147" s="1"/>
    </row>
    <row r="5148" spans="2:2">
      <c r="B5148" s="1"/>
    </row>
    <row r="5149" spans="2:2">
      <c r="B5149" s="1"/>
    </row>
    <row r="5150" spans="2:2">
      <c r="B5150" s="1"/>
    </row>
    <row r="5151" spans="2:2">
      <c r="B5151" s="1"/>
    </row>
    <row r="5152" spans="2:2">
      <c r="B5152" s="1"/>
    </row>
    <row r="5153" spans="2:2">
      <c r="B5153" s="1"/>
    </row>
    <row r="5154" spans="2:2">
      <c r="B5154" s="1"/>
    </row>
    <row r="5155" spans="2:2">
      <c r="B5155" s="1"/>
    </row>
    <row r="5156" spans="2:2">
      <c r="B5156" s="1"/>
    </row>
    <row r="5157" spans="2:2">
      <c r="B5157" s="1"/>
    </row>
    <row r="5158" spans="2:2">
      <c r="B5158" s="1"/>
    </row>
    <row r="5159" spans="2:2">
      <c r="B5159" s="1"/>
    </row>
    <row r="5160" spans="2:2">
      <c r="B5160" s="1"/>
    </row>
    <row r="5161" spans="2:2">
      <c r="B5161" s="1"/>
    </row>
    <row r="5162" spans="2:2">
      <c r="B5162" s="1"/>
    </row>
    <row r="5163" spans="2:2">
      <c r="B5163" s="1"/>
    </row>
    <row r="5164" spans="2:2">
      <c r="B5164" s="1"/>
    </row>
    <row r="5165" spans="2:2">
      <c r="B5165" s="1"/>
    </row>
    <row r="5166" spans="2:2">
      <c r="B5166" s="1"/>
    </row>
    <row r="5167" spans="2:2">
      <c r="B5167" s="1"/>
    </row>
    <row r="5168" spans="2:2">
      <c r="B5168" s="1"/>
    </row>
    <row r="5169" spans="2:2">
      <c r="B5169" s="1"/>
    </row>
    <row r="5170" spans="2:2">
      <c r="B5170" s="1"/>
    </row>
    <row r="5171" spans="2:2">
      <c r="B5171" s="1"/>
    </row>
    <row r="5172" spans="2:2">
      <c r="B5172" s="1"/>
    </row>
    <row r="5173" spans="2:2">
      <c r="B5173" s="1"/>
    </row>
    <row r="5174" spans="2:2">
      <c r="B5174" s="1"/>
    </row>
    <row r="5175" spans="2:2">
      <c r="B5175" s="1"/>
    </row>
    <row r="5176" spans="2:2">
      <c r="B5176" s="1"/>
    </row>
    <row r="5177" spans="2:2">
      <c r="B5177" s="1"/>
    </row>
    <row r="5178" spans="2:2">
      <c r="B5178" s="1"/>
    </row>
    <row r="5179" spans="2:2">
      <c r="B5179" s="1"/>
    </row>
    <row r="5180" spans="2:2">
      <c r="B5180" s="1"/>
    </row>
    <row r="5181" spans="2:2">
      <c r="B5181" s="1"/>
    </row>
    <row r="5182" spans="2:2">
      <c r="B5182" s="1"/>
    </row>
    <row r="5183" spans="2:2">
      <c r="B5183" s="1"/>
    </row>
    <row r="5184" spans="2:2">
      <c r="B5184" s="1"/>
    </row>
    <row r="5185" spans="2:2">
      <c r="B5185" s="1"/>
    </row>
    <row r="5186" spans="2:2">
      <c r="B5186" s="1"/>
    </row>
    <row r="5187" spans="2:2">
      <c r="B5187" s="1"/>
    </row>
    <row r="5188" spans="2:2">
      <c r="B5188" s="1"/>
    </row>
    <row r="5189" spans="2:2">
      <c r="B5189" s="1"/>
    </row>
    <row r="5190" spans="2:2">
      <c r="B5190" s="1"/>
    </row>
    <row r="5191" spans="2:2">
      <c r="B5191" s="1"/>
    </row>
    <row r="5192" spans="2:2">
      <c r="B5192" s="1"/>
    </row>
    <row r="5193" spans="2:2">
      <c r="B5193" s="1"/>
    </row>
    <row r="5194" spans="2:2">
      <c r="B5194" s="1"/>
    </row>
    <row r="5195" spans="2:2">
      <c r="B5195" s="1"/>
    </row>
    <row r="5196" spans="2:2">
      <c r="B5196" s="1"/>
    </row>
    <row r="5197" spans="2:2">
      <c r="B5197" s="1"/>
    </row>
    <row r="5198" spans="2:2">
      <c r="B5198" s="1"/>
    </row>
    <row r="5199" spans="2:2">
      <c r="B5199" s="1"/>
    </row>
    <row r="5200" spans="2:2">
      <c r="B5200" s="1"/>
    </row>
    <row r="5201" spans="2:2">
      <c r="B5201" s="1"/>
    </row>
    <row r="5202" spans="2:2">
      <c r="B5202" s="1"/>
    </row>
    <row r="5203" spans="2:2">
      <c r="B5203" s="1"/>
    </row>
    <row r="5204" spans="2:2">
      <c r="B5204" s="1"/>
    </row>
    <row r="5205" spans="2:2">
      <c r="B5205" s="1"/>
    </row>
    <row r="5206" spans="2:2">
      <c r="B5206" s="1"/>
    </row>
    <row r="5207" spans="2:2">
      <c r="B5207" s="1"/>
    </row>
    <row r="5208" spans="2:2">
      <c r="B5208" s="1"/>
    </row>
    <row r="5209" spans="2:2">
      <c r="B5209" s="1"/>
    </row>
    <row r="5210" spans="2:2">
      <c r="B5210" s="1"/>
    </row>
    <row r="5211" spans="2:2">
      <c r="B5211" s="1"/>
    </row>
    <row r="5212" spans="2:2">
      <c r="B5212" s="1"/>
    </row>
    <row r="5213" spans="2:2">
      <c r="B5213" s="1"/>
    </row>
    <row r="5214" spans="2:2">
      <c r="B5214" s="1"/>
    </row>
    <row r="5215" spans="2:2">
      <c r="B5215" s="1"/>
    </row>
    <row r="5216" spans="2:2">
      <c r="B5216" s="1"/>
    </row>
    <row r="5217" spans="2:2">
      <c r="B5217" s="1"/>
    </row>
    <row r="5218" spans="2:2">
      <c r="B5218" s="1"/>
    </row>
    <row r="5219" spans="2:2">
      <c r="B5219" s="1"/>
    </row>
    <row r="5220" spans="2:2">
      <c r="B5220" s="1"/>
    </row>
    <row r="5221" spans="2:2">
      <c r="B5221" s="1"/>
    </row>
    <row r="5222" spans="2:2">
      <c r="B5222" s="1"/>
    </row>
    <row r="5223" spans="2:2">
      <c r="B5223" s="1"/>
    </row>
    <row r="5224" spans="2:2">
      <c r="B5224" s="1"/>
    </row>
    <row r="5225" spans="2:2">
      <c r="B5225" s="1"/>
    </row>
    <row r="5226" spans="2:2">
      <c r="B5226" s="1"/>
    </row>
    <row r="5227" spans="2:2">
      <c r="B5227" s="1"/>
    </row>
    <row r="5228" spans="2:2">
      <c r="B5228" s="1"/>
    </row>
    <row r="5229" spans="2:2">
      <c r="B5229" s="1"/>
    </row>
    <row r="5230" spans="2:2">
      <c r="B5230" s="1"/>
    </row>
    <row r="5231" spans="2:2">
      <c r="B5231" s="1"/>
    </row>
    <row r="5232" spans="2:2">
      <c r="B5232" s="1"/>
    </row>
    <row r="5233" spans="2:2">
      <c r="B5233" s="1"/>
    </row>
    <row r="5234" spans="2:2">
      <c r="B5234" s="1"/>
    </row>
    <row r="5235" spans="2:2">
      <c r="B5235" s="1"/>
    </row>
    <row r="5236" spans="2:2">
      <c r="B5236" s="1"/>
    </row>
    <row r="5237" spans="2:2">
      <c r="B5237" s="1"/>
    </row>
    <row r="5238" spans="2:2">
      <c r="B5238" s="1"/>
    </row>
    <row r="5239" spans="2:2">
      <c r="B5239" s="1"/>
    </row>
    <row r="5240" spans="2:2">
      <c r="B5240" s="1"/>
    </row>
    <row r="5241" spans="2:2">
      <c r="B5241" s="1"/>
    </row>
    <row r="5242" spans="2:2">
      <c r="B5242" s="1"/>
    </row>
    <row r="5243" spans="2:2">
      <c r="B5243" s="1"/>
    </row>
    <row r="5244" spans="2:2">
      <c r="B5244" s="1"/>
    </row>
    <row r="5245" spans="2:2">
      <c r="B5245" s="1"/>
    </row>
    <row r="5246" spans="2:2">
      <c r="B5246" s="1"/>
    </row>
    <row r="5247" spans="2:2">
      <c r="B5247" s="1"/>
    </row>
    <row r="5248" spans="2:2">
      <c r="B5248" s="1"/>
    </row>
    <row r="5249" spans="2:2">
      <c r="B5249" s="1"/>
    </row>
    <row r="5250" spans="2:2">
      <c r="B5250" s="1"/>
    </row>
    <row r="5251" spans="2:2">
      <c r="B5251" s="1"/>
    </row>
    <row r="5252" spans="2:2">
      <c r="B5252" s="1"/>
    </row>
    <row r="5253" spans="2:2">
      <c r="B5253" s="1"/>
    </row>
    <row r="5254" spans="2:2">
      <c r="B5254" s="1"/>
    </row>
    <row r="5255" spans="2:2">
      <c r="B5255" s="1"/>
    </row>
    <row r="5256" spans="2:2">
      <c r="B5256" s="1"/>
    </row>
    <row r="5257" spans="2:2">
      <c r="B5257" s="1"/>
    </row>
    <row r="5258" spans="2:2">
      <c r="B5258" s="1"/>
    </row>
    <row r="5259" spans="2:2">
      <c r="B5259" s="1"/>
    </row>
    <row r="5260" spans="2:2">
      <c r="B5260" s="1"/>
    </row>
    <row r="5261" spans="2:2">
      <c r="B5261" s="1"/>
    </row>
    <row r="5262" spans="2:2">
      <c r="B5262" s="1"/>
    </row>
    <row r="5263" spans="2:2">
      <c r="B5263" s="1"/>
    </row>
    <row r="5264" spans="2:2">
      <c r="B5264" s="1"/>
    </row>
    <row r="5265" spans="2:9">
      <c r="B5265" s="1"/>
    </row>
    <row r="5266" spans="2:9">
      <c r="B5266" s="1"/>
    </row>
    <row r="5267" spans="2:9">
      <c r="B5267" s="1"/>
    </row>
    <row r="5268" spans="2:9">
      <c r="B5268" s="1"/>
    </row>
    <row r="5269" spans="2:9">
      <c r="B5269" s="1"/>
    </row>
    <row r="5270" spans="2:9">
      <c r="B5270" s="1"/>
    </row>
    <row r="5271" spans="2:9">
      <c r="B5271" s="1"/>
      <c r="I5271" s="1"/>
    </row>
    <row r="5272" spans="2:9">
      <c r="B5272" s="1"/>
    </row>
    <row r="5273" spans="2:9">
      <c r="B5273" s="1"/>
    </row>
    <row r="5274" spans="2:9">
      <c r="B5274" s="1"/>
    </row>
    <row r="5275" spans="2:9">
      <c r="B5275" s="1"/>
    </row>
    <row r="5276" spans="2:9">
      <c r="B5276" s="1"/>
    </row>
    <row r="5277" spans="2:9">
      <c r="B5277" s="1"/>
    </row>
    <row r="5278" spans="2:9">
      <c r="B5278" s="1"/>
    </row>
    <row r="5279" spans="2:9">
      <c r="B5279" s="1"/>
    </row>
    <row r="5280" spans="2:9">
      <c r="B5280" s="1"/>
    </row>
    <row r="5281" spans="2:2">
      <c r="B5281" s="1"/>
    </row>
    <row r="5282" spans="2:2">
      <c r="B5282" s="1"/>
    </row>
    <row r="5283" spans="2:2">
      <c r="B5283" s="1"/>
    </row>
    <row r="5284" spans="2:2">
      <c r="B5284" s="1"/>
    </row>
    <row r="5285" spans="2:2">
      <c r="B5285" s="1"/>
    </row>
    <row r="5286" spans="2:2">
      <c r="B5286" s="1"/>
    </row>
    <row r="5287" spans="2:2">
      <c r="B5287" s="1"/>
    </row>
    <row r="5288" spans="2:2">
      <c r="B5288" s="1"/>
    </row>
    <row r="5289" spans="2:2">
      <c r="B5289" s="1"/>
    </row>
    <row r="5290" spans="2:2">
      <c r="B5290" s="1"/>
    </row>
    <row r="5291" spans="2:2">
      <c r="B5291" s="1"/>
    </row>
    <row r="5292" spans="2:2">
      <c r="B5292" s="1"/>
    </row>
    <row r="5293" spans="2:2">
      <c r="B5293" s="1"/>
    </row>
    <row r="5294" spans="2:2">
      <c r="B5294" s="1"/>
    </row>
    <row r="5295" spans="2:2">
      <c r="B5295" s="1"/>
    </row>
    <row r="5296" spans="2:2">
      <c r="B5296" s="1"/>
    </row>
    <row r="5297" spans="2:9">
      <c r="B5297" s="1"/>
      <c r="I5297" s="1"/>
    </row>
    <row r="5298" spans="2:9">
      <c r="B5298" s="1"/>
    </row>
    <row r="5299" spans="2:9">
      <c r="B5299" s="1"/>
    </row>
    <row r="5300" spans="2:9">
      <c r="B5300" s="1"/>
    </row>
    <row r="5301" spans="2:9">
      <c r="B5301" s="1"/>
    </row>
    <row r="5302" spans="2:9">
      <c r="B5302" s="1"/>
    </row>
    <row r="5303" spans="2:9">
      <c r="B5303" s="1"/>
    </row>
    <row r="5304" spans="2:9">
      <c r="B5304" s="1"/>
    </row>
    <row r="5305" spans="2:9">
      <c r="B5305" s="1"/>
    </row>
    <row r="5306" spans="2:9">
      <c r="B5306" s="1"/>
    </row>
    <row r="5307" spans="2:9">
      <c r="B5307" s="1"/>
    </row>
    <row r="5308" spans="2:9">
      <c r="B5308" s="1"/>
    </row>
    <row r="5309" spans="2:9">
      <c r="B5309" s="1"/>
    </row>
    <row r="5310" spans="2:9">
      <c r="B5310" s="1"/>
    </row>
    <row r="5311" spans="2:9">
      <c r="B5311" s="1"/>
    </row>
    <row r="5312" spans="2:9">
      <c r="B5312" s="1"/>
    </row>
    <row r="5313" spans="2:16">
      <c r="B5313" s="1"/>
    </row>
    <row r="5314" spans="2:16">
      <c r="B5314" s="1"/>
    </row>
    <row r="5315" spans="2:16">
      <c r="B5315" s="1"/>
      <c r="I5315" s="1"/>
      <c r="P5315" s="1"/>
    </row>
    <row r="5316" spans="2:16">
      <c r="B5316" s="1"/>
    </row>
    <row r="5317" spans="2:16">
      <c r="B5317" s="1"/>
    </row>
    <row r="5318" spans="2:16">
      <c r="B5318" s="1"/>
    </row>
    <row r="5319" spans="2:16">
      <c r="B5319" s="1"/>
    </row>
    <row r="5320" spans="2:16">
      <c r="B5320" s="1"/>
    </row>
    <row r="5321" spans="2:16">
      <c r="B5321" s="1"/>
    </row>
    <row r="5322" spans="2:16">
      <c r="B5322" s="1"/>
    </row>
    <row r="5323" spans="2:16">
      <c r="B5323" s="1"/>
    </row>
    <row r="5324" spans="2:16">
      <c r="B5324" s="1"/>
    </row>
    <row r="5325" spans="2:16">
      <c r="B5325" s="1"/>
    </row>
    <row r="5326" spans="2:16">
      <c r="B5326" s="1"/>
    </row>
    <row r="5327" spans="2:16">
      <c r="B5327" s="1"/>
    </row>
    <row r="5328" spans="2:16">
      <c r="B5328" s="1"/>
    </row>
    <row r="5329" spans="2:2">
      <c r="B5329" s="1"/>
    </row>
    <row r="5330" spans="2:2">
      <c r="B5330" s="1"/>
    </row>
    <row r="5331" spans="2:2">
      <c r="B5331" s="1"/>
    </row>
    <row r="5332" spans="2:2">
      <c r="B5332" s="1"/>
    </row>
    <row r="5333" spans="2:2">
      <c r="B5333" s="1"/>
    </row>
    <row r="5334" spans="2:2">
      <c r="B5334" s="1"/>
    </row>
    <row r="5335" spans="2:2">
      <c r="B5335" s="1"/>
    </row>
    <row r="5336" spans="2:2">
      <c r="B5336" s="1"/>
    </row>
    <row r="5337" spans="2:2">
      <c r="B5337" s="1"/>
    </row>
    <row r="5338" spans="2:2">
      <c r="B5338" s="1"/>
    </row>
    <row r="5339" spans="2:2">
      <c r="B5339" s="1"/>
    </row>
    <row r="5340" spans="2:2">
      <c r="B5340" s="1"/>
    </row>
    <row r="5341" spans="2:2">
      <c r="B5341" s="1"/>
    </row>
    <row r="5342" spans="2:2">
      <c r="B5342" s="1"/>
    </row>
    <row r="5343" spans="2:2">
      <c r="B5343" s="1"/>
    </row>
    <row r="5344" spans="2:2">
      <c r="B5344" s="1"/>
    </row>
    <row r="5345" spans="2:16">
      <c r="B5345" s="1"/>
    </row>
    <row r="5346" spans="2:16">
      <c r="B5346" s="1"/>
    </row>
    <row r="5347" spans="2:16">
      <c r="B5347" s="1"/>
      <c r="I5347" s="1"/>
      <c r="P5347" s="1"/>
    </row>
    <row r="5348" spans="2:16">
      <c r="B5348" s="1"/>
    </row>
    <row r="5349" spans="2:16">
      <c r="B5349" s="1"/>
    </row>
    <row r="5350" spans="2:16">
      <c r="B5350" s="1"/>
    </row>
    <row r="5351" spans="2:16">
      <c r="B5351" s="1"/>
    </row>
    <row r="5352" spans="2:16">
      <c r="B5352" s="1"/>
    </row>
    <row r="5353" spans="2:16">
      <c r="B5353" s="1"/>
    </row>
    <row r="5354" spans="2:16">
      <c r="B5354" s="1"/>
    </row>
    <row r="5355" spans="2:16">
      <c r="B5355" s="1"/>
    </row>
    <row r="5356" spans="2:16">
      <c r="B5356" s="1"/>
    </row>
    <row r="5357" spans="2:16">
      <c r="B5357" s="1"/>
    </row>
    <row r="5358" spans="2:16">
      <c r="B5358" s="1"/>
    </row>
    <row r="5359" spans="2:16">
      <c r="B5359" s="1"/>
    </row>
    <row r="5360" spans="2:16">
      <c r="B5360" s="1"/>
    </row>
    <row r="5361" spans="2:2">
      <c r="B5361" s="1"/>
    </row>
    <row r="5362" spans="2:2">
      <c r="B5362" s="1"/>
    </row>
    <row r="5363" spans="2:2">
      <c r="B5363" s="1"/>
    </row>
    <row r="5364" spans="2:2">
      <c r="B5364" s="1"/>
    </row>
    <row r="5365" spans="2:2">
      <c r="B5365" s="1"/>
    </row>
    <row r="5366" spans="2:2">
      <c r="B5366" s="1"/>
    </row>
    <row r="5367" spans="2:2">
      <c r="B5367" s="1"/>
    </row>
    <row r="5368" spans="2:2">
      <c r="B5368" s="1"/>
    </row>
    <row r="5369" spans="2:2">
      <c r="B5369" s="1"/>
    </row>
    <row r="5370" spans="2:2">
      <c r="B5370" s="1"/>
    </row>
    <row r="5371" spans="2:2">
      <c r="B5371" s="1"/>
    </row>
    <row r="5372" spans="2:2">
      <c r="B5372" s="1"/>
    </row>
    <row r="5373" spans="2:2">
      <c r="B5373" s="1"/>
    </row>
    <row r="5374" spans="2:2">
      <c r="B5374" s="1"/>
    </row>
    <row r="5375" spans="2:2">
      <c r="B5375" s="1"/>
    </row>
    <row r="5376" spans="2:2">
      <c r="B5376" s="1"/>
    </row>
    <row r="5377" spans="2:16">
      <c r="B5377" s="1"/>
      <c r="I5377" s="1"/>
      <c r="P5377" s="1"/>
    </row>
    <row r="5378" spans="2:16">
      <c r="B5378" s="1"/>
    </row>
    <row r="5379" spans="2:16">
      <c r="B5379" s="1"/>
    </row>
    <row r="5380" spans="2:16">
      <c r="B5380" s="1"/>
    </row>
    <row r="5381" spans="2:16">
      <c r="B5381" s="1"/>
    </row>
    <row r="5382" spans="2:16">
      <c r="B5382" s="1"/>
    </row>
    <row r="5383" spans="2:16">
      <c r="B5383" s="1"/>
    </row>
    <row r="5384" spans="2:16">
      <c r="B5384" s="1"/>
    </row>
    <row r="5385" spans="2:16">
      <c r="B5385" s="1"/>
    </row>
    <row r="5386" spans="2:16">
      <c r="B5386" s="1"/>
    </row>
    <row r="5387" spans="2:16">
      <c r="B5387" s="1"/>
    </row>
    <row r="5388" spans="2:16">
      <c r="B5388" s="1"/>
    </row>
    <row r="5389" spans="2:16">
      <c r="B5389" s="1"/>
    </row>
    <row r="5390" spans="2:16">
      <c r="B5390" s="1"/>
    </row>
    <row r="5391" spans="2:16">
      <c r="B5391" s="1"/>
    </row>
    <row r="5392" spans="2:16">
      <c r="B5392" s="1"/>
    </row>
    <row r="5393" spans="2:16">
      <c r="B5393" s="1"/>
    </row>
    <row r="5394" spans="2:16">
      <c r="B5394" s="1"/>
    </row>
    <row r="5395" spans="2:16">
      <c r="B5395" s="1"/>
    </row>
    <row r="5396" spans="2:16">
      <c r="B5396" s="1"/>
    </row>
    <row r="5397" spans="2:16">
      <c r="B5397" s="1"/>
    </row>
    <row r="5398" spans="2:16">
      <c r="B5398" s="1"/>
    </row>
    <row r="5399" spans="2:16">
      <c r="B5399" s="1"/>
    </row>
    <row r="5400" spans="2:16">
      <c r="B5400" s="1"/>
    </row>
    <row r="5401" spans="2:16">
      <c r="B5401" s="1"/>
      <c r="I5401" s="1"/>
      <c r="P5401" s="1"/>
    </row>
    <row r="5402" spans="2:16">
      <c r="B5402" s="1"/>
    </row>
    <row r="5403" spans="2:16">
      <c r="B5403" s="1"/>
    </row>
    <row r="5404" spans="2:16">
      <c r="B5404" s="1"/>
    </row>
    <row r="5405" spans="2:16">
      <c r="B5405" s="1"/>
    </row>
    <row r="5406" spans="2:16">
      <c r="B5406" s="1"/>
      <c r="I5406" s="1"/>
      <c r="P5406" s="1"/>
    </row>
    <row r="5407" spans="2:16">
      <c r="B5407" s="1"/>
    </row>
    <row r="5408" spans="2:16">
      <c r="B5408" s="1"/>
    </row>
    <row r="5409" spans="2:16">
      <c r="B5409" s="1"/>
    </row>
    <row r="5410" spans="2:16">
      <c r="B5410" s="1"/>
    </row>
    <row r="5411" spans="2:16">
      <c r="B5411" s="1"/>
    </row>
    <row r="5412" spans="2:16">
      <c r="B5412" s="1"/>
      <c r="I5412" s="1"/>
      <c r="P5412" s="1"/>
    </row>
    <row r="5413" spans="2:16">
      <c r="B5413" s="1"/>
    </row>
    <row r="5414" spans="2:16">
      <c r="B5414" s="1"/>
    </row>
    <row r="5415" spans="2:16">
      <c r="B5415" s="1"/>
    </row>
    <row r="5416" spans="2:16">
      <c r="B5416" s="1"/>
    </row>
    <row r="5417" spans="2:16">
      <c r="B5417" s="1"/>
    </row>
    <row r="5418" spans="2:16">
      <c r="B5418" s="1"/>
    </row>
    <row r="5419" spans="2:16">
      <c r="B5419" s="1"/>
    </row>
    <row r="5420" spans="2:16">
      <c r="B5420" s="1"/>
    </row>
    <row r="5421" spans="2:16">
      <c r="B5421" s="1"/>
    </row>
    <row r="5422" spans="2:16">
      <c r="B5422" s="1"/>
    </row>
    <row r="5423" spans="2:16">
      <c r="B5423" s="1"/>
    </row>
    <row r="5424" spans="2:16">
      <c r="B5424" s="1"/>
    </row>
    <row r="5425" spans="2:16">
      <c r="B5425" s="1"/>
    </row>
    <row r="5426" spans="2:16">
      <c r="B5426" s="1"/>
    </row>
    <row r="5427" spans="2:16">
      <c r="B5427" s="1"/>
    </row>
    <row r="5428" spans="2:16">
      <c r="B5428" s="1"/>
    </row>
    <row r="5429" spans="2:16">
      <c r="B5429" s="1"/>
    </row>
    <row r="5430" spans="2:16">
      <c r="B5430" s="1"/>
    </row>
    <row r="5431" spans="2:16">
      <c r="B5431" s="1"/>
    </row>
    <row r="5432" spans="2:16">
      <c r="B5432" s="1"/>
    </row>
    <row r="5433" spans="2:16">
      <c r="B5433" s="1"/>
    </row>
    <row r="5434" spans="2:16">
      <c r="B5434" s="1"/>
    </row>
    <row r="5435" spans="2:16">
      <c r="B5435" s="1"/>
      <c r="I5435" s="1"/>
      <c r="P5435" s="1"/>
    </row>
    <row r="5436" spans="2:16">
      <c r="B5436" s="1"/>
    </row>
    <row r="5437" spans="2:16">
      <c r="B5437" s="1"/>
    </row>
    <row r="5438" spans="2:16">
      <c r="B5438" s="1"/>
    </row>
    <row r="5439" spans="2:16">
      <c r="B5439" s="1"/>
    </row>
    <row r="5440" spans="2:16">
      <c r="B5440" s="1"/>
      <c r="I5440" s="1"/>
      <c r="P5440" s="1"/>
    </row>
    <row r="5441" spans="2:23">
      <c r="B5441" s="1"/>
    </row>
    <row r="5442" spans="2:23">
      <c r="B5442" s="1"/>
    </row>
    <row r="5443" spans="2:23">
      <c r="B5443" s="1"/>
    </row>
    <row r="5444" spans="2:23">
      <c r="B5444" s="1"/>
    </row>
    <row r="5445" spans="2:23">
      <c r="B5445" s="1"/>
    </row>
    <row r="5446" spans="2:23">
      <c r="B5446" s="1"/>
    </row>
    <row r="5447" spans="2:23">
      <c r="B5447" s="1"/>
    </row>
    <row r="5448" spans="2:23">
      <c r="B5448" s="1"/>
    </row>
    <row r="5449" spans="2:23">
      <c r="B5449" s="1"/>
    </row>
    <row r="5450" spans="2:23">
      <c r="B5450" s="1"/>
    </row>
    <row r="5451" spans="2:23">
      <c r="B5451" s="1"/>
    </row>
    <row r="5452" spans="2:23">
      <c r="B5452" s="1"/>
    </row>
    <row r="5453" spans="2:23">
      <c r="B5453" s="1"/>
      <c r="I5453" s="1"/>
      <c r="P5453" s="1"/>
      <c r="W5453" s="1"/>
    </row>
    <row r="5454" spans="2:23">
      <c r="B5454" s="1"/>
    </row>
    <row r="5455" spans="2:23">
      <c r="B5455" s="1"/>
    </row>
    <row r="5456" spans="2:23">
      <c r="B5456" s="1"/>
    </row>
    <row r="5457" spans="2:23">
      <c r="B5457" s="1"/>
    </row>
    <row r="5458" spans="2:23">
      <c r="B5458" s="1"/>
    </row>
    <row r="5459" spans="2:23">
      <c r="B5459" s="1"/>
    </row>
    <row r="5460" spans="2:23">
      <c r="B5460" s="1"/>
    </row>
    <row r="5461" spans="2:23">
      <c r="B5461" s="1"/>
    </row>
    <row r="5462" spans="2:23">
      <c r="B5462" s="1"/>
    </row>
    <row r="5463" spans="2:23">
      <c r="B5463" s="1"/>
    </row>
    <row r="5464" spans="2:23">
      <c r="B5464" s="1"/>
    </row>
    <row r="5465" spans="2:23">
      <c r="B5465" s="1"/>
      <c r="I5465" s="1"/>
      <c r="P5465" s="1"/>
      <c r="W5465" s="1"/>
    </row>
    <row r="5466" spans="2:23">
      <c r="B5466" s="1"/>
    </row>
    <row r="5467" spans="2:23">
      <c r="B5467" s="1"/>
    </row>
    <row r="5468" spans="2:23">
      <c r="B5468" s="1"/>
    </row>
    <row r="5469" spans="2:23">
      <c r="B5469" s="1"/>
    </row>
    <row r="5470" spans="2:23">
      <c r="B5470" s="1"/>
      <c r="I5470" s="1"/>
      <c r="P5470" s="1"/>
      <c r="W5470" s="1"/>
    </row>
    <row r="5471" spans="2:23">
      <c r="B5471" s="1"/>
    </row>
    <row r="5472" spans="2:23">
      <c r="B5472" s="1"/>
    </row>
    <row r="5473" spans="2:30">
      <c r="B5473" s="1"/>
    </row>
    <row r="5474" spans="2:30">
      <c r="B5474" s="1"/>
    </row>
    <row r="5475" spans="2:30">
      <c r="B5475" s="1"/>
    </row>
    <row r="5476" spans="2:30">
      <c r="B5476" s="1"/>
    </row>
    <row r="5477" spans="2:30">
      <c r="B5477" s="1"/>
    </row>
    <row r="5478" spans="2:30">
      <c r="B5478" s="1"/>
    </row>
    <row r="5479" spans="2:30">
      <c r="B5479" s="1"/>
      <c r="I5479" s="1"/>
      <c r="P5479" s="1"/>
      <c r="W5479" s="1"/>
      <c r="AD5479" s="1"/>
    </row>
    <row r="5480" spans="2:30">
      <c r="B5480" s="1"/>
    </row>
    <row r="5481" spans="2:30">
      <c r="B5481" s="1"/>
    </row>
    <row r="5482" spans="2:30">
      <c r="B5482" s="1"/>
    </row>
    <row r="5483" spans="2:30">
      <c r="B5483" s="1"/>
    </row>
    <row r="5484" spans="2:30">
      <c r="B5484" s="1"/>
      <c r="I5484" s="1"/>
      <c r="P5484" s="1"/>
      <c r="W5484" s="1"/>
      <c r="AD5484" s="1"/>
    </row>
    <row r="5485" spans="2:30">
      <c r="B5485" s="1"/>
    </row>
    <row r="5486" spans="2:30">
      <c r="B5486" s="1"/>
    </row>
    <row r="5487" spans="2:30">
      <c r="B5487" s="1"/>
    </row>
    <row r="5488" spans="2:30">
      <c r="B5488" s="1"/>
    </row>
    <row r="5489" spans="2:30">
      <c r="B5489" s="1"/>
    </row>
    <row r="5490" spans="2:30">
      <c r="B5490" s="1"/>
    </row>
    <row r="5491" spans="2:30">
      <c r="B5491" s="1"/>
    </row>
    <row r="5492" spans="2:30">
      <c r="B5492" s="1"/>
    </row>
    <row r="5493" spans="2:30">
      <c r="B5493" s="1"/>
      <c r="I5493" s="1"/>
      <c r="P5493" s="1"/>
      <c r="W5493" s="1"/>
      <c r="AD5493" s="1"/>
    </row>
    <row r="5494" spans="2:30">
      <c r="B5494" s="1"/>
    </row>
    <row r="5495" spans="2:30">
      <c r="B5495" s="1"/>
      <c r="I5495" s="1"/>
      <c r="P5495" s="1"/>
      <c r="W5495" s="1"/>
      <c r="AD5495" s="1"/>
    </row>
    <row r="5496" spans="2:30">
      <c r="B5496" s="1"/>
    </row>
    <row r="5497" spans="2:30">
      <c r="B5497" s="1"/>
    </row>
    <row r="5498" spans="2:30">
      <c r="B5498" s="1"/>
    </row>
    <row r="5499" spans="2:30">
      <c r="B5499" s="1"/>
    </row>
    <row r="5500" spans="2:30">
      <c r="B5500" s="1"/>
    </row>
    <row r="5501" spans="2:30">
      <c r="B5501" s="1"/>
    </row>
    <row r="5502" spans="2:30">
      <c r="B5502" s="1"/>
    </row>
    <row r="5503" spans="2:30">
      <c r="B5503" s="1"/>
    </row>
    <row r="5504" spans="2:30">
      <c r="B5504" s="1"/>
    </row>
    <row r="5505" spans="2:30">
      <c r="B5505" s="1"/>
    </row>
    <row r="5506" spans="2:30">
      <c r="B5506" s="1"/>
    </row>
    <row r="5507" spans="2:30">
      <c r="B5507" s="1"/>
    </row>
    <row r="5508" spans="2:30">
      <c r="B5508" s="1"/>
    </row>
    <row r="5509" spans="2:30">
      <c r="B5509" s="1"/>
    </row>
    <row r="5510" spans="2:30">
      <c r="B5510" s="1"/>
    </row>
    <row r="5511" spans="2:30">
      <c r="B5511" s="1"/>
    </row>
    <row r="5512" spans="2:30">
      <c r="B5512" s="1"/>
    </row>
    <row r="5513" spans="2:30">
      <c r="B5513" s="1"/>
    </row>
    <row r="5514" spans="2:30">
      <c r="B5514" s="1"/>
    </row>
    <row r="5515" spans="2:30">
      <c r="B5515" s="1"/>
    </row>
    <row r="5516" spans="2:30">
      <c r="B5516" s="1"/>
    </row>
    <row r="5517" spans="2:30">
      <c r="B5517" s="1"/>
    </row>
    <row r="5518" spans="2:30">
      <c r="B5518" s="1"/>
      <c r="I5518" s="1"/>
      <c r="P5518" s="1"/>
      <c r="W5518" s="1"/>
      <c r="AD5518" s="1"/>
    </row>
    <row r="5519" spans="2:30">
      <c r="B5519" s="1"/>
    </row>
    <row r="5520" spans="2:30">
      <c r="B5520" s="1"/>
    </row>
    <row r="5521" spans="2:40">
      <c r="B5521" s="1"/>
    </row>
    <row r="5522" spans="2:40">
      <c r="B5522" s="1"/>
      <c r="AN5522" s="1"/>
    </row>
    <row r="5523" spans="2:40">
      <c r="B5523" s="1"/>
    </row>
    <row r="5524" spans="2:40">
      <c r="B5524" s="1"/>
    </row>
    <row r="5525" spans="2:40">
      <c r="B5525" s="1"/>
    </row>
    <row r="5526" spans="2:40">
      <c r="B5526" s="1"/>
      <c r="I5526" s="1"/>
      <c r="P5526" s="1"/>
      <c r="W5526" s="1"/>
      <c r="AD5526" s="1"/>
      <c r="AK5526" s="1"/>
    </row>
    <row r="5527" spans="2:40">
      <c r="B5527" s="1"/>
    </row>
    <row r="5528" spans="2:40">
      <c r="B5528" s="1"/>
    </row>
    <row r="5529" spans="2:40">
      <c r="B5529" s="1"/>
    </row>
    <row r="5530" spans="2:40">
      <c r="B5530" s="1"/>
    </row>
    <row r="5531" spans="2:40">
      <c r="B5531" s="1"/>
    </row>
    <row r="5532" spans="2:40">
      <c r="B5532" s="1"/>
    </row>
    <row r="5533" spans="2:40">
      <c r="B5533" s="1"/>
    </row>
    <row r="5534" spans="2:40">
      <c r="B5534" s="1"/>
    </row>
    <row r="5535" spans="2:40">
      <c r="B5535" s="1"/>
    </row>
    <row r="5536" spans="2:40">
      <c r="B5536" s="1"/>
    </row>
    <row r="5537" spans="2:40">
      <c r="B5537" s="1"/>
      <c r="AN5537" s="1"/>
    </row>
    <row r="5538" spans="2:40">
      <c r="B5538" s="1"/>
    </row>
    <row r="5539" spans="2:40">
      <c r="B5539" s="1"/>
    </row>
    <row r="5540" spans="2:40">
      <c r="B5540" s="1"/>
    </row>
    <row r="5541" spans="2:40">
      <c r="B5541" s="1"/>
    </row>
    <row r="5542" spans="2:40">
      <c r="B5542" s="1"/>
    </row>
    <row r="5543" spans="2:40">
      <c r="B5543" s="1"/>
    </row>
    <row r="5544" spans="2:40">
      <c r="B5544" s="1"/>
    </row>
    <row r="5545" spans="2:40">
      <c r="B5545" s="1"/>
    </row>
    <row r="5546" spans="2:40">
      <c r="B5546" s="1"/>
    </row>
    <row r="5547" spans="2:40">
      <c r="B5547" s="1"/>
      <c r="AN5547" s="1"/>
    </row>
  </sheetData>
  <sortState ref="L1:L6">
    <sortCondition ref="L6"/>
  </sortState>
  <mergeCells count="1">
    <mergeCell ref="A1:F2"/>
  </mergeCell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Cartera</vt:lpstr>
      <vt:lpstr>Movimientos</vt:lpstr>
      <vt:lpstr>Participaciones</vt:lpstr>
      <vt:lpstr>VLs</vt:lpstr>
      <vt:lpstr>Diario</vt:lpstr>
      <vt:lpstr>Semanal</vt:lpstr>
      <vt:lpstr>Mensual</vt:lpstr>
      <vt:lpstr>Evolucion</vt:lpstr>
      <vt:lpstr>Graficos</vt:lpstr>
      <vt:lpstr>Datos</vt:lpstr>
      <vt:lpstr>Datos!mstar_portfolio_csv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Keko</dc:creator>
  <cp:keywords/>
  <dc:description/>
  <cp:lastModifiedBy>Sop. Soft - Gonzalez Benito, Eneko - Ibermatica</cp:lastModifiedBy>
  <dcterms:created xsi:type="dcterms:W3CDTF">2014-02-07T23:24:23Z</dcterms:created>
  <dcterms:modified xsi:type="dcterms:W3CDTF">2014-04-15T10:38:08Z</dcterms:modified>
  <cp:category/>
</cp:coreProperties>
</file>